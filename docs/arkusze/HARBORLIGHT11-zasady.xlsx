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38.xml" ContentType="application/vnd.openxmlformats-officedocument.spreadsheetml.worksheet+xml"/>
  <Override PartName="/xl/worksheets/sheet33.xml" ContentType="application/vnd.openxmlformats-officedocument.spreadsheetml.worksheet+xml"/>
  <Override PartName="/xl/worksheets/sheet47.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35.xml" ContentType="application/vnd.openxmlformats-officedocument.spreadsheetml.worksheet+xml"/>
  <Override PartName="/xl/worksheets/sheet54.xml" ContentType="application/vnd.openxmlformats-officedocument.spreadsheetml.worksheet+xml"/>
  <Override PartName="/xl/worksheets/sheet44.xml" ContentType="application/vnd.openxmlformats-officedocument.spreadsheetml.worksheet+xml"/>
  <Override PartName="/xl/worksheets/sheet49.xml" ContentType="application/vnd.openxmlformats-officedocument.spreadsheetml.worksheet+xml"/>
  <Override PartName="/xl/worksheets/sheet36.xml" ContentType="application/vnd.openxmlformats-officedocument.spreadsheetml.worksheet+xml"/>
  <Override PartName="/xl/worksheets/sheet24.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34.xml" ContentType="application/vnd.openxmlformats-officedocument.spreadsheetml.worksheet+xml"/>
  <Override PartName="/xl/worksheets/sheet39.xml" ContentType="application/vnd.openxmlformats-officedocument.spreadsheetml.worksheet+xml"/>
  <Override PartName="/xl/worksheets/sheet56.xml" ContentType="application/vnd.openxmlformats-officedocument.spreadsheetml.worksheet+xml"/>
  <Override PartName="/xl/worksheets/sheet4.xml" ContentType="application/vnd.openxmlformats-officedocument.spreadsheetml.worksheet+xml"/>
  <Override PartName="/xl/worksheets/sheet55.xml" ContentType="application/vnd.openxmlformats-officedocument.spreadsheetml.worksheet+xml"/>
  <Override PartName="/xl/worksheets/sheet16.xml" ContentType="application/vnd.openxmlformats-officedocument.spreadsheetml.worksheet+xml"/>
  <Override PartName="/xl/worksheets/sheet48.xml" ContentType="application/vnd.openxmlformats-officedocument.spreadsheetml.worksheet+xml"/>
  <Override PartName="/xl/worksheets/sheet26.xml" ContentType="application/vnd.openxmlformats-officedocument.spreadsheetml.worksheet+xml"/>
  <Override PartName="/xl/worksheets/sheet46.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0.xml" ContentType="application/vnd.openxmlformats-officedocument.spreadsheetml.worksheet+xml"/>
  <Override PartName="/xl/worksheets/sheet10.xml" ContentType="application/vnd.openxmlformats-officedocument.spreadsheetml.worksheet+xml"/>
  <Override PartName="/xl/worksheets/sheet51.xml" ContentType="application/vnd.openxmlformats-officedocument.spreadsheetml.worksheet+xml"/>
  <Override PartName="/xl/worksheets/sheet45.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40.xml" ContentType="application/vnd.openxmlformats-officedocument.spreadsheetml.worksheet+xml"/>
  <Override PartName="/xl/worksheets/sheet28.xml" ContentType="application/vnd.openxmlformats-officedocument.spreadsheetml.worksheet+xml"/>
  <Override PartName="/xl/worksheets/sheet43.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30.xml" ContentType="application/vnd.openxmlformats-officedocument.spreadsheetml.worksheet+xml"/>
  <Override PartName="/xl/worksheets/sheet12.xml" ContentType="application/vnd.openxmlformats-officedocument.spreadsheetml.worksheet+xml"/>
  <Override PartName="/xl/worksheets/sheet32.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57.xml" ContentType="application/vnd.openxmlformats-officedocument.spreadsheetml.worksheet+xml"/>
  <Override PartName="/xl/worksheets/sheet20.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27.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14.xml" ContentType="application/vnd.openxmlformats-officedocument.drawing+xml"/>
  <Override PartName="/xl/drawings/drawing17.xml" ContentType="application/vnd.openxmlformats-officedocument.drawing+xml"/>
  <Override PartName="/xl/drawings/drawing47.xml" ContentType="application/vnd.openxmlformats-officedocument.drawing+xml"/>
  <Override PartName="/xl/drawings/drawing8.xml" ContentType="application/vnd.openxmlformats-officedocument.drawing+xml"/>
  <Override PartName="/xl/drawings/drawing3.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38.xml" ContentType="application/vnd.openxmlformats-officedocument.drawing+xml"/>
  <Override PartName="/xl/drawings/drawing16.xml" ContentType="application/vnd.openxmlformats-officedocument.drawing+xml"/>
  <Override PartName="/xl/drawings/drawing56.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19.xml" ContentType="application/vnd.openxmlformats-officedocument.drawing+xml"/>
  <Override PartName="/xl/drawings/drawing33.xml" ContentType="application/vnd.openxmlformats-officedocument.drawing+xml"/>
  <Override PartName="/xl/drawings/drawing9.xml" ContentType="application/vnd.openxmlformats-officedocument.drawing+xml"/>
  <Override PartName="/xl/drawings/drawing35.xml" ContentType="application/vnd.openxmlformats-officedocument.drawing+xml"/>
  <Override PartName="/xl/drawings/drawing11.xml" ContentType="application/vnd.openxmlformats-officedocument.drawing+xml"/>
  <Override PartName="/xl/drawings/drawing42.xml" ContentType="application/vnd.openxmlformats-officedocument.drawing+xml"/>
  <Override PartName="/xl/drawings/drawing15.xml" ContentType="application/vnd.openxmlformats-officedocument.drawing+xml"/>
  <Override PartName="/xl/drawings/drawing34.xml" ContentType="application/vnd.openxmlformats-officedocument.drawing+xml"/>
  <Override PartName="/xl/drawings/drawing44.xml" ContentType="application/vnd.openxmlformats-officedocument.drawing+xml"/>
  <Override PartName="/xl/drawings/drawing48.xml" ContentType="application/vnd.openxmlformats-officedocument.drawing+xml"/>
  <Override PartName="/xl/drawings/drawing28.xml" ContentType="application/vnd.openxmlformats-officedocument.drawing+xml"/>
  <Override PartName="/xl/drawings/vmlDrawing1.vml" ContentType="application/vnd.openxmlformats-officedocument.vmlDrawing"/>
  <Override PartName="/xl/drawings/drawing13.xml" ContentType="application/vnd.openxmlformats-officedocument.drawing+xml"/>
  <Override PartName="/xl/drawings/drawing43.xml" ContentType="application/vnd.openxmlformats-officedocument.drawing+xml"/>
  <Override PartName="/xl/drawings/drawing27.xml" ContentType="application/vnd.openxmlformats-officedocument.drawing+xml"/>
  <Override PartName="/xl/drawings/drawing31.xml" ContentType="application/vnd.openxmlformats-officedocument.drawing+xml"/>
  <Override PartName="/xl/drawings/drawing21.xml" ContentType="application/vnd.openxmlformats-officedocument.drawing+xml"/>
  <Override PartName="/xl/drawings/drawing54.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51.xml" ContentType="application/vnd.openxmlformats-officedocument.drawing+xml"/>
  <Override PartName="/xl/drawings/drawing7.xml" ContentType="application/vnd.openxmlformats-officedocument.drawing+xml"/>
  <Override PartName="/xl/drawings/drawing29.xml" ContentType="application/vnd.openxmlformats-officedocument.drawing+xml"/>
  <Override PartName="/xl/drawings/drawing46.xml" ContentType="application/vnd.openxmlformats-officedocument.drawing+xml"/>
  <Override PartName="/xl/drawings/drawing37.xml" ContentType="application/vnd.openxmlformats-officedocument.drawing+xml"/>
  <Override PartName="/xl/drawings/drawing32.xml" ContentType="application/vnd.openxmlformats-officedocument.drawing+xml"/>
  <Override PartName="/xl/drawings/drawing30.xml" ContentType="application/vnd.openxmlformats-officedocument.drawing+xml"/>
  <Override PartName="/xl/drawings/drawing2.xml" ContentType="application/vnd.openxmlformats-officedocument.drawing+xml"/>
  <Override PartName="/xl/drawings/drawing52.xml" ContentType="application/vnd.openxmlformats-officedocument.drawing+xml"/>
  <Override PartName="/xl/drawings/drawing18.xml" ContentType="application/vnd.openxmlformats-officedocument.drawing+xml"/>
  <Override PartName="/xl/drawings/drawing55.xml" ContentType="application/vnd.openxmlformats-officedocument.drawing+xml"/>
  <Override PartName="/xl/drawings/drawing12.xml" ContentType="application/vnd.openxmlformats-officedocument.drawing+xml"/>
  <Override PartName="/xl/drawings/drawing41.xml" ContentType="application/vnd.openxmlformats-officedocument.drawing+xml"/>
  <Override PartName="/xl/drawings/drawing50.xml" ContentType="application/vnd.openxmlformats-officedocument.drawing+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59" activeTab="59"/>
  </bookViews>
  <sheets>
    <sheet name="Jak działa gra v10" sheetId="1" state="hidden" r:id="rId3"/>
    <sheet name="Budynki v10" sheetId="2" state="hidden" r:id="rId4"/>
    <sheet name="Do decyzji v10" sheetId="3" state="hidden" r:id="rId5"/>
    <sheet name="Kalkulator v10" sheetId="4" state="hidden" r:id="rId6"/>
    <sheet name="Jak działa gra" sheetId="5" state="hidden" r:id="rId7"/>
    <sheet name="Budynki v9" sheetId="6" state="hidden" r:id="rId8"/>
    <sheet name="Do decyzji" sheetId="7" state="hidden" r:id="rId9"/>
    <sheet name="Kalkulator" sheetId="8" state="hidden" r:id="rId10"/>
    <sheet name="Start" sheetId="9" state="hidden" r:id="rId11"/>
    <sheet name="Zmiany v8" sheetId="10" state="hidden" r:id="rId12"/>
    <sheet name="Frontend v8" sheetId="11" state="hidden" r:id="rId13"/>
    <sheet name="Decyzje v7" sheetId="12" state="hidden" r:id="rId14"/>
    <sheet name="Budynki" sheetId="13" state="hidden" r:id="rId15"/>
    <sheet name="Czlowiek" sheetId="14" state="hidden" r:id="rId16"/>
    <sheet name="Atrakcje" sheetId="15" state="hidden" r:id="rId17"/>
    <sheet name="Atrakcje - kalkulator" sheetId="16" state="hidden" r:id="rId18"/>
    <sheet name="Sciezki" sheetId="17" state="hidden" r:id="rId19"/>
    <sheet name="Sciezki - transport" sheetId="18" state="hidden" r:id="rId20"/>
    <sheet name="Efekty i notyfikacje" sheetId="19" state="hidden" r:id="rId21"/>
    <sheet name="Sprawdzenia v8" sheetId="20" state="hidden" r:id="rId22"/>
    <sheet name="Premium" sheetId="21" state="hidden" r:id="rId23"/>
    <sheet name="Premium - czas" sheetId="22" state="hidden" r:id="rId24"/>
    <sheet name="Premium - transport" sheetId="23" state="hidden" r:id="rId25"/>
    <sheet name="Premium - budynek" sheetId="24" state="hidden" r:id="rId26"/>
    <sheet name="Social i polecenia" sheetId="25" state="hidden" r:id="rId27"/>
    <sheet name="Platformy" sheetId="26" state="hidden" r:id="rId28"/>
    <sheet name="Zadania latarni" sheetId="27" state="hidden" r:id="rId29"/>
    <sheet name="Zadania przyklady" sheetId="28" state="hidden" r:id="rId30"/>
    <sheet name="Zadania - zegary" sheetId="29" state="hidden" r:id="rId31"/>
    <sheet name="Ekspedycje" sheetId="30" state="hidden" r:id="rId32"/>
    <sheet name="Ekspedycje - poziomy" sheetId="31" state="hidden" r:id="rId33"/>
    <sheet name="Bilans V3" sheetId="32" state="hidden" r:id="rId34"/>
    <sheet name="Produkcja" sheetId="33" state="hidden" r:id="rId35"/>
    <sheet name="Czas budowy" sheetId="34" state="hidden" r:id="rId36"/>
    <sheet name="Transport i priorytety" sheetId="35" state="hidden" r:id="rId37"/>
    <sheet name="Parametry" sheetId="36" state="hidden" r:id="rId38"/>
    <sheet name="Decyzje i konflikty" sheetId="37" state="hidden" r:id="rId39"/>
    <sheet name="Ustalenia - uwagi" sheetId="38" state="hidden" r:id="rId40"/>
    <sheet name="Populacja i szczescie" sheetId="39" state="hidden" r:id="rId41"/>
    <sheet name="Przystan" sheetId="40" state="hidden" r:id="rId42"/>
    <sheet name="Blogoslawienstwa" sheetId="41" state="hidden" r:id="rId43"/>
    <sheet name="Odpowiedzi i zmiany" sheetId="42" state="hidden" r:id="rId44"/>
    <sheet name="Pomysly" sheetId="43" state="hidden" r:id="rId45"/>
    <sheet name="Twoje wpisy v1" sheetId="44" state="hidden" r:id="rId46"/>
    <sheet name="Zrodlo" sheetId="45" state="hidden" r:id="rId47"/>
    <sheet name="Zrodlo v3" sheetId="46" state="hidden" r:id="rId48"/>
    <sheet name="Twoje wpisy v4" sheetId="47" state="hidden" r:id="rId49"/>
    <sheet name="Twoje wpisy v6" sheetId="48" state="hidden" r:id="rId50"/>
    <sheet name="Rejestr historyczny v6" sheetId="49" state="hidden" r:id="rId51"/>
    <sheet name="Na pozniej" sheetId="50" state="hidden" r:id="rId52"/>
    <sheet name="Planowanie Premium" sheetId="51" state="hidden" r:id="rId53"/>
    <sheet name="Narracje latarni" sheetId="52" state="hidden" r:id="rId54"/>
    <sheet name="Rejestr historyczny v7" sheetId="53" state="hidden" r:id="rId55"/>
    <sheet name="Decyzje v9" sheetId="54" state="hidden" r:id="rId56"/>
    <sheet name="Samouczek v9" sheetId="55" state="hidden" r:id="rId57"/>
    <sheet name="Sprawdzenia v9" sheetId="56" state="hidden" r:id="rId58"/>
    <sheet name="Decyzje v10" sheetId="57" state="hidden" r:id="rId59"/>
    <sheet name="Samouczek v10" sheetId="58" state="hidden" r:id="rId60"/>
    <sheet name="Sprawdzenia v10" sheetId="59" state="hidden" r:id="rId61"/>
    <sheet name="Jak działa gra v11" sheetId="60" state="visible" r:id="rId63"/>
    <sheet name="Budynki v11" sheetId="61" state="visible" r:id="rId64"/>
    <sheet name="Do decyzji v11" sheetId="62" state="visible" r:id="rId65"/>
    <sheet name="Kalkulator v11" sheetId="63" state="visible" r:id="rId66"/>
    <sheet name="Testy v11" sheetId="64" state="visible" r:id="rId67"/>
    <sheet name="Kontrole v11" sheetId="65" state="hidden" r:id="rId68"/>
    <sheet name="Źródła v11" sheetId="66" state="hidden" r:id="rId69"/>
  </sheets>
  <definedNames>
    <definedName function="false" hidden="false" localSheetId="14" name="_xlnm.Print_Titles" vbProcedure="false">Atrakcje!$1:$5</definedName>
    <definedName function="false" hidden="true" localSheetId="14" name="_xlnm._FilterDatabase" vbProcedure="false">Atrakcje!$A$5:$H$25</definedName>
    <definedName function="false" hidden="false" localSheetId="15" name="_xlnm.Print_Titles" vbProcedure="false">'Atrakcje - kalkulator'!$1:$5</definedName>
    <definedName function="false" hidden="true" localSheetId="15" name="_xlnm._FilterDatabase" vbProcedure="false">'Atrakcje - kalkulator'!$A$5:$K$105</definedName>
    <definedName function="false" hidden="false" localSheetId="31" name="_xlnm.Print_Area" vbProcedure="false">'Bilans V3'!$A$1:$C$19</definedName>
    <definedName function="false" hidden="false" localSheetId="31" name="_xlnm.Print_Titles" vbProcedure="false">'Bilans V3'!$1:$5</definedName>
    <definedName function="false" hidden="true" localSheetId="31" name="_xlnm._FilterDatabase" vbProcedure="false">'Bilans V3'!$A$5:$C$19</definedName>
    <definedName function="false" hidden="false" localSheetId="40" name="_xlnm.Print_Area" vbProcedure="false">Blogoslawienstwa!$A$1:$C$10</definedName>
    <definedName function="false" hidden="false" localSheetId="40" name="_xlnm.Print_Titles" vbProcedure="false">Blogoslawienstwa!$1:$5</definedName>
    <definedName function="false" hidden="true" localSheetId="40" name="_xlnm._FilterDatabase" vbProcedure="false">Blogoslawienstwa!$A$5:$C$10</definedName>
    <definedName function="false" hidden="false" localSheetId="12" name="_xlnm.Print_Area" vbProcedure="false">Budynki!$A$1:$O$18</definedName>
    <definedName function="false" hidden="false" localSheetId="12" name="_xlnm.Print_Titles" vbProcedure="false">Budynki!$1:$5</definedName>
    <definedName function="false" hidden="true" localSheetId="12" name="_xlnm._FilterDatabase" vbProcedure="false">Budynki!$A$5:$O$18</definedName>
    <definedName function="false" hidden="false" localSheetId="1" name="_xlnm.Print_Titles" vbProcedure="false">'Budynki v10'!$1:$5</definedName>
    <definedName function="false" hidden="true" localSheetId="1" name="_xlnm._FilterDatabase" vbProcedure="false">'Budynki v10'!$A$5:$H$17</definedName>
    <definedName function="false" hidden="false" localSheetId="5" name="_xlnm.Print_Titles" vbProcedure="false">'Budynki v9'!$1:$5</definedName>
    <definedName function="false" hidden="true" localSheetId="5" name="_xlnm._FilterDatabase" vbProcedure="false">'Budynki v9'!$A$5:$H$17</definedName>
    <definedName function="false" hidden="false" localSheetId="33" name="_xlnm.Print_Area" vbProcedure="false">'Czas budowy'!$A$1:$AA$79</definedName>
    <definedName function="false" hidden="false" localSheetId="33" name="_xlnm.Print_Titles" vbProcedure="false">'Czas budowy'!$1:$5</definedName>
    <definedName function="false" hidden="true" localSheetId="33" name="_xlnm._FilterDatabase" vbProcedure="false">'Czas budowy'!$A$5:$AA$79</definedName>
    <definedName function="false" hidden="false" localSheetId="13" name="_xlnm.Print_Area" vbProcedure="false">Czlowiek!$A$1:$E$38</definedName>
    <definedName function="false" hidden="false" localSheetId="13" name="_xlnm.Print_Titles" vbProcedure="false">Czlowiek!$1:$5</definedName>
    <definedName function="false" hidden="true" localSheetId="13" name="_xlnm._FilterDatabase" vbProcedure="false">Czlowiek!$A$5:$E$40</definedName>
    <definedName function="false" hidden="false" localSheetId="36" name="_xlnm.Print_Area" vbProcedure="false">'Decyzje i konflikty'!$A$1:$G$45</definedName>
    <definedName function="false" hidden="false" localSheetId="36" name="_xlnm.Print_Titles" vbProcedure="false">'Decyzje i konflikty'!$1:$5</definedName>
    <definedName function="false" hidden="true" localSheetId="36" name="_xlnm._FilterDatabase" vbProcedure="false">'Decyzje i konflikty'!$A$5:$G$45</definedName>
    <definedName function="false" hidden="false" localSheetId="56" name="_xlnm.Print_Titles" vbProcedure="false">'Decyzje v10'!$1:$5</definedName>
    <definedName function="false" hidden="true" localSheetId="56" name="_xlnm._FilterDatabase" vbProcedure="false">'Decyzje v10'!$A$5:$D$38</definedName>
    <definedName function="false" hidden="false" localSheetId="11" name="_xlnm.Print_Area" vbProcedure="false">'Decyzje v7'!$A$1:$D$22</definedName>
    <definedName function="false" hidden="false" localSheetId="11" name="_xlnm.Print_Titles" vbProcedure="false">'Decyzje v7'!$1:$5</definedName>
    <definedName function="false" hidden="true" localSheetId="11" name="_xlnm._FilterDatabase" vbProcedure="false">'Decyzje v7'!$A$5:$D$22</definedName>
    <definedName function="false" hidden="false" localSheetId="53" name="_xlnm.Print_Titles" vbProcedure="false">'Decyzje v9'!$1:$5</definedName>
    <definedName function="false" hidden="true" localSheetId="53" name="_xlnm._FilterDatabase" vbProcedure="false">'Decyzje v9'!$A$5:$D$91</definedName>
    <definedName function="false" hidden="false" localSheetId="6" name="_xlnm.Print_Titles" vbProcedure="false">'Do decyzji'!$1:$5</definedName>
    <definedName function="false" hidden="true" localSheetId="6" name="_xlnm._FilterDatabase" vbProcedure="false">'Do decyzji'!$A$5:$D$10</definedName>
    <definedName function="false" hidden="false" localSheetId="2" name="_xlnm.Print_Titles" vbProcedure="false">'Do decyzji v10'!$1:$5</definedName>
    <definedName function="false" hidden="true" localSheetId="2" name="_xlnm._FilterDatabase" vbProcedure="false">'Do decyzji v10'!$A$5:$D$9</definedName>
    <definedName function="false" hidden="false" localSheetId="18" name="_xlnm.Print_Titles" vbProcedure="false">'Efekty i notyfikacje'!$1:$5</definedName>
    <definedName function="false" hidden="true" localSheetId="18" name="_xlnm._FilterDatabase" vbProcedure="false">'Efekty i notyfikacje'!$A$5:$F$24</definedName>
    <definedName function="false" hidden="false" localSheetId="29" name="_xlnm.Print_Area" vbProcedure="false">Ekspedycje!$A$1:$D$17</definedName>
    <definedName function="false" hidden="false" localSheetId="29" name="_xlnm.Print_Titles" vbProcedure="false">Ekspedycje!$1:$5</definedName>
    <definedName function="false" hidden="true" localSheetId="29" name="_xlnm._FilterDatabase" vbProcedure="false">Ekspedycje!$A$5:$D$17</definedName>
    <definedName function="false" hidden="false" localSheetId="30" name="_xlnm.Print_Area" vbProcedure="false">'Ekspedycje - poziomy'!$A$1:$G$19</definedName>
    <definedName function="false" hidden="false" localSheetId="30" name="_xlnm.Print_Titles" vbProcedure="false">'Ekspedycje - poziomy'!$1:$5</definedName>
    <definedName function="false" hidden="true" localSheetId="30" name="_xlnm._FilterDatabase" vbProcedure="false">'Ekspedycje - poziomy'!$A$5:$G$19</definedName>
    <definedName function="false" hidden="false" localSheetId="10" name="_xlnm.Print_Titles" vbProcedure="false">'Frontend v8'!$1:$5</definedName>
    <definedName function="false" hidden="true" localSheetId="10" name="_xlnm._FilterDatabase" vbProcedure="false">'Frontend v8'!$A$5:$D$29</definedName>
    <definedName function="false" hidden="false" localSheetId="4" name="_xlnm.Print_Titles" vbProcedure="false">'Jak działa gra'!$1:$5</definedName>
    <definedName function="false" hidden="true" localSheetId="4" name="_xlnm._FilterDatabase" vbProcedure="false">'Jak działa gra'!$A$5:$C$51</definedName>
    <definedName function="false" hidden="false" localSheetId="0" name="_xlnm.Print_Titles" vbProcedure="false">'Jak działa gra v10'!$1:$5</definedName>
    <definedName function="false" hidden="true" localSheetId="0" name="_xlnm._FilterDatabase" vbProcedure="false">'Jak działa gra v10'!$A$5:$C$62</definedName>
    <definedName function="false" hidden="false" localSheetId="7" name="_xlnm.Print_Titles" vbProcedure="false">Kalkulator!$1:$5</definedName>
    <definedName function="false" hidden="false" localSheetId="3" name="_xlnm.Print_Titles" vbProcedure="false">'Kalkulator v10'!$1:$5</definedName>
    <definedName function="false" hidden="false" localSheetId="49" name="_xlnm.Print_Area" vbProcedure="false">'Na pozniej'!$A$1:$D$12</definedName>
    <definedName function="false" hidden="false" localSheetId="49" name="_xlnm.Print_Titles" vbProcedure="false">'Na pozniej'!$1:$5</definedName>
    <definedName function="false" hidden="true" localSheetId="49" name="_xlnm._FilterDatabase" vbProcedure="false">'Na pozniej'!$A$5:$D$12</definedName>
    <definedName function="false" hidden="false" localSheetId="51" name="_xlnm.Print_Area" vbProcedure="false">'Narracje latarni'!$A$1:$C$105</definedName>
    <definedName function="false" hidden="false" localSheetId="51" name="_xlnm.Print_Titles" vbProcedure="false">'Narracje latarni'!$1:$5</definedName>
    <definedName function="false" hidden="true" localSheetId="51" name="_xlnm._FilterDatabase" vbProcedure="false">'Narracje latarni'!$A$5:$C$105</definedName>
    <definedName function="false" hidden="false" localSheetId="41" name="_xlnm.Print_Area" vbProcedure="false">'Odpowiedzi i zmiany'!$A$1:$C$15</definedName>
    <definedName function="false" hidden="false" localSheetId="41" name="_xlnm.Print_Titles" vbProcedure="false">'Odpowiedzi i zmiany'!$1:$5</definedName>
    <definedName function="false" hidden="true" localSheetId="41" name="_xlnm._FilterDatabase" vbProcedure="false">'Odpowiedzi i zmiany'!$A$5:$C$15</definedName>
    <definedName function="false" hidden="false" localSheetId="35" name="_xlnm.Print_Area" vbProcedure="false">Parametry!$A$1:$F$66</definedName>
    <definedName function="false" hidden="false" localSheetId="35" name="_xlnm.Print_Titles" vbProcedure="false">Parametry!$1:$5</definedName>
    <definedName function="false" hidden="true" localSheetId="35" name="_xlnm._FilterDatabase" vbProcedure="false">Parametry!$A$5:$F$83</definedName>
    <definedName function="false" hidden="false" localSheetId="50" name="_xlnm.Print_Area" vbProcedure="false">'Planowanie Premium'!$A$1:$I$10</definedName>
    <definedName function="false" hidden="false" localSheetId="50" name="_xlnm.Print_Titles" vbProcedure="false">'Planowanie Premium'!$1:$5</definedName>
    <definedName function="false" hidden="true" localSheetId="50" name="_xlnm._FilterDatabase" vbProcedure="false">'Planowanie Premium'!$A$5:$I$10</definedName>
    <definedName function="false" hidden="false" localSheetId="25" name="_xlnm.Print_Area" vbProcedure="false">Platformy!$A$1:$G$16</definedName>
    <definedName function="false" hidden="false" localSheetId="25" name="_xlnm.Print_Titles" vbProcedure="false">Platformy!$1:$5</definedName>
    <definedName function="false" hidden="true" localSheetId="25" name="_xlnm._FilterDatabase" vbProcedure="false">Platformy!$A$5:$G$16</definedName>
    <definedName function="false" hidden="false" localSheetId="42" name="_xlnm.Print_Area" vbProcedure="false">Pomysly!$A$1:$C$8</definedName>
    <definedName function="false" hidden="true" localSheetId="42" name="_xlnm._FilterDatabase" vbProcedure="false">Pomysly!$A$5:$C$8</definedName>
    <definedName function="false" hidden="false" localSheetId="38" name="_xlnm.Print_Area" vbProcedure="false">'Populacja i szczescie'!$A$1:$O$18</definedName>
    <definedName function="false" hidden="false" localSheetId="38" name="_xlnm.Print_Titles" vbProcedure="false">'Populacja i szczescie'!$1:$5</definedName>
    <definedName function="false" hidden="true" localSheetId="38" name="_xlnm._FilterDatabase" vbProcedure="false">'Populacja i szczescie'!$A$5:$E$14</definedName>
    <definedName function="false" hidden="false" localSheetId="20" name="_xlnm.Print_Area" vbProcedure="false">Premium!$A$1:$G$27</definedName>
    <definedName function="false" hidden="false" localSheetId="20" name="_xlnm.Print_Titles" vbProcedure="false">Premium!$1:$5</definedName>
    <definedName function="false" hidden="true" localSheetId="20" name="_xlnm._FilterDatabase" vbProcedure="false">Premium!$A$5:$G$27</definedName>
    <definedName function="false" hidden="false" localSheetId="23" name="_xlnm.Print_Area" vbProcedure="false">'Premium - budynek'!$A$1:$T$8</definedName>
    <definedName function="false" hidden="false" localSheetId="23" name="_xlnm.Print_Titles" vbProcedure="false">'Premium - budynek'!$1:$5</definedName>
    <definedName function="false" hidden="true" localSheetId="23" name="_xlnm._FilterDatabase" vbProcedure="false">'Premium - budynek'!$A$5:$T$8</definedName>
    <definedName function="false" hidden="false" localSheetId="21" name="_xlnm.Print_Area" vbProcedure="false">'Premium - czas'!$A$1:$J$25</definedName>
    <definedName function="false" hidden="false" localSheetId="21" name="_xlnm.Print_Titles" vbProcedure="false">'Premium - czas'!$1:$5</definedName>
    <definedName function="false" hidden="true" localSheetId="21" name="_xlnm._FilterDatabase" vbProcedure="false">'Premium - czas'!$A$5:$J$25</definedName>
    <definedName function="false" hidden="false" localSheetId="22" name="_xlnm.Print_Area" vbProcedure="false">'Premium - transport'!$A$1:$K$18</definedName>
    <definedName function="false" hidden="false" localSheetId="22" name="_xlnm.Print_Titles" vbProcedure="false">'Premium - transport'!$1:$5</definedName>
    <definedName function="false" hidden="true" localSheetId="22" name="_xlnm._FilterDatabase" vbProcedure="false">'Premium - transport'!$A$5:$K$18</definedName>
    <definedName function="false" hidden="false" localSheetId="32" name="_xlnm.Print_Area" vbProcedure="false">Produkcja!$A$1:$F$15</definedName>
    <definedName function="false" hidden="false" localSheetId="32" name="_xlnm.Print_Titles" vbProcedure="false">Produkcja!$1:$5</definedName>
    <definedName function="false" hidden="true" localSheetId="32" name="_xlnm._FilterDatabase" vbProcedure="false">Produkcja!$A$5:$F$15</definedName>
    <definedName function="false" hidden="false" localSheetId="39" name="_xlnm.Print_Area" vbProcedure="false">Przystan!$A$1:$H$18</definedName>
    <definedName function="false" hidden="false" localSheetId="39" name="_xlnm.Print_Titles" vbProcedure="false">Przystan!$1:$5</definedName>
    <definedName function="false" hidden="true" localSheetId="39" name="_xlnm._FilterDatabase" vbProcedure="false">Przystan!$A$5:$H$18</definedName>
    <definedName function="false" hidden="false" localSheetId="48" name="_xlnm.Print_Area" vbProcedure="false">'Rejestr historyczny v6'!$A$1:$F$205</definedName>
    <definedName function="false" hidden="false" localSheetId="48" name="_xlnm.Print_Titles" vbProcedure="false">'Rejestr historyczny v6'!$1:$5</definedName>
    <definedName function="false" hidden="true" localSheetId="48" name="_xlnm._FilterDatabase" vbProcedure="false">'Rejestr historyczny v6'!$A$5:$F$205</definedName>
    <definedName function="false" hidden="false" localSheetId="57" name="_xlnm.Print_Titles" vbProcedure="false">'Samouczek v10'!$1:$5</definedName>
    <definedName function="false" hidden="true" localSheetId="57" name="_xlnm._FilterDatabase" vbProcedure="false">'Samouczek v10'!$A$5:$G$30</definedName>
    <definedName function="false" hidden="false" localSheetId="54" name="_xlnm.Print_Titles" vbProcedure="false">'Samouczek v9'!$1:$5</definedName>
    <definedName function="false" hidden="true" localSheetId="54" name="_xlnm._FilterDatabase" vbProcedure="false">'Samouczek v9'!$A$5:$K$30</definedName>
    <definedName function="false" hidden="false" localSheetId="16" name="_xlnm.Print_Titles" vbProcedure="false">Sciezki!$1:$5</definedName>
    <definedName function="false" hidden="true" localSheetId="16" name="_xlnm._FilterDatabase" vbProcedure="false">Sciezki!$A$5:$K$11</definedName>
    <definedName function="false" hidden="false" localSheetId="17" name="_xlnm.Print_Titles" vbProcedure="false">'Sciezki - transport'!$1:$5</definedName>
    <definedName function="false" hidden="true" localSheetId="17" name="_xlnm._FilterDatabase" vbProcedure="false">'Sciezki - transport'!$A$5:$M$29</definedName>
    <definedName function="false" hidden="false" localSheetId="24" name="_xlnm.Print_Area" vbProcedure="false">'Social i polecenia'!$A$1:$E$10</definedName>
    <definedName function="false" hidden="false" localSheetId="24" name="_xlnm.Print_Titles" vbProcedure="false">'Social i polecenia'!$1:$5</definedName>
    <definedName function="false" hidden="true" localSheetId="24" name="_xlnm._FilterDatabase" vbProcedure="false">'Social i polecenia'!$A$5:$E$11</definedName>
    <definedName function="false" hidden="false" localSheetId="58" name="_xlnm.Print_Titles" vbProcedure="false">'Sprawdzenia v10'!$1:$5</definedName>
    <definedName function="false" hidden="true" localSheetId="58" name="_xlnm._FilterDatabase" vbProcedure="false">'Sprawdzenia v10'!$A$5:$D$67</definedName>
    <definedName function="false" hidden="false" localSheetId="19" name="_xlnm.Print_Titles" vbProcedure="false">'Sprawdzenia v8'!$1:$5</definedName>
    <definedName function="false" hidden="true" localSheetId="19" name="_xlnm._FilterDatabase" vbProcedure="false">'Sprawdzenia v8'!$A$5:$E$236</definedName>
    <definedName function="false" hidden="false" localSheetId="55" name="_xlnm.Print_Titles" vbProcedure="false">'Sprawdzenia v9'!$1:$5</definedName>
    <definedName function="false" hidden="true" localSheetId="55" name="_xlnm._FilterDatabase" vbProcedure="false">'Sprawdzenia v9'!$A$5:$D$35</definedName>
    <definedName function="false" hidden="false" localSheetId="8" name="_xlnm.Print_Area" vbProcedure="false">Start!$A$1:$F$29</definedName>
    <definedName function="false" hidden="false" localSheetId="8" name="_xlnm.Print_Titles" vbProcedure="false">Start!$1:$5</definedName>
    <definedName function="false" hidden="true" localSheetId="8" name="_xlnm._FilterDatabase" vbProcedure="false">Start!$A$5:$F$34</definedName>
    <definedName function="false" hidden="false" localSheetId="34" name="_xlnm.Print_Area" vbProcedure="false">'Transport i priorytety'!$A$1:$D$19</definedName>
    <definedName function="false" hidden="false" localSheetId="34" name="_xlnm.Print_Titles" vbProcedure="false">'Transport i priorytety'!$1:$5</definedName>
    <definedName function="false" hidden="true" localSheetId="34" name="_xlnm._FilterDatabase" vbProcedure="false">'Transport i priorytety'!$A$5:$D$24</definedName>
    <definedName function="false" hidden="false" localSheetId="43" name="_xlnm.Print_Area" vbProcedure="false">'Twoje wpisy v1'!$A$1:$D$80</definedName>
    <definedName function="false" hidden="false" localSheetId="43" name="_xlnm.Print_Titles" vbProcedure="false">'Twoje wpisy v1'!$1:$5</definedName>
    <definedName function="false" hidden="true" localSheetId="43" name="_xlnm._FilterDatabase" vbProcedure="false">'Twoje wpisy v1'!$A$5:$D$80</definedName>
    <definedName function="false" hidden="false" localSheetId="46" name="_xlnm.Print_Area" vbProcedure="false">'Twoje wpisy v4'!$A$1:$D$42</definedName>
    <definedName function="false" hidden="true" localSheetId="46" name="_xlnm._FilterDatabase" vbProcedure="false">'Twoje wpisy v4'!$A$5:$D$42</definedName>
    <definedName function="false" hidden="false" localSheetId="47" name="_xlnm.Print_Area" vbProcedure="false">'Twoje wpisy v6'!$A$1:$D$90</definedName>
    <definedName function="false" hidden="false" localSheetId="47" name="_xlnm.Print_Titles" vbProcedure="false">'Twoje wpisy v6'!$1:$5</definedName>
    <definedName function="false" hidden="true" localSheetId="47" name="_xlnm._FilterDatabase" vbProcedure="false">'Twoje wpisy v6'!$A$5:$D$90</definedName>
    <definedName function="false" hidden="false" localSheetId="37" name="_xlnm.Print_Area" vbProcedure="false">'Ustalenia - uwagi'!$A$1:$F$222</definedName>
    <definedName function="false" hidden="false" localSheetId="37" name="_xlnm.Print_Titles" vbProcedure="false">'Ustalenia - uwagi'!$1:$5</definedName>
    <definedName function="false" hidden="true" localSheetId="37" name="_xlnm._FilterDatabase" vbProcedure="false">'Ustalenia - uwagi'!$A$5:$F$270</definedName>
    <definedName function="false" hidden="false" localSheetId="28" name="_xlnm.Print_Area" vbProcedure="false">'Zadania - zegary'!$A$1:$K$18</definedName>
    <definedName function="false" hidden="false" localSheetId="28" name="_xlnm.Print_Titles" vbProcedure="false">'Zadania - zegary'!$1:$5</definedName>
    <definedName function="false" hidden="true" localSheetId="28" name="_xlnm._FilterDatabase" vbProcedure="false">'Zadania - zegary'!$A$5:$K$18</definedName>
    <definedName function="false" hidden="false" localSheetId="26" name="_xlnm.Print_Area" vbProcedure="false">'Zadania latarni'!$A$1:$G$26</definedName>
    <definedName function="false" hidden="false" localSheetId="26" name="_xlnm.Print_Titles" vbProcedure="false">'Zadania latarni'!$1:$5</definedName>
    <definedName function="false" hidden="true" localSheetId="26" name="_xlnm._FilterDatabase" vbProcedure="false">'Zadania latarni'!$A$5:$G$28</definedName>
    <definedName function="false" hidden="false" localSheetId="27" name="_xlnm.Print_Area" vbProcedure="false">'Zadania przyklady'!$A$1:$AH$19</definedName>
    <definedName function="false" hidden="false" localSheetId="27" name="_xlnm.Print_Titles" vbProcedure="false">'Zadania przyklady'!$1:$5</definedName>
    <definedName function="false" hidden="true" localSheetId="27" name="_xlnm._FilterDatabase" vbProcedure="false">'Zadania przyklady'!$A$5:$AH$19</definedName>
    <definedName function="false" hidden="false" localSheetId="9" name="_xlnm.Print_Titles" vbProcedure="false">'Zmiany v8'!$1:$5</definedName>
    <definedName function="false" hidden="true" localSheetId="9" name="_xlnm._FilterDatabase" vbProcedure="false">'Zmiany v8'!$A$5:$E$53</definedName>
    <definedName function="false" hidden="false" localSheetId="44" name="_xlnm.Print_Area" vbProcedure="false">Zrodlo!$A$1:$F$97</definedName>
    <definedName function="false" hidden="false" localSheetId="44" name="_xlnm.Print_Titles" vbProcedure="false">Zrodlo!$1:$5</definedName>
    <definedName function="false" hidden="true" localSheetId="44" name="_xlnm._FilterDatabase" vbProcedure="false">Zrodlo!$A$5:$M$19</definedName>
    <definedName function="false" hidden="false" localSheetId="45" name="_xlnm.Print_Area" vbProcedure="false">'Zrodlo v3'!$A$1:$C$43</definedName>
    <definedName function="false" hidden="false" localSheetId="45" name="_xlnm.Print_Titles" vbProcedure="false">'Zrodlo v3'!$1:$5</definedName>
    <definedName function="false" hidden="true" localSheetId="45" name="_xlnm._FilterDatabase" vbProcedure="false">'Zrodlo v3'!$A$5:$C$43</definedName>
  </definedNames>
  <calcPr iterateCount="100" refMode="A1" iterate="false" iterateDelta="0.0001" calcMode="auto" fullCalcOnLoad="1" forceFullCalc="1"/>
  <extLst>
    <ext xmlns:loext="http://schemas.libreoffice.org/" uri="{7626C862-2A13-11E5-B345-FEFF819CDC9F}">
      <loext:extCalcPr stringRefSyntax="ExcelA1"/>
    </ext>
  </extLst>
</workbook>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<sst xmlns="http://schemas.openxmlformats.org/spreadsheetml/2006/main" count="11050" uniqueCount="5093">
  <si>
    <t xml:space="preserve">HARBORLIGHT10 • jak działa gra</t>
  </si>
  <si>
    <t xml:space="preserve">Czytaj cztery widoczne zakładki v10. Bieżące zasady obejmują frontend-v15 i v16; wszystkie 52 zakładki Excela 9 zachowano jako ukryte archiwum. Dawne kalkulatory i opisy nie zastępują tych nowszych zasad.</t>
  </si>
  <si>
    <t xml:space="preserve">Mechanika</t>
  </si>
  <si>
    <t xml:space="preserve">Zasada w najwyżej trzech zdaniach</t>
  </si>
  <si>
    <t xml:space="preserve">Źródło / status</t>
  </si>
  <si>
    <t xml:space="preserve">Cel wyspy</t>
  </si>
  <si>
    <t xml:space="preserve">Rozbudowujesz całą osadę, zapewniając mieszkańcom żywność, domy, pracę i szczęście. Produkcja, handel, transport oraz wszystkie budynki wspólnie umożliwiają rozwój wyspy.</t>
  </si>
  <si>
    <t xml:space="preserve">V15-09</t>
  </si>
  <si>
    <t xml:space="preserve">Start</t>
  </si>
  <si>
    <t xml:space="preserve">Zaczynasz z 12 osobami w domu, Ratuszem 1 i po 100 każdego z sześciu zasobów. Nie ma przydzielonych pracowników, a szczęście wynosi 0%. Oddzielny profil nowego gracza nie kasuje poprzedniej wyspy.</t>
  </si>
  <si>
    <t xml:space="preserve">Start / oddzielny zapis</t>
  </si>
  <si>
    <t xml:space="preserve">Nazwa i profil</t>
  </si>
  <si>
    <t xml:space="preserve">Podczas rejestracji wybierasz nazwę swojej wyspy, zapisywaną dopiero po poprawnym zatwierdzeniu formularza. Samodzielny formularz kieruje do normalnego nowego profilu, a wejście z istniejącej wyspy zachowuje jej profil i slot. Nazwa pozostaje dosłowna w obu językach, a zapis nie tworzy prawdziwego konta.</t>
  </si>
  <si>
    <t xml:space="preserve">V15-05</t>
  </si>
  <si>
    <t xml:space="preserve">Poziom i mieszkanie</t>
  </si>
  <si>
    <t xml:space="preserve">Poziom Ratusza jest poziomem gry i ogranicza ulepszanie innych budynków. Ratusz daje limit 24 mieszkańców na poziom, a Dom osobno zapewnia 24 łóżka na swój poziom. Brak łóżek zmniejsza szczęście wszystkich o 1 pp/h za każdą osobę bez miejsca.</t>
  </si>
  <si>
    <t xml:space="preserve">Reguły V7/V8 zachowane</t>
  </si>
  <si>
    <t xml:space="preserve">Przydział i podróż</t>
  </si>
  <si>
    <t xml:space="preserve">Każde z ośmiu miejsc pracy ma limit 12 × własny poziom, ze wspólnej puli wolnych osób w domu. Do pracy i z powrotem idzie się po 5 minut. Po zwolnieniu osoba bez ładunku od razu rozpoczyna powrót.</t>
  </si>
  <si>
    <t xml:space="preserve">V9-19 / F04</t>
  </si>
  <si>
    <t xml:space="preserve">Tragarz z ładunkiem</t>
  </si>
  <si>
    <t xml:space="preserve">Odwołany tragarz najpierw kończy rozpoczętą dostawę i do tego czasu nadal pracuje. Nie bierze kolejnego kursu, potem wraca do domu przez 5 minut. Dopiero powrót czyni go dostępnym.</t>
  </si>
  <si>
    <t xml:space="preserve">V9-19</t>
  </si>
  <si>
    <t xml:space="preserve">Produkcja</t>
  </si>
  <si>
    <t xml:space="preserve">Poziomy 1, 2, 3, 4 dają na osobę 20, 24, 26, 28 sztuk/h, a dalej +2 sztuki/h na poziom. Każda osoba ma własny postęp gotowej sztuki; nowa baza nadal podlega głodowi i istniejącym premiom. Zwolnienie kasuje jej niedokończoną sztukę.</t>
  </si>
  <si>
    <t xml:space="preserve">V9-50 + V15-15</t>
  </si>
  <si>
    <t xml:space="preserve">Młyn i tartak</t>
  </si>
  <si>
    <t xml:space="preserve">Młyn zużywa 2 zboża z centrali na 1 żywność, a tartak 2 drewna na 1 deskę. Surowiec schodzi dopiero przy ukończeniu produktu. Brak wejścia lub miejsca wstrzymuje postęp bez jego utraty.</t>
  </si>
  <si>
    <t xml:space="preserve">V9-50</t>
  </si>
  <si>
    <t xml:space="preserve">Dwa magazyny</t>
  </si>
  <si>
    <t xml:space="preserve">Gotowe produkty czekają lokalnie: pojemność wynosi 200 × własny poziom producenta. Dopiero tragarze zanoszą je do centrali, skąd można je wydawać i karmić ludzi. Monety są osobno w skarbcu.</t>
  </si>
  <si>
    <t xml:space="preserve">V8 / V9-45</t>
  </si>
  <si>
    <t xml:space="preserve">Pojemność centrali</t>
  </si>
  <si>
    <t xml:space="preserve">Magazyn 1 mieści 1000 każdego materiału i 4000 łącznie; oba limity rosną ×1,5 na poziom. 50 × poziom Magazynu pojemności łącznej jest zarezerwowane dla żywności. Materiały przypisane budowie nadal zajmują miejsce aż do odbioru przez tragarza.</t>
  </si>
  <si>
    <t xml:space="preserve">V9-14,45</t>
  </si>
  <si>
    <t xml:space="preserve">Jedzenie</t>
  </si>
  <si>
    <t xml:space="preserve">Każdy mieszkaniec zużywa 1 żywność/h, automatycznie i równomiernie z centrali. Jedna sztuka wystarcza 12 osobom na 5 minut. Po wyczerpaniu posiłku wszystkich dotyczy brak jedzenia.</t>
  </si>
  <si>
    <t xml:space="preserve">V9-46</t>
  </si>
  <si>
    <t xml:space="preserve">Głód i ponowne karmienie</t>
  </si>
  <si>
    <t xml:space="preserve">Brak jedzenia od razu zmniejsza wydajność do połowy; po 12 h nalicza −5 pp/h. Posiłek od razu zatrzymuje karę i przywraca wydajność. Dopiero pełna godzina nieprzerwanego karmienia zeruje wcześniejszy licznik głodu.</t>
  </si>
  <si>
    <t xml:space="preserve">V9-1</t>
  </si>
  <si>
    <t xml:space="preserve">Szczęście</t>
  </si>
  <si>
    <t xml:space="preserve">Każda osoba ma własne szczęście ograniczone do −100…100%, a wyspa pokazuje średnią. Jedzenie i rzeczywista praca dodają osobno +1 pp/h; brak pracy po 12 h daje −5 pp/h. Prezentacja zaokrągla w górę do pełnego procentu, lecz rachunek zachowuje ułamki.</t>
  </si>
  <si>
    <t xml:space="preserve">V7/V8 + V9-1,2</t>
  </si>
  <si>
    <t xml:space="preserve">Nowy mieszkaniec</t>
  </si>
  <si>
    <t xml:space="preserve">Nowa osoba przez pierwsze 24 h ma zamrożone 0% szczęścia. Nadal je i może pracować, ale liczniki głodu i bezrobocia zaczynają działać dopiero po tym czasie. Startowa dwunastka nie ma zamrożenia.</t>
  </si>
  <si>
    <t xml:space="preserve">V9-2</t>
  </si>
  <si>
    <t xml:space="preserve">Przestój</t>
  </si>
  <si>
    <t xml:space="preserve">Brak wejścia lub miejsca zatrzymuje produkcję i jej premię szczęścia za pracę. Kara wynosi −10 pp od początku, kolejne −10 co 24 h, maksymalnie −50 z tego składnika. Nie dodajemy za ten sam przestój drugiej kary bezrobocia.</t>
  </si>
  <si>
    <t xml:space="preserve">V7 D14 / V9-50</t>
  </si>
  <si>
    <t xml:space="preserve">Przyrost i odejścia</t>
  </si>
  <si>
    <t xml:space="preserve">Dokładna średnia szczęścia wyznacza tempo przyrostu albo odejść; minimum populacji to 6. Zachowujemy kolejność grup odejścia, a w wybranej grupie odchodzi najmniej szczęśliwy, z losowaniem remisów. Gdy wszyscy są chronieni, ubytek przepada i nie tworzy długu.</t>
  </si>
  <si>
    <t xml:space="preserve">V9-48,49</t>
  </si>
  <si>
    <t xml:space="preserve">Punkty Domu</t>
  </si>
  <si>
    <t xml:space="preserve">O północy Dom dostaje pulę pp równą aktualnej populacji, bez przenoszenia starej reszty. O 23:58 automat rozdaje niewykorzystane punkty najmniej szczęśliwym uprawnionym osobom. Punkty nie usuwają kar ani ich liczników.</t>
  </si>
  <si>
    <t xml:space="preserve">V9-57</t>
  </si>
  <si>
    <t xml:space="preserve">Kaplica</t>
  </si>
  <si>
    <t xml:space="preserve">Ulepszenie daje +10 × nowy poziom pp na 10 h; kolejna rozbudowa zastępuje poprzedni efekt pełnym nowym czasem. Ręczne błogosławieństwo daje +50 każdego zasobu i +20 pp na godzinę, bez nakładania dwóch ręcznych efektów. Darmowe użycia zależą od poziomu; płatne kosztuje 100 × poziom i ma 4 h blokady od końca poprzedniego płatnego efektu.</t>
  </si>
  <si>
    <t xml:space="preserve">V9-4,56; mechaniczne podatki w szczegółach</t>
  </si>
  <si>
    <t xml:space="preserve">Darmowe błogosławieństwo</t>
  </si>
  <si>
    <t xml:space="preserve">Darmowego użycia można dokonać podczas blokady płatnego, jeżeli inne błogosławieństwo już nie trwa. Darmowe użycie nie przesuwa terminu następnego płatnego. Błogosławieństwa pozostają odrębne od nieustalonej aktywności modlitewnej.</t>
  </si>
  <si>
    <t xml:space="preserve">V9-56</t>
  </si>
  <si>
    <t xml:space="preserve">Latarnia</t>
  </si>
  <si>
    <t xml:space="preserve">Ulepszenie daje wymuszone 100% szczęścia i produkcję ×2 przez 24 h × osiągnięty poziom. Każdy efekt ma własny zegar, a nakładające się wymuszenia 100% korzystają z jednego zapisanego stanu sprzed pierwszego. Stan wraca po końcu ostatniego wymuszenia, z nadal aktywnymi dodatkami i karami.</t>
  </si>
  <si>
    <t xml:space="preserve">V9-3,4</t>
  </si>
  <si>
    <t xml:space="preserve">Zwiedzanie latarni</t>
  </si>
  <si>
    <t xml:space="preserve">Wizyta trwa 4 h bez dojścia i wycofania; jednocześnie są 2 × poziom latarni miejsca. Po powrocie uczestnik ma 100% H i blokadę wizyty na 24 h, a jego grupa daje +10 pp populacji na 6 h. Pula darmowych wejść 2L działa w ruchomych 24 h, a trzy dodatkowe pakiety według zatwierdzonego cennika.</t>
  </si>
  <si>
    <t xml:space="preserve">V7 D01–D02 + V9-3</t>
  </si>
  <si>
    <t xml:space="preserve">Atrakcje</t>
  </si>
  <si>
    <t xml:space="preserve">O północy pojawia się 5 ofert z katalogu 20 dekoracji i wydarzeń; każda losuje Y od 5 do 100 pp oraz zasięg od 1% do 50% populacji. Bonus na 6 h otrzymuje wyliczona liczba uprawnionych osób o najniższym H, a cena wynosi w górę do całych monet: pp po przyzwyczajeniu × faktyczna liczba odbiorców. Na całej wyspie działa tylko jedna nowa atrakcja; następną można uruchomić od razu po zakończeniu jej 6 h.</t>
  </si>
  <si>
    <t xml:space="preserve">V9-5,8 + V15-14</t>
  </si>
  <si>
    <t xml:space="preserve">Przyzwyczajanie</t>
  </si>
  <si>
    <t xml:space="preserve">Każdy rodzaj atrakcji ma osobny ciąg skuteczności: 100%, 75%, 50%, 25%, 0%. Po 24 h bez zakupu tego rodzaju wraca pełna skuteczność, a przy 0% nie pobieramy opłaty. Wyłączność dotyczy atrakcji, a wcześniejsze opłacone efekty ze starych zapisów są zachowane do końca i blokują nowy zakup.</t>
  </si>
  <si>
    <t xml:space="preserve">V8 / V9-8 + V15-14</t>
  </si>
  <si>
    <t xml:space="preserve">Ścieżki</t>
  </si>
  <si>
    <t xml:space="preserve">Jest 100 odcinków na poziomach 0–5; jedno ulepszenie kosztuje 100 kamienia i działa po kliknięciu. Kolejny poziom wolno zacząć po ukończeniu wszystkich 100 odcinków poprzedniego. Pełne poziomy dają +10…50% szybkości tragarzy, a poziomy 3/4/5 również +10/20/30% ładunku.</t>
  </si>
  <si>
    <t xml:space="preserve">V8 + F10</t>
  </si>
  <si>
    <t xml:space="preserve">Kursy i priorytety</t>
  </si>
  <si>
    <t xml:space="preserve">Bazowy pełny kurs trwa 5 min i zabiera jeden rodzaj, do 120 sztuk na poziomie miejsca pracy 1. Trzy trwałe priorytety towarów/budowy dzielą kursy 8+2 losowe, 5+3+2 losowe albo 5/3/2, z ochroną ratunkowej żywności. Budowa wysyła najpierw wszystkie ładunki najstarszego aktywnego zlecenia, a potem następnego.</t>
  </si>
  <si>
    <t xml:space="preserve">V9-20 + V8 + V15-16</t>
  </si>
  <si>
    <t xml:space="preserve">Rozbudowa</t>
  </si>
  <si>
    <t xml:space="preserve">Ratusz L daje L aktywnych budów i L miejsc kolejki; kolejka kosztuje +10% każdego składnika. T biegnie od pierwszego odbioru materiałów do ostatniej dostawy, także przez przerwy; obsada zmienia ETA i daje powiadomienie. Sama budowa trwa T, latarnia 4T, kaplica 3T × (nowy poziom−1).</t>
  </si>
  <si>
    <t xml:space="preserve">V9-9,45</t>
  </si>
  <si>
    <t xml:space="preserve">Plany i anulowanie</t>
  </si>
  <si>
    <t xml:space="preserve">Pakiet 1000 × poziom Ratusza/24 h daje +4 budowy, dowolną kolejkę i planowanie braków za 25% ich bazowej wartości portowej po +10% kolejki. Dostępne materiały przypisujemy planom FIFO, bez podwójnego zastawiania. Anulować wolno przed pierwszym przewozem/budową, ze zwrotem rzeczywistych rezerwacji, lecz bez opłaty prognozy.</t>
  </si>
  <si>
    <t xml:space="preserve">V9-11,12</t>
  </si>
  <si>
    <t xml:space="preserve">Nagrody i zwroty</t>
  </si>
  <si>
    <t xml:space="preserve">Materiały wypełniają centralę zgodnie z limitami i przestrzenią żywności. Nadwyżka czeka bezterminowo i wchodzi automatycznie bez tragarzy. Przed przyjęciem nadwyżki nie można wydać.</t>
  </si>
  <si>
    <t xml:space="preserve">V9-13,14,44</t>
  </si>
  <si>
    <t xml:space="preserve">Przyspieszanie za monety</t>
  </si>
  <si>
    <t xml:space="preserve">Skrócenie 25/50/75/100% budowania kosztuje 1 monetę za pełną minutę oszczędności, minimum 5 monet. Natychmiastowy przewóz kosztuje 10 monet za każdy potrzebny kurs, także niepełny, i dotyczy tylko wybranego etapu. Budowanie i dostawa są osobnymi usługami.</t>
  </si>
  <si>
    <t xml:space="preserve">V9-15,54</t>
  </si>
  <si>
    <t xml:space="preserve">Premium dowóz budowy</t>
  </si>
  <si>
    <t xml:space="preserve">Dostawa Premium przywozi brakujące materiały od razu i zamraża budowanie według minionego T oraz normalnej estymaty reszty. Bez magazynierów przyjmujemy w kalkulacji jednego hipotetycznego tragarza z obecnymi parametrami. Sama faza budowania nie znika i może być skrócona oddzielnie.</t>
  </si>
  <si>
    <t xml:space="preserve">V9-54,55</t>
  </si>
  <si>
    <t xml:space="preserve">Pełne kupno budynku</t>
  </si>
  <si>
    <t xml:space="preserve">Kompletny budynek kosztuje portową wartość wszystkich materiałów ×1,25, nominalne monety i potrzebne kursy Premium. Jest gotowy po 10 s w osobnej usłudze, poza zwykłą kolejką i bez pobrania własnych materiałów. Obowiązują limit Ratusza i kolejność poziomów tego samego budynku.</t>
  </si>
  <si>
    <t xml:space="preserve">V9-10</t>
  </si>
  <si>
    <t xml:space="preserve">Targ</t>
  </si>
  <si>
    <t xml:space="preserve">Od Ratusza 2 wymieniasz pełne dziesiątki tylko w grupie drewno/kamień/zboże albo deski/żywność: 10 daje 9. Dostawa jest zablokowana 1 h; fizyczna partia ma ważność 24 h, a wynik wymiany dostaje nowy termin. Wymiana działa bez obsady, lecz to własna załoga nosi towary w obie strony.</t>
  </si>
  <si>
    <t xml:space="preserve">V9-51,52,53</t>
  </si>
  <si>
    <t xml:space="preserve">Port</t>
  </si>
  <si>
    <t xml:space="preserve">Od Ratusza 4 handlujesz paczkami 100: podstawowe sprzedaż/kupno 40/50, przetworzone 140/150 monet. Każda kolejna paczka kupna podnosi cenę liniowo o 10% bazowej ceny, osobno dla towaru w ruchomych 3 h. Cena zamraża się przy transakcji, a monety za sprzedaż przychodzą przy wypłynięciu.</t>
  </si>
  <si>
    <t xml:space="preserve">V7 D16</t>
  </si>
  <si>
    <t xml:space="preserve">Ważność towaru</t>
  </si>
  <si>
    <t xml:space="preserve">Każda fizyczna partia targowa i portowa ma 24 h od przybycia. Faktyczne podjęcie ładunku przed terminem chroni rozpoczęty kurs. Samo zlecenie odbioru nie chroni towaru pozostawionego na miejscu.</t>
  </si>
  <si>
    <t xml:space="preserve">V9-52</t>
  </si>
  <si>
    <t xml:space="preserve">Zadania latarni</t>
  </si>
  <si>
    <t xml:space="preserve">Są 3 oferty, ale tylko 1 aktywne zadanie i nie można go porzucić. Potwierdzenie ma 60 s; mnożnik utrwala otwarcie okna: ×3 przed 15 s, ×2 przed 5 min, później ×1. Oferta musi nadal być ważna przy potwierdzeniu, a zamknięcie usuwa szkic.</t>
  </si>
  <si>
    <t xml:space="preserve">V9-16,17</t>
  </si>
  <si>
    <t xml:space="preserve">Darowizny i terminy</t>
  </si>
  <si>
    <t xml:space="preserve">Towary przekazujesz w nieodwracalnych ratach bez tragarzy z centrali, zachowując rezerwę jedzenia. Pierwsze zadania trwają 6 h; po pierwszym sukcesie w ciągu następcy mają termin o północy, nawet gdy pojawiają się wcześniej po kolejnym sukcesie. Norma kosztów i skalowanie nagród z poziomu 3 pozostają zachowane.</t>
  </si>
  <si>
    <t xml:space="preserve">V9-47 + V8</t>
  </si>
  <si>
    <t xml:space="preserve">Ukończenie i Share</t>
  </si>
  <si>
    <t xml:space="preserve">Sukces zadania przyznaje nagrodę, pokazuje fajerwerki i krótką wibrację obsługiwanego telefonu. Share daje osobne 500 monet raz, a Skip zachowuje normalną nagrodę. Nierozstrzygnięta propozycja pozostaje bezterminowo w powiadomieniach, bez rzeczywistej integracji Facebook.</t>
  </si>
  <si>
    <t xml:space="preserve">V9-18</t>
  </si>
  <si>
    <t xml:space="preserve">Pula ekspedycji</t>
  </si>
  <si>
    <t xml:space="preserve">Każda nowa runda losuje labirynt z kulkami albo dopasowywanie trójek i dodaje do puli najwyżej 50 monet za sukces, pomniejszonych według czasu tej rundy. Kontynuacja ryzykuje całą niewypłaconą pulę; przegrana ją zeruje, a wypłata kończy serię. Wcześniej wypłacone monety pozostają bezpieczne.</t>
  </si>
  <si>
    <t xml:space="preserve">V16-08…14; zachowane V9-21…23,31,58</t>
  </si>
  <si>
    <t xml:space="preserve">Zegar ekspedycji</t>
  </si>
  <si>
    <t xml:space="preserve">Limit jest twardy i działa również w tle; jego osiągnięcie kończy serię przegraną, a labirynt pokazuje wstrząs i rozsypanie kulek. Po 5 minutach bez rzeczywistej aktywności nadal pojawia się wezwanie do obecności z 60 sekundami na odpowiedź. Otwarta seria zasłania wyspę i blokuje zarządzanie aż do zakończenia lub wypłaty.</t>
  </si>
  <si>
    <t xml:space="preserve">V16-10,13 + V9-26…30</t>
  </si>
  <si>
    <t xml:space="preserve">Nagroda za czas rundy</t>
  </si>
  <si>
    <t xml:space="preserve">Pełne 50 monet jest dostępne przez pierwsze 2/3 limitu; potem nagroda tej rundy maleje o 1 monetę za każdy pełny odcinek równy 1/12 limitu. W pierwszym labiryncie limit wynosi 180 sekund, pełna nagroda trwa do 120 sekund, a pierwsze odjęcie następuje w 135 sekundzie. Po końcu limitu nie ma zwycięstwa ani dalszej gry za potrącenia — przepada cała niewypłacona seria.</t>
  </si>
  <si>
    <t xml:space="preserve">V16-10,13</t>
  </si>
  <si>
    <t xml:space="preserve">Labirynt z kulkami</t>
  </si>
  <si>
    <t xml:space="preserve">Umieszczasz wszystkie kulki w celach, przechylając planszę myszą, klawiaturą albo ruchem telefonu. Sterowanie ruchem wymaga wsparcia urządzenia i ewentualnej zgody; dostępny jest również sterownik dotykowy. Pierwsza plansza ma jedną kulkę, labirynt 3 × 3 i limit 180 sekund.</t>
  </si>
  <si>
    <t xml:space="preserve">V16-09…11</t>
  </si>
  <si>
    <t xml:space="preserve">Trudność labiryntu</t>
  </si>
  <si>
    <t xml:space="preserve">Projektowo co dwa etapy przybywa kulka do maksimum sześciu, a co trzy etapy rośnie bok labiryntu do maksimum ośmiu komórek. Limit skraca się według max(60, 180 / (1 + 0,1 × (etap−1))) sekund. Te parametry są jawną konfiguracją projektu, a wylosowana plansza, ruch i pozostały czas są zapisywane.</t>
  </si>
  <si>
    <t xml:space="preserve">V16-11 / konfiguracja projektu</t>
  </si>
  <si>
    <t xml:space="preserve">Dopasowywanie trójek</t>
  </si>
  <si>
    <t xml:space="preserve">Odkrywaj kafelki dowolną liczbę razy i wyczyść całą planszę: trzy identyczne czarno-białe symbole znikają, a nietrafiona trójka ponownie się zakrywa. Projekt zaczyna od 24 kart, czyli ośmiu symboli po trzy sztuki, i dodaje sześć kart na etap do 120 kart, czyli 40 symboli. Limit zaczyna od 240 sekund, rośnie o 30 sekund na etap i kończy wzrost przy 900 sekundach.</t>
  </si>
  <si>
    <t xml:space="preserve">V16-12…14 / konfiguracja projektu</t>
  </si>
  <si>
    <t xml:space="preserve">Tasowanie trójek</t>
  </si>
  <si>
    <t xml:space="preserve">Od czwartego etapu przesuwają się wyłącznie zakryte, niedopasowane kafelki; odkryte i już usunięte nie zmieniają miejsc. Pierwszy odstęp wynosi 60 sekund, maleje o 2 sekundy na kolejny etap i zatrzymuje się na 30 sekundach. Układ, odkryte trójki, liczba tasowań i zegary przetrwają ponowne wczytanie gry.</t>
  </si>
  <si>
    <t xml:space="preserve">V16-14 / konfiguracja projektu</t>
  </si>
  <si>
    <t xml:space="preserve">Zgodność zapisanych ekspedycji</t>
  </si>
  <si>
    <t xml:space="preserve">Nowe serie korzystają z dwóch minigier v16 losowanych w każdej rundzie. Aktywna dawna seria z trasą zachowuje swoją planszę, reguły i zegar aż do końca całej serii. Zmiana wydania nie dopisuje wygranej ani nie zmienia jej wylosowanego stanu.</t>
  </si>
  <si>
    <t xml:space="preserve">V16-15</t>
  </si>
  <si>
    <t xml:space="preserve">Premie społecznościowe</t>
  </si>
  <si>
    <t xml:space="preserve">Docelowo pierwsza publikacja daje 1000 monet raz, awans od Ratusza 2 daje 500 raz na poziom, a każda trzecia kwalifikowana publikacja 1000. Liczymy najwyżej jeden wpis dziennie ze wszystkich platform, a spełnione premie mogą się sumować. W grze są reguły i sprawdzone punkty integracji, bez prawdziwego potwierdzania zewnętrznych publikacji.</t>
  </si>
  <si>
    <t xml:space="preserve">V9-37…41</t>
  </si>
  <si>
    <t xml:space="preserve">Polecenia</t>
  </si>
  <si>
    <t xml:space="preserve">Nowe konto z indywidualnego linku ma jednego stałego polecającego, który dostaje 1000 monet po pierwszym logowaniu. Trzy aktywne dni w ciągu 30 dni od rejestracji dają polecającemu po 500 pięciu materiałów, bez monet w tej drugiej premii. Prawdziwe konta i potwierdzenia wymagają backendu.</t>
  </si>
  <si>
    <t xml:space="preserve">V9-33,42,43</t>
  </si>
  <si>
    <t xml:space="preserve">Lojalność</t>
  </si>
  <si>
    <t xml:space="preserve">Liczymy kolejne dni logowania, a przerwa rozpoczyna serię od początku. Program kończy się przy Ratuszu 4 albo po odebraniu dziesiątej dziennej nagrody. Wartości nagród nie zostały ustalone, więc nie przyznajemy fikcyjnych kwot.</t>
  </si>
  <si>
    <t xml:space="preserve">V9-35,36</t>
  </si>
  <si>
    <t xml:space="preserve">Samouczek</t>
  </si>
  <si>
    <t xml:space="preserve">25 kolejnych akcji otwiera się przy każdym wejściu do gry aż do ukończenia lub świadomej rezygnacji, a ręczne wznowienie zachowuje postęp. Nie ma blokady pięciu dni: akcje wymagają rzeczywistego działania albo wizyty we wskazanym miejscu i potwierdzenia przeczytania. Każdy sukces ma fanfarę i skrzynię, a dawne odebrane lekcje są zachowane w migracji bez ponownego wypłacania ich nagród.</t>
  </si>
  <si>
    <t xml:space="preserve">V16-01…07</t>
  </si>
  <si>
    <t xml:space="preserve">Skrzynie samouczka</t>
  </si>
  <si>
    <t xml:space="preserve">Każda akcja losuje osobno 100–300 drewna, kamienia, zboża, żywności i desek, bez monet. Share daje identyczną skrzynię dodatkowo najwyżej raz, a Skip pozostawia podstawową nagrodę. Zapis utrwala losowanie, odbiór i decyzję, a nadmiar materiałów czeka bez strat na miejsce w centrali.</t>
  </si>
  <si>
    <t xml:space="preserve">V16-03…05</t>
  </si>
  <si>
    <t xml:space="preserve">Pomoc do Ratusza</t>
  </si>
  <si>
    <t xml:space="preserve">Przy piątej akcji i Ratuszu 1 jawny przycisk jednorazowo uzupełnia dostępne zasoby do 500 monet, po 500 drewna, kamienia, zboża i desek oraz 600 żywności. Pomoc pokrywa tylko braki, nie pomniejsza zapasów, zachowuje nadmiar w buforze i nie powtarza się po wczytaniu. Akcję zalicza rzeczywiste przyjęcie zlecenia rozbudowy Ratusza; transport i budowa nadal przebiegają normalnie.</t>
  </si>
  <si>
    <t xml:space="preserve">V16-06 / dobór wdrożeniowy</t>
  </si>
  <si>
    <t xml:space="preserve">Powrót do nauki</t>
  </si>
  <si>
    <t xml:space="preserve">Zamknięcie lub wybór „Na później” odkłada okno na tę sesję, nie kasując postępu. Świadoma rezygnacja wyłącza automatyczne otwieranie również po następnym logowaniu. Samouczek można ponownie włączyć w ustawieniach lub menu, bez utraty ukończonych akcji i skrzyń.</t>
  </si>
  <si>
    <t xml:space="preserve">V16-01</t>
  </si>
  <si>
    <t xml:space="preserve">Aktywna gra</t>
  </si>
  <si>
    <t xml:space="preserve">Rzeczywista akcja w widocznej aktywnej karcie odnawia bonus produkcji i podatków ×2 na 5 minut. Czas się nie sumuje; z latarnią produkcja może wynosić ×4, z kaplicą podatki ×4. Bonus nie przyspiesza transportu, informacje podatkowe pozostają ukryte, a automatyczne sygnały sterowania minigrą nie liczą się jako kolejne działania gracza.</t>
  </si>
  <si>
    <t xml:space="preserve">F08 + V16-15</t>
  </si>
  <si>
    <t xml:space="preserve">Kupno osoby</t>
  </si>
  <si>
    <t xml:space="preserve">Osoba kosztuje 500 × obecny poziom Ratusza każdego z sześciu zasobów, jak najbliższa rozbudowa Ratusza. Potrzebne są wolne łóżko i miejsce w limicie ratusza, a osoba zaczyna z zasadami pierwszych 24 h. Tę cenę oznaczamy jako ogłoszone założenie wdrożeniowe, nie historyczną cenę ustaloną w V7.</t>
  </si>
  <si>
    <t xml:space="preserve">F16 / jawne założenie przed GO</t>
  </si>
  <si>
    <t xml:space="preserve">Punkty i zasoby</t>
  </si>
  <si>
    <t xml:space="preserve">Punkty to migawka poziom Ratusza × monety przeliczana o pełnej godzinie. Strzałka ↑/↓/→ pokazuje bilans godzinowy produkcji i zużycia całej wyspy. Samo przeniesienie towaru między magazynami nie zmienia tego bilansu.</t>
  </si>
  <si>
    <t xml:space="preserve">F18,F19</t>
  </si>
  <si>
    <t xml:space="preserve">Dzień i zapis</t>
  </si>
  <si>
    <t xml:space="preserve">Odnowienia dzienne i dni aktywności używają 00:00 Europe/Warsaw, także offline. Czasy trwania efektów 6 h i 24 h, ruchome okna oraz 30 dni nadal liczymy od zdarzenia. Przeglądarka zachowuje oba oddzielne profile, bez synchronizacji z prawdziwym kontem.</t>
  </si>
  <si>
    <t xml:space="preserve">V9-34</t>
  </si>
  <si>
    <t xml:space="preserve">Nowy interfejs</t>
  </si>
  <si>
    <t xml:space="preserve">Nie ma lewego paska ani pięciu materiałów w nagłówku; są pracujący, ETA nowej osoby i Punkty. Administracja i Gospodarka dzielą budynki o równych miniaturach i podpisanych pracujących, a zasoby pokazują lokalny / centralny (wszystkie przewozy w toku). Karty komputerowe są zwarte, opisy wyjaśniają funkcje, powrót prowadzi do poprzedniego menu, a EN/PL i szczegóły pod i zachowują swoje działanie.</t>
  </si>
  <si>
    <t xml:space="preserve">F01…F19 + V15-01…13,17</t>
  </si>
  <si>
    <t xml:space="preserve">25 konkretnych akcji — bez czekania na kolejne dni</t>
  </si>
  <si>
    <t xml:space="preserve">Skrzynia 100–300 / Share×2</t>
  </si>
  <si>
    <t xml:space="preserve">1. Poznaj zasady swojej wyspy</t>
  </si>
  <si>
    <t xml:space="preserve">Otwórz menu wyspy w lewym górnym rogu, wejdź w Zasady i potwierdź ich przeczytanie.</t>
  </si>
  <si>
    <t xml:space="preserve">Po 100–300 każdego z pięciu materiałów; Share daje drugi raz tę samą skrzynię.</t>
  </si>
  <si>
    <t xml:space="preserve">2. Obejrzyj mapę wyspy</t>
  </si>
  <si>
    <t xml:space="preserve">Otwórz mapę i sprawdź, gdzie znajdują się budynki, miejsca produkcji i port.</t>
  </si>
  <si>
    <t xml:space="preserve">3. Przydziel mieszkańcom pracę</t>
  </si>
  <si>
    <t xml:space="preserve">Przydziel co najmniej jedną osobę do produkcji i jedną do Magazynu. Do pracy dotrą po pięciu minutach.</t>
  </si>
  <si>
    <t xml:space="preserve">4. Sprawdź, czy nikt nie jest głodny</t>
  </si>
  <si>
    <t xml:space="preserve">Otwórz Mieszkańców i sprawdź stan wyżywienia. Żywność musi być w magazynie centralnym albo w trwającym posiłku.</t>
  </si>
  <si>
    <t xml:space="preserve">5. Rozpocznij rozbudowę Ratusza</t>
  </si>
  <si>
    <t xml:space="preserve">Odbierz tutaj jednorazowe materiały do budowy i zleć rozbudowę Ratusza. Transport oraz budowa będą trwały, gdy poznasz kolejne zasady.</t>
  </si>
  <si>
    <t xml:space="preserve">6. Popraw szczęście mieszkańców</t>
  </si>
  <si>
    <t xml:space="preserve">Rozdaj punkty szczęścia w Domu, udziel błogosławieństwa w Kaplicy albo uruchom atrakcję. Wykonaj jedno działanie poprawiające szczęście.</t>
  </si>
  <si>
    <t xml:space="preserve">7. Sprawdź drogę do pracy</t>
  </si>
  <si>
    <t xml:space="preserve">Otwórz zarządzanie pracownikami i porównaj osoby pracujące, idące do pracy oraz wracające do domu.</t>
  </si>
  <si>
    <t xml:space="preserve">8. Odczytaj oba magazyny zasobów</t>
  </si>
  <si>
    <t xml:space="preserve">Wybierz Zasoby na dolnym pasku. Odczytaj zapas lokalny / centralny oraz ilość przewożoną w nawiasie.</t>
  </si>
  <si>
    <t xml:space="preserve">9. Wybierz priorytet transportu</t>
  </si>
  <si>
    <t xml:space="preserve">W Magazynie ustaw wybrany materiał albo Budowę jako numerowany priorytet transportu.</t>
  </si>
  <si>
    <t xml:space="preserve">10. Odbierz prawdziwą dostawę</t>
  </si>
  <si>
    <t xml:space="preserve">Poczekaj, aż tragarz z Magazynu przyniesie co najmniej jedną partię gotowych produktów do magazynu centralnego.</t>
  </si>
  <si>
    <t xml:space="preserve">11. Porównaj limity magazynów</t>
  </si>
  <si>
    <t xml:space="preserve">Otwórz Magazyn i porównaj łączną pojemność, limit jednego materiału oraz lokalne zapasy producentów.</t>
  </si>
  <si>
    <t xml:space="preserve">12. Poznaj produkcję żywności</t>
  </si>
  <si>
    <t xml:space="preserve">Otwórz Młyn. Gospodarstwo produkuje zboże, a Młyn zużywa dwie sztuki zboża z centrali na jedną sztukę żywności w lokalnym magazynie.</t>
  </si>
  <si>
    <t xml:space="preserve">13. Znajdź codzienne punkty Domu</t>
  </si>
  <si>
    <t xml:space="preserve">Otwórz pulę szczęścia w Domu. Odnawia się o północy czasu polskiego, a niewykorzystane punkty są rozdawane tuż przed północą.</t>
  </si>
  <si>
    <t xml:space="preserve">14. Odczytaj szczęście każdej osoby</t>
  </si>
  <si>
    <t xml:space="preserve">Otwórz Mieszkańców i porównaj indywidualne szczęście, potrzeby oraz aktywne efekty. Wartość wyspy jest średnią wszystkich osób.</t>
  </si>
  <si>
    <t xml:space="preserve">15. Sprawdź koszt rozbudowy</t>
  </si>
  <si>
    <t xml:space="preserve">Otwórz rozbudowę budynku i porównaj dostępne zasoby centralne z kosztem oraz ograniczeniem poziomu Ratusza.</t>
  </si>
  <si>
    <t xml:space="preserve">16. Znajdź zarządzanie budową</t>
  </si>
  <si>
    <t xml:space="preserve">Otwórz zarządzanie budową w Ratuszu. Najpierw docierają materiały, a dopiero potem zaczyna się osobna faza budowania.</t>
  </si>
  <si>
    <t xml:space="preserve">17. Ulepsz jeden odcinek ścieżki</t>
  </si>
  <si>
    <t xml:space="preserve">Wydaj 100 kamienia z centrali na jeden odcinek. Wszystkie odcinki muszą osiągnąć dany poziom, zanim rozpocznie się kolejny.</t>
  </si>
  <si>
    <t xml:space="preserve">18. Poznaj codzienne atrakcje</t>
  </si>
  <si>
    <t xml:space="preserve">Wybierz Dekoracje i porównaj pięć ofert. Jedna atrakcja działa przez sześć godzin, a jej zasięg i cena zależą od oferty.</t>
  </si>
  <si>
    <t xml:space="preserve">19. Poznaj błogosławieństwa Kaplicy</t>
  </si>
  <si>
    <t xml:space="preserve">Otwórz Kaplicę i przeczytaj zasady darmowych oraz płatnych błogosławieństw. Ręczne błogosławieństwo daje materiały i czasową premię szczęścia.</t>
  </si>
  <si>
    <t xml:space="preserve">20. Poznaj wymiany na Targu</t>
  </si>
  <si>
    <t xml:space="preserve">Otwórz Targ. Jest dostępny od drugiego poziomu Ratusza i wymienia towary z tej samej grupy z opłatą dziesięciu procent.</t>
  </si>
  <si>
    <t xml:space="preserve">21. Poznaj wizyty w latarni</t>
  </si>
  <si>
    <t xml:space="preserve">Otwórz Latarnię. Odbudowa daje czasowe premie całej wyspie, a wizyty poprawiają szczęście po powrocie mieszkańców.</t>
  </si>
  <si>
    <t xml:space="preserve">22. Podejmij jedno zadanie</t>
  </si>
  <si>
    <t xml:space="preserve">Przeczytaj koszt i termin, a następnie potwierdź zadanie. Jednocześnie aktywne jest jedno zadanie, a darowizn nie można wycofać.</t>
  </si>
  <si>
    <t xml:space="preserve">23. Spróbuj ekspedycji</t>
  </si>
  <si>
    <t xml:space="preserve">Rozpocznij ekspedycję i spróbuj wylosowanej minigry. Możesz wypłacić wygraną albo zaryzykować całą niewypłaconą pulę serii.</t>
  </si>
  <si>
    <t xml:space="preserve">24. Bezpiecznie odwołaj pracownika</t>
  </si>
  <si>
    <t xml:space="preserve">Zakończ ekspedycję, a następnie odwołaj jednego pracownika. Tragarz z ładunkiem najpierw kończy dostawę, potem przez pięć minut wraca do domu.</t>
  </si>
  <si>
    <t xml:space="preserve">25. Zrób przegląd swojej wyspy</t>
  </si>
  <si>
    <t xml:space="preserve">Wróć do menu wyspy i sprawdź żywność, pracę, magazyny, szczęście i plany budowy. Możesz już samodzielnie zarządzać wyspą.</t>
  </si>
  <si>
    <t xml:space="preserve">BUDYNKI V10 • po co są i co kosztują</t>
  </si>
  <si>
    <t xml:space="preserve">L to obecny własny poziom, N to nowy poziom. Koszty kolejki rosną o 10% i są zaokrąglane w górę. T to rzeczywisty transport od pierwszego odbioru do ostatniej dostawy; podany czas budowania nie zawiera samej dostawy.</t>
  </si>
  <si>
    <t xml:space="preserve">Budynek</t>
  </si>
  <si>
    <t xml:space="preserve">EN</t>
  </si>
  <si>
    <t xml:space="preserve">Po co jest</t>
  </si>
  <si>
    <t xml:space="preserve">Ludzie: start / limit</t>
  </si>
  <si>
    <t xml:space="preserve">Korzyść poziomu</t>
  </si>
  <si>
    <t xml:space="preserve">Koszt ulepszenia</t>
  </si>
  <si>
    <t xml:space="preserve">Sama budowa</t>
  </si>
  <si>
    <t xml:space="preserve">Ważna zasada</t>
  </si>
  <si>
    <t xml:space="preserve">Ratusz</t>
  </si>
  <si>
    <t xml:space="preserve">Town Hall</t>
  </si>
  <si>
    <t xml:space="preserve">Określa poziom wyspy, limit mieszkańców i granicę rozbudowy innych budynków.</t>
  </si>
  <si>
    <t xml:space="preserve">0</t>
  </si>
  <si>
    <t xml:space="preserve">24 × L mieszkańców; L budów + L kolejki</t>
  </si>
  <si>
    <t xml:space="preserve">500 × L każdego z 6 zasobów</t>
  </si>
  <si>
    <t xml:space="preserve">T</t>
  </si>
  <si>
    <t xml:space="preserve">Efekty u góry; zarządzanie budową tylko tutaj</t>
  </si>
  <si>
    <t xml:space="preserve">Dom</t>
  </si>
  <si>
    <t xml:space="preserve">House</t>
  </si>
  <si>
    <t xml:space="preserve">Zapewnia miejsca mieszkalne, wolne osoby do pracy i codzienną pulę szczęścia.</t>
  </si>
  <si>
    <t xml:space="preserve">24 × L łóżek; dzienna pula według populacji</t>
  </si>
  <si>
    <t xml:space="preserve">Zbiorcze zarządzanie pracą tylko tutaj; automat 23:58</t>
  </si>
  <si>
    <t xml:space="preserve">Farma</t>
  </si>
  <si>
    <t xml:space="preserve">Farm</t>
  </si>
  <si>
    <t xml:space="preserve">Produkuje zboże, które młyn przetwarza na żywność.</t>
  </si>
  <si>
    <t xml:space="preserve">0 / 12 × własny L</t>
  </si>
  <si>
    <t xml:space="preserve">20/24/26/28… szt./os./h; bufor 200L</t>
  </si>
  <si>
    <t xml:space="preserve">L × (72 drewna +72 kamienia +120 zboża)</t>
  </si>
  <si>
    <t xml:space="preserve">Osobne postępy; magazyn lokalny i centrala</t>
  </si>
  <si>
    <t xml:space="preserve">Młyn</t>
  </si>
  <si>
    <t xml:space="preserve">Windmill</t>
  </si>
  <si>
    <t xml:space="preserve">Przetwarza 2 zboża z centrali na 1 żywność dla mieszkańców.</t>
  </si>
  <si>
    <t xml:space="preserve">2L × (72 drewna +72 kamienia +120 żywności)</t>
  </si>
  <si>
    <t xml:space="preserve">Wejście pobierane przy gotowej sztuce</t>
  </si>
  <si>
    <t xml:space="preserve">Kamieniołom</t>
  </si>
  <si>
    <t xml:space="preserve">Quarry</t>
  </si>
  <si>
    <t xml:space="preserve">Wydobywa kamień do rozbudowy budynków i ulepszania ścieżek.</t>
  </si>
  <si>
    <t xml:space="preserve">2L × (72 drewna +192 kamienia)</t>
  </si>
  <si>
    <t xml:space="preserve">Suma kamienia konstrukcyjnego i własnego produktu</t>
  </si>
  <si>
    <t xml:space="preserve">Drwale</t>
  </si>
  <si>
    <t xml:space="preserve">Lumber Camp</t>
  </si>
  <si>
    <t xml:space="preserve">Dostarczają drewno do budowy i przetwarzania w tartaku.</t>
  </si>
  <si>
    <t xml:space="preserve">2L × (192 drewna +72 kamienia)</t>
  </si>
  <si>
    <t xml:space="preserve">Suma drewna konstrukcyjnego i własnego produktu</t>
  </si>
  <si>
    <t xml:space="preserve">Tartak</t>
  </si>
  <si>
    <t xml:space="preserve">Sawmill</t>
  </si>
  <si>
    <t xml:space="preserve">Przetwarza 2 drewna z centrali na 1 deskę do budowy.</t>
  </si>
  <si>
    <t xml:space="preserve">2L × (72 drewna +72 kamienia +120 desek)</t>
  </si>
  <si>
    <t xml:space="preserve">Magazyn</t>
  </si>
  <si>
    <t xml:space="preserve">Warehouse</t>
  </si>
  <si>
    <t xml:space="preserve">Przechowuje zasoby i wysyła tragarzy po produkcję oraz z materiałami na budowy.</t>
  </si>
  <si>
    <t xml:space="preserve">L1: 120/kurs; pojemność ×1,5 i ładunek ×1,1/poziom</t>
  </si>
  <si>
    <t xml:space="preserve">300 × L każdego z 6 zasobów</t>
  </si>
  <si>
    <t xml:space="preserve">Miejsce 50L dla żywności; fizyczne rezerwacje zajmują skład</t>
  </si>
  <si>
    <t xml:space="preserve">Market</t>
  </si>
  <si>
    <t xml:space="preserve">Wymienia towary na inne w tej samej grupie z marżą 10%, od Ratusza 2.</t>
  </si>
  <si>
    <t xml:space="preserve">L1: 1000 łącznie i 120/kurs, dalej odpowiednio ×1,5 i ×1,1</t>
  </si>
  <si>
    <t xml:space="preserve">10→9; 1 h blokady; własny transport; wymiana przy 0 obsady</t>
  </si>
  <si>
    <t xml:space="preserve">Harbor</t>
  </si>
  <si>
    <t xml:space="preserve">Kupuje i sprzedaje materiały za monety oraz obsługuje ich transport statkiem, od Ratusza 4.</t>
  </si>
  <si>
    <t xml:space="preserve">L1: 1000/rodzaj, 4000 łącznie, 120/kurs; potem limity ×1,5 i ładunek ×1,1</t>
  </si>
  <si>
    <t xml:space="preserve">400 × L każdego z 6 zasobów</t>
  </si>
  <si>
    <t xml:space="preserve">Paczki 100; 2 etapy transportu; osobne partie 24 h</t>
  </si>
  <si>
    <t xml:space="preserve">Chapel</t>
  </si>
  <si>
    <t xml:space="preserve">Udziela błogosławieństw zapewniających zasoby i czasowe szczęście.</t>
  </si>
  <si>
    <t xml:space="preserve">+10 × N pp oraz mechaniczne podatki ×2 na 10 h</t>
  </si>
  <si>
    <t xml:space="preserve">N × (180 monet +20 drewna +60 kamienia +10 desek)</t>
  </si>
  <si>
    <t xml:space="preserve">3T × (N−1)</t>
  </si>
  <si>
    <t xml:space="preserve">Darmowe użycie nie przesuwa blokady płatnego</t>
  </si>
  <si>
    <t xml:space="preserve">Lighthouse</t>
  </si>
  <si>
    <t xml:space="preserve">Nagradza odbudowę premiami i oferuje wizyty podnoszące szczęście mieszkańców.</t>
  </si>
  <si>
    <t xml:space="preserve">100% H i produkcja ×2 przez 24 h × N</t>
  </si>
  <si>
    <t xml:space="preserve">500 × max(1,L) każdego z 6 zasobów</t>
  </si>
  <si>
    <t xml:space="preserve">4T</t>
  </si>
  <si>
    <t xml:space="preserve">Poziom 0: Ruiny; własne nazwy 1–100; wizyty 4 h, osobiste 24 h, grupa +10 pp/6 h</t>
  </si>
  <si>
    <t xml:space="preserve">DO DECYZJI V10 • tylko to, co nadal odłożone</t>
  </si>
  <si>
    <t xml:space="preserve">Uzgodnione zasady i jawne ustawienia projektu nie wracają jako nowe pytania. Wysokości lojalności nie wymyślamy, a lokalne prototypy nie są prawdziwą integracją dostawcy.</t>
  </si>
  <si>
    <t xml:space="preserve">ID</t>
  </si>
  <si>
    <t xml:space="preserve">Temat</t>
  </si>
  <si>
    <t xml:space="preserve">Co już wiadomo / co pozostaje</t>
  </si>
  <si>
    <t xml:space="preserve">Status</t>
  </si>
  <si>
    <t xml:space="preserve">P01</t>
  </si>
  <si>
    <t xml:space="preserve">Wysokości premii lojalnościowych</t>
  </si>
  <si>
    <t xml:space="preserve">Seria kolejnych dni, reset po przerwie, koniec po 10 nagrodach lub przy Ratuszu 4 i północ czasu polskiego są ustalone. Brakuje kwot nagród; nie przyznajemy w ich miejsce monet ani skrzyń samouczka.</t>
  </si>
  <si>
    <t xml:space="preserve">NIEUSTALONE KWOTY</t>
  </si>
  <si>
    <t xml:space="preserve">P02</t>
  </si>
  <si>
    <t xml:space="preserve">Prawdziwe reklamy i nagrody reklamowe</t>
  </si>
  <si>
    <t xml:space="preserve">Nie podłączono odtwarzania i weryfikacji reklam. Docelowe dodatkowe czasy lub mnożniki po reklamie nadal wymagają osobnej konfiguracji i integracji.</t>
  </si>
  <si>
    <t xml:space="preserve">INTEGRACJA ODŁOŻONA</t>
  </si>
  <si>
    <t xml:space="preserve">P03</t>
  </si>
  <si>
    <t xml:space="preserve">Konta, płatności, publikacje i polecenia</t>
  </si>
  <si>
    <t xml:space="preserve">Formularze i lokalne reguły nie tworzą rzeczywistych kont, płatności ani postów. Serwerowe powiązanie profilu użytkownika z grą i weryfikacja publikacji/poleceń pozostają do wdrożenia.</t>
  </si>
  <si>
    <t xml:space="preserve">BACKEND / INTEGRACJE ODŁOŻONE</t>
  </si>
  <si>
    <t xml:space="preserve">P04</t>
  </si>
  <si>
    <t xml:space="preserve">Osobna aktywność modlitewna</t>
  </si>
  <si>
    <t xml:space="preserve">Nie ustalono odrębnej liczby miejsc, czasu ani efektów modlitwy. Obecne ręczne błogosławieństwa Kaplicy są niezależną, działającą mechaniką.</t>
  </si>
  <si>
    <t xml:space="preserve">ODŁOŻONE</t>
  </si>
  <si>
    <t xml:space="preserve">KALKULATOR V10 • jeden scenariusz</t>
  </si>
  <si>
    <t xml:space="preserve">Niebieskie pola można zmieniać. Wyniki są przykładami, a nie odczytem zapisu gry. Nowa baza produkcji i ładunku, koszt atrakcji i skrzynie odpowiadają bieżącym zasadom; krzywe trudności minigier pozostają jawną konfiguracją projektu.</t>
  </si>
  <si>
    <t xml:space="preserve">Obszar</t>
  </si>
  <si>
    <t xml:space="preserve">Parametr / wynik</t>
  </si>
  <si>
    <t xml:space="preserve">Wartość</t>
  </si>
  <si>
    <t xml:space="preserve">Jednostka</t>
  </si>
  <si>
    <t xml:space="preserve">Znaczenie</t>
  </si>
  <si>
    <t xml:space="preserve">Produkcja oraz transport</t>
  </si>
  <si>
    <t xml:space="preserve">Wejście</t>
  </si>
  <si>
    <t xml:space="preserve">Własny poziom producenta / tragarzy</t>
  </si>
  <si>
    <t xml:space="preserve">poziom</t>
  </si>
  <si>
    <t xml:space="preserve">Pełny poziom wszystkich dróg</t>
  </si>
  <si>
    <t xml:space="preserve">0…5</t>
  </si>
  <si>
    <t xml:space="preserve">Pracujący tragarze</t>
  </si>
  <si>
    <t xml:space="preserve">osób</t>
  </si>
  <si>
    <t xml:space="preserve">Wyżywienie</t>
  </si>
  <si>
    <t xml:space="preserve">1 lub 0,5</t>
  </si>
  <si>
    <t xml:space="preserve">Każdy z pięciu materiałów do przewozu</t>
  </si>
  <si>
    <t xml:space="preserve">szt.</t>
  </si>
  <si>
    <t xml:space="preserve">Każdy rodzaj wymaga osobnych kursów.</t>
  </si>
  <si>
    <t xml:space="preserve">Mnożnik samej fazy budowania</t>
  </si>
  <si>
    <t xml:space="preserve">×</t>
  </si>
  <si>
    <t xml:space="preserve">Zwykle 1; latarnia 4; kaplica 3 × (nowy poziom−1).</t>
  </si>
  <si>
    <t xml:space="preserve">Wynik</t>
  </si>
  <si>
    <t xml:space="preserve">Produkcja bazowa na osobę</t>
  </si>
  <si>
    <t xml:space="preserve">szt./godz.</t>
  </si>
  <si>
    <t xml:space="preserve">Mnożnik aktywnej gry</t>
  </si>
  <si>
    <t xml:space="preserve">1 lub 2</t>
  </si>
  <si>
    <t xml:space="preserve">Aktywna gra nie przyspiesza transportu.</t>
  </si>
  <si>
    <t xml:space="preserve">Mnożnik premii latarni</t>
  </si>
  <si>
    <t xml:space="preserve">Produkcja po premiach i głodzie</t>
  </si>
  <si>
    <t xml:space="preserve">szt./os./godz.</t>
  </si>
  <si>
    <t xml:space="preserve">Ładunek na kurs</t>
  </si>
  <si>
    <t xml:space="preserve">Kursy dla pięciu materiałów</t>
  </si>
  <si>
    <t xml:space="preserve">kursów</t>
  </si>
  <si>
    <t xml:space="preserve">Normalny transport bez innych zadań</t>
  </si>
  <si>
    <t xml:space="preserve">min</t>
  </si>
  <si>
    <t xml:space="preserve">Estymata; rzeczywisty T obejmuje przerwy.</t>
  </si>
  <si>
    <t xml:space="preserve">Sama budowa z tego T</t>
  </si>
  <si>
    <t xml:space="preserve">Transport i budowa</t>
  </si>
  <si>
    <t xml:space="preserve">Natychmiastowy transport: cena</t>
  </si>
  <si>
    <t xml:space="preserve">monet</t>
  </si>
  <si>
    <t xml:space="preserve">Dotyczy jednego wybranego etapu.</t>
  </si>
  <si>
    <t xml:space="preserve">Prognozy FIFO i Premium</t>
  </si>
  <si>
    <t xml:space="preserve">Miniony rzeczywisty T</t>
  </si>
  <si>
    <t xml:space="preserve">Normalna estymata reszty transportu</t>
  </si>
  <si>
    <t xml:space="preserve">Przy zerowej obsadzie: jeden hipotetyczny tragarz.</t>
  </si>
  <si>
    <t xml:space="preserve">Budowanie po dowozie Premium</t>
  </si>
  <si>
    <t xml:space="preserve">Fizycznie dostępny kamień</t>
  </si>
  <si>
    <t xml:space="preserve">Bazowy kamień każdego z dwóch planów</t>
  </si>
  <si>
    <t xml:space="preserve">Każdy plan po kolejce +10%</t>
  </si>
  <si>
    <t xml:space="preserve">Rezerwacja pierwszego planu</t>
  </si>
  <si>
    <t xml:space="preserve">Brak pierwszego planu</t>
  </si>
  <si>
    <t xml:space="preserve">Dopłata pierwszego planu</t>
  </si>
  <si>
    <t xml:space="preserve">Rezerwacja drugiego planu</t>
  </si>
  <si>
    <t xml:space="preserve">Brak drugiego planu</t>
  </si>
  <si>
    <t xml:space="preserve">Dopłata drugiego planu</t>
  </si>
  <si>
    <t xml:space="preserve">Obie dopłaty</t>
  </si>
  <si>
    <t xml:space="preserve">Ten sam kamień jest zastawiony tylko raz.</t>
  </si>
  <si>
    <t xml:space="preserve">Atrakcja • jedna na całej wyspie przez sześć godzin</t>
  </si>
  <si>
    <t xml:space="preserve">Cała populacja</t>
  </si>
  <si>
    <t xml:space="preserve">Utrwalony w ofercie zasięg</t>
  </si>
  <si>
    <t xml:space="preserve">% populacji</t>
  </si>
  <si>
    <t xml:space="preserve">Losowanie 1–50 przy utworzeniu oferty.</t>
  </si>
  <si>
    <t xml:space="preserve">Uprawnieni mieszkańcy</t>
  </si>
  <si>
    <t xml:space="preserve">Bez zamrożonych nowych osób i już szczęśliwych w 100%.</t>
  </si>
  <si>
    <t xml:space="preserve">Y z oferty</t>
  </si>
  <si>
    <t xml:space="preserve">pp</t>
  </si>
  <si>
    <t xml:space="preserve">Od 5 do 100.</t>
  </si>
  <si>
    <t xml:space="preserve">Numer zakupu tego rodzaju</t>
  </si>
  <si>
    <t xml:space="preserve">1…5</t>
  </si>
  <si>
    <t xml:space="preserve">Reset przyzwyczajenia po 24 h przerwy.</t>
  </si>
  <si>
    <t xml:space="preserve">Faktyczni odbiorcy</t>
  </si>
  <si>
    <t xml:space="preserve">Skuteczność</t>
  </si>
  <si>
    <t xml:space="preserve">udział</t>
  </si>
  <si>
    <t xml:space="preserve">Premia na odbiorcę</t>
  </si>
  <si>
    <t xml:space="preserve">Cena według sumy szczęścia</t>
  </si>
  <si>
    <t xml:space="preserve">Pozostały czas aktywnej atrakcji</t>
  </si>
  <si>
    <t xml:space="preserve">s</t>
  </si>
  <si>
    <t xml:space="preserve">Nowy zakup blokowany aż do końca 6 h efektu.</t>
  </si>
  <si>
    <t xml:space="preserve">Można uruchomić następną</t>
  </si>
  <si>
    <t xml:space="preserve">TAK/NIE</t>
  </si>
  <si>
    <t xml:space="preserve">Dodatkowych 30 min po końcu efektu nie ma.</t>
  </si>
  <si>
    <t xml:space="preserve">Nowe ekspedycje • nagroda maleje przed twardym końcem</t>
  </si>
  <si>
    <t xml:space="preserve">Poprzednia niewypłacona pula</t>
  </si>
  <si>
    <t xml:space="preserve">Czas bieżącej rundy</t>
  </si>
  <si>
    <t xml:space="preserve">Twardy limit rundy</t>
  </si>
  <si>
    <t xml:space="preserve">Pierwszy labirynt 180 s; kolejne rundy zależą od krzywej.</t>
  </si>
  <si>
    <t xml:space="preserve">Początek spadku nagrody</t>
  </si>
  <si>
    <t xml:space="preserve">Pierwszy labirynt: 120 s.</t>
  </si>
  <si>
    <t xml:space="preserve">Nagroda nowej wygranej</t>
  </si>
  <si>
    <t xml:space="preserve">−1 za pełne 1/12 limitu po granicy; przy deadline przegrana.</t>
  </si>
  <si>
    <t xml:space="preserve">Pula po wygranej lub przegranej</t>
  </si>
  <si>
    <t xml:space="preserve">Po przegranej przepada cała niewypłacona seria.</t>
  </si>
  <si>
    <t xml:space="preserve">Numer rundy labiryntu</t>
  </si>
  <si>
    <t xml:space="preserve">runda</t>
  </si>
  <si>
    <t xml:space="preserve">PROJEKT</t>
  </si>
  <si>
    <t xml:space="preserve">Limit kolejnego labiryntu</t>
  </si>
  <si>
    <t xml:space="preserve">Krzywa konfiguracji trudności; nie mniej niż 60 s.</t>
  </si>
  <si>
    <t xml:space="preserve">Liczba kulek</t>
  </si>
  <si>
    <t xml:space="preserve">kulek</t>
  </si>
  <si>
    <t xml:space="preserve">Rozmiar wzoru labiryntu</t>
  </si>
  <si>
    <t xml:space="preserve">pól / bok</t>
  </si>
  <si>
    <t xml:space="preserve">Samouczek • skrzynie i podwojenie za udostępnienie</t>
  </si>
  <si>
    <t xml:space="preserve">Liczba akcji samouczka</t>
  </si>
  <si>
    <t xml:space="preserve">akcji</t>
  </si>
  <si>
    <t xml:space="preserve">Bez czekania na kolejne dni.</t>
  </si>
  <si>
    <t xml:space="preserve">Wylosowana ilość skrzyni</t>
  </si>
  <si>
    <t xml:space="preserve">Losowanie 100–300; wynik zapisywany raz.</t>
  </si>
  <si>
    <t xml:space="preserve">Udostępnienie skrzyni</t>
  </si>
  <si>
    <t xml:space="preserve">0 lub1</t>
  </si>
  <si>
    <t xml:space="preserve">Lokalny prototyp; nie potwierdza posta naFacebooku.</t>
  </si>
  <si>
    <t xml:space="preserve">Łącznie pięć materiałów ze skrzyni</t>
  </si>
  <si>
    <t xml:space="preserve">Wszystkie skrzynie — minimum</t>
  </si>
  <si>
    <t xml:space="preserve">Przed opcjonalnymi premiamiShare.</t>
  </si>
  <si>
    <t xml:space="preserve">Wszystkie skrzynie — maksimum</t>
  </si>
  <si>
    <t xml:space="preserve">Średnia suma bez Share</t>
  </si>
  <si>
    <t xml:space="preserve">Wartość oczekiwana, bez jednorazowej pomocy budowy.</t>
  </si>
  <si>
    <t xml:space="preserve">Średnia suma po wszystkich Share</t>
  </si>
  <si>
    <t xml:space="preserve">Każda skrzynia podwajana najwyżej raz.</t>
  </si>
  <si>
    <t xml:space="preserve">Ścieżki, ludzie, punkty i centrala</t>
  </si>
  <si>
    <t xml:space="preserve">Odcinki jednego poziomu ścieżek</t>
  </si>
  <si>
    <t xml:space="preserve">odcinków</t>
  </si>
  <si>
    <t xml:space="preserve">Kamień na pełny poziom</t>
  </si>
  <si>
    <t xml:space="preserve">kamienia</t>
  </si>
  <si>
    <t xml:space="preserve">Kamień na wszystkie pięć poziomów</t>
  </si>
  <si>
    <t xml:space="preserve">Obecny poziom Ratusza</t>
  </si>
  <si>
    <t xml:space="preserve">ZAŁOŻENIE</t>
  </si>
  <si>
    <t xml:space="preserve">Cena osoby — każdego zasobu</t>
  </si>
  <si>
    <t xml:space="preserve">każdego z 6</t>
  </si>
  <si>
    <t xml:space="preserve">Obowiązują wolne łóżko i limit populacji.</t>
  </si>
  <si>
    <t xml:space="preserve">Monety na migawce pełnej godziny</t>
  </si>
  <si>
    <t xml:space="preserve">Punkty</t>
  </si>
  <si>
    <t xml:space="preserve">punktów</t>
  </si>
  <si>
    <t xml:space="preserve">Poziom Magazynu</t>
  </si>
  <si>
    <t xml:space="preserve">Pojemność każdego materiału</t>
  </si>
  <si>
    <t xml:space="preserve">Pojemność łączna</t>
  </si>
  <si>
    <t xml:space="preserve">Miejsce wyłącznie na żywność</t>
  </si>
  <si>
    <t xml:space="preserve">Maksimum innych materiałów</t>
  </si>
  <si>
    <t xml:space="preserve">Numer etapu dopasowywania</t>
  </si>
  <si>
    <t xml:space="preserve">etap</t>
  </si>
  <si>
    <t xml:space="preserve">Większa plansza i dłuższy limit; później przemieszczanie.</t>
  </si>
  <si>
    <t xml:space="preserve">Wszystkie kafelki</t>
  </si>
  <si>
    <t xml:space="preserve">kafelków</t>
  </si>
  <si>
    <t xml:space="preserve">Rodzaje symboli</t>
  </si>
  <si>
    <t xml:space="preserve">rodzajów</t>
  </si>
  <si>
    <t xml:space="preserve">Każdy występuje dokładnie trzy razy.</t>
  </si>
  <si>
    <t xml:space="preserve">Limit rundy</t>
  </si>
  <si>
    <t xml:space="preserve">Krzywa projektu; końcowe etapy najwyżej 15 min.</t>
  </si>
  <si>
    <t xml:space="preserve">Odstęp utraty jednej monety</t>
  </si>
  <si>
    <t xml:space="preserve">Ruch zakrytych pól co</t>
  </si>
  <si>
    <t xml:space="preserve">0 oznacza brak ruchu; odkryte i dopasowane nie są przesuwane.</t>
  </si>
  <si>
    <t xml:space="preserve">Trójki do usunięcia</t>
  </si>
  <si>
    <t xml:space="preserve">trójek</t>
  </si>
  <si>
    <t xml:space="preserve">Uwaga</t>
  </si>
  <si>
    <t xml:space="preserve">Lojalność — wysokości nagród</t>
  </si>
  <si>
    <t xml:space="preserve">Nieustalone</t>
  </si>
  <si>
    <t xml:space="preserve">Seria i limity są uzgodnione; arkusz nie przyznaje fikcyjnych kwot.</t>
  </si>
  <si>
    <t xml:space="preserve">Prawdziwe konta, reklamy i publikacje</t>
  </si>
  <si>
    <t xml:space="preserve">Niepodłączone</t>
  </si>
  <si>
    <t xml:space="preserve">Lokalne przyciski nie potwierdzają zewnętrznych zdarzeń.</t>
  </si>
  <si>
    <t xml:space="preserve">HARBORLIGHT9 • jak działa gra</t>
  </si>
  <si>
    <t xml:space="preserve">Czytaj tylko cztery widoczne zakładki. Każda mechanika ma najwyżej trzy zdania; 45 zakładek wersji 8 zachowano jako ukryte archiwum, którego nie trzeba czytać. Zasady V9 i nowsza rozmowa mają pierwszeństwo; stan testów i publikacji gry znajduje się w dokumentacji repozytorium.</t>
  </si>
  <si>
    <t xml:space="preserve">Poziomy 1, 2, 3, 4 dają na osobę 10, 12, 13, 14 sztuk/h, a dalej +1 sztukę/h na poziom. Każda osoba ma własny postęp gotowej sztuki. Zwolnienie kasuje jej niedokończoną sztukę.</t>
  </si>
  <si>
    <t xml:space="preserve">O północy pojawia się 5 ofert z katalogu 20 dekoracji i wydarzeń. Atrakcja daje Y pp na 6 h osobom o najniższym uprawnionym H, najwyżej tylu, jaki jest poziom Ratusza; cena wynosi Y × faktyczna liczba odbiorców. Y jest losową liczbą całkowitą 5–100, a brak odbiorców blokuje zakup.</t>
  </si>
  <si>
    <t xml:space="preserve">V9-5,6,8</t>
  </si>
  <si>
    <t xml:space="preserve">Każdy rodzaj atrakcji ma osobny ciąg skuteczności: 100%, 75%, 50%, 25%, 0%. Po 24 h bez zakupu tego rodzaju wraca pełna skuteczność, a przy 0% nie pobieramy opłaty. Każdy zakup ma własne 6 h, a efekty sumują się przed ograniczeniem H.</t>
  </si>
  <si>
    <t xml:space="preserve">V9-7,8 + V8</t>
  </si>
  <si>
    <t xml:space="preserve">Bazowy pełny kurs trwa 5 min i zabiera jeden rodzaj, do 60 sztuk na poziomie miejsca pracy 1. Trzy trwałe priorytety towarów/Construction dzielą kursy 8+2 losowe, 5+3+2 losowe albo 5/3/2, z ochroną ratunkowej żywności. Construction wysyła najpierw wszystkie ładunki najstarszej aktywnej budowy, a potem następnej.</t>
  </si>
  <si>
    <t xml:space="preserve">V9-20 + V8</t>
  </si>
  <si>
    <t xml:space="preserve">Nowa bezpłatna seria zaczyna od pustej puli; każda terminowa wygrana dodaje 50 monet. Dalej ryzykujesz całą niewypłaconą pulę, a przegrana ją zeruje. Wypłata kończy serię; wcześniej wypłaconych monet nie tracisz.</t>
  </si>
  <si>
    <t xml:space="preserve">V9-21,22,23,31,58</t>
  </si>
  <si>
    <t xml:space="preserve">Zegar działa także w tle i podczas pytania o obecność; po limicie potencjalna pula maleje o 10 monet za pełną sekundę spóźnienia. Po 5 min bez aktywności jest pytanie i 60 s na odpowiedź, po czym seria przegrywa. Jedna seria blokuje wyspę do wypłaty albo przegranej; dokładne plansze i czasy to parametry projektu.</t>
  </si>
  <si>
    <t xml:space="preserve">V9-24…30,58</t>
  </si>
  <si>
    <t xml:space="preserve">25 mikrozadań pojawia się po 5 w pierwszych 5 aktywnych dniach gry; postęp i odbiór nagród są trwałe. Uczą obsady, jedzenia, przewozu, szczęścia, budów i pozostałych podstaw. Kwoty dobrano projektowo: łącznie 1000 monet i 400 materiałów, niezależnie od nieustalonej lojalności.</t>
  </si>
  <si>
    <t xml:space="preserve">F07 / jawny dobór projektowy</t>
  </si>
  <si>
    <t xml:space="preserve">Rzeczywista akcja w widocznej aktywnej karcie odnawia bonus produkcji i podatków ×2 na 5 minut. Czas się nie sumuje; z latarnią produkcja może wynosić ×4, z kaplicą podatki ×4. Bonus nie przyspiesza transportu, a informacje podatkowe pozostają ukryte w interfejsie.</t>
  </si>
  <si>
    <t xml:space="preserve">F08 / jawne założenie przed GO</t>
  </si>
  <si>
    <t xml:space="preserve">Nie ma lewego paska ani pięciu materiałów w nagłówku; są pracujący, ETA nowej osoby i Punkty. Kafelki budynków mają ustaloną kolejność i stany osób, a zasoby pokazują lokalny / centralny (wszystkie przewozy w toku). Ustawienia obejmują EN/PL, filtry powiadomień oraz animacje, a rozwijane szczegóły efektu są pod i.</t>
  </si>
  <si>
    <t xml:space="preserve">F01…F06,F09…F15,F17</t>
  </si>
  <si>
    <t xml:space="preserve">BUDYNKI • jedna czytelna tabela</t>
  </si>
  <si>
    <t xml:space="preserve">L oznacza obecny własny poziom budynku, N jego nowy poziom. Koszt kolejki: każdy składnik +10%, zaokrąglony w górę. T to zakończony rzeczywisty transport od pierwszego odbioru do ostatniej dostawy; kolumna budowania nie zawiera samego transportu. Wszystkie ceny bazowe pozostają zgodne z V8, z osobnymi nowymi zasadami usług i rezerwacji.</t>
  </si>
  <si>
    <t xml:space="preserve">Co daje poziom</t>
  </si>
  <si>
    <t xml:space="preserve">Najważniejsza uwaga</t>
  </si>
  <si>
    <t xml:space="preserve">Poziom gry i limit innych budynków</t>
  </si>
  <si>
    <t xml:space="preserve">Łóżka, mieszkańcy i pula szczęścia</t>
  </si>
  <si>
    <t xml:space="preserve">Zboże</t>
  </si>
  <si>
    <t xml:space="preserve">10/12/13/14… szt./os./h; bufor 200L</t>
  </si>
  <si>
    <t xml:space="preserve">2 zboża → 1 żywność</t>
  </si>
  <si>
    <t xml:space="preserve">Wydajność i bufor własnego poziomu</t>
  </si>
  <si>
    <t xml:space="preserve">Kamień</t>
  </si>
  <si>
    <t xml:space="preserve">Drewno</t>
  </si>
  <si>
    <t xml:space="preserve">2 drewna → 1 deska</t>
  </si>
  <si>
    <t xml:space="preserve">Centrala i kursy produkcji/budów</t>
  </si>
  <si>
    <t xml:space="preserve">Pojemność ×1,5; ładunek ×1,1/poziom</t>
  </si>
  <si>
    <t xml:space="preserve">Miejsce 50L dla Food; fizyczne rezerwacje zajmują skład</t>
  </si>
  <si>
    <t xml:space="preserve">Barter w 2 grupach, od Ratusza 2</t>
  </si>
  <si>
    <t xml:space="preserve">1000 łącznie na L1, dalej ×1,5</t>
  </si>
  <si>
    <t xml:space="preserve">Handel monetowy od Ratusza 4</t>
  </si>
  <si>
    <t xml:space="preserve">1000 na rodzaj /4000 łącznie na L1, dalej ×1,5</t>
  </si>
  <si>
    <t xml:space="preserve">Premia rozbudowy i błogosławieństwa</t>
  </si>
  <si>
    <t xml:space="preserve">Premia rozbudowy, wizyty i zadania</t>
  </si>
  <si>
    <t xml:space="preserve">Wizyty 4 h, osobiste 24 h, grupa +10 pp/6 h</t>
  </si>
  <si>
    <t xml:space="preserve">DO DECYZJI • tylko rzeczy pozostawione na później</t>
  </si>
  <si>
    <t xml:space="preserve">Wszystkie 58 decyzji logicznych z rozmowy są rozstrzygnięte i zachowane w ukrytej zakładce Decyzje v9. Poniżej nie wracają stare pytania ani rozstrzygnięte konflikty. Ogłoszone przed GO założenia wdrożeniowe są jawnie opisane, a nie przedstawiane jako nieustalone reguły.</t>
  </si>
  <si>
    <t xml:space="preserve">Co pozostało</t>
  </si>
  <si>
    <t xml:space="preserve">Co już wiadomo / granica realizacji</t>
  </si>
  <si>
    <t xml:space="preserve">Docelowe plansze i limity czasu minigier; krzywa prototypu musi być jawnie oznaczona jako projektowa.</t>
  </si>
  <si>
    <t xml:space="preserve">Reguły puli i potrąceń są zatwierdzone; krzywa czasu 180/(1+0,1×(runda−1)) jest wyłącznie konfiguracją prototypu.</t>
  </si>
  <si>
    <t xml:space="preserve">JAWNIE NA PÓŹNIEJ</t>
  </si>
  <si>
    <t xml:space="preserve">Zewnętrzne reklamy, dodawanie czasu/podwajanie, hasło i limity.</t>
  </si>
  <si>
    <t xml:space="preserve">Nie podłączono odtwarzania ani weryfikacji reklam; nie pokazujemy fikcyjnego potwierdzenia obejrzenia.</t>
  </si>
  <si>
    <t xml:space="preserve">Wysokości premii lojalnościowych i odbiór po konfiguracji.</t>
  </si>
  <si>
    <t xml:space="preserve">Zasady serii i końca programu są zatwierdzone; brak kwot blokuje wypłatę, nie liczenie dni.</t>
  </si>
  <si>
    <t xml:space="preserve">Osobna aktywność modlitewna.</t>
  </si>
  <si>
    <t xml:space="preserve">Nie ustalono czasu, miejsc ani efektu osobnej modlitwy; ręczne błogosławieństwo kaplicy jest gotową odrębną regułą.</t>
  </si>
  <si>
    <t xml:space="preserve">P05</t>
  </si>
  <si>
    <t xml:space="preserve">Prawdziwe konta/OAuth, płatności i serwerowa weryfikacja publikacji/poleceń.</t>
  </si>
  <si>
    <t xml:space="preserve">Reguły i czyste punkty integracji nie są prawdziwymi kontami, publikacjami, poleceniami ani transakcjami.</t>
  </si>
  <si>
    <t xml:space="preserve">KALKULATOR • jeden scenariusz zamiast wielu tabel</t>
  </si>
  <si>
    <t xml:space="preserve">Niebieskie wartości możesz zmieniać. To przykłady, nie odczyt zapisu gry; założenia są podane przy wynikach. Krzywa czasu ekspedycji oraz kwoty samouczka są jawnie projektowe. Koszty transportu i budowy nie obejmują wcześniejszego zbierania zasobów ani czekania w kolejce.</t>
  </si>
  <si>
    <t xml:space="preserve">Własny poziom magazynu</t>
  </si>
  <si>
    <t xml:space="preserve">Scenariusz edytowalny</t>
  </si>
  <si>
    <t xml:space="preserve">Ukończony poziom dróg</t>
  </si>
  <si>
    <t xml:space="preserve">Dostępni magazynierzy</t>
  </si>
  <si>
    <t xml:space="preserve">1 albo 0,5</t>
  </si>
  <si>
    <t xml:space="preserve">Drewno do przewozu</t>
  </si>
  <si>
    <t xml:space="preserve">Kamień do przewozu</t>
  </si>
  <si>
    <t xml:space="preserve">Zboże do przewozu</t>
  </si>
  <si>
    <t xml:space="preserve">Żywność do przewozu</t>
  </si>
  <si>
    <t xml:space="preserve">Deski do przewozu</t>
  </si>
  <si>
    <t xml:space="preserve">Mnożnik fazy budowania</t>
  </si>
  <si>
    <t xml:space="preserve">1 /4 /3×(N−1)</t>
  </si>
  <si>
    <t xml:space="preserve">Własny poziom i dodatkowa pojemność dróg</t>
  </si>
  <si>
    <t xml:space="preserve">Potrzebne kursy</t>
  </si>
  <si>
    <t xml:space="preserve">Każdy rodzaj osobno; także ostatni niepełny</t>
  </si>
  <si>
    <t xml:space="preserve">To estymata; rzeczywisty T obejmuje przerwy i zmiany obsady</t>
  </si>
  <si>
    <t xml:space="preserve">Transport + budowa</t>
  </si>
  <si>
    <t xml:space="preserve">Instant transport: cena</t>
  </si>
  <si>
    <t xml:space="preserve">Wyłącznie wskazany etap dostawy</t>
  </si>
  <si>
    <t xml:space="preserve">Premium dowóz w trakcie transportu</t>
  </si>
  <si>
    <t xml:space="preserve">Rzeczywisty miniony T</t>
  </si>
  <si>
    <t xml:space="preserve">Od pierwszego odbioru, także przerwy</t>
  </si>
  <si>
    <t xml:space="preserve">Normalna estymata reszty</t>
  </si>
  <si>
    <t xml:space="preserve">Przy 0 osób użyj jednego hipotetycznego tragarza</t>
  </si>
  <si>
    <t xml:space="preserve">Zamrożona sama budowa</t>
  </si>
  <si>
    <t xml:space="preserve">Dostawa jest natychmiastowa; budowanie nie zeruje się</t>
  </si>
  <si>
    <t xml:space="preserve">Prognozy FIFO — ten sam kamień tylko raz</t>
  </si>
  <si>
    <t xml:space="preserve">Kamień fizycznie dostępny</t>
  </si>
  <si>
    <t xml:space="preserve">Przed pierwszym planem</t>
  </si>
  <si>
    <t xml:space="preserve">Bazowy koszt każdego planu</t>
  </si>
  <si>
    <t xml:space="preserve">Dwa kolejne plany tego samego materiału</t>
  </si>
  <si>
    <t xml:space="preserve">Nadal zajmuje miejsce do odbioru</t>
  </si>
  <si>
    <t xml:space="preserve">Dopłata pierwszego</t>
  </si>
  <si>
    <t xml:space="preserve">Rezerwacja drugiego</t>
  </si>
  <si>
    <t xml:space="preserve">Brak drugiego</t>
  </si>
  <si>
    <t xml:space="preserve">Dopłata drugiego</t>
  </si>
  <si>
    <t xml:space="preserve">Osobne zakupy zaokrąglane osobno;17+42=59</t>
  </si>
  <si>
    <t xml:space="preserve">Atrakcja: rzeczywiści odbiorcy</t>
  </si>
  <si>
    <t xml:space="preserve">Poziom Ratusza</t>
  </si>
  <si>
    <t xml:space="preserve">Maksymalna liczba odbiorców</t>
  </si>
  <si>
    <t xml:space="preserve">Uprawnieni odbiorcy</t>
  </si>
  <si>
    <t xml:space="preserve">Bez100%H i bez zamrożonych nowych osób</t>
  </si>
  <si>
    <t xml:space="preserve">Wylosowane Y</t>
  </si>
  <si>
    <t xml:space="preserve">5…100</t>
  </si>
  <si>
    <t xml:space="preserve">Zapisane w ofercie</t>
  </si>
  <si>
    <t xml:space="preserve">Kolejny zakup tego rodzaju</t>
  </si>
  <si>
    <t xml:space="preserve">Reset po 24 h bez zakupu tego rodzaju</t>
  </si>
  <si>
    <t xml:space="preserve">Pobierana cena</t>
  </si>
  <si>
    <t xml:space="preserve">Przy 0 odbiorców lub 0 skuteczności zakup zablokowany</t>
  </si>
  <si>
    <t xml:space="preserve">Dokładna premia na osobę</t>
  </si>
  <si>
    <t xml:space="preserve">Na 6 h; końcowe osobiste H nadal ograniczone do ±100</t>
  </si>
  <si>
    <t xml:space="preserve">Ekspedycja: +50 monet, nie podwojenie</t>
  </si>
  <si>
    <t xml:space="preserve">Faktyczna poprzednia pula</t>
  </si>
  <si>
    <t xml:space="preserve">Po wcześniejszych potrąceniach</t>
  </si>
  <si>
    <t xml:space="preserve">Spóźnienie pełnych sekund</t>
  </si>
  <si>
    <t xml:space="preserve">Po końcu limitu rundy</t>
  </si>
  <si>
    <t xml:space="preserve">Potencjalna pula kolejnej wygranej</t>
  </si>
  <si>
    <t xml:space="preserve">Pula po potrąceniu</t>
  </si>
  <si>
    <t xml:space="preserve">Przy 0 seria przegrywa</t>
  </si>
  <si>
    <t xml:space="preserve">Numer rundy do krzywej</t>
  </si>
  <si>
    <t xml:space="preserve">Krzywa docelowa pozostaje na później</t>
  </si>
  <si>
    <t xml:space="preserve">Przykładowy limit prototypu</t>
  </si>
  <si>
    <t xml:space="preserve">KONFIGURACJA, nie zatwierdzona docelowa trudność</t>
  </si>
  <si>
    <t xml:space="preserve">Ścieżki i kupno osoby</t>
  </si>
  <si>
    <t xml:space="preserve">Liczba odcinków poziomu</t>
  </si>
  <si>
    <t xml:space="preserve">Maksimum 100; kolejny poziom po pełnej setce</t>
  </si>
  <si>
    <t xml:space="preserve">Kamień na ukończenie poziomu</t>
  </si>
  <si>
    <t xml:space="preserve">Wszystkie pięć poziomów</t>
  </si>
  <si>
    <t xml:space="preserve">Ogłoszone założenie kosztu jednej osoby</t>
  </si>
  <si>
    <t xml:space="preserve">Cena jednej osoby — każdego zasobu</t>
  </si>
  <si>
    <t xml:space="preserve">Pełny koszt najbliższego Ratusza; limity łóżek i populacji</t>
  </si>
  <si>
    <t xml:space="preserve">Samouczek i Punkty</t>
  </si>
  <si>
    <t xml:space="preserve">Łączne monety 25 lekcji</t>
  </si>
  <si>
    <t xml:space="preserve">Kwoty dobrane projektowo; nie są nagrodami lojalności</t>
  </si>
  <si>
    <t xml:space="preserve">Łączne materiały 25 lekcji</t>
  </si>
  <si>
    <t xml:space="preserve">Suma różnych materiałów; bez monet</t>
  </si>
  <si>
    <t xml:space="preserve">Monety w chwili pełnej godziny</t>
  </si>
  <si>
    <t xml:space="preserve">Migawka nie zmienia się po każdej transakcji</t>
  </si>
  <si>
    <t xml:space="preserve">Punkty z migawki</t>
  </si>
  <si>
    <t xml:space="preserve">Miejsce w centrali</t>
  </si>
  <si>
    <t xml:space="preserve">Limit na rodzaj i łącznie rosną ×1,5</t>
  </si>
  <si>
    <t xml:space="preserve">Limit na materiał</t>
  </si>
  <si>
    <t xml:space="preserve">Limit łączny</t>
  </si>
  <si>
    <t xml:space="preserve">Miejsce wyłącznie na Food</t>
  </si>
  <si>
    <t xml:space="preserve">Nie mogą go zajmować inne towary, zwroty ani nagrody</t>
  </si>
  <si>
    <t xml:space="preserve">Maksimum pozostałych materiałów</t>
  </si>
  <si>
    <t xml:space="preserve">Fizyczne rezerwacje do odbioru nadal zajmują tę przestrzeń</t>
  </si>
  <si>
    <t xml:space="preserve">Prawdziwe płatności i integracje</t>
  </si>
  <si>
    <t xml:space="preserve">Kalkulator nie tworzy kont, transakcji ani zewnętrznych publikacji</t>
  </si>
  <si>
    <t xml:space="preserve">HARBORLIGHT V8 • pełne zasady i zmiany interfejsu</t>
  </si>
  <si>
    <t xml:space="preserve">Źródło: niezmieniony HARBORLIGHT7-zasady.xlsx, 17 decyzji D01–D17 oraz WSZYSTKIE późniejsze zaakceptowane zmiany frontendu i gospodarki. Nowe arkusze: Zmiany v8, Frontend v8, Atrakcje, Atrakcje - kalkulator, Sciezki, Sciezki - transport, Efekty i notyfikacje, Sprawdzenia v8. Archiwalne źródła i 48 komentarzy użytkownika zachowano. Nowsze decyzje w Zmiany v8 mają pierwszeństwo.</t>
  </si>
  <si>
    <t xml:space="preserve">Co zmieniono</t>
  </si>
  <si>
    <t xml:space="preserve">Gdzie sprawdzić</t>
  </si>
  <si>
    <t xml:space="preserve">Główna tabela</t>
  </si>
  <si>
    <t xml:space="preserve">12 budynków + asset Człowiek; własne bufory producentów, dotychczasowe limity pracy i najnowsze widoki bez podatków.</t>
  </si>
  <si>
    <t xml:space="preserve">Budynki</t>
  </si>
  <si>
    <t xml:space="preserve">Czasy</t>
  </si>
  <si>
    <t xml:space="preserve">Pełny bazowy kurs 5 min; ścieżki przyspieszają kursy i od poziomu 3 zwiększają ładunek. Budynki 2T; latarnia 5T; kaplica 4T/7T/10T.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</si>
  <si>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</si>
  <si>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</si>
  <si>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</si>
  <si>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</si>
  <si>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</si>
  <si>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Limit 12 × własny poziom, produkcja 10/12/13/14…, 5 min do pracy. Podatki naliczane bez zmian, ale informacja o nich usunięta z UI.</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</si>
  <si>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</si>
  <si>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</si>
  <si>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</si>
  <si>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</si>
  <si>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Front usunąć znaczki czasu </t>
  </si>
  <si>
    <t xml:space="preserve">Koszty</t>
  </si>
  <si>
    <t xml:space="preserve">Magazyn/Targ: 300 L każdego zasobu; Port: 400 L; Ratusz/Dom: 500 L; Latarnia: 500 × max(1, L).</t>
  </si>
  <si>
    <t xml:space="preserve">Parametry / Czas budowy</t>
  </si>
  <si>
    <t xml:space="preserve">Transport</t>
  </si>
  <si>
    <t xml:space="preserve">Do trzech trwałych numerowanych priorytetów, w tym Construction. Podział kursów 8/2 losowe, 5/3/2 losowe lub 5/3/2. Ratunkowe Food zachowuje ochronę.</t>
  </si>
  <si>
    <t xml:space="preserve">Transport i priorytety / Czlowiek. Ratunkowy próg Food oraz rezerwa 50 × poziom magazynu są potwierdzone w V5.</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</si>
  <si>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</si>
  <si>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</si>
  <si>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</si>
  <si>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</si>
  <si>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</si>
  <si>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</si>
  <si>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</si>
  <si>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Płatne błogosławieństwo: 100 × poziom kaplicy monet; +50 każdego zasobu i +20 pp na 1 h. Kolejne płatne użycie 4 h od KOŃCA efektu: 12:00–13:00 → następne 17:00. Nie można nakładać aktywnych błogosławieństw. Premie od powrotu: uczestnik 100% na 24 h i blokada ponownej wizyty przez te same 24 h; każda osobno wysłana grupa daje populacji +10 pp przez 6 h. Premie grup sumują się w czasie nakładania.</t>
  </si>
  <si>
    <t xml:space="preserve">Czlowiek / Blogoslawienstwa / Decyzje v7 D01–D02, D15.</t>
  </si>
  <si>
    <t xml:space="preserve">Premium</t>
  </si>
  <si>
    <t xml:space="preserve">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</si>
  <si>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Premium / trzy kalkulatory / Planowanie Premium.</t>
  </si>
  <si>
    <t xml:space="preserve">Front w każdej bnudowli możliwość skrócenia CZASU budowy z kosztem oraz możliwość zakupu budyunku z kosztem </t>
  </si>
  <si>
    <t xml:space="preserve">Ludzie i ranking</t>
  </si>
  <si>
    <t xml:space="preserve">Najpierw dom i ludzie w drodze; potem największa załoga. Remis: port → targ → tartak → kamieniołom → drwale → farma → młyn → magazyn. Zwiedzający i uczestnicy modlitwy chronieni; jeżeli brak osoby uprawnionej, odejście nie zachodzi. Minimum 6. Ranking = Ratusz × monety, aktualizowany co pełną godzinę.</t>
  </si>
  <si>
    <t xml:space="preserve">Czlowiek / Populacja i szczescie.</t>
  </si>
  <si>
    <t xml:space="preserve">tu nie ma konfliktu opisałem już zabieraz najpierw z domu, później z miejsca gdzie jesty najwiecej w przypadku remisu kolejność, port, bazar,  tartak, kamieniołom drwal, farma młyn transport, musisz kreatywnie chronić produkcji I transportu żywności </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</si>
  <si>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</si>
  <si>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</si>
  <si>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</si>
  <si>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</si>
  <si>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D01–D17 zamknięte. Na później: integracje kont/płatności, social, reklamy, docelowy balans ekspedycji, osobna modlitwa i wartości nagród lojalności.</t>
  </si>
  <si>
    <t xml:space="preserve">Decyzje v7 / Na pozniej.</t>
  </si>
  <si>
    <t xml:space="preserve">Nowe pomysły z repozytorium</t>
  </si>
  <si>
    <t xml:space="preserve">Ekspedycje i wyzwania latarni otrzymały nowe reguły; sterowanie labiryntem/piłeczką pozostaje do opisania.</t>
  </si>
  <si>
    <t xml:space="preserve">Zadania latarni / Ekspedycje / Zrodlo v3.</t>
  </si>
  <si>
    <t xml:space="preserve">Zawsze 3 oferty, tylko 1 aktywne zadanie. Podświetlony postęp każdego produktu w obu widokach; pozostałe wyszarzone. Po sukcesie fajerwerki, wibracja telefonu i opcjonalny Share on Facebook za 500 monet.</t>
  </si>
  <si>
    <t xml:space="preserve">Zadania latarni / Zadania przyklady / Zadania - zegary / Narracje latarni.</t>
  </si>
  <si>
    <t xml:space="preserve">Ekspedycje</t>
  </si>
  <si>
    <t xml:space="preserve">50 monet po pierwszym poziomie; każda dalsza wygrana podwaja pulę, a przegrana ją zeruje. Dodatkowe ruchy/czas: monety lub reklama ≤30 s.</t>
  </si>
  <si>
    <t xml:space="preserve">Ekspedycje / Ekspedycje - poziomy.</t>
  </si>
  <si>
    <t xml:space="preserve">Social i polecenia</t>
  </si>
  <si>
    <t xml:space="preserve">Nagrody społecznościowe: 1000/500 monet; polecenie: 1000 monet oraz 500 wszystkiego w 3. aktywnym dniu; 1000 monet za każdy 3. post na FB.</t>
  </si>
  <si>
    <t xml:space="preserve">Social i polecenia / Platformy.</t>
  </si>
  <si>
    <t xml:space="preserve">Balans i niejasności</t>
  </si>
  <si>
    <t xml:space="preserve">Nagrody skalowane od L3 i przechowywane przy braku miejsca; minimum przyspieszenia 5 monet; ekspedycje podwajają pulę. Duże zadania nadal mogą wymagać wcześniejszych zapasów.</t>
  </si>
  <si>
    <t xml:space="preserve">Bilans V3; zamknięte kwestie oznaczono wynikiem.</t>
  </si>
  <si>
    <t xml:space="preserve">Nowe koszty V5</t>
  </si>
  <si>
    <t xml:space="preserve">Młyn, drwale, tartak, kamieniołom: koszt ×2; farma bez zmian. Czasy i kolejka +10% przeliczone.</t>
  </si>
  <si>
    <t xml:space="preserve">Budynki / Czas budowy</t>
  </si>
  <si>
    <t xml:space="preserve">Wymaganie interfejsu</t>
  </si>
  <si>
    <t xml:space="preserve">Angielskie etykiety liczb, statusy, ETA transportu i budowy; bez podatków; Resources = zapas lokalny / centralny; zarządzanie budową tylko ratusz, pracownikami tylko dom.</t>
  </si>
  <si>
    <t xml:space="preserve">Frontend v8 / Zmiany v8; stare notatki w kolumnach E/F są źródłowe.</t>
  </si>
  <si>
    <t xml:space="preserve">Dom i nowe osoby</t>
  </si>
  <si>
    <t xml:space="preserve">Pula domu = liczba mieszkańców przy odnowieniu, w pełnych pp, raz na 24 h. Ręczne punkty dodają H; nie kasują kar ani ich liczników. O 23 h 58 min automat rozdaje wyłącznie resztę, po 1 pp najniższemu H; remis losowy. Pula nie jest wydawana drugi raz. Każdy nowy mieszkaniec ma zamrożone 0% szczęścia przez pierwsze 24 h, również podczas premii; później zwykłe naliczanie od 0%. Początkowych 12 osób nie obejmuje zamrożenie.</t>
  </si>
  <si>
    <t xml:space="preserve">Czlowiek / Decyzje v7 D03–D04, D13</t>
  </si>
  <si>
    <t xml:space="preserve">Pakiet i prognozy</t>
  </si>
  <si>
    <t xml:space="preserve">Pakiet: 1000 × poziom ratusza monet za 24 h; +4 aktywne budowy, dowolna kolejka, planowanie dostaw. Dopłata kolejki +10% pozostaje; ponowny zakup przedłuża ważność. 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</si>
  <si>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Premium / Planowanie Premium</t>
  </si>
  <si>
    <t xml:space="preserve">Status wdrożenia</t>
  </si>
  <si>
    <t xml:space="preserve">Reguły w V8 są zatwierdzone. Prototyp frontendowy ma lokalny zapis; konta, OAuth, płatności i reklamy nie są integrowane. Końcowy commit, publikację i wyniki testów gry zapisujemy w docs/IMPLEMENTATION-LOG.md.</t>
  </si>
  <si>
    <t xml:space="preserve">Szczegóły wdrożenia i testów: docs/IMPLEMENTATION-LOG.md; Na pozniej.</t>
  </si>
  <si>
    <t xml:space="preserve">20 dekoracji/wydarzeń, 5 ofert co 24 h; Y×L monet; premia dla L osób na 6 h; przyzwyczajanie osobno na rodzaj.</t>
  </si>
  <si>
    <t xml:space="preserve">Atrakcje / Atrakcje - kalkulator</t>
  </si>
  <si>
    <t xml:space="preserve">100 odcinków 0–5, każdy krok 100 kamienia; pełny poziom daje +10% szybkości, od 3 dodatkową ładowność.</t>
  </si>
  <si>
    <t xml:space="preserve">Sciezki / Sciezki - transport</t>
  </si>
  <si>
    <t xml:space="preserve">Efekty</t>
  </si>
  <si>
    <t xml:space="preserve">Błogosławieństwa, premie i kary w powiadomieniach oraz u góry karty Town Hall; zmiany bez spamu.</t>
  </si>
  <si>
    <t xml:space="preserve">Efekty i notyfikacje</t>
  </si>
  <si>
    <t xml:space="preserve">Nowy gracz / testy</t>
  </si>
  <si>
    <t xml:space="preserve">Osobny link nowego gracza z normalnym startem; dotychczasowy podgląd ma jednorazowy pełny magazyn i minimum 10 000 monet.</t>
  </si>
  <si>
    <t xml:space="preserve">Frontend v8 / Zmiany v8</t>
  </si>
  <si>
    <t xml:space="preserve">Archiwum</t>
  </si>
  <si>
    <t xml:space="preserve">36 zakładek źródła zachowanych; dawne rejestry i wpisy źródłowe są historią. Aktualny rejestr poprawiono i rozszerzono.</t>
  </si>
  <si>
    <t xml:space="preserve">Rejestr historyczny v7 / Rejestr historyczny v6</t>
  </si>
  <si>
    <t xml:space="preserve">ZMIANY V8 • komplet późniejszych uzgodnień</t>
  </si>
  <si>
    <t xml:space="preserve">Rozmowa po Excelu 7; zaakceptowany pakiet frontend v11 oraz późniejszy pakiet zatwierdzony „go”. Nowsza decyzja zastępuje poprzednią wersję tego samego widoku. Nowsze usunięcie podatków oraz zapasy lokalne/centralne na kartach Resources zastępują wcześniejsze wersje tych samych elementów.</t>
  </si>
  <si>
    <t xml:space="preserve">Asset / widok</t>
  </si>
  <si>
    <t xml:space="preserve">Ostateczna zasada</t>
  </si>
  <si>
    <t xml:space="preserve">Uwagi / źródło</t>
  </si>
  <si>
    <t xml:space="preserve">V8-001</t>
  </si>
  <si>
    <t xml:space="preserve">Wersja</t>
  </si>
  <si>
    <t xml:space="preserve">Wszystkie</t>
  </si>
  <si>
    <t xml:space="preserve">V8 opiera się na niezmienionym pliku V7 i późniejszych uzgodnieniach. 17 decyzji D01–D17 nadal obowiązuje poza jawnymi nowszymi korektami.</t>
  </si>
  <si>
    <t xml:space="preserve">Decyzje v 7 są zachowane; źródła historyczne nie są nowymi wymaganiami.</t>
  </si>
  <si>
    <t xml:space="preserve">V8-002</t>
  </si>
  <si>
    <t xml:space="preserve">Nowy gracz</t>
  </si>
  <si>
    <t xml:space="preserve">Ratusz 1, Dom 1, 12 mieszkańców w domu, 0 pracowników, 0% szczęścia; każdy z 6 zasobów po 100. Ścieżki: wszystkie 100 odcinków na 0.</t>
  </si>
  <si>
    <t xml:space="preserve">Normalny start nie przyznaje testowego magazynu ani 10 000 monet.</t>
  </si>
  <si>
    <t xml:space="preserve">V8-003</t>
  </si>
  <si>
    <t xml:space="preserve">Podgląd testowy</t>
  </si>
  <si>
    <t xml:space="preserve">W dotychczasowym podglądzie jednorazowo uzupełniamy centralę do limitu na rodzaj i łącznie oraz do minimum 10 000 monet; większe saldo i postęp zachowane.</t>
  </si>
  <si>
    <t xml:space="preserve">Znacznik zapisu zapobiega ponownemu grantowi po odświeżeniu. To migracja piaskownicy, nie zasada startu.</t>
  </si>
  <si>
    <t xml:space="preserve">V8-004</t>
  </si>
  <si>
    <t xml:space="preserve">Oddzielny nowy gracz</t>
  </si>
  <si>
    <t xml:space="preserve">Link profile=new-player używa oddzielnego zapisu i normalnych wartości startowych. Nie kasuje bieżącej wyspy; późniejsze otwarcie kontynuuje zapis tego profilu.</t>
  </si>
  <si>
    <t xml:space="preserve">Link i stan wdrożenia: docs/IMPLEMENTATION-LOG.md.</t>
  </si>
  <si>
    <t xml:space="preserve">V8-005</t>
  </si>
  <si>
    <t xml:space="preserve">Pięciu producentów</t>
  </si>
  <si>
    <t xml:space="preserve">Lokalny magazyn = 200 × WŁASNY poziom producenta. Następny poziom ma 200 × (L+1). Wczytanie nie usuwa starszej nadwyżki.</t>
  </si>
  <si>
    <t xml:space="preserve">Zastępuje zależność lokalnego bufora od ratusza.</t>
  </si>
  <si>
    <t xml:space="preserve">V8-006</t>
  </si>
  <si>
    <t xml:space="preserve">Ludzie</t>
  </si>
  <si>
    <t xml:space="preserve">Osiem miejsc pracy</t>
  </si>
  <si>
    <t xml:space="preserve">Limit pozostaje 12 × własny poziom zakładu; przydział jest ograniczony wspólną pulą wolnych osób w domu.</t>
  </si>
  <si>
    <t xml:space="preserve">Wyświetlanie trzech liczb nie zmienia poziomu wyznaczającego limit.</t>
  </si>
  <si>
    <t xml:space="preserve">V8-007</t>
  </si>
  <si>
    <t xml:space="preserve">Frontend</t>
  </si>
  <si>
    <t xml:space="preserve">Wszystkie budynki</t>
  </si>
  <si>
    <t xml:space="preserve">U góry panelu status odpowiedni do funkcji. Producent: Producing / Waiting for workers / Storage full / Waiting for resources.</t>
  </si>
  <si>
    <t xml:space="preserve">Status odświeża się według rzeczywistego stanu.</t>
  </si>
  <si>
    <t xml:space="preserve">V8-008</t>
  </si>
  <si>
    <t xml:space="preserve">Producing wskazuje produkt, liczbę najbliższych sztuk i czas ich złożenia w lokalnym magazynie.</t>
  </si>
  <si>
    <t xml:space="preserve">Uwzględnia rzeczywiste fazy pracy, dojście, głód, surowiec wejściowy i wolne miejsce.</t>
  </si>
  <si>
    <t xml:space="preserve">V8-009</t>
  </si>
  <si>
    <t xml:space="preserve">Storage</t>
  </si>
  <si>
    <t xml:space="preserve">Trzy wartości: In stock / Current cap. / Next level cap. Krótkie podpisy znajdują się pod każdą liczbą.</t>
  </si>
  <si>
    <t xml:space="preserve">Np. 50 / 200 / 400; ostatnia liczba oznacza najbliższe ulepszenie, nie końcowy limit gry.</t>
  </si>
  <si>
    <t xml:space="preserve">V8-010</t>
  </si>
  <si>
    <t xml:space="preserve">Workers</t>
  </si>
  <si>
    <t xml:space="preserve">Trzy wartości: Assigned / Free at home / Max workers; małe +/− korzystają z rzeczywistej dostępności mieszkańców.</t>
  </si>
  <si>
    <t xml:space="preserve">Np. 5 / 0 / 12. Osoba wracająca lub idąca nie jest wolna w domu.</t>
  </si>
  <si>
    <t xml:space="preserve">V8-011</t>
  </si>
  <si>
    <t xml:space="preserve">Podatki</t>
  </si>
  <si>
    <t xml:space="preserve">Usuń wszystkie informacje o podatkach z interfejsu: nagłówka, ratusza, kart budynków, zarządzania ludźmi i objaśnień. Sam rachunek podatków pozostaje bez zmiany.</t>
  </si>
  <si>
    <t xml:space="preserve">Silnik nadal: 1 moneta/os./h po dotarciu, także przy przestoju; kaplica czasowo ×2. Excel dokumentuje tę regułę.</t>
  </si>
  <si>
    <t xml:space="preserve">V8-012</t>
  </si>
  <si>
    <t xml:space="preserve">Kompaktowy układ</t>
  </si>
  <si>
    <t xml:space="preserve">Level jest mniejszym polem po lewej; Storage po prawej, pod nim Workers. Po usunięciu podatków nie zostaje pole Taxes.</t>
  </si>
  <si>
    <t xml:space="preserve">Najnowsze usunięcie podatków zastępuje wcześniejszy pomysł Taxes pod Level.</t>
  </si>
  <si>
    <t xml:space="preserve">V8-013</t>
  </si>
  <si>
    <t xml:space="preserve">Housing capacity pokazuje populację, limit ratusza, miejsca do spania i przyrost/spadek. Opisy Housing capacity oraz House happiness są pod i.</t>
  </si>
  <si>
    <t xml:space="preserve">Pula, terminy i przyciski domu pozostają widoczne.</t>
  </si>
  <si>
    <t xml:space="preserve">V8-014</t>
  </si>
  <si>
    <t xml:space="preserve">Budowa i ludzie</t>
  </si>
  <si>
    <t xml:space="preserve">Construction and queue oraz licznik występują tylko w Town Hall; Manage all workers tylko z House. Lokalne +/− zostają w miejscach pracy.</t>
  </si>
  <si>
    <t xml:space="preserve">Residents pozostaje informacyjnym przeglądem z przejściem do domu.</t>
  </si>
  <si>
    <t xml:space="preserve">V8-015</t>
  </si>
  <si>
    <t xml:space="preserve">Building upgrade</t>
  </si>
  <si>
    <t xml:space="preserve">Pięciu producentów ma Upgrade, małe osobne czasy transportu i budowy oraz sąsiednią ramkę Premium z dwoma dotychczasowymi przyciskami.</t>
  </si>
  <si>
    <t xml:space="preserve">Buy building package / Deliver local stock now. Opisy Coins/Instant pod i; bez osobnej dolnej sekcji Premium u producentów.</t>
  </si>
  <si>
    <t xml:space="preserve">V8-016</t>
  </si>
  <si>
    <t xml:space="preserve">ETA</t>
  </si>
  <si>
    <t xml:space="preserve">Etykieta budowy na wyspie ma dwa wiersze: Transport · ETA oraz Construction · ETA. Czasy uwzględniają aktualną obsadę i rozkład dostaw.</t>
  </si>
  <si>
    <t xml:space="preserve">Bez zbierania materiałów i oczekiwania w kolejce; brak wykonalnej estymaty ma jawną przyczynę.</t>
  </si>
  <si>
    <t xml:space="preserve">V8-017</t>
  </si>
  <si>
    <t xml:space="preserve">Każdy magazynier ma widoczne przypisanie, towar, liczbę sztuk, źródło → cel i pozostały czas; osobno dojście i oczekiwanie.</t>
  </si>
  <si>
    <t xml:space="preserve">Odwołanie nie przypisuje starego ładunku nowej osobie. Rozpoczęty ładunek dochodzi dokładnie raz.</t>
  </si>
  <si>
    <t xml:space="preserve">V8-018</t>
  </si>
  <si>
    <t xml:space="preserve">Priorytety</t>
  </si>
  <si>
    <t xml:space="preserve">Towary i Construction</t>
  </si>
  <si>
    <t xml:space="preserve">Można zaznaczyć maksymalnie 3 priorytety spośród pięciu produktów oraz Construction. Aktywne są podświetlone i numerowane 1/2/3.</t>
  </si>
  <si>
    <t xml:space="preserve">Construction uczestniczy w tej samej puli i podziale kursów, nie jest dodatkowym czwartym priorytetem.</t>
  </si>
  <si>
    <t xml:space="preserve">V8-019</t>
  </si>
  <si>
    <t xml:space="preserve">Podział kursów</t>
  </si>
  <si>
    <t xml:space="preserve">1 priorytet: 8 kursów +2 losowe; 2: 5 pierwszego +3 drugiego +2 losowe; 3: 5/3/2. Bloki 10 rzeczywistych kursów powtarzają się bezterminowo.</t>
  </si>
  <si>
    <t xml:space="preserve">Losowe wybierają dostępne pozostałe źródła; brak wybranego towaru nie zatrzymuje dostępnej pracy. Ratunkowe Food zachowuje ochronę.</t>
  </si>
  <si>
    <t xml:space="preserve">V8-020</t>
  </si>
  <si>
    <t xml:space="preserve">Zapis</t>
  </si>
  <si>
    <t xml:space="preserve">Wybór, kolejność, pozycja cyklu i stan losowania są zapisywane. Zmiana priorytetów nie przerywa załadowanego kursu.</t>
  </si>
  <si>
    <t xml:space="preserve">Nie ma wyłączenia po 10 kursach.</t>
  </si>
  <si>
    <t xml:space="preserve">V8-021</t>
  </si>
  <si>
    <t xml:space="preserve">Zadania</t>
  </si>
  <si>
    <t xml:space="preserve">Jedno aktywne</t>
  </si>
  <si>
    <t xml:space="preserve">Zawsze 3 oferty, ale wykonywać można 1 zadanie. Aktywna karta podświetlona w obu widokach, pozostałe wyszarzone bez startu ani wpłaty.</t>
  </si>
  <si>
    <t xml:space="preserve">Pozostałe wymagania i nagrody można obejrzeć.</t>
  </si>
  <si>
    <t xml:space="preserve">V8-022</t>
  </si>
  <si>
    <t xml:space="preserve">Postęp i migracja</t>
  </si>
  <si>
    <t xml:space="preserve">Każdy wymagany produkt pokazuje dostarczone / wymagane na liście i po prawej. Zachowujemy stare wpłaty, termin oraz zapisany mnożnik.</t>
  </si>
  <si>
    <t xml:space="preserve">Ukończenie lub wygaśnięcie zwalnia aktywne miejsce.</t>
  </si>
  <si>
    <t xml:space="preserve">V8-023</t>
  </si>
  <si>
    <t xml:space="preserve">Norma</t>
  </si>
  <si>
    <t xml:space="preserve">Wymagania pozostają 12 × własny poziom producenta × wydajność/os./h × wylosowane godziny; bez chwilowych bonusów.</t>
  </si>
  <si>
    <t xml:space="preserve">Nie zmieniamy istniejących wymagań z powodu nowych podpisów czy stanu obsady.</t>
  </si>
  <si>
    <t xml:space="preserve">V8-024</t>
  </si>
  <si>
    <t xml:space="preserve">Animacje</t>
  </si>
  <si>
    <t xml:space="preserve">Świat</t>
  </si>
  <si>
    <t xml:space="preserve">Woda, dym, wiatrak, mewy, mieszkańcy, zwierzęta, chmury i budowa poruszają się przy włączonej opcji gry.</t>
  </si>
  <si>
    <t xml:space="preserve">Świadome włączenie animacji ma pierwszeństwo przed systemowym ograniczeniem ruchu i jest zapisywane; stare pause/speed nie zamrażają obrazu.</t>
  </si>
  <si>
    <t xml:space="preserve">V8-025</t>
  </si>
  <si>
    <t xml:space="preserve">Nagłówek</t>
  </si>
  <si>
    <t xml:space="preserve">Marka, Level i lewy górny początek nawigacji mają oddzielne obszary; stary obraz i złote obramowanie nie przebijają.</t>
  </si>
  <si>
    <t xml:space="preserve">Układ na komputerze i telefonie.</t>
  </si>
  <si>
    <t xml:space="preserve">V8-026</t>
  </si>
  <si>
    <t xml:space="preserve">Resources</t>
  </si>
  <si>
    <t xml:space="preserve">Dolny pasek</t>
  </si>
  <si>
    <t xml:space="preserve">Przełącza cały rząd Buildings na dokładnie 5 produktów: Wood, Planks, Stone, Grain, Food. Monety nie są szóstym produktem.</t>
  </si>
  <si>
    <t xml:space="preserve">Buildings przywraca rząd budynków.</t>
  </si>
  <si>
    <t xml:space="preserve">V8-027</t>
  </si>
  <si>
    <t xml:space="preserve">Górny licznik</t>
  </si>
  <si>
    <t xml:space="preserve">Mały numerek nad produktem to liczba faktycznie pracujących w jego zakładzie, po dojściu i bez blokady produkcji.</t>
  </si>
  <si>
    <t xml:space="preserve">Głodny pracownik produkujący z połową wydajności nadal jest aktywny.</t>
  </si>
  <si>
    <t xml:space="preserve">V8-028</t>
  </si>
  <si>
    <t xml:space="preserve">Dolne liczby</t>
  </si>
  <si>
    <t xml:space="preserve">Pod produktem: zapas u producenta / zapas tego samego produktu w magazynie głównym.</t>
  </si>
  <si>
    <t xml:space="preserve">Zastępuje wolnych w domu / limit pracy tylko na kartach Resources; Workers zachowuje swoje trzy wartości.</t>
  </si>
  <si>
    <t xml:space="preserve">V8-029</t>
  </si>
  <si>
    <t xml:space="preserve">Kliknięcie</t>
  </si>
  <si>
    <t xml:space="preserve">Wood→Lumber Camp; Planks→Sawmill; Stone→Quarry; Grain→Farm; Food→Windmill.</t>
  </si>
  <si>
    <t xml:space="preserve">Ten sam panel i stan co kliknięcie budynku na wyspie.</t>
  </si>
  <si>
    <t xml:space="preserve">V8-030</t>
  </si>
  <si>
    <t xml:space="preserve">Ukończenie</t>
  </si>
  <si>
    <t xml:space="preserve">Ukończenie zadania otwiera popup z fajerwerkami; telefon otrzymuje krótką wibrację, jeśli urządzenie ją obsługuje.</t>
  </si>
  <si>
    <t xml:space="preserve">Nagroda zadania jest przyznana przed opcjonalnym ekranem społecznościowym.</t>
  </si>
  <si>
    <t xml:space="preserve">V8-031</t>
  </si>
  <si>
    <t xml:space="preserve">Share on Facebook</t>
  </si>
  <si>
    <t xml:space="preserve">Po ukończeniu ekran Share your achievement: Share on Facebook lub Skip. Kliknięcie Share przyznaje 500 monet, jeden raz na ukończone zadanie.</t>
  </si>
  <si>
    <t xml:space="preserve">NOWA odpowiedź użytkownika: 500 monet. Na razie bez integracji Facebook i bez deklarowania rzeczywistej publikacji.</t>
  </si>
  <si>
    <t xml:space="preserve">V8-032</t>
  </si>
  <si>
    <t xml:space="preserve">Skip i powtórzenia</t>
  </si>
  <si>
    <t xml:space="preserve">Skip zachowuje całą normalną nagrodę. Odświeżenie ani ponowne kliknięcie Share nie przyznaje ponownie premii za to samo zadanie.</t>
  </si>
  <si>
    <t xml:space="preserve">Bonus za zadanie jest odrębny od starszych premii za grę/poziom/posty i polecenia.</t>
  </si>
  <si>
    <t xml:space="preserve">V8-033</t>
  </si>
  <si>
    <t xml:space="preserve">Katalog i pasek</t>
  </si>
  <si>
    <t xml:space="preserve">Decorations przełącza dolny pasek na 5 atrakcji z katalogu 20 dekoracji i wydarzeń; nie otwiera dotychczasowego okna listy.</t>
  </si>
  <si>
    <t xml:space="preserve">Cyrk i teatr są wydarzeniami, nie budynkami produkcyjnymi.</t>
  </si>
  <si>
    <t xml:space="preserve">V8-034</t>
  </si>
  <si>
    <t xml:space="preserve">Rotacja</t>
  </si>
  <si>
    <t xml:space="preserve">Zestaw 5 ofert zmienia się co 24 h czasu zegarowego i zachowuje termin po odświeżeniu oraz offline. Pięć nowych rodzajów różni się od poprzedniej piątki.</t>
  </si>
  <si>
    <t xml:space="preserve">Nie losujemy nowych cen ani okna czasu przy każdym kliknięciu karty.</t>
  </si>
  <si>
    <t xml:space="preserve">V8-035</t>
  </si>
  <si>
    <t xml:space="preserve">Y i cena</t>
  </si>
  <si>
    <t xml:space="preserve">Dla oferty Y jest całkowitą liczbą 5…100. Cena = Y × aktualny poziom ratusza L monet.</t>
  </si>
  <si>
    <t xml:space="preserve">Y oferty jest zapisane do jej wymiany; koszt reaguje na osiągnięty poziom ratusza.</t>
  </si>
  <si>
    <t xml:space="preserve">V8-036</t>
  </si>
  <si>
    <t xml:space="preserve">Jedno użycie daje Y × współczynnik przyzwyczajenia pp dla L mieszkańców przez 6 h. Szczęście nadal indywidualne, ograniczone do ±100, a populacja jest średnią.</t>
  </si>
  <si>
    <t xml:space="preserve">Wybór implementacyjny: najmniej szczęśliwi niezamrożeni mieszkańcy; remisy według ID. Gdy populacja mniejsza od L, najwyżej tyle osób, ile istnieje.</t>
  </si>
  <si>
    <t xml:space="preserve">V8-037</t>
  </si>
  <si>
    <t xml:space="preserve">Każdy rodzaj ma własny licznik: 100%, 75%, 50%, 25%, 0% początkowej premii. Przy 0 zakup zablokowany bez pobrania monet.</t>
  </si>
  <si>
    <t xml:space="preserve">Koszt nie maleje. Użycia innych atrakcji nie zwiększają tego licznika.</t>
  </si>
  <si>
    <t xml:space="preserve">V8-038</t>
  </si>
  <si>
    <t xml:space="preserve">Przerwa i kumulacja</t>
  </si>
  <si>
    <t xml:space="preserve">Po 24 h bez zakupu TEJ atrakcji wraca pełna skuteczność. Każde skuteczne użycie ma osobny zegar 6 h; nakładające się premie sumują się przed ograniczeniem H.</t>
  </si>
  <si>
    <t xml:space="preserve">Dokładny składnik Y×współczynnik może być ułamkowy; prezentacja szczęścia jest zaokrąglona w górę do pełnego procentu.</t>
  </si>
  <si>
    <t xml:space="preserve">V8-039</t>
  </si>
  <si>
    <t xml:space="preserve">Odcinki i poziomy</t>
  </si>
  <si>
    <t xml:space="preserve">Jest 100 odcinków; start poziom 0, maksimum 5. Paths odsłania dolny poziomy pasek z poziomami i postępem, np. 37/100.</t>
  </si>
  <si>
    <t xml:space="preserve">Nie tworzymy 100 osobnych budynków gospodarczych.</t>
  </si>
  <si>
    <t xml:space="preserve">V8-040</t>
  </si>
  <si>
    <t xml:space="preserve">Brama poziomu</t>
  </si>
  <si>
    <t xml:space="preserve">Aby ulepszać do poziomu N, wszystkie 100 odcinków musi mieć co najmniej N−1. Częściowe ulepszenie nie uruchamia premii N.</t>
  </si>
  <si>
    <t xml:space="preserve">Ukończony poziom = minimum poziomów wszystkich odcinków.</t>
  </si>
  <si>
    <t xml:space="preserve">V8-041</t>
  </si>
  <si>
    <t xml:space="preserve">Koszt i czas</t>
  </si>
  <si>
    <t xml:space="preserve">Jedno ulepszenie jednego odcinka o poziom kosztuje 100 kamienia z centrali i działa po kliknięciu. Cały poziom: 10 000; 0→5: 50 000 kamienia.</t>
  </si>
  <si>
    <t xml:space="preserve">Nie ma wymagania jednorazowego zgromadzenia 10 000 — gracz kupuje pojedyncze odcinki.</t>
  </si>
  <si>
    <t xml:space="preserve">V8-042</t>
  </si>
  <si>
    <t xml:space="preserve">Szybkość</t>
  </si>
  <si>
    <t xml:space="preserve">Ukończone poziomy 1/2/3/4/5: szybkość kursów +10/+20/+30/+40/+50%. Czas kursu = bazowy czas / (1+0,1×poziom).</t>
  </si>
  <si>
    <t xml:space="preserve">Poziom 1: 300/1,1 s; nie odejmujemy po prostu 10% czasu.</t>
  </si>
  <si>
    <t xml:space="preserve">V8-043</t>
  </si>
  <si>
    <t xml:space="preserve">Ładowność</t>
  </si>
  <si>
    <t xml:space="preserve">Od ukończonego poziomu 3 dodatkowa pojemność: +10%, poziom 4 +20%, poziom 5 +30%; liczba sztuk całkowita w dół.</t>
  </si>
  <si>
    <t xml:space="preserve">Ładunek własnego poziomu miejsca pracy oraz premia dróg to odrębne mnożniki.</t>
  </si>
  <si>
    <t xml:space="preserve">V8-044</t>
  </si>
  <si>
    <t xml:space="preserve">Zakres</t>
  </si>
  <si>
    <t xml:space="preserve">Premie działają na kursy tragarzy magazynu, targu i portu, także dostawy materiałów budowy.</t>
  </si>
  <si>
    <t xml:space="preserve">Nie skracają rejsu statku, dojścia do pracy/powrotu, pobytu w latarni ani zegarów konsumpcji. Nie dają dodatkowego pasywnego H.</t>
  </si>
  <si>
    <t xml:space="preserve">V8-045</t>
  </si>
  <si>
    <t xml:space="preserve">Na górze karty ratusza lista wszystkich aktywnych błogosławieństw, premii i kar: źródło, wartość, odbiorcy i czas albo warunek zakończenia.</t>
  </si>
  <si>
    <t xml:space="preserve">Premie dróg są stałe, czasowe atrakcje mają własne terminy. Informacje o podatkach pozostają ukryte w UI.</t>
  </si>
  <si>
    <t xml:space="preserve">V8-046</t>
  </si>
  <si>
    <t xml:space="preserve">Powiadomienia</t>
  </si>
  <si>
    <t xml:space="preserve">Każde uruchomienie, zmiana i zakończenie efektu ma wpis w powiadomieniach; bez wielokrotnego wpisu co klatkę/odświeżenie.</t>
  </si>
  <si>
    <t xml:space="preserve">Dotyczy wszystkich źródeł: domu, jedzenia/pracy, głodu/bezrobocia, przestoju, przeludnienia, kaplicy, latarni, atrakcji i dróg.</t>
  </si>
  <si>
    <t xml:space="preserve">V8-047</t>
  </si>
  <si>
    <t xml:space="preserve">Migracja</t>
  </si>
  <si>
    <t xml:space="preserve">Ścieżki wcześniejszego zapisu</t>
  </si>
  <si>
    <t xml:space="preserve">Nowy gracz ma wszystkie odcinki na 0. Wcześniej kupione odcinki ścieżek zachowują wydany kamień jako odpowiadające im odcinki poziomu 1.</t>
  </si>
  <si>
    <t xml:space="preserve">Migracja zachowuje płatny postęp starej wyspy; nie przyznaje całego poziomu, jeśli nie ukończono wszystkich 100 odcinków.</t>
  </si>
  <si>
    <t xml:space="preserve">V8-048</t>
  </si>
  <si>
    <t xml:space="preserve">Stan</t>
  </si>
  <si>
    <t xml:space="preserve">Język i zapis</t>
  </si>
  <si>
    <t xml:space="preserve">Aktywny interfejs po angielsku. Zachowujemy istniejące zasoby, mieszkańców, budowy, ładunki i zadania; osobne profile nie nadpisują sobie zapisów.</t>
  </si>
  <si>
    <t xml:space="preserve">Oryginalny Excel 7 pozostaje niezmieniony. Prawdziwe konta, OAuth, płatności i reklamy nadal wymagają osobnych integracji.</t>
  </si>
  <si>
    <t xml:space="preserve">FRONTEND V8 • finalne zachowanie interfejsu</t>
  </si>
  <si>
    <t xml:space="preserve">Krótkie angielskie podpisy w grze, polski opis zasad. Późniejsza instrukcja usuwa Taxes ze wszystkich widoków i zastępuje dolne free/max na Resources zapasami lokalny/centralny. Rachunek podatków pozostaje bez zmiany.</t>
  </si>
  <si>
    <t xml:space="preserve">Widok</t>
  </si>
  <si>
    <t xml:space="preserve">Element / podpis</t>
  </si>
  <si>
    <t xml:space="preserve">Wartości i zachowanie</t>
  </si>
  <si>
    <t xml:space="preserve">Reguła / wyjątek</t>
  </si>
  <si>
    <t xml:space="preserve">Panel producenta</t>
  </si>
  <si>
    <t xml:space="preserve">Level</t>
  </si>
  <si>
    <t xml:space="preserve">Mniejsze pole po lewej.</t>
  </si>
  <si>
    <t xml:space="preserve">Pole Taxes zostało usunięte.</t>
  </si>
  <si>
    <t xml:space="preserve">In stock / Current cap. / Next level cap.</t>
  </si>
  <si>
    <t xml:space="preserve">Zapas lokalny / 200 × L / 200 × (L+1).</t>
  </si>
  <si>
    <t xml:space="preserve">Miejsce pracy</t>
  </si>
  <si>
    <t xml:space="preserve">Assigned / Free at home / Max workers</t>
  </si>
  <si>
    <t xml:space="preserve">Trzy podpisy pod liczbami, np. 5 / 0 / 12.</t>
  </si>
  <si>
    <t xml:space="preserve">+/−</t>
  </si>
  <si>
    <t xml:space="preserve">Przydział z faktycznie dostępnych osób.</t>
  </si>
  <si>
    <t xml:space="preserve">Droga trwa 5 min; brak wolnych osób blokuje plus.</t>
  </si>
  <si>
    <t xml:space="preserve">Każdy budynek</t>
  </si>
  <si>
    <t xml:space="preserve">Produkcja, blokada albo status odpowiedni do funkcji.</t>
  </si>
  <si>
    <t xml:space="preserve">Przy produkcji: produkt, ilość oraz ETA złożenia w lokalnym magazynie.</t>
  </si>
  <si>
    <t xml:space="preserve">Wszystkie widoki</t>
  </si>
  <si>
    <t xml:space="preserve">Bez wyświetlania podatków i ich opisu.</t>
  </si>
  <si>
    <t xml:space="preserve">Rachunek i premia kaplicy pozostają bez zmiany.</t>
  </si>
  <si>
    <t xml:space="preserve">Housing capacity</t>
  </si>
  <si>
    <t xml:space="preserve">Populacja / limit ratusza / łóżka / przyrost lub spadek.</t>
  </si>
  <si>
    <t xml:space="preserve">Opisy znajdują się pod i.</t>
  </si>
  <si>
    <t xml:space="preserve">House happiness</t>
  </si>
  <si>
    <t xml:space="preserve">Pula i zegar widoczne; opis pod i.</t>
  </si>
  <si>
    <t xml:space="preserve">Manage all workers otwierane wyłącznie tutaj.</t>
  </si>
  <si>
    <t xml:space="preserve">Construction and queue</t>
  </si>
  <si>
    <t xml:space="preserve">Jedyny panel z licznikiem i zarządzaniem kolejką.</t>
  </si>
  <si>
    <t xml:space="preserve">Inne budynki zachowują własny Upgrade.</t>
  </si>
  <si>
    <t xml:space="preserve">Active effects</t>
  </si>
  <si>
    <t xml:space="preserve">Aktywne błogosławieństwa, premie i kary u góry karty.</t>
  </si>
  <si>
    <t xml:space="preserve">Źródło, wartość, odbiorcy, czas lub warunek zakończenia; bez podatków.</t>
  </si>
  <si>
    <t xml:space="preserve">Producent</t>
  </si>
  <si>
    <t xml:space="preserve">Upgrade, dwa małe czasy i sąsiednia ramka Premium z dwoma przyciskami.</t>
  </si>
  <si>
    <t xml:space="preserve">Buy building package / Deliver local stock now. Opisy Coins/Instant pod i.</t>
  </si>
  <si>
    <t xml:space="preserve">Etykieta budynku</t>
  </si>
  <si>
    <t xml:space="preserve">Transport · ETA / Construction · ETA</t>
  </si>
  <si>
    <t xml:space="preserve">Dwa osobne wiersze przy budowanym obiekcie.</t>
  </si>
  <si>
    <t xml:space="preserve">Obecne ustawienia dostaw; brak wykonalnej estymaty ma wyjaśnienie.</t>
  </si>
  <si>
    <t xml:space="preserve">Warehouse workers</t>
  </si>
  <si>
    <t xml:space="preserve">Osoba, ładunek, ilość, źródło → cel i pozostały czas.</t>
  </si>
  <si>
    <t xml:space="preserve">Dojście i bezczynność są odróżnione od dostawy.</t>
  </si>
  <si>
    <t xml:space="preserve">Transport priority</t>
  </si>
  <si>
    <t xml:space="preserve">Pięć produktów oraz Construction; najwyżej trzy wybrane, z numerami 1/2/3.</t>
  </si>
  <si>
    <t xml:space="preserve">Powtarzane bezterminowo: 8/2, 5/3/2 albo 5/3/2.</t>
  </si>
  <si>
    <t xml:space="preserve">Pięć kart produktów</t>
  </si>
  <si>
    <t xml:space="preserve">Wood / Planks / Stone / Grain / Food.</t>
  </si>
  <si>
    <t xml:space="preserve">Klik otwiera producenta; Buildings przywraca budynki.</t>
  </si>
  <si>
    <t xml:space="preserve">Górny numerek</t>
  </si>
  <si>
    <t xml:space="preserve">Faktycznie pracujący w zakładzie producenta.</t>
  </si>
  <si>
    <t xml:space="preserve">Po dojściu, bez blokady. Głodny, ale produkujący pracownik nadal się liczy.</t>
  </si>
  <si>
    <t xml:space="preserve">Dolna para</t>
  </si>
  <si>
    <t xml:space="preserve">Zapas lokalny / zapas tego produktu w centrali.</t>
  </si>
  <si>
    <t xml:space="preserve">Np. 50 / 800; to już nie wolni / limit pracy.</t>
  </si>
  <si>
    <t xml:space="preserve">Tasks</t>
  </si>
  <si>
    <t xml:space="preserve">Active / postęp</t>
  </si>
  <si>
    <t xml:space="preserve">Jedno aktywne zadanie z postępem każdego produktu w obu widokach.</t>
  </si>
  <si>
    <t xml:space="preserve">Pozostałe dwie karty są szare; nie można rozpocząć ani zasilać drugiej.</t>
  </si>
  <si>
    <t xml:space="preserve">Task complete</t>
  </si>
  <si>
    <t xml:space="preserve">Share your achievement</t>
  </si>
  <si>
    <t xml:space="preserve">Fajerwerki, krótka wibracja telefonu, Share on Facebook / Skip.</t>
  </si>
  <si>
    <t xml:space="preserve">500 monet raz na zadanie. Pominięcie zachowuje zwykłą nagrodę.</t>
  </si>
  <si>
    <t xml:space="preserve">Decorations</t>
  </si>
  <si>
    <t xml:space="preserve">Pięć kart atrakcji</t>
  </si>
  <si>
    <t xml:space="preserve">Dolny poziomy pasek; 5 z katalogu 20, rotacja co 24 h.</t>
  </si>
  <si>
    <t xml:space="preserve">Cena, premia, liczba osób, czas i przyzwyczajenie.</t>
  </si>
  <si>
    <t xml:space="preserve">Paths</t>
  </si>
  <si>
    <t xml:space="preserve">Pięć poziomów</t>
  </si>
  <si>
    <t xml:space="preserve">Dolny poziomy pasek poziomów 1–5, każdy z postępem 0–100.</t>
  </si>
  <si>
    <t xml:space="preserve">Następny poziom zablokowany do ukończenia całej setki poprzedniego.</t>
  </si>
  <si>
    <t xml:space="preserve">Marka / Level / nawigacja</t>
  </si>
  <si>
    <t xml:space="preserve">Oddzielne obszary bez przebijania starych obrazów.</t>
  </si>
  <si>
    <t xml:space="preserve">Komputer i telefon.</t>
  </si>
  <si>
    <t xml:space="preserve">Settings</t>
  </si>
  <si>
    <t xml:space="preserve">Animations and highlights</t>
  </si>
  <si>
    <t xml:space="preserve">Jawne włączenie nadpisuje systemowe reduced-motion i jest zapisywane.</t>
  </si>
  <si>
    <t xml:space="preserve">Woda, dym, postacie, wiatrak, mewy, zwierzęta, chmury i budowa.</t>
  </si>
  <si>
    <t xml:space="preserve">New player</t>
  </si>
  <si>
    <t xml:space="preserve">profile=new-player</t>
  </si>
  <si>
    <t xml:space="preserve">Oddzielny zapis, normalny start po 100 zasobów i 12 osób.</t>
  </si>
  <si>
    <t xml:space="preserve">Nie usuwa wyspy testowej; bez grantu 10 000 monet.</t>
  </si>
  <si>
    <t xml:space="preserve">DECYZJE V7 • 17 odpowiedzi zamkniętych</t>
  </si>
  <si>
    <t xml:space="preserve">Komplet rozstrzygnięć użytkownika z 23.10.2026 po analizie pliku 6. Wszystkie D01–D17 są zaakceptowane. Osobno pozostają jawnie odłożone tematy; nie blokują wydania tego arkusza.</t>
  </si>
  <si>
    <t xml:space="preserve">Zatwierdzona zasada</t>
  </si>
  <si>
    <t xml:space="preserve">Źródło / zastosowanie</t>
  </si>
  <si>
    <t xml:space="preserve">D01</t>
  </si>
  <si>
    <t xml:space="preserve">Długość premii populacji po latarni</t>
  </si>
  <si>
    <t xml:space="preserve">Premie od powrotu: uczestnik 100% na 24 h i blokada ponownej wizyty przez te same 24 h; każda osobno wysłana grupa daje populacji +10 pp przez 6 h. Premie grup sumują się w czasie nakładania.</t>
  </si>
  <si>
    <t xml:space="preserve">Odpowiedź użytkownika 23.10.2026; Czlowiek!C31, Blogoslawienstwa!B9, Decyzje i konflikty!G41, rozmowa23.10</t>
  </si>
  <si>
    <t xml:space="preserve">D02</t>
  </si>
  <si>
    <t xml:space="preserve">Limit zwiedzania i płatne pakiety</t>
  </si>
  <si>
    <t xml:space="preserve">Darmowo 2 × poziom latarni wejść w ruchomych 24 h. Do 3 dodatkowych pakietów/24 h, każdy daje 2L wejść; cena 300 × numer pakietu (2, 3, 4) × L. Pakiet nie zwiększa liczby miejsc jednocześnie.</t>
  </si>
  <si>
    <t xml:space="preserve">Odpowiedź użytkownika 23.10.2026; Premium!G27, rozmowa23.10</t>
  </si>
  <si>
    <t xml:space="preserve">D03</t>
  </si>
  <si>
    <t xml:space="preserve">Dom: efekt ręcznie rozdawanego szczęścia</t>
  </si>
  <si>
    <t xml:space="preserve">Punkty domu dodają pełne pp do H; kary i ich liczniki pozostają. Przykład: −50 +1 = −49%.</t>
  </si>
  <si>
    <t xml:space="preserve">Odpowiedź użytkownika 23.10.2026; Budynki!K7</t>
  </si>
  <si>
    <t xml:space="preserve">D04</t>
  </si>
  <si>
    <t xml:space="preserve">Dom: pula i automat23h58</t>
  </si>
  <si>
    <t xml:space="preserve">Pula domu = liczba mieszkańców przy odnowieniu, w pełnych pp, raz na 24 h. Ręczne punkty dodają H; nie kasują kar ani ich liczników. O 23 h 58 min automat rozdaje wyłącznie resztę, po 1 pp najniższemu H; remis losowy. Pula nie jest wydawana drugi raz.</t>
  </si>
  <si>
    <t xml:space="preserve">D05</t>
  </si>
  <si>
    <t xml:space="preserve">Zadania: trzy rozmiary czy kolejka dowolnych rozmiarów</t>
  </si>
  <si>
    <t xml:space="preserve">Zawsze 3 zadania. Początkowo małe/średnie/duże; kolejne losowego rozmiaru trafiają na koniec FIFO, dopuszczalne 3 małe lub 3 duże. Nowe po sukcesie natychmiast.</t>
  </si>
  <si>
    <t xml:space="preserve">Odpowiedź użytkownika 23.10.2026; Zadania latarni!C6, Zadania latarni!G19, Decyzje i konflikty!G33</t>
  </si>
  <si>
    <t xml:space="preserve">D06</t>
  </si>
  <si>
    <t xml:space="preserve">Zadania: kotwica zegara i natychmiastowe odnowienie</t>
  </si>
  <si>
    <t xml:space="preserve">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</si>
  <si>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Odpowiedź użytkownika 23.10.2026; Zadania latarni!G12, Zadania latarni!G18, Decyzje i konflikty!G35</t>
  </si>
  <si>
    <t xml:space="preserve">D07</t>
  </si>
  <si>
    <t xml:space="preserve">Zadania: wzór opłacalnej nagrody</t>
  </si>
  <si>
    <t xml:space="preserve">Stare zakresy stanowią bazę na poziomie ratusza 3: małe 100–200, średnie do 400, duże do 600 monet oraz 50–1000 każdego rodzaju towaru. Inne poziomy: współczynnik 12 × L × p(L) / 468; całe ilości w dół, minimum 1. Rodzajów nagrody: 1/2/3 dla małego/średniego/dużego. Mnożnik szybkiej reakcji dopiero od tej bazy.</t>
  </si>
  <si>
    <t xml:space="preserve">Odpowiedź użytkownika 23.10.2026; Zadania latarni!G25, Zadania latarni!G13, Zadania przyklady</t>
  </si>
  <si>
    <t xml:space="preserve">D08</t>
  </si>
  <si>
    <t xml:space="preserve">Zadania: liczba rodzajów nagrody</t>
  </si>
  <si>
    <t xml:space="preserve">Nagroda towarowa małego: 1 rodzaj; średniego: 2 różne; dużego: 3 różne. Zakres dotyczy każdego rodzaju.</t>
  </si>
  <si>
    <t xml:space="preserve">Odpowiedź użytkownika 23.10.2026; Zadania latarni!E14, Decyzje i konflikty!G36</t>
  </si>
  <si>
    <t xml:space="preserve">D09</t>
  </si>
  <si>
    <t xml:space="preserve">Pakiet budowlany: czas działania</t>
  </si>
  <si>
    <t xml:space="preserve">Pakiet: 1000 × poziom ratusza monet za 24 h; +4 aktywne budowy, dowolna kolejka, planowanie dostaw. Dopłata kolejki +10% pozostaje; ponowny zakup przedłuża ważność.</t>
  </si>
  <si>
    <t xml:space="preserve">Odpowiedź użytkownika 23.10.2026; Premium!G18, Premium!A18:E22</t>
  </si>
  <si>
    <t xml:space="preserve">D10</t>
  </si>
  <si>
    <t xml:space="preserve">Planowanie przyszłej budowy: dopłaty i brakujące materiały</t>
  </si>
  <si>
    <t xml:space="preserve">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</si>
  <si>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Odpowiedź użytkownika 23.10.2026; Budynki!J6, Premium!G22, Ustalenia - uwagi!V2-016</t>
  </si>
  <si>
    <t xml:space="preserve">D11</t>
  </si>
  <si>
    <t xml:space="preserve">Kupno budynku: co kończy się natychmiast</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</si>
  <si>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</si>
  <si>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Odpowiedź użytkownika 23.10.2026; Premium!G16, Decyzje i konflikty!G24, Premium!C16</t>
  </si>
  <si>
    <t xml:space="preserve">D12</t>
  </si>
  <si>
    <t xml:space="preserve">Przyspieszenie: opłata0→5</t>
  </si>
  <si>
    <t xml:space="preserve">25/50/75/100% pozostałej fazy budowania, bez transportu. Cena = MAX(5, FLOOR(zaoszczędzone sekundy / 60)) monet. Transport jest osobno rozliczany za potrzebne kursy.</t>
  </si>
  <si>
    <t xml:space="preserve">Odpowiedź użytkownika 23.10.2026; Premium - czas!J6, Premium!G8</t>
  </si>
  <si>
    <t xml:space="preserve">D13</t>
  </si>
  <si>
    <t xml:space="preserve">Nowi mieszkańcy:0%przez24h</t>
  </si>
  <si>
    <t xml:space="preserve">Każdy nowy mieszkaniec ma zamrożone 0% szczęścia przez pierwsze 24 h, również podczas premii; później zwykłe naliczanie od 0%. Początkowych 12 osób nie obejmuje zamrożenie.</t>
  </si>
  <si>
    <t xml:space="preserve">Odpowiedź użytkownika 23.10.2026; Decyzje i konflikty!G42, Czlowiek!B34:D34</t>
  </si>
  <si>
    <t xml:space="preserve">D14</t>
  </si>
  <si>
    <t xml:space="preserve">Przestój: granica−50</t>
  </si>
  <si>
    <t xml:space="preserve">Przestój: podatek płynie, brak +1 pp/h za pracę i brak dodatkowej kary bezrobocia. Kara −10 od początku, kolejne −10 co 24 h, maksymalnie −50 z samego przestoju. Inne kary mogą obniżyć całe H poniżej −50. Reset licznika w drodze do domu.</t>
  </si>
  <si>
    <t xml:space="preserve">Odpowiedź użytkownika 23.10.2026; Czlowiek!D25:D26, Decyzje i konflikty!G39, Twoje wpisy v4!C31</t>
  </si>
  <si>
    <t xml:space="preserve">D15</t>
  </si>
  <si>
    <t xml:space="preserve">Płatne błogosławieństwo: początek4h</t>
  </si>
  <si>
    <t xml:space="preserve">Płatne błogosławieństwo: 100 × poziom kaplicy monet; +50 każdego zasobu i +20 pp na 1 h. Kolejne płatne użycie 4 h od KOŃCA efektu: 12:00–13:00 → następne 17:00. Nie można nakładać aktywnych błogosławieństw.</t>
  </si>
  <si>
    <t xml:space="preserve">Odpowiedź użytkownika 23.10.2026; Decyzje i konflikty!G18, Decyzje i konflikty!G44, Premium!B23:D23</t>
  </si>
  <si>
    <t xml:space="preserve">D16</t>
  </si>
  <si>
    <t xml:space="preserve">Port: zakres licznika podwyżek</t>
  </si>
  <si>
    <t xml:space="preserve">Osobny licznik dla KAŻDEGO produktu w ruchomych 3 h. Kolejne paczki zakupu po 100 podnoszą cenę liniowo o 10% ceny bazowej. Cena zamrożona przy kliknięciu zamówienia; kupno 100 drewna nie podnosi ceny kamienia.</t>
  </si>
  <si>
    <t xml:space="preserve">Odpowiedź użytkownika 23.10.2026; Decyzje i konflikty!G15, Przystan!A2</t>
  </si>
  <si>
    <t xml:space="preserve">D17</t>
  </si>
  <si>
    <t xml:space="preserve">Kaplica: cena rozbudowy</t>
  </si>
  <si>
    <t xml:space="preserve">Zatwierdzono: nowy poziom N × (180 monet + 20 drewna + 60 kamienia + 10 desek). To koszt rozbudowy, odrębny od ceny użycia błogosławieństwa.</t>
  </si>
  <si>
    <t xml:space="preserve">Odpowiedź użytkownika 23.10.2026; Decyzje i konflikty!Q14, Budynki!E16</t>
  </si>
  <si>
    <t xml:space="preserve">BUDYNKI V8 • aktualne reguły</t>
  </si>
  <si>
    <t xml:space="preserve">12 budynków + asset Człowiek. Aktualne zasady: V7 + Zmiany v8. Kolumna K i komentarze są zachowaną historią użytkownika. Bufory producentów: 200 × własny poziom. Rachunek podatków zachowany, ich informacje usunięte z interfejsu. Czasy porównawcze zależą od parametrów: transport + budowa, bez zbierania i czekania w kolejce.</t>
  </si>
  <si>
    <t xml:space="preserve">Budynek / asset</t>
  </si>
  <si>
    <t xml:space="preserve">Co daje rozbudowa</t>
  </si>
  <si>
    <t xml:space="preserve">Koszt bazowy</t>
  </si>
  <si>
    <t xml:space="preserve">Czas łączny</t>
  </si>
  <si>
    <t xml:space="preserve">Notyfikacje</t>
  </si>
  <si>
    <t xml:space="preserve">Uwagi i reguły</t>
  </si>
  <si>
    <t xml:space="preserve">Twoje wpisy źródłowe — historia</t>
  </si>
  <si>
    <t xml:space="preserve">Źródło zmian</t>
  </si>
  <si>
    <t xml:space="preserve">1→2 transport+budowa</t>
  </si>
  <si>
    <t xml:space="preserve">2→3 transport+budowa</t>
  </si>
  <si>
    <t xml:space="preserve">3→4 transport+budowa</t>
  </si>
  <si>
    <t xml:space="preserve">Wyznacza poziom gry i limity rozwoju; skarbiec monet. U góry karty pokazuje aktywne błogosławieństwa, premie i kary.</t>
  </si>
  <si>
    <t xml:space="preserve">Brak własnych pracowników.</t>
  </si>
  <si>
    <t xml:space="preserve">Maksymalna populacja 24×L, wyższy limit ulepszeń, L budów + L miejsc kolejki. Lokalny magazyn producenta zależy od jego własnego poziomu, nie od ratusza.</t>
  </si>
  <si>
    <t xml:space="preserve">500×L KAŻDEGO z 6 zasobów</t>
  </si>
  <si>
    <t xml:space="preserve">2T = T transportu + T budowy</t>
  </si>
  <si>
    <t xml:space="preserve">Uzgodnione w V8; prototyp frontendowy. Szczegóły bieżącego wdrożenia i testów: docs/IMPLEMENTATION-LOG.md. Backend i integracje: Na pozniej.</t>
  </si>
  <si>
    <t xml:space="preserve">ZAWSZE: ukończenie budowy. Wcześniej także zlecenie/start/dostawa. Premie/kary: powiadomienie przy aktywacji, zmianie i końcu oraz aktywna lista u góry Town Hall.</t>
  </si>
  <si>
    <t xml:space="preserve">Ranking = poziom ratusza × monety. L budów + L miejsc kolejki; zlecenia zakolejkowane mają koszt wyższy o 10%. Ranking: aktualizacja o każdej pełnej godzinie według zastanego stanu ratusza i monet.</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</si>
  <si>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</si>
  <si>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</si>
  <si>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Zapewnia miejsca mieszkalne, osobno od maksymalnego limitu ratusza.</t>
  </si>
  <si>
    <t xml:space="preserve">Miejsca: 24 × poziom domu; zmniejszenie kary przeludnienia. Panel pokazuje ludzi i przydziały oraz pozwala wysyłać wizyty do kaplicy i latarni. Manage all workers dostępne wyłącznie z domu. Cztery wskaźniki: populacja, limit ratusza, łóżka, przyrost/spadek; opisy pod i.</t>
  </si>
  <si>
    <t xml:space="preserve">ZAWSZE: ukończenie budowy. Wcześniej także zlecenie/start/dostawa. NOWE: przeludnienie; proponujemy na zmianę stanu, nie co klatkę. Premie/kary: powiadomienie przy aktywacji, zmianie i końcu oraz aktywna lista u góry Town Hall.</t>
  </si>
  <si>
    <t xml:space="preserve">Kara przeludnienia: max(0, P − 24 × poziom domu) pp/h każdej osobie. Nowi mieszkańcy zawsze trafiają do domu. Pula domu = liczba mieszkańców przy odnowieniu, w pełnych pp, raz na 24 h. Ręczne punkty dodają H; nie kasują kar ani ich liczników. O 23 h 58 min automat rozdaje wyłącznie resztę, po 1 pp najniższemu H; remis losowy. Pula nie jest wydawana drugi raz.</t>
  </si>
  <si>
    <t xml:space="preserve">Premium od L4: 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</si>
  <si>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Z poziomu domu widzę wszystkich ludzi gdzie są dopisani, mogę ich stąd wysyłać do kaplicy lub na latarnię. Mogę podejrzeć szczęście każdego mieszkańca indywidualnie. Dom dostaje 1 x na 24 h doładowanie szczęscia równe 1 pp x aktualna ilość mieszkańców, z poziomu domu mogę to szczęście dać indywidualnej osobie, czylui jeżeli mam 24 osoby podnieść jej szczęscie z 0 do 24 albo dać wszystkim po 1 pp., automat (tem co nada wszystkim) działa po 23h i 58 min i później przychodzi nowa pula. Doładiowanie szczęscia nadpisuje kary za bezrobocie i wszelkie inne.</t>
  </si>
  <si>
    <t xml:space="preserve">Budynki!wiersz 7; potwierdzenia w Odpowiedzi i zmiany</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</si>
  <si>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</si>
  <si>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</si>
  <si>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własny poziom producenta.</t>
  </si>
  <si>
    <t xml:space="preserve">L×(72 drewna+72 kamienia+120 zboża)</t>
  </si>
  <si>
    <t xml:space="preserve">ZAWSZE: ukończenie budowy. Wcześniej także zlecenie/start/dostawa. Powiadomienie o pełnym magazynie. Premie/kary: powiadomienie przy aktywacji, zmianie i końcu oraz aktywna lista u góry Town Hall.</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</si>
  <si>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</si>
  <si>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</si>
  <si>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Przetwarza 2 zboża z centrali→1 żywność do lokalnego bufora.</t>
  </si>
  <si>
    <t xml:space="preserve">2L×(72 drewna+72 kamienia+120 żywności)</t>
  </si>
  <si>
    <t xml:space="preserve">Budynki!wiersz 9; potwierdzenia w Odpowiedzi i zmiany</t>
  </si>
  <si>
    <t xml:space="preserve">Produkują drewno do tartaku i budowy.</t>
  </si>
  <si>
    <t xml:space="preserve">2L×(192 drewna+72 kamienia)</t>
  </si>
  <si>
    <t xml:space="preserve">Budynki!wiersz 10; potwierdzenia w Odpowiedzi i zmiany</t>
  </si>
  <si>
    <t xml:space="preserve">Przetwarza 2 drewna z centrali→1 deskę do lokalnego bufora.</t>
  </si>
  <si>
    <t xml:space="preserve">2L×(72 drewna+72 kamienia+120 desek)</t>
  </si>
  <si>
    <t xml:space="preserve">Budynki!wiersz 11; potwierdzenia w Odpowiedzi i zmiany</t>
  </si>
  <si>
    <t xml:space="preserve">Produkuje kamień do budowy i wymiany.</t>
  </si>
  <si>
    <t xml:space="preserve">2L×(72 drewna+192 kamienia)</t>
  </si>
  <si>
    <t xml:space="preserve">Budynki!wiersz 12; potwierdzenia w Odpowiedzi i zmiany</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</si>
  <si>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</si>
  <si>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</si>
  <si>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</si>
  <si>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i próg ratunkowego Food: 50 × poziom magazynu. Gdy Food jest poniżej minimum, a czeka w młynie, nie można ręcznie wycofać całej obsady transportu. ETA budowy przeliczamy po zmianie priorytetów. Podgląd każdej osoby: ładunek, źródło→cel i ETA. Trzy trwałe priorytety spośród produktów i Construction, podział kursów 8/2, 5/3/2 lub 5/3/2.</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</si>
  <si>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</si>
  <si>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</si>
  <si>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</si>
  <si>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</si>
  <si>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</si>
  <si>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</si>
  <si>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</si>
  <si>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</si>
  <si>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</si>
  <si>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Kliknięcie kup/sprzedaj: pobranie monet lub rezerwacja towaru. Sprzedaż: dwa etapy transportu, wypłata przy wypłynięciu; rejs 5 min. Osobny licznik dla KAŻDEGO produktu w ruchomych 3 h. Kolejne paczki zakupu po 100 podnoszą cenę liniowo o 10% ceny bazowej. Cena zamrożona przy kliknięciu zamówienia; kupno 100 drewna nie podnosi ceny kamienia.</t>
  </si>
  <si>
    <t xml:space="preserve">Tempo załogi jak w magazynie, premium jak w magazynie </t>
  </si>
  <si>
    <t xml:space="preserve">Budynki!wiersz 15; potwierdzenia w Odpowiedzi i zmiany</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</si>
  <si>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</si>
  <si>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</si>
  <si>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</si>
  <si>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 transportu + 3T × (N − 1) budowy; N = nowy poziom. Łącznie: 4T, 7T, 10T…</t>
  </si>
  <si>
    <t xml:space="preserve">ZAWSZE: ukończenie budowy. Wcześniej także zlecenie/start/dostawa. Uruchomienie premii i ręczne błogosławieństwo. Premie/kary: powiadomienie przy aktywacji, zmianie i końcu oraz aktywna lista u góry Town Hall.</t>
  </si>
  <si>
    <t xml:space="preserve">Budynki!wiersz 16; potwierdzenia w Odpowiedzi i zmiany</t>
  </si>
  <si>
    <t xml:space="preserve">Daje premie szczęścia i produkcji po ukończeniu poziomu.</t>
  </si>
  <si>
    <t xml:space="preserve">Rozbudowa: szczęście 100% i produkcja ×2 przez 24 h × nowy poziom; podatki bez mnożnika. Premie od powrotu: uczestnik 100% na 24 h i blokada ponownej wizyty przez te same 24 h; każda osobno wysłana grupa daje populacji +10 pp przez 6 h. Premie grup sumują się w czasie nakładania.</t>
  </si>
  <si>
    <t xml:space="preserve">500×max(1, L) KAŻDEGO z 6 zasobów. Pierwsza budowa 0→1:500 każdego.</t>
  </si>
  <si>
    <t xml:space="preserve">5T = T transportu + 4T budowy</t>
  </si>
  <si>
    <t xml:space="preserve">ZAWSZE: ukończenie budowy. Wcześniej także zlecenie/start/dostawa. Uruchomienie premii latarni. Premie/kary: powiadomienie przy aktywacji, zmianie i końcu oraz aktywna lista u góry Town Hall.</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</si>
  <si>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Po premii powrót do wcześniejszego osobistego stanu. Każdy nowy mieszkaniec ma zamrożone 0% szczęścia przez pierwsze 24 h, również podczas premii; później zwykłe naliczanie od 0%. Początkowych 12 osób nie obejmuje zamrożenie.</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</si>
  <si>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</si>
  <si>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</si>
  <si>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</si>
  <si>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</si>
  <si>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</si>
  <si>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</si>
  <si>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</si>
  <si>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</si>
  <si>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Odejście, nigdy śmierć; nowy mieszkaniec zawsze w domu. Premie/kary: powiadomienie przy aktywacji, zmianie i końcu oraz aktywna lista u góry Town Hall.</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</si>
  <si>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</si>
  <si>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</si>
  <si>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</si>
  <si>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</si>
  <si>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</si>
  <si>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</si>
  <si>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Pełne zasady człowieka po 17 decyzjach: indywidualne szczęście, praca i podatek od dotarcia, brak bonusu pracy przy przestoju, osobne kary, pula domu, zwiedzanie, zamrożenie nowych osób i gospodarka offline. V8 dodaje czasowe atrakcje dla wybranych osób; podatki nadal naliczane, ich informacji nie pokazujemy w UI. Workers ma podpisane Assigned / Free at home / Max workers.</t>
  </si>
  <si>
    <t xml:space="preserve">Stan / obszar</t>
  </si>
  <si>
    <t xml:space="preserve">Zasada</t>
  </si>
  <si>
    <t xml:space="preserve">Wzór / liczby</t>
  </si>
  <si>
    <t xml:space="preserve">Konsekwencje</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</si>
  <si>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</si>
  <si>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</si>
  <si>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</si>
  <si>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</si>
  <si>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</si>
  <si>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</si>
  <si>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</si>
  <si>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</si>
  <si>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</si>
  <si>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</si>
  <si>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</si>
  <si>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</si>
  <si>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</si>
  <si>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</si>
  <si>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</si>
  <si>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</si>
  <si>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</si>
  <si>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</si>
  <si>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</si>
  <si>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</si>
  <si>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</si>
  <si>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</si>
  <si>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Potwierdzone minimum i próg ratunkowego transportu:50 × poziom magazynu. Przy gotowym Food w młynie nie można ręcznie wycofać wszystkich magazynierów, gdy centrala jest poniżej minimum.</t>
  </si>
  <si>
    <t xml:space="preserve">ROZSTRZYGNIĘTE V5</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</si>
  <si>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</si>
  <si>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</si>
  <si>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</si>
  <si>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</si>
  <si>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</si>
  <si>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</si>
  <si>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</si>
  <si>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</si>
  <si>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</si>
  <si>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</si>
  <si>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</si>
  <si>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</si>
  <si>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</si>
  <si>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wejścia lub miejsca powoduje przestój i karę według reguły przestoju; przypisani pracownicy nadal płacą podatek. Nie dokładamy drugiej kary bezrobocia za tę samą blokadę.</t>
  </si>
  <si>
    <t xml:space="preserve">DOPRECYZOWANE V5</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</si>
  <si>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</si>
  <si>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</si>
  <si>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 Ścieżki po ukończeniu całego poziomu zwiększają szybkość; od poziomu 3 również ładunek.</t>
  </si>
  <si>
    <t xml:space="preserve">POTWIERDZONE V7: FLOOR(60 × 1,1^(L−1))</t>
  </si>
  <si>
    <t xml:space="preserve">Podatek przy pracy</t>
  </si>
  <si>
    <t xml:space="preserve">Podatek zaczyna się po dojściu do zakładu i płynie także podczas przestoju, dopóki osoba pozostaje przypisana. Bezrobotny, idący do pracy, wracający i zwiedzający nie płaci.</t>
  </si>
  <si>
    <t xml:space="preserve">1 moneta/os./h zegarowej; podczas premii kaplicy 2.</t>
  </si>
  <si>
    <t xml:space="preserve">Brak surowca lub miejsca nie zatrzymuje podatku. Kara przestoju obniża szczęście przypisanych osób. Premia kaplicy nadal podwaja podatek. V8: wartość i opis podatku ukryte we wszystkich widokach gry; to zmiana prezentacji, nie rachunku.</t>
  </si>
  <si>
    <t xml:space="preserve">POTWIERDZONE V5</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</si>
  <si>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</si>
  <si>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</si>
  <si>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</si>
  <si>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</si>
  <si>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</si>
  <si>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</si>
  <si>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</si>
  <si>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</si>
  <si>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</si>
  <si>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</si>
  <si>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</si>
  <si>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</si>
  <si>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</si>
  <si>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</si>
  <si>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</si>
  <si>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</si>
  <si>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</si>
  <si>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</si>
  <si>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</si>
  <si>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</si>
  <si>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</si>
  <si>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</si>
  <si>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</si>
  <si>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</si>
  <si>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</si>
  <si>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</si>
  <si>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</si>
  <si>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</si>
  <si>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braku nie zwraca utraconego szczęścia. Oddzielny licznik przestoju resetuje się w drodze do domu. Nie oznacza to resetu osobistego szczęścia do 0%.</t>
  </si>
  <si>
    <t xml:space="preserve">UZUPEŁNIONE V5</t>
  </si>
  <si>
    <t xml:space="preserve">Droga do pracy</t>
  </si>
  <si>
    <t xml:space="preserve">Po wysłaniu do nowego miejsca pracy osoba idzie przez ustalony czas.</t>
  </si>
  <si>
    <t xml:space="preserve">5 min do pracy.</t>
  </si>
  <si>
    <t xml:space="preserve">Praca i podatek zaczynają się dopiero po dotarciu do zakładu. W drodze osoba nie produkuje ani nie płaci podatku.</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</si>
  <si>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</si>
  <si>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</si>
  <si>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</si>
  <si>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</si>
  <si>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</si>
  <si>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Przypisane osoby płacą podatek i otrzymują jedną karę przestoju według reguły poniżej.</t>
  </si>
  <si>
    <t xml:space="preserve">−10 od początku blokady; kolejne−10 co 24 h; granica−50 z tego tytułu.</t>
  </si>
  <si>
    <t xml:space="preserve">ROZSTRZYGNIĘTE V7 D14</t>
  </si>
  <si>
    <t xml:space="preserve">Blokada lokalnego magazynu</t>
  </si>
  <si>
    <t xml:space="preserve">Kara dotyczy tylko przypisanych ludzi w przedsiębiorstwie i tylko okresu, gdy lokalny bufor faktycznie blokuje produkcję.</t>
  </si>
  <si>
    <t xml:space="preserve">−10 od razu; po 24 h −20, 48 h −30, 72 h −40, 96 h i dalej −50.</t>
  </si>
  <si>
    <t xml:space="preserve">Limit −50 dotyczy wyłącznie tej kary; np. −40 z innych przyczyn i −20 za przestój daje −60%.</t>
  </si>
  <si>
    <t xml:space="preserve">ROZSTRZYGNIĘTE V7</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</si>
  <si>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</si>
  <si>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</si>
  <si>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</si>
  <si>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</si>
  <si>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</si>
  <si>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</si>
  <si>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</si>
  <si>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</si>
  <si>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</si>
  <si>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</si>
  <si>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Bezpłatne użycia zależne od poziomu pozostają. Reklamy, challenge i social odłożone.</t>
  </si>
  <si>
    <t xml:space="preserve">ROZSTRZYGNIĘTE V7 D15</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</si>
  <si>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</si>
  <si>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</si>
  <si>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</si>
  <si>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Po zakończeniu wymuszonej premii przywracamy osobisty stan sprzed niej. Każdy nowy mieszkaniec ma zamrożone 0% szczęścia przez pierwsze 24 h, również podczas premii; później zwykłe naliczanie od 0%. Początkowych 12 osób nie obejmuje zamrożenie.</t>
  </si>
  <si>
    <t xml:space="preserve">Latarnia: zwiedzanie</t>
  </si>
  <si>
    <t xml:space="preserve">Pobyt 4 h, bez czasu dojścia i możliwości wycofania. Wyłącznie wolne osoby z domu; jednocześnie 2 × poziom latarni miejsc. Zwiedzający nie produkuje, nie płaci podatku i je normalnie.</t>
  </si>
  <si>
    <t xml:space="preserve">ROZSTRZYGNIĘTE V7 D01–D02</t>
  </si>
  <si>
    <t xml:space="preserve">Średnia i prezentacja</t>
  </si>
  <si>
    <t xml:space="preserve">Osobiste wartości ograniczamy do −100…+100%, następnie liczymy średnią populacji.</t>
  </si>
  <si>
    <t xml:space="preserve">H wyspy = suma H osób / populacja.</t>
  </si>
  <si>
    <t xml:space="preserve">Prezentacja zaokrąglona w górę, rachunek na dokładnych wartościach. Po wymuszonej premii latarni wracamy do stanu sprzed niej.</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</si>
  <si>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</si>
  <si>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</si>
  <si>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</si>
  <si>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</si>
  <si>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</si>
  <si>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Nowa osoba trafia do domu bez automatycznego przydziału.</t>
  </si>
  <si>
    <t xml:space="preserve">Konsumpcja i praca działają także w pierwszej dobie; zamrożone jest wyłącznie H. Po zakończeniu nie naliczamy szczęścia wstecz za okres zamrożenia.</t>
  </si>
  <si>
    <t xml:space="preserve">ROZSTRZYGNIĘTE V7 D13</t>
  </si>
  <si>
    <t xml:space="preserve">Odejście mieszkańca</t>
  </si>
  <si>
    <t xml:space="preserve">Najpierw odchodzą osoby z domu. Jeśli ich brak, z gospodarstwa o największej obsadzie.</t>
  </si>
  <si>
    <t xml:space="preserve">Najpierw dom i ludzie w drodze; potem największa załoga. Remis: port → targ → tartak → kamieniołom → drwale → farma → młyn → magazyn. Zwiedzający i uczestnicy modlitwy chronieni; jeżeli brak osoby uprawnionej, odejście nie zachodzi. Minimum 6.</t>
  </si>
  <si>
    <t xml:space="preserve">Przymusowe odejście i zakaz ręcznego wycofania ostatniego tragarza to odrębne reguły. Załadowany towar nie znika z mieszkańcem.</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</si>
  <si>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</si>
  <si>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</si>
  <si>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</si>
  <si>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Usunąć stop/play/przewijanie; normalny czas rzeczywisty oraz rozliczanie offline.</t>
  </si>
  <si>
    <t xml:space="preserve">POTWIERDZONE V7</t>
  </si>
  <si>
    <t xml:space="preserve">Ranking</t>
  </si>
  <si>
    <t xml:space="preserve">Ranking w ustawieniach według poziomu i posiadanych monet.</t>
  </si>
  <si>
    <t xml:space="preserve">Wynik = poziom ratusza × ilość złota.</t>
  </si>
  <si>
    <t xml:space="preserve">Aktualizacja o każdej pełnej godzinie zegarowej według zastanego stanu. Remisy nie są opisane.</t>
  </si>
  <si>
    <t xml:space="preserve">CZĘSTOTLIWOŚĆ POTWIERDZONA V5</t>
  </si>
  <si>
    <t xml:space="preserve">Pula szczęścia domu</t>
  </si>
  <si>
    <t xml:space="preserve">Pełne pp; odnowienie 24 h, automat 23 h 58 min.</t>
  </si>
  <si>
    <t xml:space="preserve">Nie kasuje przyczyn kar. Każdy nowy mieszkaniec ma zamrożone 0% szczęścia przez pierwsze 24 h, również podczas premii; później zwykłe naliczanie od 0%. Początkowych 12 osób nie obejmuje zamrożenie.</t>
  </si>
  <si>
    <t xml:space="preserve">ROZSTRZYGNIĘTE V7 D03–D04</t>
  </si>
  <si>
    <t xml:space="preserve">Każdy zakup dodaje czasową premię wybranym mieszkańcom, nie całej średniej automatycznie.</t>
  </si>
  <si>
    <t xml:space="preserve">Y×współczynnik pp dla L osób przez 6 h; L=aktualny poziom ratusza.</t>
  </si>
  <si>
    <t xml:space="preserve">Przyzwyczajanie osobno; limit osobistego H nadal100; zamrożenie nowej osoby zachowane.</t>
  </si>
  <si>
    <t xml:space="preserve">POTWIERDZONE V8</t>
  </si>
  <si>
    <t xml:space="preserve">Informacja o efektach</t>
  </si>
  <si>
    <t xml:space="preserve">Wszystkie aktywne premie i kary mają źródło, wartość, odbiorców i czas/warunek zakończenia.</t>
  </si>
  <si>
    <t xml:space="preserve">Powiadomienia + góra Town Hall.</t>
  </si>
  <si>
    <t xml:space="preserve">Wpis na zmianę stanu, nie co klatkę.</t>
  </si>
  <si>
    <t xml:space="preserve">ATRAKCJE • 20 dekoracji i wydarzeń</t>
  </si>
  <si>
    <t xml:space="preserve">Pięć ofert zmienia się co 24 h. Y jest całkowite od 5 do 100 i zapisane w ofercie. Cena: Y × bieżący poziom ratusza L. Premia: Y × współczynnik przyzwyczajenia pp dla L osób przez 6 h. Każdy rodzaj ma osobny licznik; reset po 24 h bez jego zakupu. Przy zerowej premii zakup zablokowany.</t>
  </si>
  <si>
    <t xml:space="preserve">Nazwa w grze</t>
  </si>
  <si>
    <t xml:space="preserve">Typ</t>
  </si>
  <si>
    <t xml:space="preserve">Cena</t>
  </si>
  <si>
    <t xml:space="preserve">Efekt</t>
  </si>
  <si>
    <t xml:space="preserve">Czas</t>
  </si>
  <si>
    <t xml:space="preserve">flower-beds</t>
  </si>
  <si>
    <t xml:space="preserve">Flower beds</t>
  </si>
  <si>
    <t xml:space="preserve">Rabaty kwiatowe</t>
  </si>
  <si>
    <t xml:space="preserve">Dekoracja</t>
  </si>
  <si>
    <t xml:space="preserve">Y × L monet</t>
  </si>
  <si>
    <t xml:space="preserve">Y × współczynnik pp dla L osób</t>
  </si>
  <si>
    <t xml:space="preserve">100% →75% →50% →25% →0%; osobny reset 24 h</t>
  </si>
  <si>
    <t xml:space="preserve">village-benches</t>
  </si>
  <si>
    <t xml:space="preserve">Village benches</t>
  </si>
  <si>
    <t xml:space="preserve">Ławki we wsi</t>
  </si>
  <si>
    <t xml:space="preserve">lantern-strings</t>
  </si>
  <si>
    <t xml:space="preserve">Lantern strings</t>
  </si>
  <si>
    <t xml:space="preserve">Girlandy lampionów</t>
  </si>
  <si>
    <t xml:space="preserve">harbor-flags</t>
  </si>
  <si>
    <t xml:space="preserve">Harbor flags</t>
  </si>
  <si>
    <t xml:space="preserve">Flagi przystani</t>
  </si>
  <si>
    <t xml:space="preserve">village-fountain</t>
  </si>
  <si>
    <t xml:space="preserve">Village fountain</t>
  </si>
  <si>
    <t xml:space="preserve">Fontanna wiejska</t>
  </si>
  <si>
    <t xml:space="preserve">garden-pond</t>
  </si>
  <si>
    <t xml:space="preserve">Garden pond</t>
  </si>
  <si>
    <t xml:space="preserve">Oczko ogrodowe</t>
  </si>
  <si>
    <t xml:space="preserve">wooden-sculptures</t>
  </si>
  <si>
    <t xml:space="preserve">Wooden sculptures</t>
  </si>
  <si>
    <t xml:space="preserve">Drewniane rzeźby</t>
  </si>
  <si>
    <t xml:space="preserve">seaside-mural</t>
  </si>
  <si>
    <t xml:space="preserve">Seaside mural</t>
  </si>
  <si>
    <t xml:space="preserve">Mural nad morzem</t>
  </si>
  <si>
    <t xml:space="preserve">lighthouse-garden</t>
  </si>
  <si>
    <t xml:space="preserve">Lighthouse garden</t>
  </si>
  <si>
    <t xml:space="preserve">Ogród przy latarni</t>
  </si>
  <si>
    <t xml:space="preserve">ornamental-sails</t>
  </si>
  <si>
    <t xml:space="preserve">Ornamental sails</t>
  </si>
  <si>
    <t xml:space="preserve">Ozdobne żagle</t>
  </si>
  <si>
    <t xml:space="preserve">travelling-circus</t>
  </si>
  <si>
    <t xml:space="preserve">Travelling circus</t>
  </si>
  <si>
    <t xml:space="preserve">Wędrowny cyrk</t>
  </si>
  <si>
    <t xml:space="preserve">Wydarzenie</t>
  </si>
  <si>
    <t xml:space="preserve">theatre-troupe</t>
  </si>
  <si>
    <t xml:space="preserve">Theatre troupe</t>
  </si>
  <si>
    <t xml:space="preserve">Grupa teatralna</t>
  </si>
  <si>
    <t xml:space="preserve">folk-concert</t>
  </si>
  <si>
    <t xml:space="preserve">Folk concert</t>
  </si>
  <si>
    <t xml:space="preserve">Koncert ludowy</t>
  </si>
  <si>
    <t xml:space="preserve">puppet-show</t>
  </si>
  <si>
    <t xml:space="preserve">Puppet show</t>
  </si>
  <si>
    <t xml:space="preserve">Teatr lalek</t>
  </si>
  <si>
    <t xml:space="preserve">harvest-festival</t>
  </si>
  <si>
    <t xml:space="preserve">Harvest festival</t>
  </si>
  <si>
    <t xml:space="preserve">Dożynki</t>
  </si>
  <si>
    <t xml:space="preserve">fishing-contest</t>
  </si>
  <si>
    <t xml:space="preserve">Fishing contest</t>
  </si>
  <si>
    <t xml:space="preserve">Zawody wędkarskie</t>
  </si>
  <si>
    <t xml:space="preserve">storytelling-evening</t>
  </si>
  <si>
    <t xml:space="preserve">Storytelling evening</t>
  </si>
  <si>
    <t xml:space="preserve">Wieczór opowieści</t>
  </si>
  <si>
    <t xml:space="preserve">village-dance</t>
  </si>
  <si>
    <t xml:space="preserve">Village dance</t>
  </si>
  <si>
    <t xml:space="preserve">Wiejska potańcówka</t>
  </si>
  <si>
    <t xml:space="preserve">fireworks-night</t>
  </si>
  <si>
    <t xml:space="preserve">Fireworks night</t>
  </si>
  <si>
    <t xml:space="preserve">Noc fajerwerków</t>
  </si>
  <si>
    <t xml:space="preserve">harbor-fair</t>
  </si>
  <si>
    <t xml:space="preserve">Harbor fair</t>
  </si>
  <si>
    <t xml:space="preserve">Jarmark portowy</t>
  </si>
  <si>
    <t xml:space="preserve">ATRAKCJE • cena i przyzwyczajanie</t>
  </si>
  <si>
    <t xml:space="preserve">Niebieskie pola A/B/C: poziom ratusza L, ofertowe Y i numer użycia. F zawiera dokładny składnik szczęścia; G prezentację w pełnych pp, zaokrągloną w górę. Osobiste H nadal ograniczamy do ±100%. Wiersze są niezależnymi przykładami, a nie cenami jednej oferty.</t>
  </si>
  <si>
    <t xml:space="preserve">Ratusz L</t>
  </si>
  <si>
    <t xml:space="preserve">Y</t>
  </si>
  <si>
    <t xml:space="preserve">Użycie typu</t>
  </si>
  <si>
    <t xml:space="preserve">Współczynnik</t>
  </si>
  <si>
    <t xml:space="preserve">Cena nominalna</t>
  </si>
  <si>
    <t xml:space="preserve">Dokładna premia pp</t>
  </si>
  <si>
    <t xml:space="preserve">Prezentacja pp</t>
  </si>
  <si>
    <t xml:space="preserve">Maks.osób</t>
  </si>
  <si>
    <t xml:space="preserve">Czas h</t>
  </si>
  <si>
    <t xml:space="preserve">Dostępność</t>
  </si>
  <si>
    <t xml:space="preserve">Uwagi</t>
  </si>
  <si>
    <t xml:space="preserve">Każdy rodzaj ma osobny licznik; każdy zakup ma własne 6 h. Przy zerowej skuteczności nominalna cena z E nie jest pobierana.</t>
  </si>
  <si>
    <t xml:space="preserve">ŚCIEŻKI • 100 odcinków, poziomy 0–5</t>
  </si>
  <si>
    <t xml:space="preserve">Na starcie jest 100 odcinków na poziomie 0. Kliknięcie ulepsza jeden odcinek o jeden poziom za 100 kamienia. Poziom N jest dostępny dopiero, gdy wszystkie odcinki mają N−1. Ukończony poziom to minimum poziomów wszystkich odcinków; dopiero wtedy działa premia. Drogi nie dodają pasywnego szczęścia.</t>
  </si>
  <si>
    <t xml:space="preserve">Ukończony poziom</t>
  </si>
  <si>
    <t xml:space="preserve">Odcinki ukończone</t>
  </si>
  <si>
    <t xml:space="preserve">Cena kroku</t>
  </si>
  <si>
    <t xml:space="preserve">Koszt całego poziomu</t>
  </si>
  <si>
    <t xml:space="preserve">Koszt od 0</t>
  </si>
  <si>
    <t xml:space="preserve">Bonus szybkości</t>
  </si>
  <si>
    <t xml:space="preserve">Mnożnik szybkości</t>
  </si>
  <si>
    <t xml:space="preserve">Bonus ładunku</t>
  </si>
  <si>
    <t xml:space="preserve">Mnożnik ładunku</t>
  </si>
  <si>
    <t xml:space="preserve">Kurs bazowy s</t>
  </si>
  <si>
    <t xml:space="preserve">Warunek</t>
  </si>
  <si>
    <t xml:space="preserve">Premia po ukończeniu 100/100 tego poziomu. Zakup następnego poziomu wymaga pełnej setki poprzedniego.</t>
  </si>
  <si>
    <t xml:space="preserve">ŚCIEŻKI • działanie na czas i ładunek</t>
  </si>
  <si>
    <t xml:space="preserve">Ładunek = FLOOR(FLOOR(60 × 1,1^(własny L−1)) × mnożnik dróg). Czas kursu = 300 / (1 + 0,1 × poziom dróg). Głód osobno zmniejsza szybkość do połowy. B to poziom dróg, A to własny poziom miejsca pracy. Cena Premium nadal wynosi 10 monet za potrzebny kurs.</t>
  </si>
  <si>
    <t xml:space="preserve">Własny L</t>
  </si>
  <si>
    <t xml:space="preserve">Drogi 0…5</t>
  </si>
  <si>
    <t xml:space="preserve">Bazowy ładunek</t>
  </si>
  <si>
    <t xml:space="preserve">Mnożnik dróg</t>
  </si>
  <si>
    <t xml:space="preserve">Ładunek wynik</t>
  </si>
  <si>
    <t xml:space="preserve">Kurs nakarmiony s</t>
  </si>
  <si>
    <t xml:space="preserve">Kurs głodny s</t>
  </si>
  <si>
    <t xml:space="preserve">Towar do przewozu</t>
  </si>
  <si>
    <t xml:space="preserve">Transport s</t>
  </si>
  <si>
    <t xml:space="preserve">Premium monety</t>
  </si>
  <si>
    <t xml:space="preserve">Założenia</t>
  </si>
  <si>
    <t xml:space="preserve">Jedna osoba, jeden rodzaj towaru, 100 gotowych sztuk, bez konkurujących kursów. Rejs statku i droga do pracy nie są skracane.</t>
  </si>
  <si>
    <t xml:space="preserve">EFEKTY • powiadomienia i góra Town Hall</t>
  </si>
  <si>
    <t xml:space="preserve">Każdy efekt ma źródło, wartość, odbiorców oraz czas albo warunek zakończenia. Powiadomienia pojawiają się przy aktywacji, zmianie i końcu, bez powtórzeń przy odświeżaniu. Ratusz pokazuje aktywne efekty; jednorazowe zdarzenia pozostają w historii. Informacji o podatkach nie pokazujemy w UI.</t>
  </si>
  <si>
    <t xml:space="preserve">Źródło</t>
  </si>
  <si>
    <t xml:space="preserve">Wartość / skutek</t>
  </si>
  <si>
    <t xml:space="preserve">Kogo dotyczy</t>
  </si>
  <si>
    <t xml:space="preserve">Czas / koniec</t>
  </si>
  <si>
    <t xml:space="preserve">Powiadomienie</t>
  </si>
  <si>
    <t xml:space="preserve">Widoczność</t>
  </si>
  <si>
    <t xml:space="preserve">+1 pp/os./h</t>
  </si>
  <si>
    <t xml:space="preserve">Najedzeni mieszkańcy</t>
  </si>
  <si>
    <t xml:space="preserve">Dopóki mają posiłek</t>
  </si>
  <si>
    <t xml:space="preserve">Zmiana stanu karmienia</t>
  </si>
  <si>
    <t xml:space="preserve">Tak; bez informacji podatkowych</t>
  </si>
  <si>
    <t xml:space="preserve">Praca</t>
  </si>
  <si>
    <t xml:space="preserve">Osoby po dotarciu, faktycznie pracujące</t>
  </si>
  <si>
    <t xml:space="preserve">Dopóki pracują bez blokady</t>
  </si>
  <si>
    <t xml:space="preserve">Start, koniec lub zmiana liczby osób</t>
  </si>
  <si>
    <t xml:space="preserve">Tak</t>
  </si>
  <si>
    <t xml:space="preserve">Głód</t>
  </si>
  <si>
    <t xml:space="preserve">Po 12 h: −5 pp/os./h; wydajność od razu ×0,5</t>
  </si>
  <si>
    <t xml:space="preserve">Głodni mieszkańcy; zamrożenie H zachowane</t>
  </si>
  <si>
    <t xml:space="preserve">Do posiłku; licznik głodu jest resetowany</t>
  </si>
  <si>
    <t xml:space="preserve">Początek, próg kary, koniec</t>
  </si>
  <si>
    <t xml:space="preserve">Bezrobocie</t>
  </si>
  <si>
    <t xml:space="preserve">Po 12 h: −5 pp/os./h</t>
  </si>
  <si>
    <t xml:space="preserve">Niepracujący; oddzielny licznik</t>
  </si>
  <si>
    <t xml:space="preserve">Do podjęcia pracy</t>
  </si>
  <si>
    <t xml:space="preserve">−10 pp od razu, potem −10 co 24 h; minimum −50 tego składnika</t>
  </si>
  <si>
    <t xml:space="preserve">Przypisani do zablokowanego producenta</t>
  </si>
  <si>
    <t xml:space="preserve">Do odblokowania lub zwolnienia</t>
  </si>
  <si>
    <t xml:space="preserve">Zmiana blokady albo stopnia kary</t>
  </si>
  <si>
    <t xml:space="preserve">−1 pp/os./h za każdą osobę bez łóżka</t>
  </si>
  <si>
    <t xml:space="preserve">Do zapewnienia miejsc; zależne od braków</t>
  </si>
  <si>
    <t xml:space="preserve">Początek, zmiana liczby braków, koniec</t>
  </si>
  <si>
    <t xml:space="preserve">Pula domu</t>
  </si>
  <si>
    <t xml:space="preserve">Ręczny przydział dodatnich pp; automat reszty po 23 h 58 min</t>
  </si>
  <si>
    <t xml:space="preserve">Wybrani / najmniej szczęśliwi</t>
  </si>
  <si>
    <t xml:space="preserve">Punkty trwałe, pula odnawiana co 24 h</t>
  </si>
  <si>
    <t xml:space="preserve">Przydział, automat, odnowienie</t>
  </si>
  <si>
    <t xml:space="preserve">Zdarzenia w historii; bez fikcyjnego czasu wygaśnięcia</t>
  </si>
  <si>
    <t xml:space="preserve">Kaplica: rozbudowa</t>
  </si>
  <si>
    <t xml:space="preserve">+10 × osiągnięty poziom pp</t>
  </si>
  <si>
    <t xml:space="preserve">Populacja</t>
  </si>
  <si>
    <t xml:space="preserve">10 h</t>
  </si>
  <si>
    <t xml:space="preserve">Początek, odświeżenie, koniec</t>
  </si>
  <si>
    <t xml:space="preserve">Tak; podatki mechanicznie ×2, lecz opis ukryty w UI</t>
  </si>
  <si>
    <t xml:space="preserve">+50 każdego zasobu oraz +20 pp</t>
  </si>
  <si>
    <t xml:space="preserve">1 h; kolejne płatne 4 h po końcu</t>
  </si>
  <si>
    <t xml:space="preserve">Początek, koniec</t>
  </si>
  <si>
    <t xml:space="preserve">Latarnia: rozbudowa</t>
  </si>
  <si>
    <t xml:space="preserve">100% H i produkcja materiałów ×2</t>
  </si>
  <si>
    <t xml:space="preserve">Populacja; nowe osoby nadal 0% przez 24 h</t>
  </si>
  <si>
    <t xml:space="preserve">24 h × osiągnięty poziom</t>
  </si>
  <si>
    <t xml:space="preserve">Latarnia: uczestnik wizyty</t>
  </si>
  <si>
    <t xml:space="preserve">100% H</t>
  </si>
  <si>
    <t xml:space="preserve">Uczestnicy po powrocie</t>
  </si>
  <si>
    <t xml:space="preserve">24 h od powrotu; wizyta trwa 4 h</t>
  </si>
  <si>
    <t xml:space="preserve">Powrót, koniec</t>
  </si>
  <si>
    <t xml:space="preserve">Latarnia: premia grupy</t>
  </si>
  <si>
    <t xml:space="preserve">+10 pp dla populacji</t>
  </si>
  <si>
    <t xml:space="preserve">6 h od powrotu każdej grupy</t>
  </si>
  <si>
    <t xml:space="preserve">Każdy powrót i koniec premii grupy</t>
  </si>
  <si>
    <t xml:space="preserve">Tak; niezależne premie grup sumują się</t>
  </si>
  <si>
    <t xml:space="preserve">Atrakcja</t>
  </si>
  <si>
    <t xml:space="preserve">Y × współczynnik przyzwyczajenia pp</t>
  </si>
  <si>
    <t xml:space="preserve">L wybranych mieszkańców</t>
  </si>
  <si>
    <t xml:space="preserve">6 h, osobno dla każdego zakupu</t>
  </si>
  <si>
    <t xml:space="preserve">Przyzwyczajenie</t>
  </si>
  <si>
    <t xml:space="preserve">100 / 75 / 50 / 25 / 0% początkowej skuteczności</t>
  </si>
  <si>
    <t xml:space="preserve">Konkretny rodzaj atrakcji</t>
  </si>
  <si>
    <t xml:space="preserve">Reset po 24 h bez jej zakupu</t>
  </si>
  <si>
    <t xml:space="preserve">Zmiana stopnia, reset</t>
  </si>
  <si>
    <t xml:space="preserve">Parametr oferty, nie dodatkowa osobna kara H</t>
  </si>
  <si>
    <t xml:space="preserve">Ścieżki: szybkość</t>
  </si>
  <si>
    <t xml:space="preserve">+10% za ukończony poziom</t>
  </si>
  <si>
    <t xml:space="preserve">Tragarze magazynu, targu i portu</t>
  </si>
  <si>
    <t xml:space="preserve">Bezterminowo</t>
  </si>
  <si>
    <t xml:space="preserve">Ukończenie 100/100 poziomu</t>
  </si>
  <si>
    <t xml:space="preserve">Ścieżki: ładunek</t>
  </si>
  <si>
    <t xml:space="preserve">Poziom 3: +10%, 4: +20%, 5: +30%</t>
  </si>
  <si>
    <t xml:space="preserve">Ukończenie całego poziomu</t>
  </si>
  <si>
    <t xml:space="preserve">Premia reakcji zadania</t>
  </si>
  <si>
    <t xml:space="preserve">×3 przed 15 s; ×2 przed 5 min; później ×1</t>
  </si>
  <si>
    <t xml:space="preserve">Nagroda przyjętego zadania</t>
  </si>
  <si>
    <t xml:space="preserve">Do sukcesu albo wygaśnięcia</t>
  </si>
  <si>
    <t xml:space="preserve">Utrwalenie i zakończenie</t>
  </si>
  <si>
    <t xml:space="preserve">Share zadania</t>
  </si>
  <si>
    <t xml:space="preserve">+500 monet, jeden raz</t>
  </si>
  <si>
    <t xml:space="preserve">Skarbiec gracza</t>
  </si>
  <si>
    <t xml:space="preserve">Jednorazowe zdarzenie</t>
  </si>
  <si>
    <t xml:space="preserve">Po skutecznym kliknięciu Share</t>
  </si>
  <si>
    <t xml:space="preserve">Powiadomienie; nie jest pasywnym efektem</t>
  </si>
  <si>
    <t xml:space="preserve">Wygaśnięcie zadania</t>
  </si>
  <si>
    <t xml:space="preserve">Utrata nieodwracalnych wpłat</t>
  </si>
  <si>
    <t xml:space="preserve">Zadanie</t>
  </si>
  <si>
    <t xml:space="preserve">W chwili terminu</t>
  </si>
  <si>
    <t xml:space="preserve">Raz na wygasłe ID</t>
  </si>
  <si>
    <t xml:space="preserve">SPRAWDZENIA V8 • przeliczone przykłady</t>
  </si>
  <si>
    <t xml:space="preserve">TRUE w kolumnie D oznacza zgodność wyniku formuły z niezależnie obliczoną wartością oczekiwaną. Przed publikacją wszystkie formuły przeliczono w LibreOffice. Walidator sprawdza brak błędów i pustych wyników, zachowanie komentarzy i źródeł oraz niezmienioną sumę SHA-256 pliku V7.</t>
  </si>
  <si>
    <t xml:space="preserve">Sprawdzenie</t>
  </si>
  <si>
    <t xml:space="preserve">Wynik formuły</t>
  </si>
  <si>
    <t xml:space="preserve">Oczekiwane</t>
  </si>
  <si>
    <t xml:space="preserve">Zgodne</t>
  </si>
  <si>
    <t xml:space="preserve">Źródło V7 — liczba osób</t>
  </si>
  <si>
    <t xml:space="preserve">Własny limit pracy</t>
  </si>
  <si>
    <t xml:space="preserve">Podatek — silnik bez zmiany</t>
  </si>
  <si>
    <t xml:space="preserve">UIbez podatków, rachunek nadal 1 moneta.</t>
  </si>
  <si>
    <t xml:space="preserve">Premia Share 500</t>
  </si>
  <si>
    <t xml:space="preserve">Katalog 20</t>
  </si>
  <si>
    <t xml:space="preserve">Widoczne oferty 5</t>
  </si>
  <si>
    <t xml:space="preserve">Rotacja 24 h</t>
  </si>
  <si>
    <t xml:space="preserve">Przerwa 24 h</t>
  </si>
  <si>
    <t xml:space="preserve">Premia 6 h</t>
  </si>
  <si>
    <t xml:space="preserve">Drogi 0:szybkość</t>
  </si>
  <si>
    <t xml:space="preserve">Drogi 0:ładunek</t>
  </si>
  <si>
    <t xml:space="preserve">Drogi 0:kosztod 0</t>
  </si>
  <si>
    <t xml:space="preserve">Drogi 1:szybkość</t>
  </si>
  <si>
    <t xml:space="preserve">Drogi 1:ładunek</t>
  </si>
  <si>
    <t xml:space="preserve">Drogi 1:kosztod 0</t>
  </si>
  <si>
    <t xml:space="preserve">Drogi 2:szybkość</t>
  </si>
  <si>
    <t xml:space="preserve">Drogi 2:ładunek</t>
  </si>
  <si>
    <t xml:space="preserve">Drogi 2:kosztod 0</t>
  </si>
  <si>
    <t xml:space="preserve">Drogi 3:szybkość</t>
  </si>
  <si>
    <t xml:space="preserve">Drogi 3:ładunek</t>
  </si>
  <si>
    <t xml:space="preserve">Drogi 3:kosztod 0</t>
  </si>
  <si>
    <t xml:space="preserve">Drogi 4:szybkość</t>
  </si>
  <si>
    <t xml:space="preserve">Drogi 4:ładunek</t>
  </si>
  <si>
    <t xml:space="preserve">Drogi 4:kosztod 0</t>
  </si>
  <si>
    <t xml:space="preserve">Drogi 5:szybkość</t>
  </si>
  <si>
    <t xml:space="preserve">Drogi 5:ładunek</t>
  </si>
  <si>
    <t xml:space="preserve">Drogi 5:kosztod 0</t>
  </si>
  <si>
    <t xml:space="preserve">Wszystkie 5 poziomów — kamień</t>
  </si>
  <si>
    <t xml:space="preserve">Pierwszepoziom+10%nie−10%czasu</t>
  </si>
  <si>
    <t xml:space="preserve">AtrakcjaL1Y5 u 1:cena</t>
  </si>
  <si>
    <t xml:space="preserve">AtrakcjaL1Y5 u 1:premia</t>
  </si>
  <si>
    <t xml:space="preserve">AtrakcjaL1Y5 u 2:cena</t>
  </si>
  <si>
    <t xml:space="preserve">AtrakcjaL1Y5 u 2:premia</t>
  </si>
  <si>
    <t xml:space="preserve">AtrakcjaL1Y5 u 3:cena</t>
  </si>
  <si>
    <t xml:space="preserve">AtrakcjaL1Y5 u 3:premia</t>
  </si>
  <si>
    <t xml:space="preserve">AtrakcjaL1Y5 u 4:cena</t>
  </si>
  <si>
    <t xml:space="preserve">AtrakcjaL1Y5 u 4:premia</t>
  </si>
  <si>
    <t xml:space="preserve">AtrakcjaL1Y5 u 5:cena</t>
  </si>
  <si>
    <t xml:space="preserve">AtrakcjaL1Y5 u 5:premia</t>
  </si>
  <si>
    <t xml:space="preserve">AtrakcjaL1Y25 u 1:cena</t>
  </si>
  <si>
    <t xml:space="preserve">AtrakcjaL1Y25 u 1:premia</t>
  </si>
  <si>
    <t xml:space="preserve">AtrakcjaL1Y25 u 2:cena</t>
  </si>
  <si>
    <t xml:space="preserve">AtrakcjaL1Y25 u 2:premia</t>
  </si>
  <si>
    <t xml:space="preserve">AtrakcjaL1Y25 u 3:cena</t>
  </si>
  <si>
    <t xml:space="preserve">AtrakcjaL1Y25 u 3:premia</t>
  </si>
  <si>
    <t xml:space="preserve">AtrakcjaL1Y25 u 4:cena</t>
  </si>
  <si>
    <t xml:space="preserve">AtrakcjaL1Y25 u 4:premia</t>
  </si>
  <si>
    <t xml:space="preserve">AtrakcjaL1Y25 u 5:cena</t>
  </si>
  <si>
    <t xml:space="preserve">AtrakcjaL1Y25 u 5:premia</t>
  </si>
  <si>
    <t xml:space="preserve">AtrakcjaL1Y50 u 1:cena</t>
  </si>
  <si>
    <t xml:space="preserve">AtrakcjaL1Y50 u 1:premia</t>
  </si>
  <si>
    <t xml:space="preserve">AtrakcjaL1Y50 u 2:cena</t>
  </si>
  <si>
    <t xml:space="preserve">AtrakcjaL1Y50 u 2:premia</t>
  </si>
  <si>
    <t xml:space="preserve">AtrakcjaL1Y50 u 3:cena</t>
  </si>
  <si>
    <t xml:space="preserve">AtrakcjaL1Y50 u 3:premia</t>
  </si>
  <si>
    <t xml:space="preserve">AtrakcjaL1Y50 u 4:cena</t>
  </si>
  <si>
    <t xml:space="preserve">AtrakcjaL1Y50 u 4:premia</t>
  </si>
  <si>
    <t xml:space="preserve">AtrakcjaL1Y50 u 5:cena</t>
  </si>
  <si>
    <t xml:space="preserve">AtrakcjaL1Y50 u 5:premia</t>
  </si>
  <si>
    <t xml:space="preserve">AtrakcjaL1Y100 u 1:cena</t>
  </si>
  <si>
    <t xml:space="preserve">AtrakcjaL1Y100 u 1:premia</t>
  </si>
  <si>
    <t xml:space="preserve">AtrakcjaL1Y100 u 2:cena</t>
  </si>
  <si>
    <t xml:space="preserve">AtrakcjaL1Y100 u 2:premia</t>
  </si>
  <si>
    <t xml:space="preserve">AtrakcjaL1Y100 u 3:cena</t>
  </si>
  <si>
    <t xml:space="preserve">AtrakcjaL1Y100 u 3:premia</t>
  </si>
  <si>
    <t xml:space="preserve">AtrakcjaL1Y100 u 4:cena</t>
  </si>
  <si>
    <t xml:space="preserve">AtrakcjaL1Y100 u 4:premia</t>
  </si>
  <si>
    <t xml:space="preserve">AtrakcjaL1Y100 u 5:cena</t>
  </si>
  <si>
    <t xml:space="preserve">AtrakcjaL1Y100 u 5:premia</t>
  </si>
  <si>
    <t xml:space="preserve">AtrakcjaL2Y5 u 1:cena</t>
  </si>
  <si>
    <t xml:space="preserve">AtrakcjaL2Y5 u 1:premia</t>
  </si>
  <si>
    <t xml:space="preserve">AtrakcjaL2Y5 u 2:cena</t>
  </si>
  <si>
    <t xml:space="preserve">AtrakcjaL2Y5 u 2:premia</t>
  </si>
  <si>
    <t xml:space="preserve">AtrakcjaL2Y5 u 3:cena</t>
  </si>
  <si>
    <t xml:space="preserve">AtrakcjaL2Y5 u 3:premia</t>
  </si>
  <si>
    <t xml:space="preserve">AtrakcjaL2Y5 u 4:cena</t>
  </si>
  <si>
    <t xml:space="preserve">AtrakcjaL2Y5 u 4:premia</t>
  </si>
  <si>
    <t xml:space="preserve">AtrakcjaL2Y5 u 5:cena</t>
  </si>
  <si>
    <t xml:space="preserve">AtrakcjaL2Y5 u 5:premia</t>
  </si>
  <si>
    <t xml:space="preserve">AtrakcjaL2Y25 u 1:cena</t>
  </si>
  <si>
    <t xml:space="preserve">AtrakcjaL2Y25 u 1:premia</t>
  </si>
  <si>
    <t xml:space="preserve">AtrakcjaL2Y25 u 2:cena</t>
  </si>
  <si>
    <t xml:space="preserve">AtrakcjaL2Y25 u 2:premia</t>
  </si>
  <si>
    <t xml:space="preserve">AtrakcjaL2Y25 u 3:cena</t>
  </si>
  <si>
    <t xml:space="preserve">AtrakcjaL2Y25 u 3:premia</t>
  </si>
  <si>
    <t xml:space="preserve">AtrakcjaL2Y25 u 4:cena</t>
  </si>
  <si>
    <t xml:space="preserve">AtrakcjaL2Y25 u 4:premia</t>
  </si>
  <si>
    <t xml:space="preserve">AtrakcjaL2Y25 u 5:cena</t>
  </si>
  <si>
    <t xml:space="preserve">AtrakcjaL2Y25 u 5:premia</t>
  </si>
  <si>
    <t xml:space="preserve">AtrakcjaL2Y50 u 1:cena</t>
  </si>
  <si>
    <t xml:space="preserve">AtrakcjaL2Y50 u 1:premia</t>
  </si>
  <si>
    <t xml:space="preserve">AtrakcjaL2Y50 u 2:cena</t>
  </si>
  <si>
    <t xml:space="preserve">AtrakcjaL2Y50 u 2:premia</t>
  </si>
  <si>
    <t xml:space="preserve">AtrakcjaL2Y50 u 3:cena</t>
  </si>
  <si>
    <t xml:space="preserve">AtrakcjaL2Y50 u 3:premia</t>
  </si>
  <si>
    <t xml:space="preserve">AtrakcjaL2Y50 u 4:cena</t>
  </si>
  <si>
    <t xml:space="preserve">AtrakcjaL2Y50 u 4:premia</t>
  </si>
  <si>
    <t xml:space="preserve">AtrakcjaL2Y50 u 5:cena</t>
  </si>
  <si>
    <t xml:space="preserve">AtrakcjaL2Y50 u 5:premia</t>
  </si>
  <si>
    <t xml:space="preserve">AtrakcjaL2Y100 u 1:cena</t>
  </si>
  <si>
    <t xml:space="preserve">AtrakcjaL2Y100 u 1:premia</t>
  </si>
  <si>
    <t xml:space="preserve">AtrakcjaL2Y100 u 2:cena</t>
  </si>
  <si>
    <t xml:space="preserve">AtrakcjaL2Y100 u 2:premia</t>
  </si>
  <si>
    <t xml:space="preserve">AtrakcjaL2Y100 u 3:cena</t>
  </si>
  <si>
    <t xml:space="preserve">AtrakcjaL2Y100 u 3:premia</t>
  </si>
  <si>
    <t xml:space="preserve">AtrakcjaL2Y100 u 4:cena</t>
  </si>
  <si>
    <t xml:space="preserve">AtrakcjaL2Y100 u 4:premia</t>
  </si>
  <si>
    <t xml:space="preserve">AtrakcjaL2Y100 u 5:cena</t>
  </si>
  <si>
    <t xml:space="preserve">AtrakcjaL2Y100 u 5:premia</t>
  </si>
  <si>
    <t xml:space="preserve">AtrakcjaL3Y5 u 1:cena</t>
  </si>
  <si>
    <t xml:space="preserve">AtrakcjaL3Y5 u 1:premia</t>
  </si>
  <si>
    <t xml:space="preserve">AtrakcjaL3Y5 u 2:cena</t>
  </si>
  <si>
    <t xml:space="preserve">AtrakcjaL3Y5 u 2:premia</t>
  </si>
  <si>
    <t xml:space="preserve">AtrakcjaL3Y5 u 3:cena</t>
  </si>
  <si>
    <t xml:space="preserve">AtrakcjaL3Y5 u 3:premia</t>
  </si>
  <si>
    <t xml:space="preserve">AtrakcjaL3Y5 u 4:cena</t>
  </si>
  <si>
    <t xml:space="preserve">AtrakcjaL3Y5 u 4:premia</t>
  </si>
  <si>
    <t xml:space="preserve">AtrakcjaL3Y5 u 5:cena</t>
  </si>
  <si>
    <t xml:space="preserve">AtrakcjaL3Y5 u 5:premia</t>
  </si>
  <si>
    <t xml:space="preserve">AtrakcjaL3Y25 u 1:cena</t>
  </si>
  <si>
    <t xml:space="preserve">AtrakcjaL3Y25 u 1:premia</t>
  </si>
  <si>
    <t xml:space="preserve">AtrakcjaL3Y25 u 2:cena</t>
  </si>
  <si>
    <t xml:space="preserve">AtrakcjaL3Y25 u 2:premia</t>
  </si>
  <si>
    <t xml:space="preserve">AtrakcjaL3Y25 u 3:cena</t>
  </si>
  <si>
    <t xml:space="preserve">AtrakcjaL3Y25 u 3:premia</t>
  </si>
  <si>
    <t xml:space="preserve">AtrakcjaL3Y25 u 4:cena</t>
  </si>
  <si>
    <t xml:space="preserve">AtrakcjaL3Y25 u 4:premia</t>
  </si>
  <si>
    <t xml:space="preserve">AtrakcjaL3Y25 u 5:cena</t>
  </si>
  <si>
    <t xml:space="preserve">AtrakcjaL3Y25 u 5:premia</t>
  </si>
  <si>
    <t xml:space="preserve">AtrakcjaL3Y50 u 1:cena</t>
  </si>
  <si>
    <t xml:space="preserve">AtrakcjaL3Y50 u 1:premia</t>
  </si>
  <si>
    <t xml:space="preserve">AtrakcjaL3Y50 u 2:cena</t>
  </si>
  <si>
    <t xml:space="preserve">AtrakcjaL3Y50 u 2:premia</t>
  </si>
  <si>
    <t xml:space="preserve">AtrakcjaL3Y50 u 3:cena</t>
  </si>
  <si>
    <t xml:space="preserve">AtrakcjaL3Y50 u 3:premia</t>
  </si>
  <si>
    <t xml:space="preserve">AtrakcjaL3Y50 u 4:cena</t>
  </si>
  <si>
    <t xml:space="preserve">AtrakcjaL3Y50 u 4:premia</t>
  </si>
  <si>
    <t xml:space="preserve">AtrakcjaL3Y50 u 5:cena</t>
  </si>
  <si>
    <t xml:space="preserve">AtrakcjaL3Y50 u 5:premia</t>
  </si>
  <si>
    <t xml:space="preserve">AtrakcjaL3Y100 u 1:cena</t>
  </si>
  <si>
    <t xml:space="preserve">AtrakcjaL3Y100 u 1:premia</t>
  </si>
  <si>
    <t xml:space="preserve">AtrakcjaL3Y100 u 2:cena</t>
  </si>
  <si>
    <t xml:space="preserve">AtrakcjaL3Y100 u 2:premia</t>
  </si>
  <si>
    <t xml:space="preserve">AtrakcjaL3Y100 u 3:cena</t>
  </si>
  <si>
    <t xml:space="preserve">AtrakcjaL3Y100 u 3:premia</t>
  </si>
  <si>
    <t xml:space="preserve">AtrakcjaL3Y100 u 4:cena</t>
  </si>
  <si>
    <t xml:space="preserve">AtrakcjaL3Y100 u 4:premia</t>
  </si>
  <si>
    <t xml:space="preserve">AtrakcjaL3Y100 u 5:cena</t>
  </si>
  <si>
    <t xml:space="preserve">AtrakcjaL3Y100 u 5:premia</t>
  </si>
  <si>
    <t xml:space="preserve">AtrakcjaL5Y5 u 1:cena</t>
  </si>
  <si>
    <t xml:space="preserve">AtrakcjaL5Y5 u 1:premia</t>
  </si>
  <si>
    <t xml:space="preserve">AtrakcjaL5Y5 u 2:cena</t>
  </si>
  <si>
    <t xml:space="preserve">AtrakcjaL5Y5 u 2:premia</t>
  </si>
  <si>
    <t xml:space="preserve">AtrakcjaL5Y5 u 3:cena</t>
  </si>
  <si>
    <t xml:space="preserve">AtrakcjaL5Y5 u 3:premia</t>
  </si>
  <si>
    <t xml:space="preserve">AtrakcjaL5Y5 u 4:cena</t>
  </si>
  <si>
    <t xml:space="preserve">AtrakcjaL5Y5 u 4:premia</t>
  </si>
  <si>
    <t xml:space="preserve">AtrakcjaL5Y5 u 5:cena</t>
  </si>
  <si>
    <t xml:space="preserve">AtrakcjaL5Y5 u 5:premia</t>
  </si>
  <si>
    <t xml:space="preserve">AtrakcjaL5Y25 u 1:cena</t>
  </si>
  <si>
    <t xml:space="preserve">AtrakcjaL5Y25 u 1:premia</t>
  </si>
  <si>
    <t xml:space="preserve">AtrakcjaL5Y25 u 2:cena</t>
  </si>
  <si>
    <t xml:space="preserve">AtrakcjaL5Y25 u 2:premia</t>
  </si>
  <si>
    <t xml:space="preserve">AtrakcjaL5Y25 u 3:cena</t>
  </si>
  <si>
    <t xml:space="preserve">AtrakcjaL5Y25 u 3:premia</t>
  </si>
  <si>
    <t xml:space="preserve">AtrakcjaL5Y25 u 4:cena</t>
  </si>
  <si>
    <t xml:space="preserve">AtrakcjaL5Y25 u 4:premia</t>
  </si>
  <si>
    <t xml:space="preserve">AtrakcjaL5Y25 u 5:cena</t>
  </si>
  <si>
    <t xml:space="preserve">AtrakcjaL5Y25 u 5:premia</t>
  </si>
  <si>
    <t xml:space="preserve">AtrakcjaL5Y50 u 1:cena</t>
  </si>
  <si>
    <t xml:space="preserve">AtrakcjaL5Y50 u 1:premia</t>
  </si>
  <si>
    <t xml:space="preserve">AtrakcjaL5Y50 u 2:cena</t>
  </si>
  <si>
    <t xml:space="preserve">AtrakcjaL5Y50 u 2:premia</t>
  </si>
  <si>
    <t xml:space="preserve">AtrakcjaL5Y50 u 3:cena</t>
  </si>
  <si>
    <t xml:space="preserve">AtrakcjaL5Y50 u 3:premia</t>
  </si>
  <si>
    <t xml:space="preserve">AtrakcjaL5Y50 u 4:cena</t>
  </si>
  <si>
    <t xml:space="preserve">AtrakcjaL5Y50 u 4:premia</t>
  </si>
  <si>
    <t xml:space="preserve">AtrakcjaL5Y50 u 5:cena</t>
  </si>
  <si>
    <t xml:space="preserve">AtrakcjaL5Y50 u 5:premia</t>
  </si>
  <si>
    <t xml:space="preserve">AtrakcjaL5Y100 u 1:cena</t>
  </si>
  <si>
    <t xml:space="preserve">AtrakcjaL5Y100 u 1:premia</t>
  </si>
  <si>
    <t xml:space="preserve">AtrakcjaL5Y100 u 2:cena</t>
  </si>
  <si>
    <t xml:space="preserve">AtrakcjaL5Y100 u 2:premia</t>
  </si>
  <si>
    <t xml:space="preserve">AtrakcjaL5Y100 u 3:cena</t>
  </si>
  <si>
    <t xml:space="preserve">AtrakcjaL5Y100 u 3:premia</t>
  </si>
  <si>
    <t xml:space="preserve">AtrakcjaL5Y100 u 4:cena</t>
  </si>
  <si>
    <t xml:space="preserve">AtrakcjaL5Y100 u 4:premia</t>
  </si>
  <si>
    <t xml:space="preserve">AtrakcjaL5Y100 u 5:cena</t>
  </si>
  <si>
    <t xml:space="preserve">AtrakcjaL5Y100 u 5:premia</t>
  </si>
  <si>
    <t xml:space="preserve">AtrakcjaL10Y5 u 1:cena</t>
  </si>
  <si>
    <t xml:space="preserve">AtrakcjaL10Y5 u 1:premia</t>
  </si>
  <si>
    <t xml:space="preserve">AtrakcjaL10Y5 u 2:cena</t>
  </si>
  <si>
    <t xml:space="preserve">AtrakcjaL10Y5 u 2:premia</t>
  </si>
  <si>
    <t xml:space="preserve">AtrakcjaL10Y5 u 3:cena</t>
  </si>
  <si>
    <t xml:space="preserve">AtrakcjaL10Y5 u 3:premia</t>
  </si>
  <si>
    <t xml:space="preserve">AtrakcjaL10Y5 u 4:cena</t>
  </si>
  <si>
    <t xml:space="preserve">AtrakcjaL10Y5 u 4:premia</t>
  </si>
  <si>
    <t xml:space="preserve">AtrakcjaL10Y5 u 5:cena</t>
  </si>
  <si>
    <t xml:space="preserve">AtrakcjaL10Y5 u 5:premia</t>
  </si>
  <si>
    <t xml:space="preserve">AtrakcjaL10Y25 u 1:cena</t>
  </si>
  <si>
    <t xml:space="preserve">AtrakcjaL10Y25 u 1:premia</t>
  </si>
  <si>
    <t xml:space="preserve">AtrakcjaL10Y25 u 2:cena</t>
  </si>
  <si>
    <t xml:space="preserve">AtrakcjaL10Y25 u 2:premia</t>
  </si>
  <si>
    <t xml:space="preserve">AtrakcjaL10Y25 u 3:cena</t>
  </si>
  <si>
    <t xml:space="preserve">AtrakcjaL10Y25 u 3:premia</t>
  </si>
  <si>
    <t xml:space="preserve">AtrakcjaL10Y25 u 4:cena</t>
  </si>
  <si>
    <t xml:space="preserve">AtrakcjaL10Y25 u 4:premia</t>
  </si>
  <si>
    <t xml:space="preserve">AtrakcjaL10Y25 u 5:cena</t>
  </si>
  <si>
    <t xml:space="preserve">AtrakcjaL10Y25 u 5:premia</t>
  </si>
  <si>
    <t xml:space="preserve">AtrakcjaL10Y50 u 1:cena</t>
  </si>
  <si>
    <t xml:space="preserve">AtrakcjaL10Y50 u 1:premia</t>
  </si>
  <si>
    <t xml:space="preserve">AtrakcjaL10Y50 u 2:cena</t>
  </si>
  <si>
    <t xml:space="preserve">AtrakcjaL10Y50 u 2:premia</t>
  </si>
  <si>
    <t xml:space="preserve">AtrakcjaL10Y50 u 3:cena</t>
  </si>
  <si>
    <t xml:space="preserve">AtrakcjaL10Y50 u 3:premia</t>
  </si>
  <si>
    <t xml:space="preserve">AtrakcjaL10Y50 u 4:cena</t>
  </si>
  <si>
    <t xml:space="preserve">AtrakcjaL10Y50 u 4:premia</t>
  </si>
  <si>
    <t xml:space="preserve">AtrakcjaL10Y50 u 5:cena</t>
  </si>
  <si>
    <t xml:space="preserve">AtrakcjaL10Y50 u 5:premia</t>
  </si>
  <si>
    <t xml:space="preserve">AtrakcjaL10Y100 u 1:cena</t>
  </si>
  <si>
    <t xml:space="preserve">AtrakcjaL10Y100 u 1:premia</t>
  </si>
  <si>
    <t xml:space="preserve">AtrakcjaL10Y100 u 2:cena</t>
  </si>
  <si>
    <t xml:space="preserve">AtrakcjaL10Y100 u 2:premia</t>
  </si>
  <si>
    <t xml:space="preserve">AtrakcjaL10Y100 u 3:cena</t>
  </si>
  <si>
    <t xml:space="preserve">AtrakcjaL10Y100 u 3:premia</t>
  </si>
  <si>
    <t xml:space="preserve">AtrakcjaL10Y100 u 4:cena</t>
  </si>
  <si>
    <t xml:space="preserve">AtrakcjaL10Y100 u 4:premia</t>
  </si>
  <si>
    <t xml:space="preserve">AtrakcjaL10Y100 u 5:cena</t>
  </si>
  <si>
    <t xml:space="preserve">AtrakcjaL10Y100 u 5:premia</t>
  </si>
  <si>
    <t xml:space="preserve">Budowaratusza 1→2 bezdróg</t>
  </si>
  <si>
    <t xml:space="preserve">5 rodzajów×ceil(500/60)=45 kursów;6 osób 8 fal×5 min×2=80 min.</t>
  </si>
  <si>
    <t xml:space="preserve">Latarnianie 2T</t>
  </si>
  <si>
    <t xml:space="preserve">Wiersz latarni wskazywany automatycznie według nazwy.</t>
  </si>
  <si>
    <t xml:space="preserve">PREMIUM V7 • ceny i warunki</t>
  </si>
  <si>
    <t xml:space="preserve">Jedna pula monet (złoto), kupionych i zarobionych. 1 PLN = 10 monet jest ceną zakupu, bez wypłaty na pieniądze. Ceny w prototypie nie oznaczają uruchomienia rzeczywistych płatności. Poniżej uwzględniono D09–D12 i D15.</t>
  </si>
  <si>
    <t xml:space="preserve">Akcja</t>
  </si>
  <si>
    <t xml:space="preserve">Wzór / stawka</t>
  </si>
  <si>
    <t xml:space="preserve">Przelicznik płatności</t>
  </si>
  <si>
    <t xml:space="preserve">1 PLN = 10 monet.</t>
  </si>
  <si>
    <t xml:space="preserve">Cena w PLN = cena w monetach / 10.</t>
  </si>
  <si>
    <t xml:space="preserve">Ustalono przelicznik; nie zdefiniowano wypłaty monet na PLN.</t>
  </si>
  <si>
    <t xml:space="preserve">POTWIERDZONE</t>
  </si>
  <si>
    <t xml:space="preserve">Waluta</t>
  </si>
  <si>
    <t xml:space="preserve">Monety = złoto; jedna pula kupiona i zarobiona.</t>
  </si>
  <si>
    <t xml:space="preserve">1 PLN = 10 monet; brak prawa wymiany monet na PLN.</t>
  </si>
  <si>
    <t xml:space="preserve">Zarobione monety mogą kupować te same usługi co kupione.</t>
  </si>
  <si>
    <t xml:space="preserve">monety = złoto jest jedna waluta w grze </t>
  </si>
  <si>
    <t xml:space="preserve">Przyspieszenie 25%</t>
  </si>
  <si>
    <t xml:space="preserve">MAX(5, FLOOR(pozostała budowa [s] × procent / 60)) monet.</t>
  </si>
  <si>
    <t xml:space="preserve">Transport rozliczany osobno za kursy; wyświetlamy czas i cenę przed kliknięciem.</t>
  </si>
  <si>
    <t xml:space="preserve">ROZSTRZYGNIĘTE V7 D12</t>
  </si>
  <si>
    <t xml:space="preserve">jeżeli budowa czegoś trwa 60 min zostało 50 do wybudowania chce przyspieszyć o połowę czyli o 25 min to musze zapłacić 25 monet tak samo dla innych procentów, sekundy zzaokrąglasz w dół</t>
  </si>
  <si>
    <t xml:space="preserve">Przyspieszenie 50%</t>
  </si>
  <si>
    <t xml:space="preserve">Przyspieszenie 75%</t>
  </si>
  <si>
    <t xml:space="preserve">Budowa natychmiast z zasobami</t>
  </si>
  <si>
    <t xml:space="preserve">Natychmiastowe zakończenie pozostałej fazy budowania (100%). Transport pozostaje osobną usługą.</t>
  </si>
  <si>
    <t xml:space="preserve">cały czas potrzebny przeliczony jak wyżej na monety </t>
  </si>
  <si>
    <t xml:space="preserve">Transport całego bufora producenta (dostępne od levelu 4)</t>
  </si>
  <si>
    <t xml:space="preserve">Natychmiastowe wysłanie całego gotowego lokalnego zapasu do centrali.</t>
  </si>
  <si>
    <t xml:space="preserve">10 monet × liczba kursów potrzebnych do przewozu.</t>
  </si>
  <si>
    <t xml:space="preserve">Potwierdzone: kursy = ROUNDUP(ilość / ładunek, 0). Ostatni niepełny kurs jest płatny. Dla 100 sztuk i ładunku 60 potrzeba 2 kursów, więc cena wynosi 20 monet.</t>
  </si>
  <si>
    <t xml:space="preserve">Magazyn → budowa  (dostępne od levelu 4)</t>
  </si>
  <si>
    <t xml:space="preserve">Natychmiastowy przewóz materiałów centralnych na konkretną budowę.</t>
  </si>
  <si>
    <t xml:space="preserve">10 monet × SUMA CEILING(ilość każdego materiału / ładunek).</t>
  </si>
  <si>
    <t xml:space="preserve">Jedno zlecenie obejmuje wymagane, dostępne materiały dla wybranej budowy; monety bez transportu.</t>
  </si>
  <si>
    <t xml:space="preserve">w menu budowy widze ile trwa transport I ile trwa sama budowa mogę za montety przyspieszyć oba, sama budowa jak wyżej, logika ceny natychmiastowego transportu, system liczy ilość kursów tragarza x 10 monet za kurs </t>
  </si>
  <si>
    <t xml:space="preserve">Magazyn ↔ targ  (dostępne od levelu 4)</t>
  </si>
  <si>
    <t xml:space="preserve">Takie samo rozliczenie transportu towarów w obu kierunkach.</t>
  </si>
  <si>
    <t xml:space="preserve">10 monet za potrzebny kurs właściwej załogi, osobno dla każdego materiału.</t>
  </si>
  <si>
    <t xml:space="preserve">Transport Premium nie omija blokady 1 h ani nie tworzy towarów i wolnego miejsca; zachowujemy terminy partii.</t>
  </si>
  <si>
    <t xml:space="preserve">STAWKA POTWIERDZONA</t>
  </si>
  <si>
    <t xml:space="preserve">analogicznie jak wyżej </t>
  </si>
  <si>
    <t xml:space="preserve">Magazyn ↔ port  (dostępne od levelu 4)</t>
  </si>
  <si>
    <t xml:space="preserve">Dwie opłaty: przewóz centrala↔port oraz osobny załadunek/rozładunek port↔statek, każdy według liczby kursów.</t>
  </si>
  <si>
    <t xml:space="preserve">dwie opłaty jedna za transoport do portu druga za załadunek </t>
  </si>
  <si>
    <t xml:space="preserve">Kup budynek bez surowców  (dostępne od levelu 4)</t>
  </si>
  <si>
    <t xml:space="preserve">ROUNDUP(1,25 × portowa wartość pełnych materiałów + nominalne monety + 10 × SUMA CEIL(materiał/ładunek), 0).</t>
  </si>
  <si>
    <t xml:space="preserve">Gotowe po 10 sekundach. Materiały w cenie pełnego zakupu nie są pobierane z własnych zapasów. Nie doliczamy wcześniejszej opłaty za minuty.</t>
  </si>
  <si>
    <t xml:space="preserve">ROZSTRZYGNIĘTE V7 D11</t>
  </si>
  <si>
    <t xml:space="preserve">koszt transportu natychmiastowego + materiały droższe niż w porcie o 25 % </t>
  </si>
  <si>
    <t xml:space="preserve">Monety w koszcie kupowanego budynku</t>
  </si>
  <si>
    <t xml:space="preserve">Monety zapisane w koszcie budynku doliczamy osobno w wymaganej wysokości.</t>
  </si>
  <si>
    <t xml:space="preserve">Nominalne monety + pełne materiały ×1,25 + natychmiastowy transport; gotowe w 10 s.</t>
  </si>
  <si>
    <t xml:space="preserve">Potwierdzone: monety nie są materiałem kupowanym w porcie i nie podlegają dopłacie 25%.</t>
  </si>
  <si>
    <t xml:space="preserve">Pakiet budowlany</t>
  </si>
  <si>
    <t xml:space="preserve">1000 × poziom Ratusza monet / 24 h.</t>
  </si>
  <si>
    <t xml:space="preserve">Kolejka nadal +10%; kolejny zakup przedłuża ważność.</t>
  </si>
  <si>
    <t xml:space="preserve">ROZSTRZYGNIĘTE V7 D09</t>
  </si>
  <si>
    <t xml:space="preserve">ustawmy koszt pakietu na 1000 monet </t>
  </si>
  <si>
    <t xml:space="preserve">Błogosławieństwa Premium</t>
  </si>
  <si>
    <t xml:space="preserve">100 × poziom Kaplicy monet. Następne 4 h od końca godzinnego efektu.</t>
  </si>
  <si>
    <t xml:space="preserve">Bezpłatne użycia zależne od poziomu pozostają; zakaz nakładania aktywnych efektów.</t>
  </si>
  <si>
    <t xml:space="preserve">Pakiet +4 aktywne budowy</t>
  </si>
  <si>
    <t xml:space="preserve">W czasie pakietu limit aktywnych budów = poziom ratusza +4.</t>
  </si>
  <si>
    <t xml:space="preserve">1000 × poziom Ratusza monet / 24 h, łącznie w pakiecie.</t>
  </si>
  <si>
    <t xml:space="preserve">Zwykłe opłacone budowy wymagają materiałów; zakupy bez surowców to osobna nowa oferta. Dodatkowe sloty nie produkują materiałów ani nie tworzą transportu.</t>
  </si>
  <si>
    <t xml:space="preserve">WCZEŚNIEJ UZGODNIONY ZAKRES</t>
  </si>
  <si>
    <t xml:space="preserve">Dowolnie długa kolejka</t>
  </si>
  <si>
    <t xml:space="preserve">Podczas pakietu brak zwykłego limitu długości kolejki.</t>
  </si>
  <si>
    <t xml:space="preserve">Dowolna kolejka w aktywnym pakiecie; koszt każdego zakolejkowanego projektu +10%.</t>
  </si>
  <si>
    <t xml:space="preserve">Pełny koszt zwykłej kolejki rezerwowany przy zleceniu. Prognoza wymaga dodatkowej opłaty.</t>
  </si>
  <si>
    <t xml:space="preserve">WCZEŚNIEJ UZGODNIONE + NOWA DOPŁATA</t>
  </si>
  <si>
    <t xml:space="preserve">Planowanie z estymaty dostaw</t>
  </si>
  <si>
    <t xml:space="preserve">25% bazowej portowej wartości braków centralnych po +10% kosztu kolejki.</t>
  </si>
  <si>
    <t xml:space="preserve">Wymaga aktywnego pakietu. Nie kupuje ani nie tworzy brakujących materiałów.</t>
  </si>
  <si>
    <t xml:space="preserve">ROZSTRZYGNIĘTE V7 D10</t>
  </si>
  <si>
    <t xml:space="preserve">opisane w innym miejscu </t>
  </si>
  <si>
    <t xml:space="preserve">Płatne błogosławieństwo</t>
  </si>
  <si>
    <t xml:space="preserve">Błogosławieństwo za challenge</t>
  </si>
  <si>
    <t xml:space="preserve">Dodatkowe użycie po wyzwaniu.</t>
  </si>
  <si>
    <t xml:space="preserve">Limity i nagrody nieustalone.</t>
  </si>
  <si>
    <t xml:space="preserve">Treść i warunki challenge nieustalone. Wpływ na aktywny efekt i cooldown nieustalony.</t>
  </si>
  <si>
    <t xml:space="preserve">Błogosławieństwo za social</t>
  </si>
  <si>
    <t xml:space="preserve">Dodatkowe użycie za udostępnienie, np. FB/Instagram.</t>
  </si>
  <si>
    <t xml:space="preserve">Limity nieustalone.</t>
  </si>
  <si>
    <t xml:space="preserve">Sposób weryfikacji nieustalony. Wpływ na aktywny efekt i cooldown nieustalony.</t>
  </si>
  <si>
    <t xml:space="preserve">Reklama i oczekiwanie</t>
  </si>
  <si>
    <t xml:space="preserve">Notatka: reklama 60 s skraca pozostałe czekanie o połowę; do 2 reklam na godzinę gry.</t>
  </si>
  <si>
    <t xml:space="preserve">2/h w źródle; pełne warunki odłożone.</t>
  </si>
  <si>
    <t xml:space="preserve">Nagroda po reklamie — szczegóły nieustalone. Zgodność z aktywnym efektem, rodzaj godziny i reset nieustalone.</t>
  </si>
  <si>
    <t xml:space="preserve">Premia za zwiedzanie</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</si>
  <si>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t>
  </si>
  <si>
    <t xml:space="preserve">Miejsca, pula wejść i indywidualna blokada to trzy osobne limity. Zwiedzający je, nie pracuje i nie płaci podatku.</t>
  </si>
  <si>
    <t xml:space="preserve">2x poziom na 24 h dostępna zawsze dla wszystkich bez dopłat, Możliwosć dokupienia nie wiecej niż 3 pakietów, czyli w sumie 4 na 24 h, koszt dodatkowego 300xnumer pakietu w dobie x level czyli jestem na levelu 6 cche dodatkowe zwiedzanie, pierwsze dodatkowe, drugie w ostatniej dobie, 6 x 2 x 300= 3600</t>
  </si>
  <si>
    <t xml:space="preserve">PRZYSPIESZENIA • kalkulator ceny</t>
  </si>
  <si>
    <t xml:space="preserve">25/50/75/100% pozostałej fazy budowania, bez transportu. Cena = MAX(5, FLOOR(zaoszczędzone sekundy / 60)) monet. Transport jest osobno rozliczany za potrzebne kursy. Niebieskie pola są edytowalne. Minimum 5 obowiązuje także przy 1–4 pełnych minutach, a nie wyłącznie wyniku zero.</t>
  </si>
  <si>
    <t xml:space="preserve">Pozostała budowa [min]</t>
  </si>
  <si>
    <t xml:space="preserve">Skrócenie</t>
  </si>
  <si>
    <t xml:space="preserve">Zaoszczędzony czas [min]</t>
  </si>
  <si>
    <t xml:space="preserve">Pozostało [min]</t>
  </si>
  <si>
    <t xml:space="preserve">Cena [monety]</t>
  </si>
  <si>
    <t xml:space="preserve">Cena zakupu monet [PLN]</t>
  </si>
  <si>
    <t xml:space="preserve">Cena minimalna zawsze 5 monet; pełne zaoszczędzone minuty zaokrąglamy w dół.</t>
  </si>
  <si>
    <t xml:space="preserve">jeżeli kalkulacja pozostałego czasu wskazuje że cena przyspieszenia wynosi 0 kasuj na stałe 5</t>
  </si>
  <si>
    <t xml:space="preserve">Opcja 100%; sprawdzenie granicy minimum.</t>
  </si>
  <si>
    <t xml:space="preserve">TRANSPORT PREMIUM • kursy i cena</t>
  </si>
  <si>
    <t xml:space="preserve">Potwierdzone: każdy potrzebny kurs jest płatny, również ostatni niepełny. Cena = SUMA(ROUNDUP(ilość rodzaju / ładunek)) × liczba odcinków × 10 monet. Dwa rodzaje nie dzielą kursu. Liczba pracowników zmienia czas, a nie liczbę płatnych kursów. Zakres jednego kliknięcia i etapu port–statek pozostaje otwarty. V8: ładunek przykładów uwzględnia premię ścieżek z Parametry (domyślnie0); liczba kursów i cena przeliczają się razem.</t>
  </si>
  <si>
    <t xml:space="preserve">Trasa / przykład</t>
  </si>
  <si>
    <t xml:space="preserve">Towar A [szt.]</t>
  </si>
  <si>
    <t xml:space="preserve">Towar B [szt.]</t>
  </si>
  <si>
    <t xml:space="preserve">Ładunek/kurs</t>
  </si>
  <si>
    <t xml:space="preserve">Liczba odcinków</t>
  </si>
  <si>
    <t xml:space="preserve">Kursy A</t>
  </si>
  <si>
    <t xml:space="preserve">Kursy B</t>
  </si>
  <si>
    <t xml:space="preserve">Kursy razem</t>
  </si>
  <si>
    <t xml:space="preserve">Monety</t>
  </si>
  <si>
    <t xml:space="preserve">Produkcja → magazyn: 40</t>
  </si>
  <si>
    <t xml:space="preserve">Cena zależy od potrzebnych kursów. Przykład 2 odcinków nie przesądza zakresu jednego kliknięcia portowego; doprecyzować załadunek i rozładunek.</t>
  </si>
  <si>
    <t xml:space="preserve">Produkcja → magazyn: 60</t>
  </si>
  <si>
    <t xml:space="preserve">Produkcja → magazyn: 100</t>
  </si>
  <si>
    <t xml:space="preserve">Magazyn → budowa: 180</t>
  </si>
  <si>
    <t xml:space="preserve">Magazyn → budowa: 181</t>
  </si>
  <si>
    <t xml:space="preserve">Dwa rodzaje po 100</t>
  </si>
  <si>
    <t xml:space="preserve">Magazyn → targ</t>
  </si>
  <si>
    <t xml:space="preserve">Targ → magazyn</t>
  </si>
  <si>
    <t xml:space="preserve">Magazyn → port</t>
  </si>
  <si>
    <t xml:space="preserve">Port → magazyn</t>
  </si>
  <si>
    <t xml:space="preserve">Dwa odcinki portowe — model</t>
  </si>
  <si>
    <t xml:space="preserve">Ładunek wyższego poziomu</t>
  </si>
  <si>
    <t xml:space="preserve">Brak towaru</t>
  </si>
  <si>
    <t xml:space="preserve">PEŁNY ZAKUP • gotowe w 10 sekund</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</si>
  <si>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 Końcową cenę usługi prezentujemy w pełnych monetach, zaokrąglając w górę tak jak w zatwierdzonym kalkulatorze. Kolumny I/O są wyłącznie odrzuconym porównaniem paczek po 100. Ładunek wyceny uwzględnia aktualny parametr ścieżek, ale budynek nadal jest gotowy po10s.</t>
  </si>
  <si>
    <t xml:space="preserve">Przykład</t>
  </si>
  <si>
    <t xml:space="preserve">Monety w koszcie</t>
  </si>
  <si>
    <t xml:space="preserve">Food</t>
  </si>
  <si>
    <t xml:space="preserve">Deski</t>
  </si>
  <si>
    <t xml:space="preserve">Port: wycena proporcjonalna — aktualna</t>
  </si>
  <si>
    <t xml:space="preserve">Paczki 100 — wariant odrzucony</t>
  </si>
  <si>
    <t xml:space="preserve">Materiały +25% — zatwierdzone</t>
  </si>
  <si>
    <t xml:space="preserve">Poziom magazynu</t>
  </si>
  <si>
    <t xml:space="preserve">Natychmiastowy transport [monety]</t>
  </si>
  <si>
    <t xml:space="preserve">Pełny zakup — cena aktualna</t>
  </si>
  <si>
    <t xml:space="preserve">Odrzucone paczki 100 — porównanie</t>
  </si>
  <si>
    <t xml:space="preserve">PLN — aktualna wycena</t>
  </si>
  <si>
    <t xml:space="preserve">Kursy materiałów razem</t>
  </si>
  <si>
    <t xml:space="preserve">Gotowe po [s]</t>
  </si>
  <si>
    <t xml:space="preserve">Wpis źródłowy — historia</t>
  </si>
  <si>
    <t xml:space="preserve">100 drewna +100 Food</t>
  </si>
  <si>
    <t xml:space="preserve">Pełne materiały, żadnego pobrania własnych zasobów. Osobno nominalne monety i transport. Brak dopłaty za minuty; gotowe po 10 s. Poziom 1 magazynu to parametr wyceny, nie poziom odblokowania usługi (ta od Ratusza 4).</t>
  </si>
  <si>
    <t xml:space="preserve">tak jest dobrze</t>
  </si>
  <si>
    <t xml:space="preserve">Farma 1→2</t>
  </si>
  <si>
    <t xml:space="preserve">Ratusz 1→2</t>
  </si>
  <si>
    <t xml:space="preserve">NAGRODY SPOŁECZNOŚCIOWE • kwoty i warunki</t>
  </si>
  <si>
    <t xml:space="preserve">Kwoty zapisane według użytkownika. Limity, potwierdzanie publikacji i nakładanie nagród nie są zdefiniowane. Przeliczenie na PLN pokazuje cenę zakupu takiej liczby monet, nie możliwość ich wypłaty. Platformy mają osobną zakładkę.</t>
  </si>
  <si>
    <t xml:space="preserve">Nagroda</t>
  </si>
  <si>
    <t xml:space="preserve">Otwarte szczegóły</t>
  </si>
  <si>
    <t xml:space="preserve">Wartość zakupu monet [PLN]</t>
  </si>
  <si>
    <t xml:space="preserve">Pochwalenie się, że gram</t>
  </si>
  <si>
    <t xml:space="preserve">Publikacja informująca o grze.</t>
  </si>
  <si>
    <t xml:space="preserve">Nie ustalono kanałów, limitu na konto, powtórzeń ani sposobu potwierdzania publikacji.</t>
  </si>
  <si>
    <t xml:space="preserve">Informacja o następnym poziomie</t>
  </si>
  <si>
    <t xml:space="preserve">Publikacja po rzeczywistym osiągnięciu kolejnego poziomu ratusza.</t>
  </si>
  <si>
    <t xml:space="preserve">Jedna nagroda na osiągnięty poziom jest propozycją; zasady wielu platform i usuwania postów są nieustalone.</t>
  </si>
  <si>
    <t xml:space="preserve">Polecenie: nowe logowanie</t>
  </si>
  <si>
    <t xml:space="preserve">Polecona osoba rzeczywiście się zaloguje.</t>
  </si>
  <si>
    <t xml:space="preserve">Nie określono, czy nagrodę dostaje tylko polecający czy także polecony; źródłowo roboczo zapisano nagrodę polecającego. Kryterium nowego konta i limit poleceń nieustalone.</t>
  </si>
  <si>
    <t xml:space="preserve">Polecenie: trzeci aktywny dzień</t>
  </si>
  <si>
    <t xml:space="preserve">500 każdego zasobu</t>
  </si>
  <si>
    <t xml:space="preserve">Polecona osoba jest aktywna w trzecim dniu.</t>
  </si>
  <si>
    <t xml:space="preserve">Do ustalenia: trzeci dzień od rejestracji czy trzy dni aktywności, minimalna aktywność, odbiorca premii, czy „każdy zasób” obejmuje monety oraz jak przyjąć materiały przy pełnej centrali.</t>
  </si>
  <si>
    <t xml:space="preserve">Zależne od zakresu „wszystkiego”</t>
  </si>
  <si>
    <t xml:space="preserve">Każdy trzeci post na Facebooku</t>
  </si>
  <si>
    <t xml:space="preserve">Nagroda za trzeci, szósty, dziewiąty itd. kwalifikowany post.</t>
  </si>
  <si>
    <t xml:space="preserve">Nie określono okresu, limitu, wymagań treści ani tego, czy posty „gram” i „kolejny poziom” liczą się do tej samej serii. Zgodność konkretnej akcji z regulaminem platformy wymaga weryfikacji.</t>
  </si>
  <si>
    <t xml:space="preserve">Ukończenie zadania: Share on Facebook</t>
  </si>
  <si>
    <t xml:space="preserve">Kliknięcie opcjonalnego Share po rzeczywistym ukończeniu zadania; jeden raz na ID ukończonego zadania.</t>
  </si>
  <si>
    <t xml:space="preserve">Bez integracjiFB. Skip nie odbiera nagrody. To osobna akcja od pozostałych kwot w tej tabeli.</t>
  </si>
  <si>
    <t xml:space="preserve">PLATFORMY • kandydaci do publikacji graczy</t>
  </si>
  <si>
    <t xml:space="preserve">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</si>
  <si>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 xml:space="preserve">Platforma</t>
  </si>
  <si>
    <t xml:space="preserve">Pasujący format</t>
  </si>
  <si>
    <t xml:space="preserve">Zastosowanie</t>
  </si>
  <si>
    <t xml:space="preserve">Istotna zasada / kwestia do sprawdzenia</t>
  </si>
  <si>
    <t xml:space="preserve">Oficjalne adresy</t>
  </si>
  <si>
    <t xml:space="preserve">Status źródła</t>
  </si>
  <si>
    <t xml:space="preserve">Uwagi o nagrodach</t>
  </si>
  <si>
    <t xml:space="preserve">Facebook</t>
  </si>
  <si>
    <t xml:space="preserve">Post, informacja o poziomie, polecenie z linkiem.</t>
  </si>
  <si>
    <t xml:space="preserve">Nie dopisujemy automatycznych masowych publikacji ani publikacji do cudzych grup.</t>
  </si>
  <si>
    <t xml:space="preserve">Reguły promocji Facebooka znane z dotychczasowej dokumentacji ograniczają użycie prywatnych osi czasu i znajomych do udziału w promocjach, np. „udostępnij, aby dostać nagrodę”. Wymaga sprawdzenia aktualnych warunków przed wdrożeniem nagrody za post.</t>
  </si>
  <si>
    <t xml:space="preserve">https://www.facebook.com/policies_center/pages_groups_events</t>
  </si>
  <si>
    <t xml:space="preserve">Aktualne warunki niepotwierdzone online. Dostęp do próbowanych źródeł blokowało HTTP 403; nie wszystkie adresy odpytywano oddzielnie.</t>
  </si>
  <si>
    <t xml:space="preserve">Kwoty 1000 / 500 / 1000 za każdy 3. post są propozycją ekonomii gry; wykonalność programu promocyjnego nie została potwierdzona.</t>
  </si>
  <si>
    <t xml:space="preserve">Instagram</t>
  </si>
  <si>
    <t xml:space="preserve">Grafika wyspy, post, relacja lub krótki film Reels.</t>
  </si>
  <si>
    <t xml:space="preserve">Kandydat do ręcznego udostępnienia przez gracza.</t>
  </si>
  <si>
    <t xml:space="preserve">Sprawdzić wytyczne promocji, prawidłowe oznaczanie i zasady przeciw sztucznemu pozyskiwaniu aktywności. Nie zakładać, że polubienia lub obserwacje mogą być obowiązkowym warunkiem.</t>
  </si>
  <si>
    <t xml:space="preserve">https://help.instagram.com/179379842258600</t>
  </si>
  <si>
    <t xml:space="preserve">Nagrody dla tej platformy i sposób weryfikacji do ustalenia.</t>
  </si>
  <si>
    <t xml:space="preserve">Threads</t>
  </si>
  <si>
    <t xml:space="preserve">Krótki wpis i zrzut wyspy; link polecający.</t>
  </si>
  <si>
    <t xml:space="preserve">Kandydat do dobrowolnej publikacji.</t>
  </si>
  <si>
    <t xml:space="preserve">Obowiązują zasady Meta przeciw spamowi; sprawdzić aktualną możliwość i zasady nagradzania publikacji.</t>
  </si>
  <si>
    <t xml:space="preserve">https://transparency.meta.com/policies/community-standards/spam/</t>
  </si>
  <si>
    <t xml:space="preserve">Nagrody nie zostały automatycznie skopiowane z Facebooka.</t>
  </si>
  <si>
    <t xml:space="preserve">TikTok</t>
  </si>
  <si>
    <t xml:space="preserve">Krótki film z wyspą, budową albo ekspedycją.</t>
  </si>
  <si>
    <t xml:space="preserve">Kandydat do treści tworzonych przez graczy.</t>
  </si>
  <si>
    <t xml:space="preserve">Wytyczne integralności i autentyczności obejmują sztuczną aktywność. Zasady nagradzanych filmów oraz oznaczania zachęt wymagają weryfikacji.</t>
  </si>
  <si>
    <t xml:space="preserve">https://www.tiktok.com/community-guidelines/en/integrity-authenticity/</t>
  </si>
  <si>
    <t xml:space="preserve">Nie uzależniać nagrody od liczby sztucznych wyświetleń, komentarzy czy obserwujących.</t>
  </si>
  <si>
    <t xml:space="preserve">YouTube / Shorts</t>
  </si>
  <si>
    <t xml:space="preserve">Krótki film lub dłuższy pokaz gry.</t>
  </si>
  <si>
    <t xml:space="preserve">Kandydat do materiałów graczy.</t>
  </si>
  <si>
    <t xml:space="preserve">YouTube ma odrębne zasady fake engagement oraz konkursów. Wynagradzanie za manipulowanie wyświetleniami, polubieniami lub innymi wskaźnikami jest ryzykowne; sprawdzić aktualne warunki konkretnego programu.</t>
  </si>
  <si>
    <t xml:space="preserve">https://support.google.com/youtube/answer/3399767?hl=en
https://support.google.com/youtube/answer/1620498?hl=en</t>
  </si>
  <si>
    <t xml:space="preserve">Treść i dobrowolne polecenie odróżnić od kupowania aktywności.</t>
  </si>
  <si>
    <t xml:space="preserve">Discord</t>
  </si>
  <si>
    <t xml:space="preserve">Własny serwer gry i kanał do pokazywania wysp.</t>
  </si>
  <si>
    <t xml:space="preserve">Dobry kandydat do społeczności gry.</t>
  </si>
  <si>
    <t xml:space="preserve">Zasady Discorda zabraniają spamu i manipulowania platformą. Publikacja tylko w przeznaczonych do tego kanałach oraz zgodnie z zasadami konkretnego serwera.</t>
  </si>
  <si>
    <t xml:space="preserve">https://discord.com/guidelines</t>
  </si>
  <si>
    <t xml:space="preserve">Bez masowych wiadomości prywatnych lub botów rozsyłających polecenia.</t>
  </si>
  <si>
    <t xml:space="preserve">Reddit</t>
  </si>
  <si>
    <t xml:space="preserve">Wpisy o postępach gry, grafice i dziennik rozwoju.</t>
  </si>
  <si>
    <t xml:space="preserve">Kandydat warunkowy: właściwy subreddit i zgoda moderatorów.</t>
  </si>
  <si>
    <t xml:space="preserve">Reddit i poszczególne subreddity mają zasady dotyczące spamu, autopromocji oraz manipulacji głosami. Nagroda za powielane wpisy promocyjne wymaga szczególnej weryfikacji.</t>
  </si>
  <si>
    <t xml:space="preserve">https://support.reddithelp.com/hc/en-us/articles/360043504051-Spam</t>
  </si>
  <si>
    <t xml:space="preserve">Nie zakładać prawa do reklamowania gry w dowolnej społeczności.</t>
  </si>
  <si>
    <t xml:space="preserve">X</t>
  </si>
  <si>
    <t xml:space="preserve">Krótki post, obraz wyspy i link polecający.</t>
  </si>
  <si>
    <t xml:space="preserve">Kandydat do dobrowolnego udostępniania.</t>
  </si>
  <si>
    <t xml:space="preserve">Sprawdzić zasady promocji i manipulacji platformą; powtarzane identyczne wpisy oraz zduplikowane konta nie powinny generować nagród.</t>
  </si>
  <si>
    <t xml:space="preserve">https://help.x.com/en/rules-and-policies/platform-manipulation
https://help.x.com/en/rules-and-policies/x-contest-rules</t>
  </si>
  <si>
    <t xml:space="preserve">Próg i ewentualny limit nagrody do ustalenia.</t>
  </si>
  <si>
    <t xml:space="preserve">Bluesky</t>
  </si>
  <si>
    <t xml:space="preserve">Post z obrazem wyspy i linkiem.</t>
  </si>
  <si>
    <t xml:space="preserve">Wytyczne społeczności obejmują spam i zakłócanie działania. Sprawdzić zasady promocji przed uruchomieniem programu nagród.</t>
  </si>
  <si>
    <t xml:space="preserve">https://bsky.social/about/support/community-guidelines</t>
  </si>
  <si>
    <t xml:space="preserve">Nie zakładać automatycznej weryfikacji publikacji bez osobnego projektu.</t>
  </si>
  <si>
    <t xml:space="preserve">Mastodon</t>
  </si>
  <si>
    <t xml:space="preserve">Post z wyspą na wybranym serwerze.</t>
  </si>
  <si>
    <t xml:space="preserve">Kandydat warunkowy: reguły wybranego serwera.</t>
  </si>
  <si>
    <t xml:space="preserve">Mastodon jest siecią wielu serwerów. Zasady reklamy, promocji i spamu zależą od instancji; nie ma jednego zezwolenia obejmującego całą sieć.</t>
  </si>
  <si>
    <t xml:space="preserve">https://joinmastodon.org/
https://joinmastodon.org/covenant</t>
  </si>
  <si>
    <t xml:space="preserve">Nagrody i dopuszczalne serwery do ustalenia.</t>
  </si>
  <si>
    <t xml:space="preserve">Snapchat</t>
  </si>
  <si>
    <t xml:space="preserve">Dobrowolna relacja lub krótki film o grze.</t>
  </si>
  <si>
    <t xml:space="preserve">Kandydat do wizualnej prezentacji postępu.</t>
  </si>
  <si>
    <t xml:space="preserve">Sprawdzić wytyczne społeczności, zasady promocji i treści sponsorowanych; nie zakładać, że masowe rozsyłanie zaproszeń będzie dozwolone.</t>
  </si>
  <si>
    <t xml:space="preserve">https://values.snap.com/policy/policy-community-guidelines</t>
  </si>
  <si>
    <t xml:space="preserve">Kwoty oraz sposób weryfikacji relacji do ustalenia.</t>
  </si>
  <si>
    <t xml:space="preserve">ZADANIA LATARNI V8 • jedno aktywne, postęp i celebracja</t>
  </si>
  <si>
    <t xml:space="preserve">Wymagania według własnego poziomu producenta; nagrody skalowane względem Ratusza 3. Trzy zadania pozostają niezależne. Oryginalne dopiski w G zachowano historycznie; poniżej aktualne rozstrzygnięcia.</t>
  </si>
  <si>
    <t xml:space="preserve">Panel</t>
  </si>
  <si>
    <t xml:space="preserve">Zawsze 3 zadania. Początkowo małe/średnie/duże; kolejne losowego rozmiaru trafiają na koniec FIFO, dopuszczalne 3 małe lub 3 duże. Nowe po sukcesie natychmiast. Jednocześnie wykonywane tylko1; pozostałe oferty wyszarzone.</t>
  </si>
  <si>
    <t xml:space="preserve">3 miejsca; start S/M/L, potem dowolne rozmiary FIFO.</t>
  </si>
  <si>
    <t xml:space="preserve">Nagrody zawsze widoczne, koszty i nagrody zamrożone przy wygenerowaniu.</t>
  </si>
  <si>
    <t xml:space="preserve">Losowanie</t>
  </si>
  <si>
    <t xml:space="preserve">Koszty, wymagane produkty i nagrody losujemy przy pojawieniu się zadania.</t>
  </si>
  <si>
    <t xml:space="preserve">Małe: 2 produkty; średnie: 2–3; duże: 4</t>
  </si>
  <si>
    <t xml:space="preserve">W przykładach losujemy różne rodzaje spośród drewna, kamienia, zboża, żywności i desek. Rodzaje nagród i koszty powinny być stałe przez życie zadania.</t>
  </si>
  <si>
    <t xml:space="preserve">Norma produkcyjna</t>
  </si>
  <si>
    <t xml:space="preserve">Koszt rodzaju i liczymy z maksymalnej obsady obecnego poziomu jego producenta, niezależnie od faktycznej obsady.</t>
  </si>
  <si>
    <t xml:space="preserve">R_i = 12 × L_i × p(L_i); p(1)=10, p(L≥2)=L+10; koszt_i = R_i × h</t>
  </si>
  <si>
    <t xml:space="preserve">Własny aktualny poziom KAŻDEGO producenta; bez chwilowych bonusów, głodu i faktycznej obsady.</t>
  </si>
  <si>
    <t xml:space="preserve">maksymalny teoretycznie możliwy wynikający z poziomu budynku </t>
  </si>
  <si>
    <t xml:space="preserve">Małe</t>
  </si>
  <si>
    <t xml:space="preserve">Wymagane są dwa produkty, w ilości odpowiadającej 2–6 h maksymalnej produkcji.</t>
  </si>
  <si>
    <t xml:space="preserve">2 rodzaje; h∈[2,6]</t>
  </si>
  <si>
    <t xml:space="preserve">L1: 12 osób × 10 szt./h = 120 szt./h, więc 240–720 każdego rodzaju.</t>
  </si>
  <si>
    <t xml:space="preserve">Średnie</t>
  </si>
  <si>
    <t xml:space="preserve">Wymagane są dwa lub trzy produkty, w ilości odpowiadającej 3–8 h maksymalnej produkcji, nie mniej niż bieżące małe.</t>
  </si>
  <si>
    <t xml:space="preserve">2–3 rodzaje; h∈[3,8]</t>
  </si>
  <si>
    <t xml:space="preserve">Przy generowaniu h_średnie ≥ największe h aktualnych małych (jeśli są). Istniejące zadania pozostają zamrożone.</t>
  </si>
  <si>
    <t xml:space="preserve">Duże</t>
  </si>
  <si>
    <t xml:space="preserve">Wymagane są cztery produkty, w ilości odpowiadającej 4–10 h maksymalnej produkcji, nie mniej niż bieżące średnie.</t>
  </si>
  <si>
    <t xml:space="preserve">4 rodzaje; h∈[4,10]</t>
  </si>
  <si>
    <t xml:space="preserve">Przy generowaniu h_duże ≥ największe h aktualnych średnich (jeśli są). Nie jest to obietnica zebrania od zera w czasie zadania.</t>
  </si>
  <si>
    <t xml:space="preserve">Ramy losowania</t>
  </si>
  <si>
    <t xml:space="preserve">Pierwsze 6 h → po pierwszym sukcesie dzienna kotwica, osobna dla każdego z 3 łańcuchów.</t>
  </si>
  <si>
    <t xml:space="preserve">Przykład: ukończenie 13:12, następne 14:00 → kolejne od razu, termin nadal następnego dnia 13:12. Europe/Warsaw; dzień zmiany czasu może mieć 23/25 h.</t>
  </si>
  <si>
    <t xml:space="preserve">ustalenia zaczynasz z 3 zadaniami jak user skończy pierwsze to ustawiasz czas np 13:12 I zawsze o tej robisz zadanie, drugie zrobił o 17:19 etc etc </t>
  </si>
  <si>
    <t xml:space="preserve">Nagroda w monetach</t>
  </si>
  <si>
    <t xml:space="preserve">Skala = 12 × L_Ratusza × p(L_Ratusza) / 468.</t>
  </si>
  <si>
    <t xml:space="preserve">Zakresy bazowe odnoszą się do L3. Wśród WSZYSTKICH aktualnych ofert obowiązuje kolejność bazowych nagród monetowych: małe &lt; średnie &lt; duże. Już pokazanych nagród nie zmieniamy. Losujemy wyłącznie spośród rozmiarów, których aktualny skalowany zakres pozwala zachować tę kolejność. Po zmianie poziomu niektóre rozmiary mogą chwilowo nie pasować; nie obiecano jednakowych prawdopodobieństw rozmiarów.</t>
  </si>
  <si>
    <t xml:space="preserve">tak ale ta granica jest dyunamicznie wyznaczana że z aktualnie wylosowanych średnia nie może być niższa niż mała etc, wiec w najgorszym scanraiuszu mała 100, średnia 101, duża 102</t>
  </si>
  <si>
    <t xml:space="preserve">Nagroda towarowa</t>
  </si>
  <si>
    <t xml:space="preserve">Małe: 1 losowy rodzaj; średnie: 2 różne; duże: 3 różne. Każdy rodzaj bazowo 50–1000 na L3, skalowany i zamrożony przy pojawieniu.</t>
  </si>
  <si>
    <t xml:space="preserve">Na L3 przed ×2/×3: 50–1000 KAŻDEGO wybranego rodzaju.</t>
  </si>
  <si>
    <t xml:space="preserve">Nagroda najpierw wypełnia centralę do limitów; nadmiar czeka w buforze i automatycznie dosypuje się przy zużyciu lub rozbudowie, z powiadomieniem. Nic nie przepada z braku miejsca.</t>
  </si>
  <si>
    <t xml:space="preserve">Premia szybkiej reakcji</t>
  </si>
  <si>
    <t xml:space="preserve">Kliknięcie zadania w pierwszych 15 sekundach daje nagrodę ×3; później do 5 minut daje ×2; następnie ×1.</t>
  </si>
  <si>
    <t xml:space="preserve">Wiek przy pierwszym kliknięciu: &lt;15 s → ×3; 15 s ≤ wiek &lt;300 s → ×2; od 300 s → ×1.</t>
  </si>
  <si>
    <t xml:space="preserve">Potwierdzone: ×3 ma pierwszeństwo, nie mnoży się przez ×2. Mnożnik zapisuje pierwsze kliknięcie zadania.</t>
  </si>
  <si>
    <t xml:space="preserve">Utrwalenie premii</t>
  </si>
  <si>
    <t xml:space="preserve">Pierwsze kliknięcie konkretnego zadania zapisuje mnożnik aż do jego ukończenia; późniejszy upływ czasu nie zmniejsza zapisanego mnożnika.</t>
  </si>
  <si>
    <t xml:space="preserve">Nagroda końcowa = bazowa nagroda × utrwalony mnożnik</t>
  </si>
  <si>
    <t xml:space="preserve">Nagroda po pełnej wpłacie przed aktualnym terminem łańcucha. Samo kliknięcie nie daje nagrody; wpłaty po przedawnieniu przepadają.</t>
  </si>
  <si>
    <t xml:space="preserve">Termin</t>
  </si>
  <si>
    <t xml:space="preserve">Niezależny termin każdego łańcucha; po pierwszym sukcesie kotwica dobowa.</t>
  </si>
  <si>
    <t xml:space="preserve">Zegar działa offline; po powrocie nie dostaje się nowego okna ×3 za zadanie, które pojawiło się wcześniej offline.</t>
  </si>
  <si>
    <t xml:space="preserve">Zastępowanie zadań</t>
  </si>
  <si>
    <t xml:space="preserve">Nowe zadanie na końcu kolejki, zachowuje ID łańcucha i jego kotwicę.</t>
  </si>
  <si>
    <t xml:space="preserve">Po wygaśnięciu łańcuch odnawia się przy kolejnej dobowej kotwicy; przed pierwszym sukcesem pozostaje cykl początkowych 6 h.</t>
  </si>
  <si>
    <t xml:space="preserve">tak zrób tak </t>
  </si>
  <si>
    <t xml:space="preserve">Porównanie rozmiarów po odnowieniu</t>
  </si>
  <si>
    <t xml:space="preserve">Nowy rozmiar losowy. Warunki godzinowe sprawdzamy przy generowaniu: średnie nie mniej godzin niż aktualne małe, duże nie mniej niż aktualne średnie. Nowe małe może wymagać WIĘCEJ GODZIN lub większej liczby materiałów niż stare średnie; ta możliwość NIE dotyczy nagrody monetowej. Starych wymagań i nagród nie przepisujemy.</t>
  </si>
  <si>
    <t xml:space="preserve">Koszty i nagrody istniejących zadań nie zmieniają się.</t>
  </si>
  <si>
    <t xml:space="preserve">FIFO nie zmienia etykiet. Możliwe 3 małe lub 3 duże. Globalna kolejność małe &lt; średnie &lt; duże dotyczy bazowych nagród MONETOWYCH, a warunki godzinowe sprawdzamy przy generowaniu. Jeśli skalowany zakres nagrody danego rozmiaru nie pasuje do istniejących ofert, losujemy inny możliwy rozmiar.</t>
  </si>
  <si>
    <t xml:space="preserve">tak akceptuje to </t>
  </si>
  <si>
    <t xml:space="preserve">Wpłaty</t>
  </si>
  <si>
    <t xml:space="preserve">Można wpłacać wymagane towary partiami. Towar trafia bezpośrednio z magazynu centralnego do zadania, bez tragarza.</t>
  </si>
  <si>
    <t xml:space="preserve">Każdy składnik ma licznik dostarczono/wymagane, np. 100/200</t>
  </si>
  <si>
    <t xml:space="preserve">Wpłata nie jest pożyczką ani tymczasową rezerwacją: jest nieodwracalna. W przykładzie nie wpłacamy powyżej pozostałego wymagania.</t>
  </si>
  <si>
    <t xml:space="preserve">Przedawnienie</t>
  </si>
  <si>
    <t xml:space="preserve">Po upływie terminu niewykonane zadanie przepada wraz ze wszystkimi dotychczasowymi wpłatami.</t>
  </si>
  <si>
    <t xml:space="preserve">Zwrot wpłat = 0</t>
  </si>
  <si>
    <t xml:space="preserve">Wymagane wyraźne ostrzeżenie i pokazanie czasu pozostałego przed potwierdzeniem wpłaty; powiadomienia to projekt interfejsu.</t>
  </si>
  <si>
    <t xml:space="preserve">Żywność na zadania</t>
  </si>
  <si>
    <t xml:space="preserve">Wpłaty i inne cele niż karmienie chronią Food = 50 × poziom magazynu. W zadaniach używamy tylko nadwyżki; ludzie mogą zjadać rezerwę.</t>
  </si>
  <si>
    <t xml:space="preserve">Food dostępne na wpłatę = MAX(0, Food w centrali − 50 × poziom magazynu).</t>
  </si>
  <si>
    <t xml:space="preserve">Rezerwa przeznaczona wyłącznie na karmienie.</t>
  </si>
  <si>
    <t xml:space="preserve">chronimy food, można wpłacić tylko to co jest ponad limit </t>
  </si>
  <si>
    <t xml:space="preserve">Nagroda i pojemność</t>
  </si>
  <si>
    <t xml:space="preserve">Bufor nadmiaru nagród; automatyczne uzupełnianie i notyfikacja.</t>
  </si>
  <si>
    <t xml:space="preserve">Pieniądze trafiają do skarbca; limity materiałów nie dotyczą monet.</t>
  </si>
  <si>
    <t xml:space="preserve">uzupełniasz najpierw magazyn główny ewentualny nadmiar dosypujesz w miarę zużywania lub podonoszenia poziomu magazynu informujesz gracza notyfikacją </t>
  </si>
  <si>
    <t xml:space="preserve">Powiadomienia o aktywacji i mnożniku, wpłacie, ukończeniu i wygaśnięciu. Ukończenie: popup z fajerwerkami, krótka wibracja telefonu i opcjonalny ekran Share your achievement.</t>
  </si>
  <si>
    <t xml:space="preserve">Zawsze widoczne: tytuł, rozmiar, nagroda, mnożnik, czas i postęp</t>
  </si>
  <si>
    <t xml:space="preserve">Nie dodajemy wymyślonego czasu przypomnienia ani automatycznych wpłat.</t>
  </si>
  <si>
    <t xml:space="preserve">Skalowanie</t>
  </si>
  <si>
    <t xml:space="preserve">ROZSTRZYGNIĘTE V7 D07</t>
  </si>
  <si>
    <t xml:space="preserve">L1: 120/468; L2: 288/468; L3: 1; L4: 672/468.</t>
  </si>
  <si>
    <t xml:space="preserve">Skalowanie nie gwarantuje zwrotu portowej wartości wszystkich wpłat; jest zatwierdzonym wzorem nagród.</t>
  </si>
  <si>
    <t xml:space="preserve">podnieśmy tak samo nagrody niech sie opłaca proporcjonalnie do opłacalności np na 3 poziomie </t>
  </si>
  <si>
    <t xml:space="preserve">Produkcja maksymalna a realny czas</t>
  </si>
  <si>
    <t xml:space="preserve">UWAGA BALANSOWA</t>
  </si>
  <si>
    <t xml:space="preserve">Pełna załoga 12 × L w każdym z 2–4 zakładów nie może być założona jednocześnie przy jednej wspólnej populacji.</t>
  </si>
  <si>
    <t xml:space="preserve">L1: 12 osób na start, maks. 24; duże: 4 zakłady × 12 = 48 stanowisk</t>
  </si>
  <si>
    <t xml:space="preserve">Norma określa wymagania, nie realny czas zebrania przy wspólnej populacji. Zbierania, karmienia i wcześniejszych rozbudów nie doliczamy do tabeli czasu budowy.</t>
  </si>
  <si>
    <t xml:space="preserve">wyjasnione powyżej</t>
  </si>
  <si>
    <t xml:space="preserve">Aktywność</t>
  </si>
  <si>
    <t xml:space="preserve">Tylko jedno aktywne zadanie. Active i postęp każdego produktu w obu widokach; pozostałe oferty szare, bez startu/wpłaty.</t>
  </si>
  <si>
    <t xml:space="preserve">Wymagania i nagrody można nadal obejrzeć.</t>
  </si>
  <si>
    <t xml:space="preserve">Stare wpłaty, terminy i utrwalone mnożniki zachowane.</t>
  </si>
  <si>
    <t xml:space="preserve">Bonus udostępnienia</t>
  </si>
  <si>
    <t xml:space="preserve">Share on Facebook przyznaje500monet raz na ukończone zadanie; Skip zachowuje zwykłą nagrodę.</t>
  </si>
  <si>
    <t xml:space="preserve">Bez integracjiFacebook; kliknięcie prototypowego przycisku, nie potwierdzenie publikacji.</t>
  </si>
  <si>
    <t xml:space="preserve">Najnowsza odpowiedź użytkownika:500monet.</t>
  </si>
  <si>
    <t xml:space="preserve">ZADANIA V7 • zamrożone przykłady po skalowaniu</t>
  </si>
  <si>
    <t xml:space="preserve">12 przykładów S/M/L na poziomach 1–4; dla czytelności wszystkie własne poziomy producentów i Ratusza równe D. Nagrody bazują na L3: skala G/468. 1/2/3 rodzaje nagród. W towarach kolumny AA–AF pokazują dodatkowe rodzaje; mnożnik ×2/×3 obejmuje wszystkie. Kolumna W dotyczy wyłącznie pierwszego, 6-godzinnego terminu, nie dobowych następców.</t>
  </si>
  <si>
    <t xml:space="preserve">Zestaw</t>
  </si>
  <si>
    <t xml:space="preserve">Rozmiar</t>
  </si>
  <si>
    <t xml:space="preserve">Nazwa / narracja</t>
  </si>
  <si>
    <t xml:space="preserve">Poziom producentów</t>
  </si>
  <si>
    <t xml:space="preserve">Maks. ludzi/producent</t>
  </si>
  <si>
    <t xml:space="preserve">Szt./os./h</t>
  </si>
  <si>
    <t xml:space="preserve">Maks. szt./h</t>
  </si>
  <si>
    <t xml:space="preserve">Norma godzin/rodzaj</t>
  </si>
  <si>
    <t xml:space="preserve">Liczba rodzajów</t>
  </si>
  <si>
    <t xml:space="preserve">Wpłaty: format</t>
  </si>
  <si>
    <t xml:space="preserve">Złoto bazowe</t>
  </si>
  <si>
    <t xml:space="preserve">Towar nagrody</t>
  </si>
  <si>
    <t xml:space="preserve">Ilość bazowa</t>
  </si>
  <si>
    <t xml:space="preserve">Złoto ×2</t>
  </si>
  <si>
    <t xml:space="preserve">Złoto ×3</t>
  </si>
  <si>
    <t xml:space="preserve">Towar ×2</t>
  </si>
  <si>
    <t xml:space="preserve">Towar ×3</t>
  </si>
  <si>
    <t xml:space="preserve">Termin [h]</t>
  </si>
  <si>
    <t xml:space="preserve">Skala nagród względem L3</t>
  </si>
  <si>
    <t xml:space="preserve">Monety bazowe na L3</t>
  </si>
  <si>
    <t xml:space="preserve">Nagroda: drugi rodzaj</t>
  </si>
  <si>
    <t xml:space="preserve">Drugi: baza na L3</t>
  </si>
  <si>
    <t xml:space="preserve">Drugi: ilość po skalowaniu</t>
  </si>
  <si>
    <t xml:space="preserve">Nagroda: trzeci rodzaj</t>
  </si>
  <si>
    <t xml:space="preserve">Trzeci: baza na L3</t>
  </si>
  <si>
    <t xml:space="preserve">Trzeci: ilość po skalowaniu</t>
  </si>
  <si>
    <t xml:space="preserve">Pierwszy: baza na L3</t>
  </si>
  <si>
    <t xml:space="preserve">Liczba rodzajów nagrody</t>
  </si>
  <si>
    <t xml:space="preserve">Naprawa poręczy na schodach</t>
  </si>
  <si>
    <t xml:space="preserve">0/480 drewno; 0/480 kamień</t>
  </si>
  <si>
    <t xml:space="preserve">kamień</t>
  </si>
  <si>
    <t xml:space="preserve">Skala nagród z L3, bez chwilowej premii produkcji. Nagrody wszystkich rodzajów w R/AC/AF; ×2/×3 obejmuje każdą. Wymagania w J:N dotyczą własnych poziomów producentów, tu równych dla przykładu. Pierwszy termin 6 h; następcy według kotwicy dobowej.</t>
  </si>
  <si>
    <t xml:space="preserve">—</t>
  </si>
  <si>
    <t xml:space="preserve">Remont barierek dla zwiedzających</t>
  </si>
  <si>
    <t xml:space="preserve">0/960 deski; 0/960 kamień</t>
  </si>
  <si>
    <t xml:space="preserve">drewno</t>
  </si>
  <si>
    <t xml:space="preserve">Generalny remont galerii widokowej</t>
  </si>
  <si>
    <t xml:space="preserve">0/1080 zboże; 0/1080 drewno; 0/1080 deski; 0/1080 żywność</t>
  </si>
  <si>
    <t xml:space="preserve">zboże</t>
  </si>
  <si>
    <t xml:space="preserve">Łatanie podestu wejściowego</t>
  </si>
  <si>
    <t xml:space="preserve">0/864 deski; 0/864 drewno</t>
  </si>
  <si>
    <t xml:space="preserve">Wymiana osłon lampy</t>
  </si>
  <si>
    <t xml:space="preserve">0/2016 zboże; 0/2016 żywność</t>
  </si>
  <si>
    <t xml:space="preserve">Odbudowa zaplecza latarników</t>
  </si>
  <si>
    <t xml:space="preserve">0/2880 kamień; 0/2880 deski; 0/2880 żywność; 0/2880 drewno</t>
  </si>
  <si>
    <t xml:space="preserve">Zabezpieczenie ścieżki do latarni</t>
  </si>
  <si>
    <t xml:space="preserve">0/2808 kamień; 0/2808 żywność</t>
  </si>
  <si>
    <t xml:space="preserve">deski</t>
  </si>
  <si>
    <t xml:space="preserve">Naprawa schodów na galerię</t>
  </si>
  <si>
    <t xml:space="preserve">0/3744 drewno; 0/3744 żywność</t>
  </si>
  <si>
    <t xml:space="preserve">żywność</t>
  </si>
  <si>
    <t xml:space="preserve">Renowacja wieży po sztormie</t>
  </si>
  <si>
    <t xml:space="preserve">0/4212 żywność; 0/4212 kamień; 0/4212 drewno; 0/4212 zboże</t>
  </si>
  <si>
    <t xml:space="preserve">Zaopatrzenie ekipy przeglądowej</t>
  </si>
  <si>
    <t xml:space="preserve">0/4032 drewno; 0/4032 żywność</t>
  </si>
  <si>
    <t xml:space="preserve">Odtworzenie pomostu widokowego</t>
  </si>
  <si>
    <t xml:space="preserve">0/4032 żywność; 0/4032 drewno</t>
  </si>
  <si>
    <t xml:space="preserve">Przygotowanie latarni do sezonu</t>
  </si>
  <si>
    <t xml:space="preserve">0/4032 drewno; 0/4032 żywność; 0/4032 deski; 0/4032 kamień</t>
  </si>
  <si>
    <t xml:space="preserve">dopisz zadania musi być ich ze 100 </t>
  </si>
  <si>
    <t xml:space="preserve">LATARNIA • niezależne zegary i raty</t>
  </si>
  <si>
    <t xml:space="preserve">Przykłady pierwszego 6-godzinnego terminu, kliknięcia i nieodwracalnych rat. Po pierwszym sukcesie każdy łańcuch przechodzi na dobową kotwicę. Mnożnik utrwala pierwsze kliknięcie: &lt;15 s ×3; 15–&lt;300 s ×2; od300 s ×1. Nie jest resetowany po wczytaniu zapisu.</t>
  </si>
  <si>
    <t xml:space="preserve">Wiek przy pierwszym kliknięciu [s]</t>
  </si>
  <si>
    <t xml:space="preserve">Pozostało w chwili kliknięcia [min]</t>
  </si>
  <si>
    <t xml:space="preserve">Utrwalony mnożnik</t>
  </si>
  <si>
    <t xml:space="preserve">Wymagane</t>
  </si>
  <si>
    <t xml:space="preserve">Wpłacono</t>
  </si>
  <si>
    <t xml:space="preserve">Brakuje</t>
  </si>
  <si>
    <t xml:space="preserve">Następna rata</t>
  </si>
  <si>
    <t xml:space="preserve">Stan po racie</t>
  </si>
  <si>
    <t xml:space="preserve">Zwrot po terminie</t>
  </si>
  <si>
    <t xml:space="preserve">Małe — szybkie przyjęcie</t>
  </si>
  <si>
    <t xml:space="preserve">Rata pobierana z centrali bez transportu; po terminie wpłaty przepadają. Zerowy stan po przedawnieniu oznacza utratę wpłat, nie wypłatę graczowi.</t>
  </si>
  <si>
    <t xml:space="preserve">Średnie — szybkie przyjęcie</t>
  </si>
  <si>
    <t xml:space="preserve">Duże — zwykłe przyjęcie</t>
  </si>
  <si>
    <t xml:space="preserve">Granica 15 sekund</t>
  </si>
  <si>
    <t xml:space="preserve">Granica 5 minut</t>
  </si>
  <si>
    <t xml:space="preserve">Zadanie przedawnione</t>
  </si>
  <si>
    <t xml:space="preserve">Przykłady dobowych kotwic</t>
  </si>
  <si>
    <t xml:space="preserve">Łańcuch A: pierwszy sukces</t>
  </si>
  <si>
    <t xml:space="preserve">23.10 13:12</t>
  </si>
  <si>
    <t xml:space="preserve">24.10 13:12</t>
  </si>
  <si>
    <t xml:space="preserve">Następca natychmiast; kotwica dzienna.</t>
  </si>
  <si>
    <t xml:space="preserve">A: kolejny sukces tego samego dnia</t>
  </si>
  <si>
    <t xml:space="preserve">23.10 14:00</t>
  </si>
  <si>
    <t xml:space="preserve">Nowe zadanie natychmiast; deadline pozostaje.</t>
  </si>
  <si>
    <t xml:space="preserve">Łańcuch B: niezależny sukces</t>
  </si>
  <si>
    <t xml:space="preserve">23.10 17:19</t>
  </si>
  <si>
    <t xml:space="preserve">24.10 17:19</t>
  </si>
  <si>
    <t xml:space="preserve">Nie resetuje łańcucha A.</t>
  </si>
  <si>
    <t xml:space="preserve">A: wygaśnięcie</t>
  </si>
  <si>
    <t xml:space="preserve">25.10 13:12</t>
  </si>
  <si>
    <t xml:space="preserve">Utrata wpłat, następca z nowym terminem dobowym.</t>
  </si>
  <si>
    <t xml:space="preserve">Zmiana czasu zimowego</t>
  </si>
  <si>
    <t xml:space="preserve">25 godzin rzeczywistych, ta sama godzina Europe/Warsaw.</t>
  </si>
  <si>
    <t xml:space="preserve">EKSPEDYCJE • przebieg i nagrody</t>
  </si>
  <si>
    <t xml:space="preserve">Panel poniżej zadań po prawej. Nagrody wyłącznie w monetach. Plansze, sterowanie, trudność, koszty dodatkowego czasu/ruchów i zasady jednosekundowego kodu pozostają do późniejszego opisania.</t>
  </si>
  <si>
    <t xml:space="preserve">Umiejscowienie</t>
  </si>
  <si>
    <t xml:space="preserve">Po prawej stronie, pod bieżącymi zadaniami latarni.</t>
  </si>
  <si>
    <t xml:space="preserve">Zawsze dostępnych kilka ekspedycji. Konkretna liczba i rotacja nieustalone.</t>
  </si>
  <si>
    <t xml:space="preserve">POTWIERDZONE; LICZBA OTWARTA</t>
  </si>
  <si>
    <t xml:space="preserve">Rodzaje gry</t>
  </si>
  <si>
    <t xml:space="preserve">Plansza z labiryntem i piłeczką do przeprowadzenia do środka albo dobieranie takich samych puzzli.</t>
  </si>
  <si>
    <t xml:space="preserve">Dokładne sterowanie, plansze i zasady użytkownik opisze później.</t>
  </si>
  <si>
    <t xml:space="preserve">POTWIERDZONE; SZCZEGÓŁY PÓŹNIEJ</t>
  </si>
  <si>
    <t xml:space="preserve">Wyłącznie złoto / monety.</t>
  </si>
  <si>
    <t xml:space="preserve">Ekspedycja nie przyznaje materiałów ani szczęścia. Nazwa waluty do ujednolicenia.</t>
  </si>
  <si>
    <t xml:space="preserve">Pierwszy wygrany poziom</t>
  </si>
  <si>
    <t xml:space="preserve">50 monet w nieodebranej puli.</t>
  </si>
  <si>
    <t xml:space="preserve">Można wypłacić pulę na wyspę albo postawić ją na dalszą grę.</t>
  </si>
  <si>
    <t xml:space="preserve">Każda kolejna wygrana</t>
  </si>
  <si>
    <t xml:space="preserve">Podwaja całą dotychczasową pulę.</t>
  </si>
  <si>
    <t xml:space="preserve">Poziom n: 50 × 2^(n−1) monet. To nowa łączna pula, nie dodatkowa nagroda dodawana do poprzedniej.</t>
  </si>
  <si>
    <t xml:space="preserve">Wypłata</t>
  </si>
  <si>
    <t xml:space="preserve">Przeniesienie aktualnej puli do gry na wyspie.</t>
  </si>
  <si>
    <t xml:space="preserve">Po wypłacie ekspedycja powinna zamknąć serię; to logiczna propozycja, nie zatwierdzony osobny szczegół. Nie określono restartów i opłaty wejściowej.</t>
  </si>
  <si>
    <t xml:space="preserve">WYBÓR WYPŁATY POTWIERDZONY</t>
  </si>
  <si>
    <t xml:space="preserve">Przegrana</t>
  </si>
  <si>
    <t xml:space="preserve">Utrata całej niewypłaconej puli danej serii.</t>
  </si>
  <si>
    <t xml:space="preserve">Nie ma podstaw do odbierania istniejących wcześniej monet z wyspy. Płatności za dodatkowe ruchy/czas nie są nagrodą i zasady ich zwrotu nie zostały określone.</t>
  </si>
  <si>
    <t xml:space="preserve">POTWIERDZONE; WYDATKI DO DOPRECYZOWANIA</t>
  </si>
  <si>
    <t xml:space="preserve">Ograniczenie poziomu</t>
  </si>
  <si>
    <t xml:space="preserve">Limit czasu albo liczby ruchów.</t>
  </si>
  <si>
    <t xml:space="preserve">Ilości i trudność poszczególnych poziomów nieustalone. Zatrzymywanie podczas reklam i po zamknięciu karty wymaga osobnej reguły.</t>
  </si>
  <si>
    <t xml:space="preserve">POTWIERDZONE; LIMITY OTWARTE</t>
  </si>
  <si>
    <t xml:space="preserve">Dodatkowy czas lub ruchy</t>
  </si>
  <si>
    <t xml:space="preserve">Zakup monetami albo obejrzenie reklamy.</t>
  </si>
  <si>
    <t xml:space="preserve">Nie ustalono ceny, przyrostu czasu/ruchów, liczby zakupów, momentu zakupu ani czy można uratować już przegraną próbę.</t>
  </si>
  <si>
    <t xml:space="preserve">POTWIERDZONE; CENNIK OTWARTY</t>
  </si>
  <si>
    <t xml:space="preserve">Reklama ekspedycji</t>
  </si>
  <si>
    <t xml:space="preserve">Najpierw materiał o własnej grze, później reklamy zewnętrzne; maksymalnie 30 sekund.</t>
  </si>
  <si>
    <t xml:space="preserve">To reguła reklam ekspedycyjnych. Wcześniejsze odłożone reklamy kaplicy miały 60 s; nie zastępować ich bez decyzji.</t>
  </si>
  <si>
    <t xml:space="preserve">Jednosekundowy przekaz</t>
  </si>
  <si>
    <t xml:space="preserve">Reklama ma zawierać przez 1 sekundę przekaz do późniejszego wpisania.</t>
  </si>
  <si>
    <t xml:space="preserve">Przekaz pokazywany przez 1 sekundę; treść, miejsce wpisania, warunek uznania reklamy i ewentualna nagroda zostaną opisane później.</t>
  </si>
  <si>
    <t xml:space="preserve">POMYSŁ ZACHOWANY; DZIAŁANIE PÓŹNIEJ</t>
  </si>
  <si>
    <t xml:space="preserve">Brak limitu poziomów</t>
  </si>
  <si>
    <t xml:space="preserve">Obecny opis nie wyznacza końca serii.</t>
  </si>
  <si>
    <t xml:space="preserve">Podwajanie jest wykładnicze: poziom 10 = 25 600, poziom 20 = 26 214 400 monet. Limit, trudność i koszt ratowania mogą być potrzebne do balansu.</t>
  </si>
  <si>
    <t xml:space="preserve">UWAGA BALANSOWA, NIE NOWA REGUŁA</t>
  </si>
  <si>
    <t xml:space="preserve">EKSPEDYCJE • podwajanie puli</t>
  </si>
  <si>
    <t xml:space="preserve">Pula = 50 × 2^(n−1). Każda wygrana podwaja aktualną pulę; nie dodajemy wszystkich poprzednich pul. Wypłata trafia na wyspę. Przegrana odbiera niewypłaconą pulę serii. Maksymalna liczba poziomów nie została ustalona.</t>
  </si>
  <si>
    <t xml:space="preserve">Wygrany poziom</t>
  </si>
  <si>
    <t xml:space="preserve">Pula do wypłaty [monety]</t>
  </si>
  <si>
    <t xml:space="preserve">Przyrost względem poprzedniego</t>
  </si>
  <si>
    <t xml:space="preserve">Po przegranej kolejnego</t>
  </si>
  <si>
    <t xml:space="preserve">Cena zakupu takiej liczby monet [PLN]</t>
  </si>
  <si>
    <t xml:space="preserve">Dodatkowy czas/ruchy</t>
  </si>
  <si>
    <t xml:space="preserve">Monety lub reklama ≤30 s; cena i ilość do ustalenia.</t>
  </si>
  <si>
    <t xml:space="preserve">Przeliczenie PLN opisuje cenę zakupu monet, nie wypłatę pieniędzy. Nagroda poziomu 20 pokazuje ryzyko wykładniczego wzrostu.</t>
  </si>
  <si>
    <t xml:space="preserve">BILANS • konsekwencje zatwierdzonych zasad</t>
  </si>
  <si>
    <t xml:space="preserve">Nie zmieniamy zatwierdzonych wartości. Początkowe zadania mają6h; po pierwszym sukcesie obowiązuje dobowa kotwica. Normy wymagań i wspólna populacja nadal oznaczają potrzebę wcześniejszych zapasów.</t>
  </si>
  <si>
    <t xml:space="preserve">Liczby / konsekwencje</t>
  </si>
  <si>
    <t xml:space="preserve">Status / uwaga</t>
  </si>
  <si>
    <t xml:space="preserve">Społecznościowe 1000 monet</t>
  </si>
  <si>
    <t xml:space="preserve">Przy 1 PLN = 10 monet nagroda odpowiada cenie zakupu 100 PLN. Przy 12 pracujących to 83 h 20 min podatków; nagrodę można wydać na 1000 min skrócenia budowy.</t>
  </si>
  <si>
    <t xml:space="preserve">To porównanie siły nabywczej, nie wypłata prawdziwych pieniędzy.</t>
  </si>
  <si>
    <t xml:space="preserve">Społecznościowe 500 monet</t>
  </si>
  <si>
    <t xml:space="preserve">Równowartość ceny zakupu 50 PLN; przy 12 pracujących: 41 h 40 min podatków.</t>
  </si>
  <si>
    <t xml:space="preserve">Do ustalenia częstotliwość i kumulacja.</t>
  </si>
  <si>
    <t xml:space="preserve">Transport a opłacalność</t>
  </si>
  <si>
    <t xml:space="preserve">200 Food przy ładunku 60 to 4 kursy = 40 monet; bazowa wartość zakupu to 300 monet. Przewóz 200 drewna również kosztuje 40 monet, ale zakup tylko 100.</t>
  </si>
  <si>
    <t xml:space="preserve">Cena przewozu zależy od objętości, nie wartości produktu; to spójne z cennikiem użytkownika.</t>
  </si>
  <si>
    <t xml:space="preserve">Ekspedycja poziom 10</t>
  </si>
  <si>
    <t xml:space="preserve">25 600 monet; przy 12 pracujących: 2133 h 20 min podatków.</t>
  </si>
  <si>
    <t xml:space="preserve">Jeżeli seria powtarzalna i łatwa, nagrody mogą dominować nad ekonomią wyspy.</t>
  </si>
  <si>
    <t xml:space="preserve">Minimalna szansa dalszej wygranej</t>
  </si>
  <si>
    <t xml:space="preserve">Ryzykując pulę B o podwojenie, oczekiwana pula po próbie to 2pB. Arytmetyczny próg rentowności p = 50%, przed kosztami ratunku.</t>
  </si>
  <si>
    <t xml:space="preserve">To analiza balansu; nie zakładamy losowości ani stawki prawdopodobieństwa w zręcznościowej minigrze.</t>
  </si>
  <si>
    <t xml:space="preserve">L1: małe: 6 h = 720 na rodzaj, nie 1440; 1440 to suma dwóch rodzajów. Duże: 10 h = 1200 na rodzaj &gt; 1000 pojemności typu w magazynie L1; raty umożliwiają wykonanie bez jednoczesnego zapasu całego kosztu.</t>
  </si>
  <si>
    <t xml:space="preserve">UWAGA DO BALANSU</t>
  </si>
  <si>
    <t xml:space="preserve">L2: małe: 6 h = 1728 na rodzaj &gt; 1500 pojemności typu magazynu L2; wymagane raty nie są błędem, lecz muszą być czytelne.</t>
  </si>
  <si>
    <t xml:space="preserve">Początkowe zadanie z normą8–10h może wymagać wcześniejszych zapasów przy6hterminie. Po pierwszym sukcesie następcy trzymają niezależnądobowąkotwicę.</t>
  </si>
  <si>
    <t xml:space="preserve">Nagrody skalujemy odL3 relacją12L×p(L)/468. Tenwzór nie gwarantuje zwrotu portowejwartościwszystkichwpłat.</t>
  </si>
  <si>
    <t xml:space="preserve">ZATWIERDZONE D07; świadoma konsekwencja balansu.</t>
  </si>
  <si>
    <t xml:space="preserve">Duże zadanie L1 od zera</t>
  </si>
  <si>
    <t xml:space="preserve">Minimum: 4 rodzaje × 4 h × 12 osób × 10/h = 1920 produktów. Przy 12 osobach to co najmniej 16 h sumarycznej pracy producentów, przed jedzeniem, zużyciem wejściowym 2:1 i transportem. Termin zadania wynosi 6 h.</t>
  </si>
  <si>
    <t xml:space="preserve">Zadanie jest celem na wcześniejsze zapasy lub wymaga oceny kosztów.</t>
  </si>
  <si>
    <t xml:space="preserve">Nagroda towarowa ×3</t>
  </si>
  <si>
    <t xml:space="preserve">Bazowe 1000 ×3 = 3000 sztuk jednego towaru; magazyn poziomu 1 mieści 1000 każdego rodzaju i 4000 łącznie.</t>
  </si>
  <si>
    <t xml:space="preserve">Niezależne odnowienia a trudność</t>
  </si>
  <si>
    <t xml:space="preserve">D05zamknięte; noweśrednie/duże respektująaktualnemniejsze, starezadaniabez zmian.</t>
  </si>
  <si>
    <t xml:space="preserve">Niepełna minuta</t>
  </si>
  <si>
    <t xml:space="preserve">Dla45s,60s i4minskrócenia cena5monet; dopiero powyżej5pełnychminut rośnie.</t>
  </si>
  <si>
    <t xml:space="preserve">ROZSTRZYGNIĘTE D12:MAX(5,FLOOR(minuty)).</t>
  </si>
  <si>
    <t xml:space="preserve">Serie publikacji</t>
  </si>
  <si>
    <t xml:space="preserve">Bez limitu powtarzania i definicji kwalifikowanego posta kwoty za każdy 3. post tworzą nieograniczony przychód.</t>
  </si>
  <si>
    <t xml:space="preserve">Zasady nagradzania oraz weryfikacja platform pozostają otwarte.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</si>
  <si>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</si>
  <si>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 V8: lokalna pojemność =200×własny poziom producenta; kolumnaE uwzględnia poziom ścieżek ze scenariusza Parametry.</t>
  </si>
  <si>
    <t xml:space="preserve">Poziom budynku</t>
  </si>
  <si>
    <t xml:space="preserve">Wydajność/os./h</t>
  </si>
  <si>
    <t xml:space="preserve">Wydajność głodnego/os./h</t>
  </si>
  <si>
    <t xml:space="preserve">Limit załogi</t>
  </si>
  <si>
    <t xml:space="preserve">Ładunek magazyn/targ/port</t>
  </si>
  <si>
    <t xml:space="preserve">Każda osoba osobno; całe sztuki i własna faza pracy. Młyn/tartak nadal 2:1. Bufor lokalny nadal 200×własny poziom producenta.</t>
  </si>
  <si>
    <t xml:space="preserve">NOWE CZASY • liczymy kursy, nie sztuki na godzinę</t>
  </si>
  <si>
    <t xml:space="preserve">74 warianty transportu i budowy. Młyn/drwale/tartak/kamieniołom koszt×2; farma bez zmian; kolejka+10%. Uwzględniono edytowalny ukończony poziom dróg (Parametry; domyślnie0), jego szybkość i ładunek. 6 dostępnych nakarmionych tragarzy. Bez zbierania i czekania; rzeczywisty scheduler może mieć dodatkowe konkurujące kursy.</t>
  </si>
  <si>
    <t xml:space="preserve">Etap</t>
  </si>
  <si>
    <t xml:space="preserve">Tryb kosztu</t>
  </si>
  <si>
    <t xml:space="preserve">Obecny L</t>
  </si>
  <si>
    <t xml:space="preserve">Nowy N</t>
  </si>
  <si>
    <t xml:space="preserve">Dostępni tragarze</t>
  </si>
  <si>
    <t xml:space="preserve">Ładunek/os./kurs</t>
  </si>
  <si>
    <t xml:space="preserve">Kursy drewno</t>
  </si>
  <si>
    <t xml:space="preserve">Kursy kamień</t>
  </si>
  <si>
    <t xml:space="preserve">Kursy zboże</t>
  </si>
  <si>
    <t xml:space="preserve">Kursy Food</t>
  </si>
  <si>
    <t xml:space="preserve">Kursy deski</t>
  </si>
  <si>
    <t xml:space="preserve">Fale</t>
  </si>
  <si>
    <t xml:space="preserve">Transport T [min]</t>
  </si>
  <si>
    <t xml:space="preserve">Łącznie ×T</t>
  </si>
  <si>
    <t xml:space="preserve">Sama budowa [min]</t>
  </si>
  <si>
    <t xml:space="preserve">Razem [min]</t>
  </si>
  <si>
    <t xml:space="preserve">Materiały razem</t>
  </si>
  <si>
    <t xml:space="preserve">1→2</t>
  </si>
  <si>
    <t xml:space="preserve">Bez kolejki</t>
  </si>
  <si>
    <t xml:space="preserve">Tylko ta budowa; 6 dostępnych nakarmionych tragarzy; poziom magazynu według F. Poziom ścieżek z Parametry; domyślnie0. Rywalizujące kursy i priorytety w grze mogą wydłużyć ETA.</t>
  </si>
  <si>
    <t xml:space="preserve">Kolejka +10%</t>
  </si>
  <si>
    <t xml:space="preserve">2→3</t>
  </si>
  <si>
    <t xml:space="preserve">3→4</t>
  </si>
  <si>
    <t xml:space="preserve">0→1</t>
  </si>
  <si>
    <t xml:space="preserve">LOGISTYKA • ujednolicone nowe zasady</t>
  </si>
  <si>
    <t xml:space="preserve">V8: fizyczne kursy, drogi 0–5, trzy trwałe priorytety towarów/Construction i podgląd rzeczywistych tragarzy. Całość działa zegarowo także offline; rejs statku i dojście do pracy to osobne zegary.</t>
  </si>
  <si>
    <t xml:space="preserve">Kurs</t>
  </si>
  <si>
    <t xml:space="preserve">Bazowo pełny kurs z powrotem 5 min. Ścieżki: czas = 5/(1+0,1×ukończony poziom). Jeden rodzaj na kurs. Ładunek z własnego poziomu magazynu/targu/portu, dodatkowo premia ścieżek od poziomu3.</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</si>
  <si>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</si>
  <si>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</si>
  <si>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</si>
  <si>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</si>
  <si>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</si>
  <si>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</si>
  <si>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</si>
  <si>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</si>
  <si>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 × poziom magazynu na potrzeby ludzi. Wysyłka/rezerwacja nieżywieniowa chroni to minimum; ludzie mogą je zjadać.</t>
  </si>
  <si>
    <t xml:space="preserve">Sam bufor nie gwarantuje braku głodu; estymaty zakładają nakarmioną obsadę.</t>
  </si>
  <si>
    <t xml:space="preserve">NOWE</t>
  </si>
  <si>
    <t xml:space="preserve">Ratunkowy tragarz Food</t>
  </si>
  <si>
    <t xml:space="preserve">Jeden dostępny magazynier ma nosić Food, gdy jest gotowy w młynie, a centrala ma mniej niż 50 × poziom magazynu.</t>
  </si>
  <si>
    <t xml:space="preserve">Zakaz dotyczy ręcznego odwołania ostatniego istniejącego magazyniera. Przymusowe odejścia według osobnej listy; magazyn na końcu.</t>
  </si>
  <si>
    <t xml:space="preserve">Domyślne priorytety</t>
  </si>
  <si>
    <t xml:space="preserve">Najpierw zaopatrzenie centralnego magazynu, potem dostawy na budowy.</t>
  </si>
  <si>
    <t xml:space="preserve">Maksymalnie 3 numerowane priorytety, w tym Construction. Bez priorytetów najpierw centrala, potem budowy; ratunkowy Food ma ochronę.</t>
  </si>
  <si>
    <t xml:space="preserve">ETA budowy</t>
  </si>
  <si>
    <t xml:space="preserve">ETA osobno dla transportu i budowy przy obecnej obsadzie, ładunkach i priorytetach. Etykieta świata: Transport · ETA / Construction · ETA.</t>
  </si>
  <si>
    <t xml:space="preserve">ETA = pozostały transport + budowa; po zmianie priorytetów przeliczamy je ponownie. 6 tragarzy w kalkulatorze oznacza 6 faktycznie dostępnych dla tej budowy.</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</si>
  <si>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</si>
  <si>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</si>
  <si>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</si>
  <si>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</si>
  <si>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</si>
  <si>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</si>
  <si>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</si>
  <si>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Rejs zawsze 5 min. Monety schodzą z konta w momencie transakcji, potem towar wymaga rozładunku i przewozu do centrali.</t>
  </si>
  <si>
    <t xml:space="preserve">Kliknięcie kup/sprzedaj pobiera monety lub rezerwuje towar. Towar przed przywiezieniem do centrali nie jest dostępny do jedzenia lub budowy.</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</si>
  <si>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</si>
  <si>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</si>
  <si>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</si>
  <si>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</si>
  <si>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Przestój z braku wejścia lub miejsca: produkcja stoi, podatek płynie, jedna kara przestoju −10…−50.</t>
  </si>
  <si>
    <t xml:space="preserve">Wizyty</t>
  </si>
  <si>
    <t xml:space="preserve">Dom pokazuje osobiste H i przydziały; można wybierać osoby do zwiedzania. Osobna modlitwa pozostaje na później.</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</si>
  <si>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Premie od powrotu: uczestnik 100% na 24 h i blokada ponownej wizyty przez te same 24 h; każda osobno wysłana grupa daje populacji +10 pp przez 6 h. Premie grup sumują się w czasie nakładania. Płatne błogosławieństwo: 100 × poziom kaplicy monet; +50 każdego zasobu i +20 pp na 1 h. Kolejne płatne użycie 4 h od KOŃCA efektu: 12:00–13:00 → następne 17:00. Nie można nakładać aktywnych błogosławieństw.</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</si>
  <si>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</si>
  <si>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</si>
  <si>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POTWIERDZONE W ROZMOWIE</t>
  </si>
  <si>
    <t xml:space="preserve">Wybrane priorytety</t>
  </si>
  <si>
    <t xml:space="preserve">5 produktów i Construction w jednej puli; najwyżej3 aktywne, podświetlone i numerowane.</t>
  </si>
  <si>
    <t xml:space="preserve">Construction może mieć numer1,2 lub3.</t>
  </si>
  <si>
    <t xml:space="preserve">1:8+2 losowe; 2:5+3+2 losowe; 3:5+3+2.</t>
  </si>
  <si>
    <t xml:space="preserve">Bloki rzeczywistych kursów powtarzają się bezterminowo. Niepełny kurs liczy się jako jeden.</t>
  </si>
  <si>
    <t xml:space="preserve">Pusty priorytet</t>
  </si>
  <si>
    <t xml:space="preserve">Brak towaru nie zatrzymuje tragarza, jeśli jest inna wykonalna dostawa.</t>
  </si>
  <si>
    <t xml:space="preserve">Zapis zachowuje wybór, licznik cyklu i stan losowania.</t>
  </si>
  <si>
    <t xml:space="preserve">Podgląd osób</t>
  </si>
  <si>
    <t xml:space="preserve">Przydział, rodzaj i ilość ładunku, skąd→dokąd, czas końca; osobno droga/bezczynność.</t>
  </si>
  <si>
    <t xml:space="preserve">Odwołany ładunek kończy kurs niezależnie; bez kopiowania na nową osobę.</t>
  </si>
  <si>
    <t xml:space="preserve">100 odcinków×5 poziomów; korzyść dopiero po ukończeniu całej setki poziomu.</t>
  </si>
  <si>
    <t xml:space="preserve">Szybkość +10%/poziom; ładunek od3: +10/+20/+30%. Zobacz Sciezki.</t>
  </si>
  <si>
    <t xml:space="preserve">PARAMETRY V8 • zatwierdzone liczby i scenariusze</t>
  </si>
  <si>
    <t xml:space="preserve">Niebieskie wartości edytowalne. Wszystkie zegary gospodarki działają offline. Ładunek FLOOR(60×1,1^(L−1)); koszt kolejki zaokrąglamy w górę dla każdego składnika. Estymaty obejmują wyłącznie transport i budowę.</t>
  </si>
  <si>
    <t xml:space="preserve">Parametr</t>
  </si>
  <si>
    <t xml:space="preserve">people_start</t>
  </si>
  <si>
    <t xml:space="preserve">Ludzie na starcie</t>
  </si>
  <si>
    <t xml:space="preserve">AKTUALNE</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</si>
  <si>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</si>
  <si>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</si>
  <si>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</si>
  <si>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</si>
  <si>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</si>
  <si>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</si>
  <si>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</si>
  <si>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</si>
  <si>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</si>
  <si>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</si>
  <si>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</si>
  <si>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</si>
  <si>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</si>
  <si>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</si>
  <si>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</si>
  <si>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</si>
  <si>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Potwierdzone składanie i FLOOR: 60,66,72…</t>
  </si>
  <si>
    <t xml:space="preserve">trip</t>
  </si>
  <si>
    <t xml:space="preserve">Pełny kurs, z powrotem</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</si>
  <si>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</si>
  <si>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</si>
  <si>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</si>
  <si>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</si>
  <si>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</si>
  <si>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</si>
  <si>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</si>
  <si>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</si>
  <si>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</si>
  <si>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 × poziom magazynu. Ludzie mogą ją zjadać.</t>
  </si>
  <si>
    <t xml:space="preserve">travel</t>
  </si>
  <si>
    <t xml:space="preserve">Droga człowieka do pracy / do domu</t>
  </si>
  <si>
    <t xml:space="preserve">min/odcinek</t>
  </si>
  <si>
    <t xml:space="preserve">5 min do pracy i 5 min do domu. Praca i podatek zaczynają się dopiero po dotarciu do zakładu.</t>
  </si>
  <si>
    <t xml:space="preserve">queue</t>
  </si>
  <si>
    <t xml:space="preserve">Dopłata do zlecenia w kolejce</t>
  </si>
  <si>
    <t xml:space="preserve">mnożnik kosztu</t>
  </si>
  <si>
    <t xml:space="preserve">Cała cena ×1,1; każdy składnik w górę. Premium nie znosi dopłaty.</t>
  </si>
  <si>
    <t xml:space="preserve">norm</t>
  </si>
  <si>
    <t xml:space="preserve">Norma kosztu producenta</t>
  </si>
  <si>
    <t xml:space="preserve">szt./dobę×L</t>
  </si>
  <si>
    <t xml:space="preserve">Norma 240 × L; koszt 30% drewna + 30% kamienia + 50% produktu. Młyn, drwale, tartak i kamieniołom: cały koszt ×2 według V4. Farma bez mnożnika. To norma kosztowa, nie rzeczywista produkcja.</t>
  </si>
  <si>
    <t xml:space="preserve">wood_share</t>
  </si>
  <si>
    <t xml:space="preserve">Drewno: udział normy</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</si>
  <si>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</si>
  <si>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</si>
  <si>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</si>
  <si>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</si>
  <si>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</si>
  <si>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</si>
  <si>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</si>
  <si>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</si>
  <si>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</si>
  <si>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</si>
  <si>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</si>
  <si>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</si>
  <si>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</si>
  <si>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</si>
  <si>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</si>
  <si>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</si>
  <si>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</si>
  <si>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</si>
  <si>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</si>
  <si>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</si>
  <si>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</si>
  <si>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</si>
  <si>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</si>
  <si>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</si>
  <si>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</si>
  <si>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</si>
  <si>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</si>
  <si>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</si>
  <si>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</si>
  <si>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</si>
  <si>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</si>
  <si>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</si>
  <si>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</si>
  <si>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</si>
  <si>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1 moneta/os./h od dotarcia do zakładu, również podczas przestoju przypisanego pracownika. Kaplica czasowo ×2. Bez podatku w drodze, bezrobociu i podczas zwiedzania.</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</si>
  <si>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</si>
  <si>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</si>
  <si>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</si>
  <si>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</si>
  <si>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</si>
  <si>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</si>
  <si>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</si>
  <si>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</si>
  <si>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</si>
  <si>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</si>
  <si>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</si>
  <si>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</si>
  <si>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</si>
  <si>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</si>
  <si>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</si>
  <si>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</si>
  <si>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</si>
  <si>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</si>
  <si>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</si>
  <si>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</si>
  <si>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</si>
  <si>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</si>
  <si>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</si>
  <si>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</si>
  <si>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</si>
  <si>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</si>
  <si>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</si>
  <si>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</si>
  <si>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POTWIERDZONE LINIOWO</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</si>
  <si>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</si>
  <si>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</si>
  <si>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</si>
  <si>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</si>
  <si>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</si>
  <si>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</si>
  <si>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</si>
  <si>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</si>
  <si>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</si>
  <si>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</si>
  <si>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</si>
  <si>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</si>
  <si>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</si>
  <si>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</si>
  <si>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</si>
  <si>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</si>
  <si>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pln_coins</t>
  </si>
  <si>
    <t xml:space="preserve">Monety za 1 PLN</t>
  </si>
  <si>
    <t xml:space="preserve">monet/PLN</t>
  </si>
  <si>
    <t xml:space="preserve">Cena zakupu waluty; nie kurs wypłaty na PLN.</t>
  </si>
  <si>
    <t xml:space="preserve">speed_coin</t>
  </si>
  <si>
    <t xml:space="preserve">Przyspieszenie: pełna minuta</t>
  </si>
  <si>
    <t xml:space="preserve">moneta/min</t>
  </si>
  <si>
    <t xml:space="preserve">haul_coin</t>
  </si>
  <si>
    <t xml:space="preserve">Premium: kurs tragarza</t>
  </si>
  <si>
    <t xml:space="preserve">monet/kurs</t>
  </si>
  <si>
    <t xml:space="preserve">Potwierdzone: 10 monet za każdy potrzebny kurs, również ostatni niepełny; 100 przy ładunku 60 kosztuje 20 monet.</t>
  </si>
  <si>
    <t xml:space="preserve">building_markup</t>
  </si>
  <si>
    <t xml:space="preserve">Mnożnik portowej ceny materiałów</t>
  </si>
  <si>
    <t xml:space="preserve">Potwierdzone: proporcjonalne bazowe ceny zakupu portowego; +25% wyłącznie materiałów. Koszt monet budynku doliczany osobno. Bez paczek po 100 w tej wycenie.</t>
  </si>
  <si>
    <t xml:space="preserve">quest_hours</t>
  </si>
  <si>
    <t xml:space="preserve">Początkowy termin zadania</t>
  </si>
  <si>
    <t xml:space="preserve">POCZĄTKOWE ZADANIA</t>
  </si>
  <si>
    <t xml:space="preserve">quest_fast_s</t>
  </si>
  <si>
    <t xml:space="preserve">Szybka reakcja ×3</t>
  </si>
  <si>
    <t xml:space="preserve">sekund</t>
  </si>
  <si>
    <t xml:space="preserve">Pierwsze kliknięcie utrwala ×3; nagroda po pełnej wpłacie przed aktualnym terminem.</t>
  </si>
  <si>
    <t xml:space="preserve">quest_fast_m</t>
  </si>
  <si>
    <t xml:space="preserve">Szybka reakcja ×2</t>
  </si>
  <si>
    <t xml:space="preserve">minut</t>
  </si>
  <si>
    <t xml:space="preserve">15 s ≤ wiek &lt;300 s: ×2; potem ×1. Mnożnik zapisany do ukończenia.</t>
  </si>
  <si>
    <t xml:space="preserve">exp_base</t>
  </si>
  <si>
    <t xml:space="preserve">Ekspedycja: poziom 1</t>
  </si>
  <si>
    <t xml:space="preserve">Nieodebrana pula, możliwa wypłata na wyspę.</t>
  </si>
  <si>
    <t xml:space="preserve">exp_growth</t>
  </si>
  <si>
    <t xml:space="preserve">Kolejna wygrana: pula ×</t>
  </si>
  <si>
    <t xml:space="preserve">50,100,200,400…</t>
  </si>
  <si>
    <t xml:space="preserve">exp_ad_max</t>
  </si>
  <si>
    <t xml:space="preserve">Reklama ekspedycyjna: maksimum</t>
  </si>
  <si>
    <t xml:space="preserve">Dotyczy nowo opisanej ekspedycji. Dawne reklamy kaplicy są odłożone.</t>
  </si>
  <si>
    <t xml:space="preserve">ad_code</t>
  </si>
  <si>
    <t xml:space="preserve">Czas pokazania przekazu</t>
  </si>
  <si>
    <t xml:space="preserve">sekunda</t>
  </si>
  <si>
    <t xml:space="preserve">Sposób wpisania i jego wpływ na nagrodę do opisania później.</t>
  </si>
  <si>
    <t xml:space="preserve">accel_min</t>
  </si>
  <si>
    <t xml:space="preserve">Minimalna cena przyspieszenia</t>
  </si>
  <si>
    <t xml:space="preserve">POTWIERDZONE D12</t>
  </si>
  <si>
    <t xml:space="preserve">package_price</t>
  </si>
  <si>
    <t xml:space="preserve">Cena pakietu / poziom Ratusza</t>
  </si>
  <si>
    <t xml:space="preserve">monet/L</t>
  </si>
  <si>
    <t xml:space="preserve">POTWIERDZONE D09</t>
  </si>
  <si>
    <t xml:space="preserve">package_hours</t>
  </si>
  <si>
    <t xml:space="preserve">Pakiet: czas trwania</t>
  </si>
  <si>
    <t xml:space="preserve">h</t>
  </si>
  <si>
    <t xml:space="preserve">Od zakupu; ponowny zakup przedłuża ważność.</t>
  </si>
  <si>
    <t xml:space="preserve">forecast_markup</t>
  </si>
  <si>
    <t xml:space="preserve">Plan prognozowany: dopłata od braków</t>
  </si>
  <si>
    <t xml:space="preserve">POTWIERDZONE D10</t>
  </si>
  <si>
    <t xml:space="preserve">premium_build_s</t>
  </si>
  <si>
    <t xml:space="preserve">Pełny zakup: czas do ukończenia</t>
  </si>
  <si>
    <t xml:space="preserve">POTWIERDZONE D11</t>
  </si>
  <si>
    <t xml:space="preserve">newborn_freeze</t>
  </si>
  <si>
    <t xml:space="preserve">Nowy mieszkaniec: 0% zamrożone</t>
  </si>
  <si>
    <t xml:space="preserve">POTWIERDZONE D13</t>
  </si>
  <si>
    <t xml:space="preserve">visit_duration</t>
  </si>
  <si>
    <t xml:space="preserve">Zwiedzanie: pobyt</t>
  </si>
  <si>
    <t xml:space="preserve">Bez dojścia i wycofania.</t>
  </si>
  <si>
    <t xml:space="preserve">visit_group_bonus</t>
  </si>
  <si>
    <t xml:space="preserve">Premia populacji / grupa</t>
  </si>
  <si>
    <t xml:space="preserve">POTWIERDZONE D01</t>
  </si>
  <si>
    <t xml:space="preserve">Nie za każdą osobę; grupy sumują się.</t>
  </si>
  <si>
    <t xml:space="preserve">visit_group_hours</t>
  </si>
  <si>
    <t xml:space="preserve">Premia populacji: czas</t>
  </si>
  <si>
    <t xml:space="preserve">h od powrotu</t>
  </si>
  <si>
    <t xml:space="preserve">visit_person_hours</t>
  </si>
  <si>
    <t xml:space="preserve">100% i blokada osobista</t>
  </si>
  <si>
    <t xml:space="preserve">Wolne miejsce po powrocie nie resetuje indywidualnej blokady.</t>
  </si>
  <si>
    <t xml:space="preserve">visit_slots</t>
  </si>
  <si>
    <t xml:space="preserve">Miejsca jednocześnie / poziom latarni</t>
  </si>
  <si>
    <t xml:space="preserve">osób/L</t>
  </si>
  <si>
    <t xml:space="preserve">POTWIERDZONE D02</t>
  </si>
  <si>
    <t xml:space="preserve">visit_free</t>
  </si>
  <si>
    <t xml:space="preserve">Darmowe wejścia / L / ruchome24h</t>
  </si>
  <si>
    <t xml:space="preserve">wejść/L</t>
  </si>
  <si>
    <t xml:space="preserve">bless_wait</t>
  </si>
  <si>
    <t xml:space="preserve">Płatne błogosławieństwo: oczekiwanie</t>
  </si>
  <si>
    <t xml:space="preserve">h od końca</t>
  </si>
  <si>
    <t xml:space="preserve">POTWIERDZONE D15</t>
  </si>
  <si>
    <t xml:space="preserve">reward_reference</t>
  </si>
  <si>
    <t xml:space="preserve">Baza skalowania nagród</t>
  </si>
  <si>
    <t xml:space="preserve">szt./h na L3</t>
  </si>
  <si>
    <t xml:space="preserve">POTWIERDZONE D07</t>
  </si>
  <si>
    <t xml:space="preserve">house_auto</t>
  </si>
  <si>
    <t xml:space="preserve">Automat domu po</t>
  </si>
  <si>
    <t xml:space="preserve">POTWIERDZONE D04</t>
  </si>
  <si>
    <t xml:space="preserve">local_capacity</t>
  </si>
  <si>
    <t xml:space="preserve">Lokalna pojemność / własny poziom</t>
  </si>
  <si>
    <t xml:space="preserve">szt./L</t>
  </si>
  <si>
    <t xml:space="preserve">Pięciu producentów; nie ratusz.</t>
  </si>
  <si>
    <t xml:space="preserve">road_sections</t>
  </si>
  <si>
    <t xml:space="preserve">Liczba odcinków ścieżek</t>
  </si>
  <si>
    <t xml:space="preserve">Wszystkie zaczynają na0.</t>
  </si>
  <si>
    <t xml:space="preserve">road_max</t>
  </si>
  <si>
    <t xml:space="preserve">Maksymalny poziom ścieżek</t>
  </si>
  <si>
    <t xml:space="preserve">Kolejny poziom po ukończeniu wszystkich100 poprzedniego.</t>
  </si>
  <si>
    <t xml:space="preserve">road_cost</t>
  </si>
  <si>
    <t xml:space="preserve">Koszt jednego odcinka o jeden poziom</t>
  </si>
  <si>
    <t xml:space="preserve">Natychmiast po kliknięciu; koszt z centrali.</t>
  </si>
  <si>
    <t xml:space="preserve">road_speed</t>
  </si>
  <si>
    <t xml:space="preserve">Bonus szybkości / ukończony poziom</t>
  </si>
  <si>
    <t xml:space="preserve">Czas dzielony przez mnożnik szybkości.</t>
  </si>
  <si>
    <t xml:space="preserve">road_load</t>
  </si>
  <si>
    <t xml:space="preserve">Bonus ładunku / poziom od3</t>
  </si>
  <si>
    <t xml:space="preserve">Ukończone3/4/5: +10/+20/+30%.</t>
  </si>
  <si>
    <t xml:space="preserve">road_calculation</t>
  </si>
  <si>
    <t xml:space="preserve">Ukończony poziom dróg w kalkulatorach</t>
  </si>
  <si>
    <t xml:space="preserve">Parametr scenariusza, NIE zmiana startu gry.</t>
  </si>
  <si>
    <t xml:space="preserve">attraction_min</t>
  </si>
  <si>
    <t xml:space="preserve">Atrakcja: minimum Y</t>
  </si>
  <si>
    <t xml:space="preserve">monet/pp</t>
  </si>
  <si>
    <t xml:space="preserve">KosztY×L; dokładna premiaY×przyzwyczajenie.</t>
  </si>
  <si>
    <t xml:space="preserve">attraction_max</t>
  </si>
  <si>
    <t xml:space="preserve">Atrakcja: maksimum Y</t>
  </si>
  <si>
    <t xml:space="preserve">Y całkowite, zapisane w ofercie.</t>
  </si>
  <si>
    <t xml:space="preserve">attraction_hours</t>
  </si>
  <si>
    <t xml:space="preserve">Czas premii atrakcji</t>
  </si>
  <si>
    <t xml:space="preserve">Osobny zegar każdego użycia.</t>
  </si>
  <si>
    <t xml:space="preserve">attraction_reset</t>
  </si>
  <si>
    <t xml:space="preserve">Przerwa resetująca daną atrakcję</t>
  </si>
  <si>
    <t xml:space="preserve">Od jej ostatniego zakupu, oddzielnie na rodzaj.</t>
  </si>
  <si>
    <t xml:space="preserve">attraction_rotation</t>
  </si>
  <si>
    <t xml:space="preserve">Rotacja pięciu ofert</t>
  </si>
  <si>
    <t xml:space="preserve">Działa zegarowo i nie resetuje się przy odświeżeniu.</t>
  </si>
  <si>
    <t xml:space="preserve">attraction_catalog</t>
  </si>
  <si>
    <t xml:space="preserve">Katalog atrakcji</t>
  </si>
  <si>
    <t xml:space="preserve">10 dekoracji i10 wydarzeń.</t>
  </si>
  <si>
    <t xml:space="preserve">attraction_visible</t>
  </si>
  <si>
    <t xml:space="preserve">Widoczne atrakcje</t>
  </si>
  <si>
    <t xml:space="preserve">kart</t>
  </si>
  <si>
    <t xml:space="preserve">W dolnym pasku, zamiast starego okna.</t>
  </si>
  <si>
    <t xml:space="preserve">task_share</t>
  </si>
  <si>
    <t xml:space="preserve">Share ukończenia zadania</t>
  </si>
  <si>
    <t xml:space="preserve">Raz na ukończone zadanie; Skip nie zmienia normalnej nagrody. Bez integracjiFB.</t>
  </si>
  <si>
    <t xml:space="preserve">preview_coins</t>
  </si>
  <si>
    <t xml:space="preserve">Minimum monet w testowym podglądzie</t>
  </si>
  <si>
    <t xml:space="preserve">Jednorazowa migracja; oddzielny nowy gracz bez grantu.</t>
  </si>
  <si>
    <t xml:space="preserve">priorities_max</t>
  </si>
  <si>
    <t xml:space="preserve">Maksymalnie aktywnych priorytetów</t>
  </si>
  <si>
    <t xml:space="preserve">pozycje</t>
  </si>
  <si>
    <t xml:space="preserve">Towary i Construction we wspólnej puli.</t>
  </si>
  <si>
    <t xml:space="preserve">DECYZJE • stare pytania zamknięte w V7</t>
  </si>
  <si>
    <t xml:space="preserve">Dawne pytania zamknięto według pliku 6 i decyzji D01–D17. Kolumna G zachowuje oryginalne źródłowe wpisy użytkownika. Późniejsze uzgodnienia V8, w tym nowe priorytety, atrakcje, drogi i widoki, są w Zmiany v8. Tematy jawnie odłożone pozostają w Na pozniej.</t>
  </si>
  <si>
    <t xml:space="preserve">Wynik / zasada</t>
  </si>
  <si>
    <t xml:space="preserve">Uwagi / pytanie</t>
  </si>
  <si>
    <t xml:space="preserve">Q01</t>
  </si>
  <si>
    <t xml:space="preserve">ROZSTRZYGNIĘTE</t>
  </si>
  <si>
    <t xml:space="preserve">Wydajność</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</si>
  <si>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</si>
  <si>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</si>
  <si>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</si>
  <si>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</si>
  <si>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</si>
  <si>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</si>
  <si>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</si>
  <si>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</si>
  <si>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</si>
  <si>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</si>
  <si>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</si>
  <si>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</si>
  <si>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</si>
  <si>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</si>
  <si>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</si>
  <si>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</si>
  <si>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</si>
  <si>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Zablokowany producent</t>
  </si>
  <si>
    <t xml:space="preserve">D14 + wpis v6 o braku bonusu pracy.</t>
  </si>
  <si>
    <t xml:space="preserve">Q08</t>
  </si>
  <si>
    <t xml:space="preserve">Ratunkowy transport Food</t>
  </si>
  <si>
    <t xml:space="preserve">Próg ratunkowego Food oraz rezerwa=50×poziom magazynu.</t>
  </si>
  <si>
    <t xml:space="preserve">Nie wolno ręcznie zabrać całej obsady, gdy centrala poniżej minimum, a Food czeka w młynie.</t>
  </si>
  <si>
    <t xml:space="preserve">Q09</t>
  </si>
  <si>
    <t xml:space="preserve">Odejścia</t>
  </si>
  <si>
    <t xml:space="preserve">Uzgodniona kolejność i ochrona uczestników.</t>
  </si>
  <si>
    <t xml:space="preserve">Na potrzeby odejść, ludzi w drodze traktuj jako ludzi w domu, wiec znikają, ludzi w modlitwie lub na zwiedzaniu nie ruszaj potrakrtujmy to jako dodatkowy bonus wysłania ich tam I tak szczęśliwość po tym wzrośnie, czyli masz do zabrania 1 osobę, gracz wysłał 2 osoby na latyarnię, nie ma nikogo wolnego, nie zabierasz nikogo, jakby nie wysłał do latarni to byś zabrał</t>
  </si>
  <si>
    <t xml:space="preserve">Q10</t>
  </si>
  <si>
    <t xml:space="preserve">Licznik zakupów w oknie 3 h</t>
  </si>
  <si>
    <t xml:space="preserve">D16; cena zamrożona przy zamówieniu.</t>
  </si>
  <si>
    <t xml:space="preserve">zamowienie zamraża, wzrost liniowy </t>
  </si>
  <si>
    <t xml:space="preserve">Q11</t>
  </si>
  <si>
    <t xml:space="preserve">Przyspieszenia</t>
  </si>
  <si>
    <t xml:space="preserve">Kontrolki czasu usunięte; skrócenia osobną usługą.</t>
  </si>
  <si>
    <t xml:space="preserve">wyjaśnione w innym miejscu </t>
  </si>
  <si>
    <t xml:space="preserve">Q12</t>
  </si>
  <si>
    <t xml:space="preserve">Zaokrąglenia</t>
  </si>
  <si>
    <t xml:space="preserve">Ładunek FLOOR(60 × 1,1^(L−1)); kolejka ROUNDUP każdego materiału.</t>
  </si>
  <si>
    <t xml:space="preserve">Zatwierdzone w v6; całe zasoby.</t>
  </si>
  <si>
    <t xml:space="preserve">tak </t>
  </si>
  <si>
    <t xml:space="preserve">Q13</t>
  </si>
  <si>
    <t xml:space="preserve">D09 starego arkusza</t>
  </si>
  <si>
    <t xml:space="preserve">D15: oczekiwanie od końca godzinnego efektu.</t>
  </si>
  <si>
    <t xml:space="preserve">od końca</t>
  </si>
  <si>
    <t xml:space="preserve">Q14</t>
  </si>
  <si>
    <t xml:space="preserve">D16 starego arkusza</t>
  </si>
  <si>
    <t xml:space="preserve">D17: cena docelowo zatwierdzona.</t>
  </si>
  <si>
    <t xml:space="preserve">V3-E01</t>
  </si>
  <si>
    <t xml:space="preserve">Jedna waluta czy osobna Premium</t>
  </si>
  <si>
    <t xml:space="preserve">Monety = złoto; jedna pula kupiona i zarobiona. 1 PLN = 10 monet; brak wypłaty monet na PLN.</t>
  </si>
  <si>
    <t xml:space="preserve">Zatwierdzone w źródle v6.</t>
  </si>
  <si>
    <t xml:space="preserve">tak, I żeby była jasność nie ma możłiwości zwrotu ludziom wpłaconej kasy czy przeliczenia miałem 1000 monet daj mi 100 zł , wpłacone 100 zł = 1000  monet I może być użyte tak samo jak zarobione 1000 monet </t>
  </si>
  <si>
    <t xml:space="preserve">V3-E02</t>
  </si>
  <si>
    <t xml:space="preserve">Skracany odcinek czasu</t>
  </si>
  <si>
    <t xml:space="preserve">D12; transport osobno.</t>
  </si>
  <si>
    <t xml:space="preserve">ustalone w innym miejscu </t>
  </si>
  <si>
    <t xml:space="preserve">V3-E03</t>
  </si>
  <si>
    <t xml:space="preserve">Pełne minuty i wielokrotne kliknięcia</t>
  </si>
  <si>
    <t xml:space="preserve">D12: prawdziwe minimum 5, także dla 1–4 minut.</t>
  </si>
  <si>
    <t xml:space="preserve">V3-E04</t>
  </si>
  <si>
    <t xml:space="preserve">Pełny kurs a częściowy ładunek</t>
  </si>
  <si>
    <t xml:space="preserve">Liczymy każdy potrzebny kurs, również ostatni niepełny. 100 sztuk / 60 na kurs = 2 kursy = 20 monet.</t>
  </si>
  <si>
    <t xml:space="preserve">Potwierdzenie użytkownika: „Tak, również ostatni niepełny kurs”.</t>
  </si>
  <si>
    <t xml:space="preserve">V3-E05</t>
  </si>
  <si>
    <t xml:space="preserve">Portowy koszt kupna budynku</t>
  </si>
  <si>
    <t xml:space="preserve">D11: pełny koszt bez pobierania własnych materiałów; 10 s.</t>
  </si>
  <si>
    <t xml:space="preserve">całkowity koszt nie biorę nic z magazyny </t>
  </si>
  <si>
    <t xml:space="preserve">V3-E06</t>
  </si>
  <si>
    <t xml:space="preserve">Monety w koszcie budynku</t>
  </si>
  <si>
    <t xml:space="preserve">Wymagane monety budynku doliczamy nominalnie, osobno od materiałów i poza dopłatą 25%.</t>
  </si>
  <si>
    <t xml:space="preserve">Potwierdzenie użytkownika: „Tak, cena proporcjonalna materiałów +25%, monety osobno”.</t>
  </si>
  <si>
    <t xml:space="preserve">V3-E07</t>
  </si>
  <si>
    <t xml:space="preserve">JAWNIE ODŁOŻONE</t>
  </si>
  <si>
    <t xml:space="preserve">Społecznościowe limity i potwierdzanie</t>
  </si>
  <si>
    <t xml:space="preserve">Ile razy można odebrać premię i czy jedna publikacja może aktywować kilka nagród?</t>
  </si>
  <si>
    <t xml:space="preserve">Zakres i powód: Na pozniej. Oryginalne wpisy zachowano w G i archiwum źródłowym.</t>
  </si>
  <si>
    <t xml:space="preserve">na poźniej </t>
  </si>
  <si>
    <t xml:space="preserve">V3-E08</t>
  </si>
  <si>
    <t xml:space="preserve">Polecenie i dzień 3</t>
  </si>
  <si>
    <t xml:space="preserve">Kto dostaje premię, co oznacza aktywny dzień i co mieści się w „500 wszystkiego”?</t>
  </si>
  <si>
    <t xml:space="preserve">V3-E09</t>
  </si>
  <si>
    <t xml:space="preserve">Ekspedycja: wzrost i dokupowanie ratunku</t>
  </si>
  <si>
    <t xml:space="preserve">Jaka jest długość serii, cena dodatkowego czasu/ruchów i liczba reklam?</t>
  </si>
  <si>
    <t xml:space="preserve">V3-E10</t>
  </si>
  <si>
    <t xml:space="preserve">Ekspedycja: zegar</t>
  </si>
  <si>
    <t xml:space="preserve">Czy zegar stoi podczas reklamy, braku aktywnej karty i rozłączenia?</t>
  </si>
  <si>
    <t xml:space="preserve">nie leci normalnie </t>
  </si>
  <si>
    <t xml:space="preserve">V3-E11</t>
  </si>
  <si>
    <t xml:space="preserve">Ekspedycja: nagroda z reklamy</t>
  </si>
  <si>
    <t xml:space="preserve">Czy wystarcza obejrzenie, czy potrzebne jest wpisanie jednosekundowego hasła?</t>
  </si>
  <si>
    <t xml:space="preserve">hasło jest potrzebne ale później zdefiniujemy jak </t>
  </si>
  <si>
    <t xml:space="preserve">V3-L01</t>
  </si>
  <si>
    <t xml:space="preserve">Podstawa poziomu</t>
  </si>
  <si>
    <t xml:space="preserve">Każdy produkt według własnego obecnego poziomu producenta. Norma 12 × L_i × p(L_i), bez chwilowych bonusów.</t>
  </si>
  <si>
    <t xml:space="preserve">Wpis źródłowy v6 G31/G8.</t>
  </si>
  <si>
    <t xml:space="preserve">każdego z produktów aktualny pozionm </t>
  </si>
  <si>
    <t xml:space="preserve">V3-L02</t>
  </si>
  <si>
    <t xml:space="preserve">Definicja „nie mniejsze”</t>
  </si>
  <si>
    <t xml:space="preserve">Koszt średniego/dużego przy generowaniu nie mniejszy w godzinach od aktualnych mniejszych; istniejące zadania bez zmian.</t>
  </si>
  <si>
    <t xml:space="preserve">FIFO nie resetuje kosztów ani nagród. Przykłady Zadania przyklady.</t>
  </si>
  <si>
    <t xml:space="preserve">V3-L03</t>
  </si>
  <si>
    <t xml:space="preserve">Niezależne odnowienia</t>
  </si>
  <si>
    <t xml:space="preserve">D05: start S/M/L; dalej losowy rozmiar i FIFO.</t>
  </si>
  <si>
    <t xml:space="preserve">losujesz rozumiem że może sie zdarzyć że po zmianie małe będzie wieksze niż średnie, ale przesuwasz kolejkę nowe zawsze wpada na koniec I może być tak że zostaną 3 małe lub 3 duże w kolejce</t>
  </si>
  <si>
    <t xml:space="preserve">V3-L04</t>
  </si>
  <si>
    <t xml:space="preserve">Szybki bonus</t>
  </si>
  <si>
    <t xml:space="preserve">Kliknięcie utrwala ×3 przed15s, potem×2 przed5min; nagroda po pełnej wpłacie przed aktualnym terminem.</t>
  </si>
  <si>
    <t xml:space="preserve">Mnożnik nie zmienia się z upływem czasu.</t>
  </si>
  <si>
    <t xml:space="preserve">V3-L05</t>
  </si>
  <si>
    <t xml:space="preserve">Odnowienie po sukcesie</t>
  </si>
  <si>
    <t xml:space="preserve">D06: po sukcesie nowe zadanie natychmiast, dobowa kotwica.</t>
  </si>
  <si>
    <t xml:space="preserve">natychmiastowe</t>
  </si>
  <si>
    <t xml:space="preserve">V3-L06</t>
  </si>
  <si>
    <t xml:space="preserve">Zakres nagrody</t>
  </si>
  <si>
    <t xml:space="preserve">D07–D08; 50–1000 na każdy rodzaj na L3.</t>
  </si>
  <si>
    <t xml:space="preserve">każdego </t>
  </si>
  <si>
    <t xml:space="preserve">V3-L07</t>
  </si>
  <si>
    <t xml:space="preserve">Nagroda a pojemność</t>
  </si>
  <si>
    <t xml:space="preserve">Wpis v6 G23; automatyczny bufor.</t>
  </si>
  <si>
    <t xml:space="preserve">wyjaśnione </t>
  </si>
  <si>
    <t xml:space="preserve">V3-L08</t>
  </si>
  <si>
    <t xml:space="preserve">Food i rezerwa</t>
  </si>
  <si>
    <t xml:space="preserve">Wpis v6 G22; wyłącznie nadwyżka Food.</t>
  </si>
  <si>
    <t xml:space="preserve">nie, wyjaśnione </t>
  </si>
  <si>
    <t xml:space="preserve">V5-P01</t>
  </si>
  <si>
    <t xml:space="preserve">Przestój i bonus pracy</t>
  </si>
  <si>
    <t xml:space="preserve">D14: limit samej kary −50; podatek płynie.</t>
  </si>
  <si>
    <t xml:space="preserve">1% nie działa bo nie pracuje nie dopusje kary za bezrobocie </t>
  </si>
  <si>
    <t xml:space="preserve">V5-P02</t>
  </si>
  <si>
    <t xml:space="preserve">Niepełna lista odejść</t>
  </si>
  <si>
    <t xml:space="preserve">Dom i droga pierwsze; modlitwa i zwiedzanie chronione.</t>
  </si>
  <si>
    <t xml:space="preserve">targ obok portu jako pierwsze zaraz po domu, ale nie ruszać ludzi gdfy modlitwa lub zwiedzanie, wyjaśnione w innym miejscu </t>
  </si>
  <si>
    <t xml:space="preserve">V5-P03</t>
  </si>
  <si>
    <t xml:space="preserve">Zwiedzanie: początek i kumulacja</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</si>
  <si>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Darmowo 2 × poziom latarni wejść w ruchomych 24 h. Do 3 dodatkowych pakietów/24 h, każdy daje 2L wejść; cena 300 × numer pakietu (2, 3, 4) × L. Pakiet nie zwiększa liczby miejsc jednocześnie.</t>
  </si>
  <si>
    <t xml:space="preserve">D01: premia populacji 6 h; D02: dwa oddzielne limity.</t>
  </si>
  <si>
    <t xml:space="preserve">V5-P04</t>
  </si>
  <si>
    <t xml:space="preserve">Stan sprzed premii</t>
  </si>
  <si>
    <t xml:space="preserve">D13; po premii latarni przywracamy stan sprzed premii.</t>
  </si>
  <si>
    <t xml:space="preserve">nowe osoby mają przez 24h 0 </t>
  </si>
  <si>
    <t xml:space="preserve">V5-P05</t>
  </si>
  <si>
    <t xml:space="preserve">Moment transakcji portowej</t>
  </si>
  <si>
    <t xml:space="preserve">Kliknięcie kup/sprzedaj jest momentem pobrania monet lub rezerwacji towarów. Sprzedaż płaci przy wypłynięciu.</t>
  </si>
  <si>
    <t xml:space="preserve">Zapis v6 G43; 5 min rejsu pozostaje.</t>
  </si>
  <si>
    <t xml:space="preserve">klikam sprzedaje kupuje tro jest moment znikniecia monet lub towarów </t>
  </si>
  <si>
    <t xml:space="preserve">V5-P06</t>
  </si>
  <si>
    <t xml:space="preserve">Płatne błogosławieństwo: okno 4 h</t>
  </si>
  <si>
    <t xml:space="preserve">D15: start12, koniec13, następne17.</t>
  </si>
  <si>
    <t xml:space="preserve">po 4 h</t>
  </si>
  <si>
    <t xml:space="preserve">V5-P07</t>
  </si>
  <si>
    <t xml:space="preserve">Ochrona transportu a demografia</t>
  </si>
  <si>
    <t xml:space="preserve">Zakaz ręcznego wycofania ostatniego magazyniera przy brakach Food i gotowym Food w młynie; przymusowe odejście według zatwierdzonej listy, magazyn na końcu.</t>
  </si>
  <si>
    <t xml:space="preserve">To nie nadaje transportowi nowego immunitetu; załadowany towar nie znika.</t>
  </si>
  <si>
    <t xml:space="preserve">USTALENIA V8 • bieżący rejestr reguł</t>
  </si>
  <si>
    <t xml:space="preserve">Zachowano 217 wpisów V7, poprawionych według nowszych zasad, oraz dodano pełny pakiet V8. Rejestr historyczny v7 zawiera poprzednie wartości. Źródła historyczne i komentarze pozostają dosłownie zachowane; najnowsza decyzja ma pierwszeństwo.</t>
  </si>
  <si>
    <t xml:space="preserve">Assety</t>
  </si>
  <si>
    <t xml:space="preserve">U001</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</si>
  <si>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</si>
  <si>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</si>
  <si>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</si>
  <si>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</si>
  <si>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</si>
  <si>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</si>
  <si>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</si>
  <si>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</si>
  <si>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</si>
  <si>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</si>
  <si>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</si>
  <si>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</si>
  <si>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</si>
  <si>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</si>
  <si>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</si>
  <si>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</si>
  <si>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</si>
  <si>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</si>
  <si>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</si>
  <si>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</si>
  <si>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</si>
  <si>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</si>
  <si>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</si>
  <si>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</si>
  <si>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</si>
  <si>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</si>
  <si>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</si>
  <si>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</si>
  <si>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</si>
  <si>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</si>
  <si>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</si>
  <si>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</si>
  <si>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</si>
  <si>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</si>
  <si>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</si>
  <si>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</si>
  <si>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</si>
  <si>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</si>
  <si>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</si>
  <si>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</si>
  <si>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</si>
  <si>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</si>
  <si>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</si>
  <si>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</si>
  <si>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</si>
  <si>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</si>
  <si>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</si>
  <si>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</si>
  <si>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</si>
  <si>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</si>
  <si>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</si>
  <si>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</si>
  <si>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</si>
  <si>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</si>
  <si>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</si>
  <si>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</si>
  <si>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</si>
  <si>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</si>
  <si>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</si>
  <si>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Farma; Młyn; Drwale; Tartak; Kamieniołom</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</si>
  <si>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</si>
  <si>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</si>
  <si>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</si>
  <si>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</si>
  <si>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</si>
  <si>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</si>
  <si>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</si>
  <si>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</si>
  <si>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</si>
  <si>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</si>
  <si>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</si>
  <si>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</si>
  <si>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</si>
  <si>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</si>
  <si>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</si>
  <si>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</si>
  <si>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</si>
  <si>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</si>
  <si>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</si>
  <si>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</si>
  <si>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</si>
  <si>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producenta=200×własny poziom producenta.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</si>
  <si>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</si>
  <si>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</si>
  <si>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</si>
  <si>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</si>
  <si>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</si>
  <si>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</si>
  <si>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</si>
  <si>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AKTUALNE V7</t>
  </si>
  <si>
    <t xml:space="preserve">Doprecyzowanie: rozmowa 23.10.2026, Decyzje v7 i wpisy źródłowe 6. Poprzednią wersję całego wpisu zachowano w Rejestr historyczny v6.</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</si>
  <si>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</si>
  <si>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</si>
  <si>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</si>
  <si>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</si>
  <si>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</si>
  <si>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</si>
  <si>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</si>
  <si>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</si>
  <si>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</si>
  <si>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</si>
  <si>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</si>
  <si>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</si>
  <si>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</si>
  <si>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</si>
  <si>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</si>
  <si>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</si>
  <si>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</si>
  <si>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</si>
  <si>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</si>
  <si>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</si>
  <si>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</si>
  <si>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</si>
  <si>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</si>
  <si>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</si>
  <si>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</si>
  <si>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</si>
  <si>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</si>
  <si>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</si>
  <si>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</si>
  <si>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 × 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</si>
  <si>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</si>
  <si>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</si>
  <si>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</si>
  <si>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</si>
  <si>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</si>
  <si>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</si>
  <si>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</si>
  <si>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</si>
  <si>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</si>
  <si>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</si>
  <si>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Jedzenie +1 pp/h i faktyczna praca +1 pp/h. Przy przestoju brak bonusu pracy; Każdy nowy mieszkaniec ma zamrożone 0% szczęścia przez pierwsze 24 h, również podczas premii; później zwykłe naliczanie od 0%. Początkowych 12 osób nie obejmuje zamrożenie.</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</si>
  <si>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</si>
  <si>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</si>
  <si>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</si>
  <si>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</si>
  <si>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</si>
  <si>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</si>
  <si>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</si>
  <si>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</si>
  <si>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</si>
  <si>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</si>
  <si>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</si>
  <si>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</si>
  <si>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</si>
  <si>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głód, podjęcie pracy resetuje bezrobocie; brak zwrotu wcześniej utraconego H. Przestój: podatek płynie, brak +1 pp/h za pracę i brak dodatkowej kary bezrobocia. Kara −10 od początku, kolejne −10 co 24 h, maksymalnie −50 z samego przestoju. Inne kary mogą obniżyć całe H poniżej −50. Reset licznika w drodze do domu.</t>
  </si>
  <si>
    <t xml:space="preserve">U041</t>
  </si>
  <si>
    <t xml:space="preserve">Człowiek; Magazyn; Przystań; Farma; Młyn; Drwale; Tartak; Kamieniołom</t>
  </si>
  <si>
    <t xml:space="preserve">Głód zmniejsza wydajność produkcji i transportu o połowę od początku; podatek bez zmiany. Prototyp transportowy wydłuża pełny kurs z 5 do 10 min przy tym samym ładunku.</t>
  </si>
  <si>
    <t xml:space="preserve">U042</t>
  </si>
  <si>
    <t xml:space="preserve">Człowiek;Ratusz</t>
  </si>
  <si>
    <t xml:space="preserve">1 moneta/os./h od dotarcia; także przy przestoju. W drodze, domu, zwiedzaniu: 0. Brak bonusu H pracy podczas przestoju.</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</si>
  <si>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</si>
  <si>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</si>
  <si>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</si>
  <si>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</si>
  <si>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</si>
  <si>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</si>
  <si>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</si>
  <si>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</si>
  <si>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</si>
  <si>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</si>
  <si>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</si>
  <si>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</si>
  <si>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</si>
  <si>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</si>
  <si>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</si>
  <si>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</si>
  <si>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</si>
  <si>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</si>
  <si>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</si>
  <si>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</si>
  <si>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</si>
  <si>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</si>
  <si>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Cała gospodarka działa zegarowo także offline; kontrolki stop/play/przewijania usunięte. Skrócenie budowy osobno według Premium.</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</si>
  <si>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</si>
  <si>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</si>
  <si>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</si>
  <si>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</si>
  <si>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</si>
  <si>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</si>
  <si>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</si>
  <si>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</si>
  <si>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</si>
  <si>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</si>
  <si>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</si>
  <si>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</si>
  <si>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</si>
  <si>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</si>
  <si>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</si>
  <si>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</si>
  <si>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</si>
  <si>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</si>
  <si>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</si>
  <si>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</si>
  <si>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</si>
  <si>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</si>
  <si>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</si>
  <si>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</si>
  <si>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</si>
  <si>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Płatne błogosławieństwo: 100 × poziom kaplicy monet; +50 każdego zasobu i +20 pp na 1 h. Kolejne płatne użycie 4 h od KOŃCA efektu: 12:00–13:00 → następne 17:00. Nie można nakładać aktywnych błogosławieństw. Bezpłatnych użyć tyle co poziom Kaplicy.</t>
  </si>
  <si>
    <t xml:space="preserve">U058</t>
  </si>
  <si>
    <t xml:space="preserve">Kaplica;Latarnia</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</si>
  <si>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</si>
  <si>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</si>
  <si>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</si>
  <si>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</si>
  <si>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</si>
  <si>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</si>
  <si>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</si>
  <si>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</si>
  <si>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</si>
  <si>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</si>
  <si>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</si>
  <si>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</si>
  <si>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ZMIENIONE V5</t>
  </si>
  <si>
    <t xml:space="preserve">Farma: norma240L i koszt72L drewna+72L kamienia+120L zboża. Młyn, drwale, tartak, kamieniołom: wcześniejszy koszt pomnożony przez2.</t>
  </si>
  <si>
    <t xml:space="preserve">Zmiana wyłącznie czterech producentów wskazanych jako2L w Budynki!E9:E12 pliku 4.</t>
  </si>
  <si>
    <t xml:space="preserve">U062</t>
  </si>
  <si>
    <t xml:space="preserve">Drwale:384L drewna+144L kamienia; kamieniołom:144L drewna+384L kamienia.</t>
  </si>
  <si>
    <t xml:space="preserve">Własny produkt nakłada się na składnik bazowy, następnie cały koszt ×2 według V4.</t>
  </si>
  <si>
    <t xml:space="preserve">U063</t>
  </si>
  <si>
    <t xml:space="preserve">Ratusz; Dom; Targ; Magazyn; Przystań</t>
  </si>
  <si>
    <t xml:space="preserve">Każdego z 6 zasobów: Ratusz/Dom 500 L; Magazyn/Targ 300 L; Przystań 400 L.</t>
  </si>
  <si>
    <t xml:space="preserve">Kolejka +10%całej ceny.</t>
  </si>
  <si>
    <t xml:space="preserve">U064</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</si>
  <si>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</si>
  <si>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</si>
  <si>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</si>
  <si>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</si>
  <si>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</si>
  <si>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</si>
  <si>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</si>
  <si>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</si>
  <si>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</si>
  <si>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</si>
  <si>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</si>
  <si>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</si>
  <si>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</si>
  <si>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</si>
  <si>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</si>
  <si>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</si>
  <si>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</si>
  <si>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</si>
  <si>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</si>
  <si>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</si>
  <si>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</si>
  <si>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</si>
  <si>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</si>
  <si>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 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</si>
  <si>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</si>
  <si>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</si>
  <si>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</si>
  <si>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</si>
  <si>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</si>
  <si>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</si>
  <si>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</si>
  <si>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</si>
  <si>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</si>
  <si>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</si>
  <si>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</si>
  <si>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 +10%całej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</si>
  <si>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</si>
  <si>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</si>
  <si>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</si>
  <si>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</si>
  <si>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</si>
  <si>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U077</t>
  </si>
  <si>
    <t xml:space="preserve">U078</t>
  </si>
  <si>
    <t xml:space="preserve">Po wygaśnięciu pakietu rozpoczęte budowy kończą się; nowe starty wracają do limitu L, nieopłacone plany czekają. Pakiet: 1000 × poziom ratusza monet za 24 h; +4 aktywne budowy, dowolna kolejka, planowanie dostaw. Dopłata kolejki +10% pozostaje; ponowny zakup przedłuża ważność.</t>
  </si>
  <si>
    <t xml:space="preserve">U079</t>
  </si>
  <si>
    <t xml:space="preserve">Latarnia;Człowiek</t>
  </si>
  <si>
    <t xml:space="preserve">Latarnia:100% wszystkim i produkcja ×2, obie premie24h×nowyN; podatki/transport bez mnożnika. Każdy nowy mieszkaniec ma zamrożone 0% szczęścia przez pierwsze 24 h, również podczas premii; później zwykłe naliczanie od 0%. Początkowych 12 osób nie obejmuje zamrożenie.</t>
  </si>
  <si>
    <t xml:space="preserve">U080</t>
  </si>
  <si>
    <t xml:space="preserve">Kolejna rozbudowa latarni odświeża czas, nie mnożnik produkcji do×4. Premie od powrotu: uczestnik 100% na 24 h i blokada ponownej wizyty przez te same 24 h; każda osobno wysłana grupa daje populacji +10 pp przez 6 h. Premie grup sumują się w czasie nakładania.</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</si>
  <si>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</si>
  <si>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</si>
  <si>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</si>
  <si>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</si>
  <si>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</si>
  <si>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</si>
  <si>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</si>
  <si>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</si>
  <si>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Druga i kolejna kupiona paczka 100 w ostatnich 3 h:+10%cenybazowej za każdy kolejny stopień.</t>
  </si>
  <si>
    <t xml:space="preserve">50,55,60…; 150,165,180…; licznik globalny/osobno na produkt — nieokreślony.</t>
  </si>
  <si>
    <t xml:space="preserve">U084</t>
  </si>
  <si>
    <t xml:space="preserve">Kliknięcie kup/sprzedaj pobiera monety lub rezerwuje towar. Sprzedaż:centrala→port→statek; wypłata przy wypłynięciu. Kupno:rejs5min i rozładunek do centrali.</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</si>
  <si>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</si>
  <si>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</si>
  <si>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</si>
  <si>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</si>
  <si>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</si>
  <si>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</si>
  <si>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</si>
  <si>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</si>
  <si>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</si>
  <si>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</si>
  <si>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</si>
  <si>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</si>
  <si>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</si>
  <si>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</si>
  <si>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</si>
  <si>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</si>
  <si>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</si>
  <si>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</si>
  <si>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</si>
  <si>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</si>
  <si>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</si>
  <si>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</si>
  <si>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</si>
  <si>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</si>
  <si>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</si>
  <si>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</si>
  <si>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</si>
  <si>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200×własny poziom producenta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</si>
  <si>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</si>
  <si>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</si>
  <si>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</si>
  <si>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</si>
  <si>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</si>
  <si>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</si>
  <si>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</si>
  <si>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</si>
  <si>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</si>
  <si>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</si>
  <si>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</si>
  <si>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</si>
  <si>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</si>
  <si>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</si>
  <si>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Dom pokazuje wszystkich mieszkańców i ich H/przydziały. Pula domu = liczba mieszkańców przy odnowieniu, w pełnych pp, raz na 24 h. Ręczne punkty dodają H; nie kasują kar ani ich liczników. O 23 h 58 min automat rozdaje wyłącznie resztę, po 1 pp najniższemu H; remis losowy. Pula nie jest wydawana drugi raz.</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</si>
  <si>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</si>
  <si>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</si>
  <si>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</si>
  <si>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</si>
  <si>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Młyn; Tartak; Człowiek</t>
  </si>
  <si>
    <t xml:space="preserve">V2-006</t>
  </si>
  <si>
    <t xml:space="preserve">Droga</t>
  </si>
  <si>
    <t xml:space="preserve">Droga do nowej pracy 5 min; powrót 5 min. Praca i podatek od chwili dotarcia.</t>
  </si>
  <si>
    <t xml:space="preserve">W drodze nie pracuje i nie płaci podatku.</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</si>
  <si>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</si>
  <si>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</si>
  <si>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</si>
  <si>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</si>
  <si>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</si>
  <si>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</si>
  <si>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</si>
  <si>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</si>
  <si>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</si>
  <si>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</si>
  <si>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Najwyżej3 trwałe priorytety spośród produktów i Construction, numery1/2/3. Domyślnie centrala przed budowami; ratunkoweFood chronione. Bloki10kursów:8/2losowe,5/3/2losowe,5/3/2.</t>
  </si>
  <si>
    <t xml:space="preserve">ETA ma wynikać z aktualnych priorytetów i już dostarczonych partii.
Źródło: Budynki! K13</t>
  </si>
  <si>
    <t xml:space="preserve">V2-010</t>
  </si>
  <si>
    <t xml:space="preserve">Transport żywności</t>
  </si>
  <si>
    <t xml:space="preserve">Ratunkowy próg Food=50×poziom magazynu.1 dostępny magazynier odbiera gotową żywność.</t>
  </si>
  <si>
    <t xml:space="preserve">Gdy Food czeka w młynie, a centrala poniżej minimum, nie można ręcznie wycofać całego transportu.</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</si>
  <si>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</si>
  <si>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</si>
  <si>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</si>
  <si>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</si>
  <si>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</si>
  <si>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</si>
  <si>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</si>
  <si>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</si>
  <si>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</si>
  <si>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</si>
  <si>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</si>
  <si>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</si>
  <si>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</si>
  <si>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</si>
  <si>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</si>
  <si>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</si>
  <si>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</si>
  <si>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</si>
  <si>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</si>
  <si>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</si>
  <si>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Ratusz L: L aktywnych rozbudów i L miejsc kolejki; surowce rezerwowane przy zlecaniu, koszt kolejki+10%. Pakiet: 1000 × poziom ratusza monet za 24 h; +4 aktywne budowy, dowolna kolejka, planowanie dostaw. Dopłata kolejki +10% pozostaje; ponowny zakup przedłuża ważność.</t>
  </si>
  <si>
    <t xml:space="preserve">V2-017</t>
  </si>
  <si>
    <t xml:space="preserve">Postęp budowy</t>
  </si>
  <si>
    <t xml:space="preserve">Panel i etykieta budowy pokazują dostarczone/wymagane oraz osobne Transport · ETA / Construction · ETA. Aktualna obsada, ładunki, ścieżki i priorytety wpływają na wycenę czasu.</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</si>
  <si>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</si>
  <si>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</si>
  <si>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</si>
  <si>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</si>
  <si>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</si>
  <si>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</si>
  <si>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</si>
  <si>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</si>
  <si>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</si>
  <si>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</si>
  <si>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</si>
  <si>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</si>
  <si>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</si>
  <si>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</si>
  <si>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25/50/75/100% pozostałej fazy budowania, bez transportu. Cena = MAX(5, FLOOR(zaoszczędzone sekundy / 60)) monet. Transport jest osobno rozliczany za potrzebne kursy. Kontrolki stop/play/przewijania usunięte.</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</si>
  <si>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</si>
  <si>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</si>
  <si>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</si>
  <si>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</si>
  <si>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</si>
  <si>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Targ:towar przywieziony jest zablokowany1h; każda partia wygasa24h po przybyciu; wynik wymiany ma nowe24h. TransportPremium nie omija blokady.</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</si>
  <si>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</si>
  <si>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</si>
  <si>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</si>
  <si>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</si>
  <si>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</si>
  <si>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</si>
  <si>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</si>
  <si>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Kliknięcie kup/sprzedaj:monety/towar pobierane lub rezerwowane. Sprzedaż płaci przy wypłynięciu; zakup rejs5min, rozładunek i centrala.</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</si>
  <si>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</si>
  <si>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</si>
  <si>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</si>
  <si>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</si>
  <si>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</si>
  <si>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</si>
  <si>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</si>
  <si>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</si>
  <si>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</si>
  <si>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</si>
  <si>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</si>
  <si>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</si>
  <si>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</si>
  <si>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</si>
  <si>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</si>
  <si>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</si>
  <si>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</si>
  <si>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WYJAŚNIONE</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</si>
  <si>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</si>
  <si>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</si>
  <si>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</si>
  <si>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</si>
  <si>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Premia rozbudowy latarni100%H i produkcja×2 przez24h×N; po wygaśnięciu przywrócenie wcześniejszego stanu. Każdy nowy mieszkaniec ma zamrożone 0% szczęścia przez pierwsze 24 h, również podczas premii; później zwykłe naliczanie od 0%. Początkowych 12 osób nie obejmuje zamrożenie.</t>
  </si>
  <si>
    <t xml:space="preserve">V2-033</t>
  </si>
  <si>
    <t xml:space="preserve">Ranking = ratusz × monety; aktualizacja o każdej pełnej godzinie według zastanego stanu.</t>
  </si>
  <si>
    <t xml:space="preserve">Remisy nadal nieopisane.</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</si>
  <si>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</si>
  <si>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</si>
  <si>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</si>
  <si>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</si>
  <si>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</si>
  <si>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</si>
  <si>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</si>
  <si>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</si>
  <si>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</si>
  <si>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</si>
  <si>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V2-037</t>
  </si>
  <si>
    <t xml:space="preserve">V2-038</t>
  </si>
  <si>
    <t xml:space="preserve">Premium i pytania</t>
  </si>
  <si>
    <t xml:space="preserve">Kaplica; Latarnia; Wszystkie</t>
  </si>
  <si>
    <t xml:space="preserve">Reklamy, challenge, social, osobna modlitwa oraz wartości lojalności pozostają jawnie odłożone. Płatna kaplica, Premiumbudowa i zadania mają już rozstrzygnięte zasady.</t>
  </si>
  <si>
    <t xml:space="preserve">V3-001</t>
  </si>
  <si>
    <t xml:space="preserve">Budynki; transport</t>
  </si>
  <si>
    <t xml:space="preserve">1PLN=10monet; monety=złoto, wspólna pula kupiona i zarobiona, bez wymiany z powrotem naPLN.</t>
  </si>
  <si>
    <t xml:space="preserve">V3-002</t>
  </si>
  <si>
    <t xml:space="preserve">Monety=złoto; wspólna pula kupiona i zarobiona; obie dostępne naPremium.</t>
  </si>
  <si>
    <t xml:space="preserve">V3-003</t>
  </si>
  <si>
    <t xml:space="preserve">V3-004</t>
  </si>
  <si>
    <t xml:space="preserve">V3-005</t>
  </si>
  <si>
    <t xml:space="preserve">V3-006</t>
  </si>
  <si>
    <t xml:space="preserve">V3-007</t>
  </si>
  <si>
    <t xml:space="preserve">Natychmiastowe wysłanie całego gotowego lokalnego zapasu do centrali. 10 monet × liczba kursów potrzebnych do przewozu.</t>
  </si>
  <si>
    <t xml:space="preserve">Potwierdzono: ROUNDUP(ilość / ładunek); każdy potrzebny kurs, również ostatni niepełny, kosztuje 10 monet. 100 / 60 wymaga 2 kursów i kosztuje 20 monet. Źródło: odpowiedź użytkownika 22.10.2026.</t>
  </si>
  <si>
    <t xml:space="preserve">V3-008</t>
  </si>
  <si>
    <t xml:space="preserve">Natychmiastowy transport materiałów nawybranąbudowę:10×sumaCEIL(materiał/ładunek); każdy potrzebny kurs, także niepełny. Monety nie wymagają przewozu.</t>
  </si>
  <si>
    <t xml:space="preserve">V3-009</t>
  </si>
  <si>
    <t xml:space="preserve">Magazyn↔targ:10monet/każdy potrzebny kurs właściwejzałogi. Premium nie omija blokady1h, terminów partii ani pojemności.</t>
  </si>
  <si>
    <t xml:space="preserve">V3-010</t>
  </si>
  <si>
    <t xml:space="preserve">Magazyn↔port oraz osobnoport↔statek:dwieopłaty według kursów×10; każdy etap osobno.</t>
  </si>
  <si>
    <t xml:space="preserve">V3-011</t>
  </si>
  <si>
    <t xml:space="preserve">V3-012</t>
  </si>
  <si>
    <t xml:space="preserve">Natywne monety kosztubudynku doliczaneosobno, bez25%.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</si>
  <si>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V3-013</t>
  </si>
  <si>
    <t xml:space="preserve">V3-014</t>
  </si>
  <si>
    <t xml:space="preserve">Dotychczasowe oferty kaplicy pozostają osobnym tematem. Brak nowej ceny błogosławieństwa.</t>
  </si>
  <si>
    <t xml:space="preserve">Nie stosować automatycznie nowych nagród za post do zakupów błogosławieństw. Źródło: wiadomość 22.10.2026 / docs/arkusze/pomysły.</t>
  </si>
  <si>
    <t xml:space="preserve">V3-015</t>
  </si>
  <si>
    <t xml:space="preserve">Social</t>
  </si>
  <si>
    <t xml:space="preserve">Gracz; polecenia</t>
  </si>
  <si>
    <t xml:space="preserve">KWOTY UZGODNIONE; LIMITY OTWARTE</t>
  </si>
  <si>
    <t xml:space="preserve">Pochwalenie się, że gram: 1000. Publikacja informująca o grze.</t>
  </si>
  <si>
    <t xml:space="preserve">Nie ustalono kanałów, limitu na konto, powtórzeń ani sposobu potwierdzania publikacji. Źródło: wiadomość 22.10.2026 / docs/arkusze/pomysły.</t>
  </si>
  <si>
    <t xml:space="preserve">V3-016</t>
  </si>
  <si>
    <t xml:space="preserve">Informacja o następnym poziomie: 500. Publikacja po rzeczywistym osiągnięciu kolejnego poziomu ratusza.</t>
  </si>
  <si>
    <t xml:space="preserve">Jedna nagroda na osiągnięty poziom jest propozycją; zasady wielu platform i usuwania postów są nieustalone. Źródło: wiadomość 22.10.2026 / docs/arkusze/pomysły.</t>
  </si>
  <si>
    <t xml:space="preserve">V3-017</t>
  </si>
  <si>
    <t xml:space="preserve">Polecenie: nowe logowanie: 1000. Polecona osoba rzeczywiście się zaloguje.</t>
  </si>
  <si>
    <t xml:space="preserve">Nie określono, czy nagrodę dostaje tylko polecający czy także polecony; źródłowo roboczo zapisano nagrodę polecającego. Kryterium nowego konta i limit poleceń nieustalone. Źródło: wiadomość 22.10.2026 / docs/arkusze/pomysły.</t>
  </si>
  <si>
    <t xml:space="preserve">V3-018</t>
  </si>
  <si>
    <t xml:space="preserve">Polecenie: trzeci aktywny dzień: 500 każdego zasobu. Polecona osoba jest aktywna w trzecim dniu.</t>
  </si>
  <si>
    <t xml:space="preserve">Do ustalenia: trzeci dzień od rejestracji czy trzy dni aktywności, minimalna aktywność, odbiorca premii, czy „każdy zasób” obejmuje monety oraz jak przyjąć materiały przy pełnej centrali. Źródło: wiadomość 22.10.2026 / docs/arkusze/pomysły.</t>
  </si>
  <si>
    <t xml:space="preserve">V3-019</t>
  </si>
  <si>
    <t xml:space="preserve">Każdy trzeci post na Facebooku: 1000. Nagroda za trzeci, szósty, dziewiąty itd. kwalifikowany post.</t>
  </si>
  <si>
    <t xml:space="preserve">Nie określono okresu, limitu, wymagań treści ani tego, czy posty „gram” i „kolejny poziom” liczą się do tej samej serii. Zgodność konkretnej akcji z regulaminem platformy wymaga weryfikacji. Źródło: wiadomość 22.10.2026 / docs/arkusze/pomysły.</t>
  </si>
  <si>
    <t xml:space="preserve">V3-020</t>
  </si>
  <si>
    <t xml:space="preserve">V3-021</t>
  </si>
  <si>
    <t xml:space="preserve">Koszty, wymagane produkty i nagrody losujemy przy pojawieniu się zadania. Małe: 2 produkty; średnie: 2–3; duże: 4</t>
  </si>
  <si>
    <t xml:space="preserve">W przykładach losujemy różne rodzaje spośród drewna, kamienia, zboża, żywności i desek. Rodzaje nagród i koszty powinny być stałe przez życie zadania. Źródło: wiadomość 22.10.2026 / docs/arkusze/pomysły.</t>
  </si>
  <si>
    <t xml:space="preserve">V3-022</t>
  </si>
  <si>
    <t xml:space="preserve">Każdy produkt według własnegoLproducenta;12L×p(L),bezchwilowychpremii.</t>
  </si>
  <si>
    <t xml:space="preserve">V3-023</t>
  </si>
  <si>
    <t xml:space="preserve">Wymagane są dwa produkty, w ilości odpowiadającej 2–6 h maksymalnej produkcji. 2 rodzaje; h∈[2,6]</t>
  </si>
  <si>
    <t xml:space="preserve">L1: 12 osób × 10 szt./h = 120 szt./h, więc 240–720 każdego rodzaju. Źródło: wiadomość 22.10.2026 / docs/arkusze/pomysły.</t>
  </si>
  <si>
    <t xml:space="preserve">V3-024</t>
  </si>
  <si>
    <t xml:space="preserve">Średnie:2–3produkty,3–8h; przygenerowaniu h nie mniejsze od aktualnychmałych.</t>
  </si>
  <si>
    <t xml:space="preserve">V3-025</t>
  </si>
  <si>
    <t xml:space="preserve">Duże:4produkty,4–10h; przygenerowaniuh nie mniejsze od aktualnychśrednich.</t>
  </si>
  <si>
    <t xml:space="preserve">V3-026</t>
  </si>
  <si>
    <t xml:space="preserve">Jedna liczba godzin dla kosztówzadania; przygenerowaniuśredniego/dużego dolnapodłoga według aktualnychmniejszych. Istniejącekoszty i nagrody zamrożone.</t>
  </si>
  <si>
    <t xml:space="preserve">V3-027</t>
  </si>
  <si>
    <t xml:space="preserve">V3-028</t>
  </si>
  <si>
    <t xml:space="preserve">V3-029</t>
  </si>
  <si>
    <t xml:space="preserve">Pierwsze kliknięcie: przed upływem 15 s utrwala ×3; od 15 s do przed upływem 300 s utrwala ×2; od 300 s ×1.</t>
  </si>
  <si>
    <t xml:space="preserve">Potwierdzone granice i utrwalenie mnożnika; ×3 i ×2 nie mnożą się ze sobą. Źródło: odpowiedź użytkownika 22.10.2026.</t>
  </si>
  <si>
    <t xml:space="preserve">V3-030</t>
  </si>
  <si>
    <t xml:space="preserve">Pierwszekliknięcieutrwala×3&lt;15s,×2&lt;300s,potem×1; wypłata pookompletnejwpłacie przedaktualnymterminem.</t>
  </si>
  <si>
    <t xml:space="preserve">V3-031</t>
  </si>
  <si>
    <t xml:space="preserve">V3-032</t>
  </si>
  <si>
    <t xml:space="preserve">Zawsze 3 zadania. Początkowo małe/średnie/duże; kolejne losowego rozmiaru trafiają na koniec FIFO, dopuszczalne 3 małe lub 3 duże. Nowe po sukcesie natychmiast. 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</si>
  <si>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V3-033</t>
  </si>
  <si>
    <t xml:space="preserve">Zawsze 3 zadania. Początkowo małe/średnie/duże; kolejne losowego rozmiaru trafiają na koniec FIFO, dopuszczalne 3 małe lub 3 duże. Nowe po sukcesie natychmiast. Wymagania i nagrody istniejących zadań nie zmieniają się.</t>
  </si>
  <si>
    <t xml:space="preserve">V3-034</t>
  </si>
  <si>
    <t xml:space="preserve">Można wpłacać wymagane towary partiami. Towar trafia bezpośrednio z magazynu centralnego do zadania, bez tragarza. Każdy składnik ma licznik dostarczono/wymagane, np. 100/200</t>
  </si>
  <si>
    <t xml:space="preserve">Wpłata nie jest pożyczką ani tymczasową rezerwacją: jest nieodwracalna. W przykładzie nie wpłacamy powyżej pozostałego wymagania. Źródło: wiadomość 22.10.2026 / docs/arkusze/pomysły.</t>
  </si>
  <si>
    <t xml:space="preserve">V3-035</t>
  </si>
  <si>
    <t xml:space="preserve">Po upływie terminu niewykonane zadanie przepada wraz ze wszystkimi dotychczasowymi wpłatami. Zwrot wpłat = 0</t>
  </si>
  <si>
    <t xml:space="preserve">Wymagane wyraźne ostrzeżenie i pokazanie czasu pozostałego przed potwierdzeniem wpłaty; powiadomienia to projekt interfejsu. Źródło: wiadomość 22.10.2026 / docs/arkusze/pomysły.</t>
  </si>
  <si>
    <t xml:space="preserve">V3-036</t>
  </si>
  <si>
    <t xml:space="preserve">V3-037</t>
  </si>
  <si>
    <t xml:space="preserve">V3-038</t>
  </si>
  <si>
    <t xml:space="preserve">PROJEKT INTERFEJSU</t>
  </si>
  <si>
    <t xml:space="preserve">Pojawienie się zadania, utrwalenie premii, wpłata, ukończenie i wygaśnięcie mogą mieć wpis w panelu powiadomień. Zawsze widoczne: tytuł, rozmiar, nagroda, mnożnik, czas i postęp</t>
  </si>
  <si>
    <t xml:space="preserve">Nie dodajemy wymyślonego czasu przypomnienia ani automatycznych wpłat. Źródło: wiadomość 22.10.2026 / docs/arkusze/pomysły.</t>
  </si>
  <si>
    <t xml:space="preserve">V3-039</t>
  </si>
  <si>
    <t xml:space="preserve">V3-040</t>
  </si>
  <si>
    <t xml:space="preserve">OSTRZEŻENIE BALANSU</t>
  </si>
  <si>
    <t xml:space="preserve">Pełna załoga 12 × L w każdym z 2–4 zakładów nie może być założona jednocześnie przy jednej wspólnej populacji. L1: 12 osób na start, maks. 24; duże: 4 zakłady × 12 = 48 stanowisk</t>
  </si>
  <si>
    <t xml:space="preserve">Norma ma określać koszt zadania. Nie jest estymatą możliwego zebrania całości w 2–10 h; dodatkowo młyn i tartak zużywają po 2 surowce na produkt. Źródło: wiadomość 22.10.2026 / docs/arkusze/pomysły.</t>
  </si>
  <si>
    <t xml:space="preserve">V3-041</t>
  </si>
  <si>
    <t xml:space="preserve">Gracz; ekspedycja</t>
  </si>
  <si>
    <t xml:space="preserve">Zawsze dostępnych kilka ekspedycji. Konkretna liczba i rotacja nieustalone. Źródło: wiadomość 22.10.2026 / docs/arkusze/pomysły.</t>
  </si>
  <si>
    <t xml:space="preserve">V3-042</t>
  </si>
  <si>
    <t xml:space="preserve">Dokładne sterowanie, plansze i zasady użytkownik opisze później. Źródło: wiadomość 22.10.2026 / docs/arkusze/pomysły.</t>
  </si>
  <si>
    <t xml:space="preserve">V3-043</t>
  </si>
  <si>
    <t xml:space="preserve">Nagrody ekspedycji wyłącznie w monetach (złoto); nigdy materiały ani szczęście.</t>
  </si>
  <si>
    <t xml:space="preserve">V3-044</t>
  </si>
  <si>
    <t xml:space="preserve">Można wypłacić pulę na wyspę albo postawić ją na dalszą grę. Źródło: wiadomość 22.10.2026 / docs/arkusze/pomysły.</t>
  </si>
  <si>
    <t xml:space="preserve">V3-045</t>
  </si>
  <si>
    <t xml:space="preserve">Poziom n: 50 × 2^(n−1) monet. To nowa łączna pula, nie dodatkowa nagroda dodawana do poprzedniej. Źródło: wiadomość 22.10.2026 / docs/arkusze/pomysły.</t>
  </si>
  <si>
    <t xml:space="preserve">V3-046</t>
  </si>
  <si>
    <t xml:space="preserve">Po wypłacie ekspedycja powinna zamknąć serię; to logiczna propozycja, nie zatwierdzony osobny szczegół. Nie określono restartów i opłaty wejściowej. Źródło: wiadomość 22.10.2026 / docs/arkusze/pomysły.</t>
  </si>
  <si>
    <t xml:space="preserve">V3-047</t>
  </si>
  <si>
    <t xml:space="preserve">Nie ma podstaw do odbierania istniejących wcześniej monet z wyspy. Płatności za dodatkowe ruchy/czas nie są nagrodą i zasady ich zwrotu nie zostały określone. Źródło: wiadomość 22.10.2026 / docs/arkusze/pomysły.</t>
  </si>
  <si>
    <t xml:space="preserve">V3-048</t>
  </si>
  <si>
    <t xml:space="preserve">Ilości i trudność poszczególnych poziomów nieustalone. Zatrzymywanie podczas reklam i po zamknięciu karty wymaga osobnej reguły. Źródło: wiadomość 22.10.2026 / docs/arkusze/pomysły.</t>
  </si>
  <si>
    <t xml:space="preserve">V3-049</t>
  </si>
  <si>
    <t xml:space="preserve">Nie ustalono ceny, przyrostu czasu/ruchów, liczby zakupów, momentu zakupu ani czy można uratować już przegraną próbę. Źródło: wiadomość 22.10.2026 / docs/arkusze/pomysły.</t>
  </si>
  <si>
    <t xml:space="preserve">V3-050</t>
  </si>
  <si>
    <t xml:space="preserve">To reguła reklam ekspedycyjnych. Wcześniejsze odłożone reklamy kaplicy miały 60 s; nie zastępować ich bez decyzji. Źródło: wiadomość 22.10.2026 / docs/arkusze/pomysły.</t>
  </si>
  <si>
    <t xml:space="preserve">V3-051</t>
  </si>
  <si>
    <t xml:space="preserve">Widoczny krótki kod/hasło, sposób wpisania, nagroda oraz warunek uznania reklamy zostaną opisane później. Źródło: wiadomość 22.10.2026 / docs/arkusze/pomysły.</t>
  </si>
  <si>
    <t xml:space="preserve">V3-052</t>
  </si>
  <si>
    <t xml:space="preserve">Podwajanie jest wykładnicze: poziom 10 = 25 600, poziom 20 = 26 214 400 monet. Limit, trudność i koszt ratowania mogą być potrzebne do balansu. Źródło: wiadomość 22.10.2026 / docs/arkusze/pomysły.</t>
  </si>
  <si>
    <t xml:space="preserve">V5-001</t>
  </si>
  <si>
    <t xml:space="preserve">Interfejs czasu</t>
  </si>
  <si>
    <t xml:space="preserve">Patrz opis i źródło</t>
  </si>
  <si>
    <t xml:space="preserve">ZATWIERDZONE W PLIKU 4</t>
  </si>
  <si>
    <t xml:space="preserve">Usunąć z prawego górnego rogu ikony stop, play i przewijania czasu. Świat nadal działa zegarowo również offline.</t>
  </si>
  <si>
    <t xml:space="preserve">To ustalenie interfejsu, bez zmiany działania zegara gospodarki. Nie wdrażamy go teraz w grze. Źródło: HARBORLIGHT4-zasady.xlsx — Start!D14; Czlowiek!G36</t>
  </si>
  <si>
    <t xml:space="preserve">V5-002</t>
  </si>
  <si>
    <t xml:space="preserve">POTWIERDZENIE ODESŁANIA</t>
  </si>
  <si>
    <t xml:space="preserve">Szczegóły Premium z wersji 3 pozostają aktualne. W tabeli budynków wystarczy odnośnik do zakładki Premium. 1 PLN = 10 monet; transport 10 monet/kurs; materiały +25%.</t>
  </si>
  <si>
    <t xml:space="preserve">Plik 4 powstał na bazie starszego arkusza. Brak zakładek zadań i ekspedycji nie jest poleceniem ich usunięcia; użytkownik wprost odsyła do wersji 3. Źródło: HARBORLIGHT4-zasady.xlsx — Start!D16; Budynki!J6:J17</t>
  </si>
  <si>
    <t xml:space="preserve">V5-003</t>
  </si>
  <si>
    <t xml:space="preserve">Koszty producentów</t>
  </si>
  <si>
    <t xml:space="preserve">ZMIANA ZATWIERDZONA</t>
  </si>
  <si>
    <t xml:space="preserve">Podwoić cały koszt rozbudowy młyna, drwali, tartaku i kamieniołomu. Farma zachowuje dotychczasowy koszt. Młyn: 2L × (72 drewna +72 kamienia +120 Food); Drwale: 2L × (192 drewna +72 kamienia); Tartak: 2L × (72 drewna +72 kamienia +120 desek); Kamieniołom: 2L × (72 drewna +192 kamienia).</t>
  </si>
  <si>
    <t xml:space="preserve">Mnożnik dotyczy wszystkich składników wskazanego kosztu. Wariant kolejki +10% liczymy po podwojeniu. Należy ponownie przeliczyć kursy i czasy; samo T+T pozostaje bez zmian. L oznacza obecny poziom. Źródło: HARBORLIGHT4-zasady.xlsx — Budynki!E9:E12</t>
  </si>
  <si>
    <t xml:space="preserve">V5-004</t>
  </si>
  <si>
    <t xml:space="preserve">Rezerwa Food</t>
  </si>
  <si>
    <t xml:space="preserve">Próg ratunkowego transportu i chroniona rezerwa Food wynoszą 50 × poziom magazynu centralnego. Próg = 50L; porównanie: stan Food w centrali &lt;50L.</t>
  </si>
  <si>
    <t xml:space="preserve">Zamyka wcześniejszą rozbieżność między stałym progiem 50 a rezerwą 50 × poziom. Ludzie nadal mogą zjadać rezerwę. Źródło: HARBORLIGHT4-zasady.xlsx — Czlowiek!H10</t>
  </si>
  <si>
    <t xml:space="preserve">V5-005</t>
  </si>
  <si>
    <t xml:space="preserve">Podatek przy przestoju</t>
  </si>
  <si>
    <t xml:space="preserve">V5-006</t>
  </si>
  <si>
    <t xml:space="preserve">Dojście do pracy</t>
  </si>
  <si>
    <t xml:space="preserve">Osoba zaczyna pracować i płacić podatek dopiero po dotarciu do zakładu. Droga do pracy: 5 min; do chwili dojścia produkcja i podatek =0.</t>
  </si>
  <si>
    <t xml:space="preserve">Przydział rezerwuje osobę, ale nie uruchamia pracy w trakcie dojścia. Źródło: HARBORLIGHT4-zasady.xlsx — Czlowiek!G23</t>
  </si>
  <si>
    <t xml:space="preserve">V5-007</t>
  </si>
  <si>
    <t xml:space="preserve">Kara za przestój</t>
  </si>
  <si>
    <t xml:space="preserve">V5-008</t>
  </si>
  <si>
    <t xml:space="preserve">Reset przestoju</t>
  </si>
  <si>
    <t xml:space="preserve">V5-009</t>
  </si>
  <si>
    <t xml:space="preserve">Odejścia mieszkańców</t>
  </si>
  <si>
    <t xml:space="preserve">V5-010</t>
  </si>
  <si>
    <t xml:space="preserve">Ochrona obsady transportu</t>
  </si>
  <si>
    <t xml:space="preserve">Ratunkowy próg50×poziommagazynu; przygotowymFoodwmłynie nieodwołujemy ręcznie ostatniegotragarza. Przymusoweodejścia według listy, magazynnakoniec.</t>
  </si>
  <si>
    <t xml:space="preserve">V5-011</t>
  </si>
  <si>
    <t xml:space="preserve">ETA to suma pozostałego transportu i budowania. Zmiana priorytetów transportu przelicza estymatę. ETA = pozostały transport + pozostała faza budowy.</t>
  </si>
  <si>
    <t xml:space="preserve">Estymata nie jest zamrożona w momencie zlecenia. Gotowy kalkulator porównawczy nadal używa jawnie opisanej liczby dostępnych tragarzy. Źródło: HARBORLIGHT4-zasady.xlsx — Transport i priorytety!F12</t>
  </si>
  <si>
    <t xml:space="preserve">V5-012</t>
  </si>
  <si>
    <t xml:space="preserve">Rejs statku</t>
  </si>
  <si>
    <t xml:space="preserve">ZATWIERDZONE</t>
  </si>
  <si>
    <t xml:space="preserve">Czas rejsu wynosi zawsze5 minut. 5 min/rejs.</t>
  </si>
  <si>
    <t xml:space="preserve">To osobny etap od kursu pracownika magazynu/portu. Poprzednio czas rejsu nie był zdefiniowany; nie utożsamiamy go z czasem przenoszenia ładunków. Źródło: HARBORLIGHT4-zasady.xlsx — Transport i priorytety!F15</t>
  </si>
  <si>
    <t xml:space="preserve">V5-013</t>
  </si>
  <si>
    <t xml:space="preserve">Zapłata przy zakupie portowym</t>
  </si>
  <si>
    <t xml:space="preserve">Kliknięciekup/sprzedaj to momentpobraniamonet/rezerwacjitowaru; wypłatazasprzedażprzywypłynięciu.</t>
  </si>
  <si>
    <t xml:space="preserve">V5-014</t>
  </si>
  <si>
    <t xml:space="preserve">Płatne błogosławieństwo kaplicy</t>
  </si>
  <si>
    <t xml:space="preserve">V5-015</t>
  </si>
  <si>
    <t xml:space="preserve">Koniec premii latarni</t>
  </si>
  <si>
    <t xml:space="preserve">Po wymuszonejpremiilatarni powrót do Hsprzedpremii. Każdy nowy mieszkaniec ma zamrożone 0% szczęścia przez pierwsze 24 h, również podczas premii; później zwykłe naliczanie od 0%. Początkowych 12 osób nie obejmuje zamrożenie.</t>
  </si>
  <si>
    <t xml:space="preserve">V5-016</t>
  </si>
  <si>
    <t xml:space="preserve">Zwiedzanie latarni — uczestnicy</t>
  </si>
  <si>
    <t xml:space="preserve">V5-017</t>
  </si>
  <si>
    <t xml:space="preserve">Zwiedzanie latarni — premie</t>
  </si>
  <si>
    <t xml:space="preserve">V5-018</t>
  </si>
  <si>
    <t xml:space="preserve">Ranking aktualizuje się o każdej pełnej godzinie według stanu zastanego w tej chwili. Wynik = poziom ratusza × posiadane monety/złoto; aktualizacja co pełną godzinę zegarową.</t>
  </si>
  <si>
    <t xml:space="preserve">Nie zastępuje to zegarowego naliczania gospodarki; dotyczy odświeżania wyniku rankingu. Źródło: HARBORLIGHT4-zasady.xlsx — Czlowiek!G37</t>
  </si>
  <si>
    <t xml:space="preserve">V7-D01</t>
  </si>
  <si>
    <t xml:space="preserve">Patrz właściwa tabela</t>
  </si>
  <si>
    <t xml:space="preserve">Źródło: odpowiedź użytkownika23.10.2026; Czlowiek!C31, Blogoslawienstwa!B9, Decyzje i konflikty!G41, rozmowa23.10</t>
  </si>
  <si>
    <t xml:space="preserve">V7-D02</t>
  </si>
  <si>
    <t xml:space="preserve">Źródło: odpowiedź użytkownika23.10.2026; Premium!G27, rozmowa23.10</t>
  </si>
  <si>
    <t xml:space="preserve">V7-D03</t>
  </si>
  <si>
    <t xml:space="preserve">Źródło: odpowiedź użytkownika23.10.2026; Budynki!K7</t>
  </si>
  <si>
    <t xml:space="preserve">V7-D04</t>
  </si>
  <si>
    <t xml:space="preserve">V7-D05</t>
  </si>
  <si>
    <t xml:space="preserve">Źródło: odpowiedź użytkownika23.10.2026; Zadania latarni!C6, Zadania latarni!G19, Decyzje i konflikty!G33</t>
  </si>
  <si>
    <t xml:space="preserve">V7-D06</t>
  </si>
  <si>
    <t xml:space="preserve">Źródło: odpowiedź użytkownika23.10.2026; Zadania latarni!G12, Zadania latarni!G18, Decyzje i konflikty!G35</t>
  </si>
  <si>
    <t xml:space="preserve">V7-D07</t>
  </si>
  <si>
    <t xml:space="preserve">Źródło: odpowiedź użytkownika23.10.2026; Zadania latarni!G25, Zadania latarni!G13, Zadania przyklady</t>
  </si>
  <si>
    <t xml:space="preserve">V7-D08</t>
  </si>
  <si>
    <t xml:space="preserve">Źródło: odpowiedź użytkownika23.10.2026; Zadania latarni!E14, Decyzje i konflikty!G36</t>
  </si>
  <si>
    <t xml:space="preserve">V7-D09</t>
  </si>
  <si>
    <t xml:space="preserve">Źródło: odpowiedź użytkownika23.10.2026; Premium!G18, Premium!A18:E22</t>
  </si>
  <si>
    <t xml:space="preserve">V7-D10</t>
  </si>
  <si>
    <t xml:space="preserve">Źródło: odpowiedź użytkownika23.10.2026; Budynki!J6, Premium!G22, Ustalenia - uwagi!V2-016</t>
  </si>
  <si>
    <t xml:space="preserve">V7-D11</t>
  </si>
  <si>
    <t xml:space="preserve">Źródło: odpowiedź użytkownika23.10.2026; Premium!G16, Decyzje i konflikty!G24, Premium!C16</t>
  </si>
  <si>
    <t xml:space="preserve">V7-D12</t>
  </si>
  <si>
    <t xml:space="preserve">Źródło: odpowiedź użytkownika23.10.2026; Premium - czas!J6, Premium!G8</t>
  </si>
  <si>
    <t xml:space="preserve">V7-D13</t>
  </si>
  <si>
    <t xml:space="preserve">Źródło: odpowiedź użytkownika23.10.2026; Decyzje i konflikty!G42, Czlowiek!B34:D34</t>
  </si>
  <si>
    <t xml:space="preserve">V7-D14</t>
  </si>
  <si>
    <t xml:space="preserve">Źródło: odpowiedź użytkownika23.10.2026; Czlowiek!D25:D26, Decyzje i konflikty!G39, Twoje wpisy v4!C31</t>
  </si>
  <si>
    <t xml:space="preserve">V7-D15</t>
  </si>
  <si>
    <t xml:space="preserve">Źródło: odpowiedź użytkownika23.10.2026; Decyzje i konflikty!G18, Decyzje i konflikty!G44, Premium!B23:D23</t>
  </si>
  <si>
    <t xml:space="preserve">V7-D16</t>
  </si>
  <si>
    <t xml:space="preserve">Źródło: odpowiedź użytkownika23.10.2026; Decyzje i konflikty!G15, Przystan!A2</t>
  </si>
  <si>
    <t xml:space="preserve">V7-D17</t>
  </si>
  <si>
    <t xml:space="preserve">Źródło: odpowiedź użytkownika23.10.2026; Decyzje i konflikty!Q14, Budynki!E16</t>
  </si>
  <si>
    <t xml:space="preserve">Decyzje v7 są zachowane; źródła historyczne nie są nowymi wymaganiami. Źródło: Rozmowa po Excelu 7; zaakceptowany pakiet frontend v11 oraz późniejszy pakiet zatwierdzony „go”. Nowsza decyzja zastępuje poprzednią wersję tego samego widoku.</t>
  </si>
  <si>
    <t xml:space="preserve">Normalny start nie przyznaje testowego magazynu ani 10 000 monet. Źródło: Rozmowa po Excelu 7; zaakceptowany pakiet frontend v11 oraz późniejszy pakiet zatwierdzony „go”. Nowsza decyzja zastępuje poprzednią wersję tego samego widoku.</t>
  </si>
  <si>
    <t xml:space="preserve">Znacznik zapisu zapobiega ponownemu grantowi po odświeżeniu. To migracja piaskownicy, nie zasada startu. Źródło: Rozmowa po Excelu 7; zaakceptowany pakiet frontend v11 oraz późniejszy pakiet zatwierdzony „go”. Nowsza decyzja zastępuje poprzednią wersję tego samego widoku.</t>
  </si>
  <si>
    <t xml:space="preserve">Link i stan wdrożenia: docs/IMPLEMENTATION-LOG.md. Źródło: Rozmowa po Excelu 7; zaakceptowany pakiet frontend v11 oraz późniejszy pakiet zatwierdzony „go”. Nowsza decyzja zastępuje poprzednią wersję tego samego widoku.</t>
  </si>
  <si>
    <t xml:space="preserve">Zastępuje zależność lokalnego bufora od ratusza. Źródło: Rozmowa po Excelu 7; zaakceptowany pakiet frontend v11 oraz późniejszy pakiet zatwierdzony „go”. Nowsza decyzja zastępuje poprzednią wersję tego samego widoku.</t>
  </si>
  <si>
    <t xml:space="preserve">Wyświetlanie trzech liczb nie zmienia poziomu wyznaczającego limit. Źródło: Rozmowa po Excelu 7; zaakceptowany pakiet frontend v11 oraz późniejszy pakiet zatwierdzony „go”. Nowsza decyzja zastępuje poprzednią wersję tego samego widoku.</t>
  </si>
  <si>
    <t xml:space="preserve">Status odświeża się według rzeczywistego stanu. Źródło: Rozmowa po Excelu 7; zaakceptowany pakiet frontend v11 oraz późniejszy pakiet zatwierdzony „go”. Nowsza decyzja zastępuje poprzednią wersję tego samego widoku.</t>
  </si>
  <si>
    <t xml:space="preserve">Uwzględnia rzeczywiste fazy pracy, dojście, głód, surowiec wejściowy i wolne miejsce. Źródło: Rozmowa po Excelu 7; zaakceptowany pakiet frontend v11 oraz późniejszy pakiet zatwierdzony „go”. Nowsza decyzja zastępuje poprzednią wersję tego samego widoku.</t>
  </si>
  <si>
    <t xml:space="preserve">Np. 50 / 200 / 400; ostatnia liczba oznacza najbliższe ulepszenie, nie końcowy limit gry. Źródło: Rozmowa po Excelu 7; zaakceptowany pakiet frontend v11 oraz późniejszy pakiet zatwierdzony „go”. Nowsza decyzja zastępuje poprzednią wersję tego samego widoku.</t>
  </si>
  <si>
    <t xml:space="preserve">Np. 5 / 0 / 12. Osoba wracająca lub idąca nie jest wolna w domu. Źródło: Rozmowa po Excelu 7; zaakceptowany pakiet frontend v11 oraz późniejszy pakiet zatwierdzony „go”. Nowsza decyzja zastępuje poprzednią wersję tego samego widoku.</t>
  </si>
  <si>
    <t xml:space="preserve">Silnik nadal: 1 moneta/os./h po dotarciu, także przy przestoju; kaplica czasowo ×2. Excel dokumentuje tę regułę. Źródło: Rozmowa po Excelu 7; zaakceptowany pakiet frontend v11 oraz późniejszy pakiet zatwierdzony „go”. Nowsza decyzja zastępuje poprzednią wersję tego samego widoku.</t>
  </si>
  <si>
    <t xml:space="preserve">Najnowsze usunięcie podatków zastępuje wcześniejszy pomysł Taxes pod Level. Źródło: Rozmowa po Excelu 7; zaakceptowany pakiet frontend v11 oraz późniejszy pakiet zatwierdzony „go”. Nowsza decyzja zastępuje poprzednią wersję tego samego widoku.</t>
  </si>
  <si>
    <t xml:space="preserve">Pula, terminy i przyciski domu pozostają widoczne. Źródło: Rozmowa po Excelu 7; zaakceptowany pakiet frontend v11 oraz późniejszy pakiet zatwierdzony „go”. Nowsza decyzja zastępuje poprzednią wersję tego samego widoku.</t>
  </si>
  <si>
    <t xml:space="preserve">Residents pozostaje informacyjnym przeglądem z przejściem do domu. Źródło: Rozmowa po Excelu 7; zaakceptowany pakiet frontend v11 oraz późniejszy pakiet zatwierdzony „go”. Nowsza decyzja zastępuje poprzednią wersję tego samego widoku.</t>
  </si>
  <si>
    <t xml:space="preserve">Buy building package / Deliver local stock now. Opisy Coins/Instant pod i; bez osobnej dolnej sekcji Premium u producentów. Źródło: Rozmowa po Excelu 7; zaakceptowany pakiet frontend v11 oraz późniejszy pakiet zatwierdzony „go”. Nowsza decyzja zastępuje poprzednią wersję tego samego widoku.</t>
  </si>
  <si>
    <t xml:space="preserve">Bez zbierania materiałów i oczekiwania w kolejce; brak wykonalnej estymaty ma jawną przyczynę. Źródło: Rozmowa po Excelu 7; zaakceptowany pakiet frontend v11 oraz późniejszy pakiet zatwierdzony „go”. Nowsza decyzja zastępuje poprzednią wersję tego samego widoku.</t>
  </si>
  <si>
    <t xml:space="preserve">Odwołanie nie przypisuje starego ładunku nowej osobie. Rozpoczęty ładunek dochodzi dokładnie raz. Źródło: Rozmowa po Excelu 7; zaakceptowany pakiet frontend v11 oraz późniejszy pakiet zatwierdzony „go”. Nowsza decyzja zastępuje poprzednią wersję tego samego widoku.</t>
  </si>
  <si>
    <t xml:space="preserve">Construction uczestniczy w tej samej puli i podziale kursów, nie jest dodatkowym czwartym priorytetem. Źródło: Rozmowa po Excelu 7; zaakceptowany pakiet frontend v11 oraz późniejszy pakiet zatwierdzony „go”. Nowsza decyzja zastępuje poprzednią wersję tego samego widoku.</t>
  </si>
  <si>
    <t xml:space="preserve">Losowe wybierają dostępne pozostałe źródła; brak wybranego towaru nie zatrzymuje dostępnej pracy. Ratunkowe Food zachowuje ochronę. Źródło: Rozmowa po Excelu 7; zaakceptowany pakiet frontend v11 oraz późniejszy pakiet zatwierdzony „go”. Nowsza decyzja zastępuje poprzednią wersję tego samego widoku.</t>
  </si>
  <si>
    <t xml:space="preserve">Nie ma wyłączenia po 10 kursach. Źródło: Rozmowa po Excelu 7; zaakceptowany pakiet frontend v11 oraz późniejszy pakiet zatwierdzony „go”. Nowsza decyzja zastępuje poprzednią wersję tego samego widoku.</t>
  </si>
  <si>
    <t xml:space="preserve">Pozostałe wymagania i nagrody można obejrzeć. Źródło: Rozmowa po Excelu 7; zaakceptowany pakiet frontend v11 oraz późniejszy pakiet zatwierdzony „go”. Nowsza decyzja zastępuje poprzednią wersję tego samego widoku.</t>
  </si>
  <si>
    <t xml:space="preserve">Ukończenie lub wygaśnięcie zwalnia aktywne miejsce. Źródło: Rozmowa po Excelu 7; zaakceptowany pakiet frontend v11 oraz późniejszy pakiet zatwierdzony „go”. Nowsza decyzja zastępuje poprzednią wersję tego samego widoku.</t>
  </si>
  <si>
    <t xml:space="preserve">Nie zmieniamy istniejących wymagań z powodu nowych podpisów czy stanu obsady. Źródło: Rozmowa po Excelu 7; zaakceptowany pakiet frontend v11 oraz późniejszy pakiet zatwierdzony „go”. Nowsza decyzja zastępuje poprzednią wersję tego samego widoku.</t>
  </si>
  <si>
    <t xml:space="preserve">Świadome włączenie animacji ma pierwszeństwo przed systemowym ograniczeniem ruchu i jest zapisywane; stare pause/speed nie zamrażają obrazu. Źródło: Rozmowa po Excelu 7; zaakceptowany pakiet frontend v11 oraz późniejszy pakiet zatwierdzony „go”. Nowsza decyzja zastępuje poprzednią wersję tego samego widoku.</t>
  </si>
  <si>
    <t xml:space="preserve">Układ na komputerze i telefonie. Źródło: Rozmowa po Excelu 7; zaakceptowany pakiet frontend v11 oraz późniejszy pakiet zatwierdzony „go”. Nowsza decyzja zastępuje poprzednią wersję tego samego widoku.</t>
  </si>
  <si>
    <t xml:space="preserve">Buildings przywraca rząd budynków. Źródło: Rozmowa po Excelu 7; zaakceptowany pakiet frontend v11 oraz późniejszy pakiet zatwierdzony „go”. Nowsza decyzja zastępuje poprzednią wersję tego samego widoku.</t>
  </si>
  <si>
    <t xml:space="preserve">Głodny pracownik produkujący z połową wydajności nadal jest aktywny. Źródło: Rozmowa po Excelu 7; zaakceptowany pakiet frontend v11 oraz późniejszy pakiet zatwierdzony „go”. Nowsza decyzja zastępuje poprzednią wersję tego samego widoku.</t>
  </si>
  <si>
    <t xml:space="preserve">Zastępuje wolnych w domu / limit pracy tylko na kartach Resources; Workers zachowuje swoje trzy wartości. Źródło: Rozmowa po Excelu 7; zaakceptowany pakiet frontend v11 oraz późniejszy pakiet zatwierdzony „go”. Nowsza decyzja zastępuje poprzednią wersję tego samego widoku.</t>
  </si>
  <si>
    <t xml:space="preserve">Ten sam panel i stan co kliknięcie budynku na wyspie. Źródło: Rozmowa po Excelu 7; zaakceptowany pakiet frontend v11 oraz późniejszy pakiet zatwierdzony „go”. Nowsza decyzja zastępuje poprzednią wersję tego samego widoku.</t>
  </si>
  <si>
    <t xml:space="preserve">Nagroda zadania jest przyznana przed opcjonalnym ekranem społecznościowym. Źródło: Rozmowa po Excelu 7; zaakceptowany pakiet frontend v11 oraz późniejszy pakiet zatwierdzony „go”. Nowsza decyzja zastępuje poprzednią wersję tego samego widoku.</t>
  </si>
  <si>
    <t xml:space="preserve">NOWA odpowiedź użytkownika: 500 monet. Na razie bez integracji Facebook i bez deklarowania rzeczywistej publikacji. Źródło: Rozmowa po Excelu 7; zaakceptowany pakiet frontend v11 oraz późniejszy pakiet zatwierdzony „go”. Nowsza decyzja zastępuje poprzednią wersję tego samego widoku.</t>
  </si>
  <si>
    <t xml:space="preserve">Bonus za zadanie jest odrębny od starszych premii za grę/poziom/posty i polecenia. Źródło: Rozmowa po Excelu 7; zaakceptowany pakiet frontend v11 oraz późniejszy pakiet zatwierdzony „go”. Nowsza decyzja zastępuje poprzednią wersję tego samego widoku.</t>
  </si>
  <si>
    <t xml:space="preserve">Cyrk i teatr są wydarzeniami, nie budynkami produkcyjnymi. Źródło: Rozmowa po Excelu 7; zaakceptowany pakiet frontend v11 oraz późniejszy pakiet zatwierdzony „go”. Nowsza decyzja zastępuje poprzednią wersję tego samego widoku.</t>
  </si>
  <si>
    <t xml:space="preserve">Nie losujemy nowych cen ani okna czasu przy każdym kliknięciu karty. Źródło: Rozmowa po Excelu 7; zaakceptowany pakiet frontend v11 oraz późniejszy pakiet zatwierdzony „go”. Nowsza decyzja zastępuje poprzednią wersję tego samego widoku.</t>
  </si>
  <si>
    <t xml:space="preserve">Y oferty jest zapisane do jej wymiany; koszt reaguje na osiągnięty poziom ratusza. Źródło: Rozmowa po Excelu 7; zaakceptowany pakiet frontend v11 oraz późniejszy pakiet zatwierdzony „go”. Nowsza decyzja zastępuje poprzednią wersję tego samego widoku.</t>
  </si>
  <si>
    <t xml:space="preserve">Wybór implementacyjny: najmniej szczęśliwi niezamrożeni mieszkańcy; remisy według ID. Gdy populacja mniejsza od L, najwyżej tyle osób, ile istnieje. Źródło: Rozmowa po Excelu 7; zaakceptowany pakiet frontend v11 oraz późniejszy pakiet zatwierdzony „go”. Nowsza decyzja zastępuje poprzednią wersję tego samego widoku.</t>
  </si>
  <si>
    <t xml:space="preserve">Koszt nie maleje. Użycia innych atrakcji nie zwiększają tego licznika. Źródło: Rozmowa po Excelu 7; zaakceptowany pakiet frontend v11 oraz późniejszy pakiet zatwierdzony „go”. Nowsza decyzja zastępuje poprzednią wersję tego samego widoku.</t>
  </si>
  <si>
    <t xml:space="preserve">Dokładny składnik Y×współczynnik może być ułamkowy; prezentacja szczęścia jest zaokrąglona w górę do pełnego procentu. Źródło: Rozmowa po Excelu 7; zaakceptowany pakiet frontend v11 oraz późniejszy pakiet zatwierdzony „go”. Nowsza decyzja zastępuje poprzednią wersję tego samego widoku.</t>
  </si>
  <si>
    <t xml:space="preserve">Nie tworzymy 100 osobnych budynków gospodarczych. Źródło: Rozmowa po Excelu 7; zaakceptowany pakiet frontend v11 oraz późniejszy pakiet zatwierdzony „go”. Nowsza decyzja zastępuje poprzednią wersję tego samego widoku.</t>
  </si>
  <si>
    <t xml:space="preserve">Ukończony poziom = minimum poziomów wszystkich odcinków. Źródło: Rozmowa po Excelu 7; zaakceptowany pakiet frontend v11 oraz późniejszy pakiet zatwierdzony „go”. Nowsza decyzja zastępuje poprzednią wersję tego samego widoku.</t>
  </si>
  <si>
    <t xml:space="preserve">Nie ma wymagania jednorazowego zgromadzenia 10 000 — gracz kupuje pojedyncze odcinki. Źródło: Rozmowa po Excelu 7; zaakceptowany pakiet frontend v11 oraz późniejszy pakiet zatwierdzony „go”. Nowsza decyzja zastępuje poprzednią wersję tego samego widoku.</t>
  </si>
  <si>
    <t xml:space="preserve">Poziom 1: 300/1,1 s; nie odejmujemy po prostu 10% czasu. Źródło: Rozmowa po Excelu 7; zaakceptowany pakiet frontend v11 oraz późniejszy pakiet zatwierdzony „go”. Nowsza decyzja zastępuje poprzednią wersję tego samego widoku.</t>
  </si>
  <si>
    <t xml:space="preserve">Ładunek własnego poziomu miejsca pracy oraz premia dróg to odrębne mnożniki. Źródło: Rozmowa po Excelu 7; zaakceptowany pakiet frontend v11 oraz późniejszy pakiet zatwierdzony „go”. Nowsza decyzja zastępuje poprzednią wersję tego samego widoku.</t>
  </si>
  <si>
    <t xml:space="preserve">Nie skracają rejsu statku, dojścia do pracy/powrotu, pobytu w latarni ani zegarów konsumpcji. Nie dają dodatkowego pasywnego H. Źródło: Rozmowa po Excelu 7; zaakceptowany pakiet frontend v11 oraz późniejszy pakiet zatwierdzony „go”. Nowsza decyzja zastępuje poprzednią wersję tego samego widoku.</t>
  </si>
  <si>
    <t xml:space="preserve">Premie dróg są stałe, czasowe atrakcje mają własne terminy. Informacje o podatkach pozostają ukryte w UI. Źródło: Rozmowa po Excelu 7; zaakceptowany pakiet frontend v11 oraz późniejszy pakiet zatwierdzony „go”. Nowsza decyzja zastępuje poprzednią wersję tego samego widoku.</t>
  </si>
  <si>
    <t xml:space="preserve">Dotyczy wszystkich źródeł: domu, jedzenia/pracy, głodu/bezrobocia, przestoju, przeludnienia, kaplicy, latarni, atrakcji i dróg. Źródło: Rozmowa po Excelu 7; zaakceptowany pakiet frontend v11 oraz późniejszy pakiet zatwierdzony „go”. Nowsza decyzja zastępuje poprzednią wersję tego samego widoku.</t>
  </si>
  <si>
    <t xml:space="preserve">Migracja zachowuje płatny postęp starej wyspy; nie przyznaje całego poziomu, jeśli nie ukończono wszystkich 100 odcinków. Źródło: Rozmowa po Excelu 7; zaakceptowany pakiet frontend v11 oraz późniejszy pakiet zatwierdzony „go”. Nowsza decyzja zastępuje poprzednią wersję tego samego widoku.</t>
  </si>
  <si>
    <t xml:space="preserve">Oryginalny Excel 7 pozostaje niezmieniony. Prawdziwe konta, OAuth, płatności i reklamy nadal wymagają osobnych integracji. Źródło: Rozmowa po Excelu 7; zaakceptowany pakiet frontend v11 oraz późniejszy pakiet zatwierdzony „go”. Nowsza decyzja zastępuje poprzednią wersję tego samego widoku.</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</si>
  <si>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</si>
  <si>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</si>
  <si>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</si>
  <si>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</si>
  <si>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</si>
  <si>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Ubywa</t>
  </si>
  <si>
    <t xml:space="preserve">Populacja bez zmian</t>
  </si>
  <si>
    <t xml:space="preserve">Przybywa</t>
  </si>
  <si>
    <t xml:space="preserve">WZÓR I PRZYKŁAD</t>
  </si>
  <si>
    <t xml:space="preserve">Dla H=|szczęście|:tempo=H/300osoby/h dla0…50%; dla50…100%:1/6+(H−50)/60. Znakdodatni przyrost,ujemny odejście. ±75%:1osoba/1h42min51s. Przy0%brakzmiany. Każdy nowy mieszkaniec ma zamrożone 0% szczęścia przez pierwsze 24 h, również podczas premii; później zwykłe naliczanie od 0%. Początkowych 12 osób nie obejmuje zamrożenie.</t>
  </si>
  <si>
    <t xml:space="preserve">PORT • nowe 140/150 i liniowa podwyżka</t>
  </si>
  <si>
    <t xml:space="preserve">Ceny za100:40/50podstawowe i140/150przetworzone. Targ bez monet, marża10%. Osobny licznik dla KAŻDEGO produktu w ruchomych 3 h. Kolejne paczki zakupu po 100 podnoszą cenę liniowo o 10% ceny bazowej. Cena zamrożona przy kliknięciu zamówienia; kupno 100 drewna nie podnosi ceny kamienia.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</si>
  <si>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</si>
  <si>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</si>
  <si>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</si>
  <si>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</si>
  <si>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</si>
  <si>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</si>
  <si>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</si>
  <si>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</si>
  <si>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</si>
  <si>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</si>
  <si>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</si>
  <si>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Kliknięcie kup/sprzedaj:pobranie monet/rezerwacja towaru. Sprzedaż ma dwa etapy, zapłata przywypłynięciu. Rejs5min; zakupy muszą zostać rozładowane i przywiezione do centrali. Towar nieodebrany24h przepada, bez dawnejopłaty10monet.</t>
  </si>
  <si>
    <t xml:space="preserve">KAPLICA / LATARNIA • dwa źródła premii</t>
  </si>
  <si>
    <t xml:space="preserve">Kaplica=błogosławieństwo; Latarnia=zwiedzanie i osobna premia rozbudowy. Wszystkie momenty, limity i dopłaty zgodnie z17decyzjami. Osobna wizyta modlitewna pozostaje do opisania. V8: aktywne efekty widoczne także na górze Town Hall; rozpoczęcie, zmiana i koniec w powiadomieniach. Samych informacji podatkowych nie pokazujemy w UI.</t>
  </si>
  <si>
    <t xml:space="preserve">Element</t>
  </si>
  <si>
    <t xml:space="preserve">Aktualna zasada</t>
  </si>
  <si>
    <t xml:space="preserve">Co pozostaje do później</t>
  </si>
  <si>
    <t xml:space="preserve">+10 × N szczęścia i podatki ×2 przez 10 h; poziom 1 bez pasywnego bonusu. Powiadomienia + aktywna lista ratusza.</t>
  </si>
  <si>
    <t xml:space="preserve">Dotychczas: +50 każdego zasobu, +20 szczęścia na 1 h; liczba bezpłatnych użyć = poziom kaplicy. Powiadomienia + aktywna lista ratusza.</t>
  </si>
  <si>
    <t xml:space="preserve">100%H i produkcjamateriałów×2; obie premie24h×N. Każdy nowy mieszkaniec ma zamrożone 0% szczęścia przez pierwsze 24 h, również podczas premii; później zwykłe naliczanie od 0%. Początkowych 12 osób nie obejmuje zamrożenie. Powiadomienia + aktywna lista ratusza.</t>
  </si>
  <si>
    <t xml:space="preserve">Po końcu przywracamy osobistyHsprzedpremii; nowi po24h zaczynająnormalne naliczanieod0.</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</si>
  <si>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Powiadomienia + aktywna lista ratusza.</t>
  </si>
  <si>
    <t xml:space="preserve">Cooldown/reklamy/zakup</t>
  </si>
  <si>
    <t xml:space="preserve">Notatkę źródłową zachowano; oferty zebrano w Premium. Powiadomienia + aktywna lista ratusza.</t>
  </si>
  <si>
    <t xml:space="preserve">Płatne użycie:4hczekaniaodKOŃCAefektu. Reklamy,challenge i social pozostają odłożone.</t>
  </si>
  <si>
    <t xml:space="preserve">ODPOWIEDZI I ZMIANY • historia wcześniejszych wersji</t>
  </si>
  <si>
    <t xml:space="preserve">Ta zakładka zachowuje wcześniejsze odpowiedzi jako historię. Wersja 7 zebrała plik 6 i decyzje D01–D17. Najnowsze późniejsze zasady i korekty frontendu są w Zmiany v8; tam opisano także pierwszeństwo nowych ustaleń.</t>
  </si>
  <si>
    <t xml:space="preserve">Potwierdzenie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</si>
  <si>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</si>
  <si>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</si>
  <si>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</si>
  <si>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</si>
  <si>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</si>
  <si>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</si>
  <si>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</si>
  <si>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</si>
  <si>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</si>
  <si>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</si>
  <si>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</si>
  <si>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</si>
  <si>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</si>
  <si>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Wersja 3</t>
  </si>
  <si>
    <t xml:space="preserve">Nowe reguły Premium, zadań latarni, social i ekspedycji.</t>
  </si>
  <si>
    <t xml:space="preserve">Źródło: docs/arkusze/pomysły, commit 748b1eb oraz wiadomość z 22.10.2026.</t>
  </si>
  <si>
    <t xml:space="preserve">Potwierdzenia V3</t>
  </si>
  <si>
    <t xml:space="preserve">Zatwierdzono: ostatni niepełny kurs jest płatny; materiały proporcjonalnie według bazowych cen portowych +25%, monety osobno; pierwsze kliknięcie utrwala bonus zadania.</t>
  </si>
  <si>
    <t xml:space="preserve">Odpowiedzi użytkownika 22.10.2026: „Tak, również ostatni niepełny kurs”; „Tak, cena proporcjonalna materiałów +25%, monety osobno”; „Tak, kliknięcie zapisuje mnożnik”. Nagroda za pełną wpłatę przed końcem 6 h. Te trzy pytania są zamknięte; inne szczegóły pozostają oznaczone osobno.</t>
  </si>
  <si>
    <t xml:space="preserve">Wersja 5</t>
  </si>
  <si>
    <t xml:space="preserve">Plik4:37 zmian względem jego bazy V2; połączone z całą wersją 3 i tekstem pomysłów.</t>
  </si>
  <si>
    <t xml:space="preserve">Źródło:701a7d4; oryginał4 zachowany. Pełne wpisy:Twoje wpisy v4.</t>
  </si>
  <si>
    <t xml:space="preserve">Wersja7</t>
  </si>
  <si>
    <t xml:space="preserve">Źródło6(8c8ae82),85różnicoraz17odpowiedziD01–D17; najnowszepotwierdzeniamająpierwszeństwo.</t>
  </si>
  <si>
    <t xml:space="preserve">Oryginał6bez zmian; Twoje wpisyv6,rejestrhistorycznyv6,Decyzjev7.</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</si>
  <si>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</si>
  <si>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</si>
  <si>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</si>
  <si>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</si>
  <si>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</si>
  <si>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</si>
  <si>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Mechanika labiryntu i piłeczki związana z ekspedycjami; sterowanie i wykorzystanie ruchu telefonu użytkownik opisze później.</t>
  </si>
  <si>
    <t xml:space="preserve">ekspedycje</t>
  </si>
  <si>
    <t xml:space="preserve">Rozwinięte w arkuszach Ekspedycje oraz Ekspedycje - poziomy.</t>
  </si>
  <si>
    <t xml:space="preserve">wyzwania do latarni</t>
  </si>
  <si>
    <t xml:space="preserve">Rozwinięte w arkuszach Zadania latarni, Zadania przyklady i Zadania - zegary.</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</si>
  <si>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</si>
  <si>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</si>
  <si>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</si>
  <si>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</si>
  <si>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</si>
  <si>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</si>
  <si>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</si>
  <si>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</si>
  <si>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</si>
  <si>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</si>
  <si>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</si>
  <si>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</si>
  <si>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</si>
  <si>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</si>
  <si>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</si>
  <si>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</si>
  <si>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</si>
  <si>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</si>
  <si>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</si>
  <si>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</si>
  <si>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</si>
  <si>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</si>
  <si>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</si>
  <si>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</si>
  <si>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</si>
  <si>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</si>
  <si>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</si>
  <si>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</si>
  <si>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</si>
  <si>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</si>
  <si>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</si>
  <si>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</si>
  <si>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</si>
  <si>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</si>
  <si>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Z poziomu domu widzę wszystkich ludzi gdzie są dopisani, mogę ich stąd wysyłać do kaplicy lub na latarnię</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</si>
  <si>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</si>
  <si>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</si>
  <si>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</si>
  <si>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</si>
  <si>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</si>
  <si>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</si>
  <si>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</si>
  <si>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</si>
  <si>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</si>
  <si>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</si>
  <si>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</si>
  <si>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</si>
  <si>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</si>
  <si>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</si>
  <si>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</si>
  <si>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</si>
  <si>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</si>
  <si>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</si>
  <si>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</si>
  <si>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</si>
  <si>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</si>
  <si>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</si>
  <si>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</si>
  <si>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</si>
  <si>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</si>
  <si>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</si>
  <si>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</si>
  <si>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</si>
  <si>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</si>
  <si>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</si>
  <si>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</si>
  <si>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</si>
  <si>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</si>
  <si>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</si>
  <si>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</si>
  <si>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</si>
  <si>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</si>
  <si>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</si>
  <si>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</si>
  <si>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</si>
  <si>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</si>
  <si>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</si>
  <si>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</si>
  <si>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</si>
  <si>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</si>
  <si>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</si>
  <si>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</si>
  <si>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</si>
  <si>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</si>
  <si>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</si>
  <si>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</si>
  <si>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</si>
  <si>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</si>
  <si>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</si>
  <si>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</si>
  <si>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</si>
  <si>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</si>
  <si>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</si>
  <si>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</si>
  <si>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</si>
  <si>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</si>
  <si>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</si>
  <si>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</si>
  <si>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</si>
  <si>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</si>
  <si>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</si>
  <si>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</si>
  <si>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</si>
  <si>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</si>
  <si>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</si>
  <si>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</si>
  <si>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</si>
  <si>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</si>
  <si>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</si>
  <si>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</si>
  <si>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</si>
  <si>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</si>
  <si>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</si>
  <si>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</si>
  <si>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</si>
  <si>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</si>
  <si>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</si>
  <si>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</si>
  <si>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</si>
  <si>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</si>
  <si>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</si>
  <si>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</si>
  <si>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</si>
  <si>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</si>
  <si>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</si>
  <si>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</si>
  <si>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</si>
  <si>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</si>
  <si>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</si>
  <si>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</si>
  <si>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</si>
  <si>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</si>
  <si>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</si>
  <si>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</si>
  <si>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</si>
  <si>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</si>
  <si>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</si>
  <si>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</si>
  <si>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</si>
  <si>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</si>
  <si>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</si>
  <si>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</si>
  <si>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</si>
  <si>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</si>
  <si>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</si>
  <si>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</si>
  <si>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</si>
  <si>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</si>
  <si>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</si>
  <si>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</si>
  <si>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</si>
  <si>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</si>
  <si>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</si>
  <si>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</si>
  <si>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</si>
  <si>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</si>
  <si>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</si>
  <si>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</si>
  <si>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</si>
  <si>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</si>
  <si>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</si>
  <si>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</si>
  <si>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</si>
  <si>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</si>
  <si>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</si>
  <si>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</si>
  <si>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</si>
  <si>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</si>
  <si>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</si>
  <si>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</si>
  <si>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</si>
  <si>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</si>
  <si>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</si>
  <si>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</si>
  <si>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</si>
  <si>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</si>
  <si>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</si>
  <si>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</si>
  <si>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</si>
  <si>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</si>
  <si>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</si>
  <si>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</si>
  <si>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</si>
  <si>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</si>
  <si>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</si>
  <si>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</si>
  <si>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</si>
  <si>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</si>
  <si>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</si>
  <si>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</si>
  <si>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</si>
  <si>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</si>
  <si>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</si>
  <si>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</si>
  <si>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</si>
  <si>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</si>
  <si>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</si>
  <si>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</si>
  <si>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</si>
  <si>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</si>
  <si>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</si>
  <si>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</si>
  <si>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</si>
  <si>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</si>
  <si>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</si>
  <si>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</si>
  <si>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</si>
  <si>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</si>
  <si>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</si>
  <si>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</si>
  <si>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</si>
  <si>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</si>
  <si>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</si>
  <si>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</si>
  <si>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</si>
  <si>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</si>
  <si>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</si>
  <si>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</si>
  <si>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</si>
  <si>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</si>
  <si>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</si>
  <si>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</si>
  <si>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</si>
  <si>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</si>
  <si>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</si>
  <si>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</si>
  <si>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</si>
  <si>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</si>
  <si>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</si>
  <si>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ŹRÓDŁO V3 • oryginalne wpisy</t>
  </si>
  <si>
    <t xml:space="preserve">Dokładna zawartość docs/arkusze/pomysły z commit748b1eb; odpowiada nowej wiadomości użytkownika. Pisownia źródła zachowana. Wiążące zasady są uporządkowane w pozostałych zakładkach; nie zmieniamy starszych plików.</t>
  </si>
  <si>
    <t xml:space="preserve">Wiersz źródła</t>
  </si>
  <si>
    <t xml:space="preserve">Wpis dosłowny</t>
  </si>
  <si>
    <t xml:space="preserve">Źródło / obsługa</t>
  </si>
  <si>
    <t xml:space="preserve">shakomat na komórkę z kólką </t>
  </si>
  <si>
    <t xml:space="preserve">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</si>
  <si>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</si>
  <si>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</si>
  <si>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</si>
  <si>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</si>
  <si>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</si>
  <si>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</si>
  <si>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</si>
  <si>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</si>
  <si>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</si>
  <si>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</si>
  <si>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</si>
  <si>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 xml:space="preserve">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</si>
  <si>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</si>
  <si>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</si>
  <si>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</si>
  <si>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</si>
  <si>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</si>
  <si>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 xml:space="preserve">średnie = od 3 do 8 (ale nie mniejsze niż aktualne małe) 2-3 produkty random</t>
  </si>
  <si>
    <t xml:space="preserve">duże = od 4 do 10 (ale nie mniejsze niż aktualne średnie) 4 produkty</t>
  </si>
  <si>
    <t xml:space="preserve">nagrody zawsze mają sie wyświetlać </t>
  </si>
  <si>
    <t xml:space="preserve">zadania sie zmieniają w czasie co 6 h jest nowe, zawsze jakieś jest, licznik bijej dla każdego niezależnie,</t>
  </si>
  <si>
    <t xml:space="preserve">jeżeli kliknę zadanie w ciągu pierwszych 5 min jak sie pojawia mam to co nagrodą x 2 w pierwszych 15 sekundach x 3</t>
  </si>
  <si>
    <t xml:space="preserve">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</si>
  <si>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</si>
  <si>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 xml:space="preserve">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</si>
  <si>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</si>
  <si>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</si>
  <si>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</si>
  <si>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 xml:space="preserve">po przejściu dostajesz nagrodę, i tam będą poziomy</t>
  </si>
  <si>
    <t xml:space="preserve">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</si>
  <si>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</si>
  <si>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</si>
  <si>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</si>
  <si>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</si>
  <si>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 xml:space="preserve">w reklamie zawsze będzie 1 sek ukrytego przekazu do wpisania gdzieś (o tym później)</t>
  </si>
  <si>
    <t xml:space="preserve">TWOJE WPISY V4 • pełne archiwum zmian</t>
  </si>
  <si>
    <t xml:space="preserve">37 zmian względem wersji 2, na której pracowano w pliku HARBORLIGHT4-zasady.xlsx. Oryginał 4 pozostaje bez zmian. Wersja 5 łączy te wpisy z pomysłami, dodatkami wersji 3 i późniejszymi potwierdzeniami.</t>
  </si>
  <si>
    <t xml:space="preserve">Twój wpis z pliku 4 — dosłownie</t>
  </si>
  <si>
    <t xml:space="preserve">Uwzględnienie w wersji 5</t>
  </si>
  <si>
    <t xml:space="preserve">Start!D14</t>
  </si>
  <si>
    <t xml:space="preserve">usunąć znaczki stop play I przewin w prawym górnym rogu </t>
  </si>
  <si>
    <t xml:space="preserve">Uwzględniono w aktualnych zasadach albo zachowano jako odnośnik. Niewybrane szczegóły oznaczono do późniejszej decyzji.</t>
  </si>
  <si>
    <t xml:space="preserve">Start!D16</t>
  </si>
  <si>
    <t xml:space="preserve">w wersji 3 już rozpisane </t>
  </si>
  <si>
    <t xml:space="preserve">Start!D17</t>
  </si>
  <si>
    <t xml:space="preserve">odejścia 1 dom, póxniej tam gdzie wiecej, gdy remis port, kamieniołom, tartak, drwal, farma, wiatrak, transport </t>
  </si>
  <si>
    <t xml:space="preserve">Buduj 2× szybciej / buduj natychmiast — tylko przy posiadaniu zasobów; kup budynek bez surowców. Ceny i zakres przyspieszenia do późniejszej decyzji; patrz Premium.</t>
  </si>
  <si>
    <t xml:space="preserve"> patrz Premium. Doprecyzowane w kolejnej edycji </t>
  </si>
  <si>
    <t xml:space="preserve">Buduj 2× szybciej / buduj natychmiast — tylko przy posiadaniu zasobów; kup budynek bez surowców. Ceny i zakres przyspieszenia do późniejszej decyzji; patrz Premium. Dodatkowo w premium: transport one-click / szybszy transport; patrz Premium.</t>
  </si>
  <si>
    <t xml:space="preserve">Budynki!E9</t>
  </si>
  <si>
    <t xml:space="preserve">L×(72 drewna+72 kamienia+120 żywności)</t>
  </si>
  <si>
    <t xml:space="preserve">Budynki!E10</t>
  </si>
  <si>
    <t xml:space="preserve">L×(192 drewna+72 kamienia)</t>
  </si>
  <si>
    <t xml:space="preserve">Budynki!E11</t>
  </si>
  <si>
    <t xml:space="preserve">L×(72 drewna+72 kamienia+120 desek)</t>
  </si>
  <si>
    <t xml:space="preserve">Budynki!E12</t>
  </si>
  <si>
    <t xml:space="preserve">L×(72 drewna+192 kamienia)</t>
  </si>
  <si>
    <t xml:space="preserve">Czlowiek!H10</t>
  </si>
  <si>
    <t xml:space="preserve">Decyzja 50 x level </t>
  </si>
  <si>
    <t xml:space="preserve">Czlowiek!G13</t>
  </si>
  <si>
    <t xml:space="preserve">podatek płaci ale jest mniej szczęsliwy </t>
  </si>
  <si>
    <t xml:space="preserve">Czlowiek!G15</t>
  </si>
  <si>
    <t xml:space="preserve">podatek płaci przez cały czas</t>
  </si>
  <si>
    <t xml:space="preserve">Czlowiek!G22</t>
  </si>
  <si>
    <t xml:space="preserve">wytłumaczone poniżej </t>
  </si>
  <si>
    <t xml:space="preserve">Czlowiek!G23</t>
  </si>
  <si>
    <t xml:space="preserve">tak, zaczyna pracować I płacić podatek jak dociera do zakładu, </t>
  </si>
  <si>
    <t xml:space="preserve">Czlowiek!G25</t>
  </si>
  <si>
    <t xml:space="preserve">zatosuj karę I logikę jak linia niżej </t>
  </si>
  <si>
    <t xml:space="preserve">Czlowiek!G26</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</si>
  <si>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</si>
  <si>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 xml:space="preserve">Czlowiek!G29</t>
  </si>
  <si>
    <t xml:space="preserve">płatne błogosławieństwo kosztuje 100 x level, efekt daje taki sam, nie można mieć ich wiecej niż 1 na 4 h </t>
  </si>
  <si>
    <t xml:space="preserve">Czlowiek!G30</t>
  </si>
  <si>
    <t xml:space="preserve">po ustaniu premi wracamy do stanu sprzed premii </t>
  </si>
  <si>
    <t xml:space="preserve">Czlowiek!G31</t>
  </si>
  <si>
    <t xml:space="preserve">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</si>
  <si>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 xml:space="preserve">Czlowiek!G35</t>
  </si>
  <si>
    <t xml:space="preserve">Czlowiek!G36</t>
  </si>
  <si>
    <t xml:space="preserve">tak, trzeba usunąć ikonkę stop, play przwin</t>
  </si>
  <si>
    <t xml:space="preserve">Czlowiek!G37</t>
  </si>
  <si>
    <t xml:space="preserve">aktualizacja o każdej pełnej godzinie wg stanu zastanego </t>
  </si>
  <si>
    <t xml:space="preserve">Transport i priorytety!F10</t>
  </si>
  <si>
    <t xml:space="preserve">ludzi z transportu zabierasz na końcu wyjaśnione w innej komórce, dodatkowo jeżeli jedzenie jest poniżej minimum w magazynie a jest w młynie, to nie mogę zabrać wszystkich osób z transportu </t>
  </si>
  <si>
    <t xml:space="preserve">Transport i priorytety!F12</t>
  </si>
  <si>
    <t xml:space="preserve">Eta jako suma czasu tarnsportu I budowy, ale jak np zmienie prio transportu to czas sie przeliczy na nowo </t>
  </si>
  <si>
    <t xml:space="preserve">Transport i priorytety!F15</t>
  </si>
  <si>
    <t xml:space="preserve">czas rejsu 5 min zwawsze, momenty schodzą z konta w momencie tranzakcji </t>
  </si>
  <si>
    <t xml:space="preserve">Transport i priorytety!F17</t>
  </si>
  <si>
    <t xml:space="preserve">zdefiniowane w innej komórce</t>
  </si>
  <si>
    <t xml:space="preserve">Transport i priorytety!F18</t>
  </si>
  <si>
    <t xml:space="preserve">opisane w innej komórce</t>
  </si>
  <si>
    <t xml:space="preserve">TWOJE WPISY V6 • archiwum źródłowe</t>
  </si>
  <si>
    <t xml:space="preserve">85 różnic między przesłanym plikiem 6 a poprzednim plikiem 5, łącznie ze starszymi opisami wizyt. Wpisy poniżej są dosłowne i historyczne; najnowsze decyzje D01–D17 mają pierwszeństwo. Oryginał 6 pozostaje niezmieniony.</t>
  </si>
  <si>
    <t xml:space="preserve">Komórka</t>
  </si>
  <si>
    <t xml:space="preserve">Poprzednia treść (v5)</t>
  </si>
  <si>
    <t xml:space="preserve">Treść przesłana w v6 — dosłownie</t>
  </si>
  <si>
    <t xml:space="preserve">Uwzględnienie</t>
  </si>
  <si>
    <t xml:space="preserve">Start!E10</t>
  </si>
  <si>
    <t xml:space="preserve">Uwzględniono w zasadach v7 albo zachowano jako historyczny zapis. Najnowsze rozstrzygnięcie: Decyzje v7.</t>
  </si>
  <si>
    <t xml:space="preserve">Start!B15</t>
  </si>
  <si>
    <t xml:space="preserve">Kaplica: płatne błogosławieństwo 100 × poziom, maks. 1/4 h. Latarnia: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</si>
  <si>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Płatne błogosławieństwo kaplicy: 100 × poziom kaplicy monet, maksymalnie 1 użycie na 4 h. Zwiedzanie latarni: pobyt 4 h dla maks. 2 × poziom latarni osób z domu; szczęście uczestników 100% przez 24 h i premia dla populacji.</t>
  </si>
  <si>
    <t xml:space="preserve">Start!C15</t>
  </si>
  <si>
    <t xml:space="preserve">Czlowiek / Blogoslawienstwa. Powrót uruchamia premie i 24 h blokadę osobistą; grupy mają niezależne terminy. Jedyny zgłoszony konflikt: 4 h czy 6 h premii populacji.</t>
  </si>
  <si>
    <t xml:space="preserve">Czlowiek / Blogoslawienstwa; brakujące jednostki i kumulacje opisane jawnie.</t>
  </si>
  <si>
    <t xml:space="preserve">Start!F16</t>
  </si>
  <si>
    <t xml:space="preserve">Start!F17</t>
  </si>
  <si>
    <t xml:space="preserve">Start!B19</t>
  </si>
  <si>
    <t xml:space="preserve">Pozostałe szczegóły: bonus pracy podczas przestoju, brakujące pozycje kolejności odejść, moment transakcji portowej i szczegóły Premium. Czas globalnej premii wizyt oczekuje na doprecyzowanie: 4 h czy 6 h.</t>
  </si>
  <si>
    <t xml:space="preserve">Pozostałe szczegóły: bonus szczęścia za pracę podczas postoju, niepełna kolejność remisów, początek i kumulacja premii zwiedzania, moment transakcji portowej oraz szczegóły Premium.</t>
  </si>
  <si>
    <t xml:space="preserve">Patrz Premium — aktualny cennik oraz kalkulatory kosztów i czasu. Przy transporcie płatny jest także ostatni niepełny kurs.</t>
  </si>
  <si>
    <t xml:space="preserve">Patrz Premium — aktualny cennik oraz kalkulatory kosztów i czasu. Przy transporcie płatny jest także ostatni niepełny kurs. Premium za extra cenę 25%wartości surowców których jeszcze nie ma w nmagazynie a na pewno sie wyprodukują daje możliwość zakolejkować budowę na którą nie mamy materiałów, a będziemy mieli z produkcji, przykład mam 200 kamienia w magazynie głównym i 200 w magazynie producenta, kolejkuje budowę budynku gdzie potrzebuje 300, musze zapłacić 25% od wartosci różnicy czyli 25% od 100, i mogę iść spać, jak transport sie dokończy budowa sie zacznie </t>
  </si>
  <si>
    <t xml:space="preserve">Budynki!D17</t>
  </si>
  <si>
    <t xml:space="preserve">Rozbudowa: 100% szczęścia i produkcja ×2 przez 24 h × nowy poziom. Zwiedzanie: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</si>
  <si>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Rozbudowa: 100% szczęścia i produkcja ×2 przez 24 h × nowy poziom. Zwiedzanie: pobyt 4 h, do 2 × poziom latarni wolnych osób z domu; osobiste 100% przez 24 h i premia populacji +10 przez 6 h (jednostka 6 h jest interpretacją wpisu).</t>
  </si>
  <si>
    <t xml:space="preserve">Budynki!I17</t>
  </si>
  <si>
    <t xml:space="preserve">Ponowne wysłanie konkretnego mieszkańca dopiero 24 h od powrotu. Miejsce zwalnia się po 4 h pobytu i można wysłać inną uprawnioną osobę. Zwiedzający nie produkują, nie płacą podatku i jedzą normalnie. Po zakończeniu premii latarni wracamy do stanu sprzed premii. Zadania latarni są osobną mechaniką z terminem 6 h.</t>
  </si>
  <si>
    <t xml:space="preserve">Po zakończeniu premii latarni przywracamy stan szczęścia sprzed premii. Zwiedzający nie produkują i nie płacą podatku, jedzą normalnie. Początek i kumulacja premii wizyt pozostają do doprecyzowania. Osobne zadania latarni zachowują reguły V3 i niezależne 6 h terminy.</t>
  </si>
  <si>
    <t xml:space="preserve">Czlowiek!B31</t>
  </si>
  <si>
    <t xml:space="preserve">Pobyt 4 h bez czasu dojścia i możliwości wycofania. Maksymalnie 2 × poziom latarni osób jednocześnie; wysyłamy tylko wolnych mieszkańców z domu. Brak podatku i produkcji, normalne jedzenie.</t>
  </si>
  <si>
    <t xml:space="preserve">Do latarni można wysłać wyłącznie wolne osoby z domu. Pobyt trwa 4 h; zwiedzający nie produkuje, nie płaci podatku i je normalnie z centrali.</t>
  </si>
  <si>
    <t xml:space="preserve">Czlowiek!C31</t>
  </si>
  <si>
    <t xml:space="preserve">Po powrocie każdy uczestnik otrzymuje 100% szczęścia na 24 h. Jedna wysłana grupa daje całej populacji +10 pp przez czas do doprecyzowania: 4 h w nowym przykładzie, wcześniej 6 h. Premie osobnych grup sumują się przez czas nakładania.</t>
  </si>
  <si>
    <t xml:space="preserve">Do2 × poziom latarni osób; osobiste szczęście 100% przez 24 h; populacja +10 przez 6 h.</t>
  </si>
  <si>
    <t xml:space="preserve">Czlowiek!D31</t>
  </si>
  <si>
    <t xml:space="preserve">Ponowne wysłanie konkretnego mieszkańca dopiero 24 h od powrotu. Miejsce zwalnia się po 4 h pobytu i można wysłać inną uprawnioną osobę. Zwiedzający nie produkują, nie płacą podatku i jedzą normalnie. Grupa 2 osób: 12:00 → 16:00. Osobiste 100% i blokada ponownej wizyty do 16:00 następnego dnia; globalnie +10 pp za grupę. Osobne wysłania o 12:00 i 13:00: powroty 16:00 i 17:00; podczas nakładania globalnie +20 pp.</t>
  </si>
  <si>
    <t xml:space="preserve">Limit jako jednoczesna obsada i „na6” jako 6 h/+10pp są jawnymi interpretacjami. Początek premii oraz kumulacja nie są ustalone; nie mnożymy globalnej premii przez liczbę osób.</t>
  </si>
  <si>
    <t xml:space="preserve">Czlowiek!E31</t>
  </si>
  <si>
    <t xml:space="preserve">POTWIERDZONE 23.10.2026; CZAS GLOBALNEJ PREMII DO DOPRECYZOWANIA</t>
  </si>
  <si>
    <t xml:space="preserve">WIZYTA OPISANA V5; SZCZEGÓŁY PREMII OZNACZONE</t>
  </si>
  <si>
    <t xml:space="preserve">Premium!G7</t>
  </si>
  <si>
    <t xml:space="preserve">Premium!G8</t>
  </si>
  <si>
    <t xml:space="preserve">Premium!G11</t>
  </si>
  <si>
    <t xml:space="preserve">Premium!A12</t>
  </si>
  <si>
    <t xml:space="preserve">Transport całego bufora producenta</t>
  </si>
  <si>
    <t xml:space="preserve">Premium!A13</t>
  </si>
  <si>
    <t xml:space="preserve">Magazyn → budowa</t>
  </si>
  <si>
    <t xml:space="preserve">Premium!G13</t>
  </si>
  <si>
    <t xml:space="preserve">Premium!A14</t>
  </si>
  <si>
    <t xml:space="preserve">Magazyn ↔ targ</t>
  </si>
  <si>
    <t xml:space="preserve">Premium!G14</t>
  </si>
  <si>
    <t xml:space="preserve">Premium!A15</t>
  </si>
  <si>
    <t xml:space="preserve">Magazyn ↔ port</t>
  </si>
  <si>
    <t xml:space="preserve">Premium!G15</t>
  </si>
  <si>
    <t xml:space="preserve">Premium!A16</t>
  </si>
  <si>
    <t xml:space="preserve">Kup budynek bez surowców</t>
  </si>
  <si>
    <t xml:space="preserve">Premium!G16</t>
  </si>
  <si>
    <t xml:space="preserve">Premium!G18</t>
  </si>
  <si>
    <t xml:space="preserve">Premium!G22</t>
  </si>
  <si>
    <t xml:space="preserve">Premium!B27</t>
  </si>
  <si>
    <t xml:space="preserve">Pobyt 4 h bez czasu dojścia i możliwości wycofania. Maksymalnie 2 × poziom latarni osób jednocześnie; wysyłamy tylko wolnych mieszkańców z domu. Opłata za samą wizytę nie została ustalona.</t>
  </si>
  <si>
    <t xml:space="preserve">Wizyta4 h dla do 2 × poziom latarni osób z domu; nie ustalono opłaty za samą wizytę.</t>
  </si>
  <si>
    <t xml:space="preserve">Premium!C27</t>
  </si>
  <si>
    <t xml:space="preserve">Osobiste100% przez 24 h; populacja +10 przez 6 h (jednostki jako interpretacja).</t>
  </si>
  <si>
    <t xml:space="preserve">Premium!D27</t>
  </si>
  <si>
    <t xml:space="preserve">Ponowne wysłanie konkretnego mieszkańca dopiero 24 h od powrotu. Miejsce zwalnia się po 4 h pobytu i można wysłać inną uprawnioną osobę. Zwiedzający nie produkują, nie płacą podatku i jedzą normalnie. Premia zwiedzania jest odrębna od premii rozbudowy.</t>
  </si>
  <si>
    <t xml:space="preserve">Zwiedzający nie płacą podatku, jedzą normalnie. Nie utożsamiamy wizyty z premią rozbudowy latarni.</t>
  </si>
  <si>
    <t xml:space="preserve">Premium!E27</t>
  </si>
  <si>
    <t xml:space="preserve">WIZYTY POTWIERDZONE; CENA NIEOKREŚLONA; CZAS GLOBALNY OTWARTY</t>
  </si>
  <si>
    <t xml:space="preserve">WIZYTA OPISANA V5; CENA NIEOKREŚLONA</t>
  </si>
  <si>
    <t xml:space="preserve">Premium!G27</t>
  </si>
  <si>
    <t xml:space="preserve">Premium - czas!J6</t>
  </si>
  <si>
    <t xml:space="preserve">Premium - budynek!T6</t>
  </si>
  <si>
    <t xml:space="preserve">Zadania latarni!G8</t>
  </si>
  <si>
    <t xml:space="preserve">Zadania latarni!G12</t>
  </si>
  <si>
    <t xml:space="preserve">Zadania latarni!G13</t>
  </si>
  <si>
    <t xml:space="preserve">Zadania latarni!G18</t>
  </si>
  <si>
    <t xml:space="preserve">Zadania latarni!G19</t>
  </si>
  <si>
    <t xml:space="preserve">Zadania latarni!G22</t>
  </si>
  <si>
    <t xml:space="preserve">Zadania latarni!G23</t>
  </si>
  <si>
    <t xml:space="preserve">Zadania latarni!G25</t>
  </si>
  <si>
    <t xml:space="preserve">Zadania latarni!G26</t>
  </si>
  <si>
    <t xml:space="preserve">Zadania przyklady!C19</t>
  </si>
  <si>
    <t xml:space="preserve">Transport i priorytety!C18</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</si>
  <si>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 Ponowne wysłanie konkretnego mieszkańca dopiero 24 h od powrotu. Miejsce zwalnia się po 4 h pobytu i można wysłać inną uprawnioną osobę. Zwiedzający nie produkują, nie płacą podatku i jedzą normalnie. Kaplica: płatne błogosławieństwo 100 × poziom, maks. 1/4 h.</t>
  </si>
  <si>
    <t xml:space="preserve">Latarnia: pobyt 4 h, do 2 × poziom latarni osób z domu; brak podatku, normalne jedzenie; osobiste 100% przez 24 h i premia populacji +10 przez 6 h (jednostki i kumulację opisano jako model). Kaplica: płatne błogosławieństwo 100 × poziom kaplicy, maksymalnie 1 użycie na 4 h.</t>
  </si>
  <si>
    <t xml:space="preserve">Decyzje i konflikty!G14</t>
  </si>
  <si>
    <t xml:space="preserve">Decyzje i konflikty!G15</t>
  </si>
  <si>
    <t xml:space="preserve">Decyzje i konflikty!G16</t>
  </si>
  <si>
    <t xml:space="preserve">Decyzje i konflikty!G17</t>
  </si>
  <si>
    <t xml:space="preserve">Decyzje i konflikty!G18</t>
  </si>
  <si>
    <t xml:space="preserve">Decyzje i konflikty!G20</t>
  </si>
  <si>
    <t xml:space="preserve">Decyzje i konflikty!G21</t>
  </si>
  <si>
    <t xml:space="preserve">Decyzje i konflikty!G22</t>
  </si>
  <si>
    <t xml:space="preserve">Decyzje i konflikty!G24</t>
  </si>
  <si>
    <t xml:space="preserve">Decyzje i konflikty!G26</t>
  </si>
  <si>
    <t xml:space="preserve">Decyzje i konflikty!G27</t>
  </si>
  <si>
    <t xml:space="preserve">Decyzje i konflikty!G28</t>
  </si>
  <si>
    <t xml:space="preserve">Decyzje i konflikty!G29</t>
  </si>
  <si>
    <t xml:space="preserve">Decyzje i konflikty!G30</t>
  </si>
  <si>
    <t xml:space="preserve">Decyzje i konflikty!G31</t>
  </si>
  <si>
    <t xml:space="preserve">Decyzje i konflikty!G32</t>
  </si>
  <si>
    <t xml:space="preserve">Decyzje i konflikty!G33</t>
  </si>
  <si>
    <t xml:space="preserve">Decyzje i konflikty!G35</t>
  </si>
  <si>
    <t xml:space="preserve">Decyzje i konflikty!G36</t>
  </si>
  <si>
    <t xml:space="preserve">Decyzje i konflikty!G37</t>
  </si>
  <si>
    <t xml:space="preserve">Decyzje i konflikty!G38</t>
  </si>
  <si>
    <t xml:space="preserve">Decyzje i konflikty!G39</t>
  </si>
  <si>
    <t xml:space="preserve">Decyzje i konflikty!G40</t>
  </si>
  <si>
    <t xml:space="preserve">Decyzje i konflikty!B41</t>
  </si>
  <si>
    <t xml:space="preserve">CZĘŚCIOWO ROZSTRZYGNIĘTE 23.10.2026</t>
  </si>
  <si>
    <t xml:space="preserve">SZCZEGÓŁ NA PÓŹNIEJ</t>
  </si>
  <si>
    <t xml:space="preserve">Decyzje i konflikty!D41</t>
  </si>
  <si>
    <t xml:space="preserve">Premie startują po powrocie. Osobiste 100% i blokada ponownej wizyty trwają 24 h od powrotu. Odrębne grupy dają sumujące się +10 pp. Pobyt 4 h, bez dojścia i wycofania.</t>
  </si>
  <si>
    <t xml:space="preserve">Nie określono, kiedy zaczyna się 24 h osobistej i 6 h zbiorowej premii, czy limit 2 × poziom jest jednoczesny ani jak łączą się kolejne wizyty.</t>
  </si>
  <si>
    <t xml:space="preserve">Decyzje i konflikty!E41</t>
  </si>
  <si>
    <t xml:space="preserve">Czas premii populacji: czas do doprecyzowania: 4 h w nowym przykładzie, wcześniej 6 h. Jedna grupa dwóch osób daje +10 pp; dwie odrębne grupy po jednej osobie dają podczas nakładania +20 pp.</t>
  </si>
  <si>
    <t xml:space="preserve">Nie wymyślać kumulacji bonusu za każdego zwiedzającego. „Na6” odczytano roboczo jako6 h.</t>
  </si>
  <si>
    <t xml:space="preserve">Decyzje i konflikty!G41</t>
  </si>
  <si>
    <t xml:space="preserve">Decyzje i konflikty!G42</t>
  </si>
  <si>
    <t xml:space="preserve">Decyzje i konflikty!G43</t>
  </si>
  <si>
    <t xml:space="preserve">Decyzje i konflikty!G44</t>
  </si>
  <si>
    <t xml:space="preserve">Ustalenia - uwagi!D203</t>
  </si>
  <si>
    <t xml:space="preserve">POTWIERDZONE 23.10.2026</t>
  </si>
  <si>
    <t xml:space="preserve">Ustalenia - uwagi!E203</t>
  </si>
  <si>
    <t xml:space="preserve">Pobyt 4 h bez czasu dojścia i możliwości wycofania. Maksymalnie 2 × poziom latarni osób jednocześnie; wysyłamy tylko wolnych mieszkańców z domu. Ponowne wysłanie konkretnego mieszkańca dopiero 24 h od powrotu. Miejsce zwalnia się po 4 h pobytu i można wysłać inną uprawnioną osobę. Zwiedzający nie produkują, nie płacą podatku i jedzą normalnie.</t>
  </si>
  <si>
    <t xml:space="preserve">Na zwiedzanie można wysyłać wyłącznie wolnych ludzi z domu. Pobyt trwa 4 godziny. Liczba osób do wysłania: do 2 × poziom latarni, ograniczona dostępnymi ludźmi w domu.</t>
  </si>
  <si>
    <t xml:space="preserve">Ustalenia - uwagi!F203</t>
  </si>
  <si>
    <t xml:space="preserve">Źródło: doprecyzowanie użytkownika 23.10.2026. Grupa wysłana o 12:00 wraca do domu o 16:00. Te osoby mogą wyruszyć ponownie najwcześniej o 16:00 następnego dnia.</t>
  </si>
  <si>
    <t xml:space="preserve">Osoba zwiedzająca nie produkuje i nie płaci podatku; je normalnie z centrali. Liczenie limitu jako jednoczesnej obsady jest roboczą interpretacją; źródło nie podaje osobnego limitu dziennego. Źródło: HARBORLIGHT4-zasady.xlsx — Czlowiek!G31</t>
  </si>
  <si>
    <t xml:space="preserve">Ustalenia - uwagi!D204</t>
  </si>
  <si>
    <t xml:space="preserve">POTWIERDZONE 23.10.2026; CZAS GLOBALNY OTWARTY</t>
  </si>
  <si>
    <t xml:space="preserve">ZATWIERDZONE; CZĘŚĆ JEDNOSTEK MODELOWA</t>
  </si>
  <si>
    <t xml:space="preserve">Ustalenia - uwagi!E204</t>
  </si>
  <si>
    <t xml:space="preserve">Zwiedzający otrzymują szczęście 100% niezależnie od wcześniejszej wartości, a cała populacja dostaje dodatkowe szczęście. Uczestnik: 100% przez 24 h. Cała populacja: +10 pp przez 6 h — jednostka h przy „na6” jest uzupełnieniem redakcyjnym do potwierdzenia.</t>
  </si>
  <si>
    <t xml:space="preserve">Ustalenia - uwagi!F204</t>
  </si>
  <si>
    <t xml:space="preserve">Źródło: doprecyzowanie użytkownika 23.10.2026. Grupa 2 osób: 12:00 → 16:00. Osobiste 100% i blokada ponownej wizyty do 16:00 następnego dnia; globalnie +10 pp za grupę. Osobne wysłania o 12:00 i 13:00: powroty 16:00 i 17:00; podczas nakładania globalnie +20 pp. Nowy przykład podaje globalny efekt 16:00–20:00, wcześniejsza reguła miała 6 h; pytanie o czas pozostaje otwarte.</t>
  </si>
  <si>
    <t xml:space="preserve">Nie określono momentu początku premii, naliczania globalnej premii raz na wizytę/grupę/osobę ani kumulowania kolejnych wizyt. Nie zakładamy mnożenia +10 przez liczbę zwiedzających. Źródło: HARBORLIGHT4-zasady.xlsx — Czlowiek!G31</t>
  </si>
  <si>
    <t xml:space="preserve">Blogoslawienstwa!B9</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</si>
  <si>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</si>
  <si>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Wolni ludzie z domu: do 2 × poziom latarni, pobyt 4 h. Podatek 0, jedzenie normalne. Uczestnicy mają 100% przez 24 h; cała populacja +10 przez 6 h.</t>
  </si>
  <si>
    <t xml:space="preserve">Blogoslawienstwa!C9</t>
  </si>
  <si>
    <t xml:space="preserve">Jednostkę „na6” odczytano roboczo jako 6 h, a +10% jako +10 pp. Początek, kumulacja i jednoczesny charakter limitu do opisania.</t>
  </si>
  <si>
    <t xml:space="preserve">Odpowiedzi i zmiany!C15</t>
  </si>
  <si>
    <t xml:space="preserve">Źródło:701a7d4; oryginał4 zachowany. Pełne wpisy:Twoje wpisy v4. Doprecyzowanie 23.10.2026: pobyt latarni 4 h bez dojścia/wycofania; premie od powrotu; 24 h blokady osobistej; +10 pp na grupę, sumowanie grup. Czas globalnej premii: czas do doprecyzowania: 4 h w nowym przykładzie, wcześniej 6 h.</t>
  </si>
  <si>
    <t xml:space="preserve">REJESTR HISTORYCZNY V6 • zapis sprzed decyzji</t>
  </si>
  <si>
    <t xml:space="preserve">Archiwum 200 wcześniejszych reguł. Pytania, ceny i terminy opisane tutaj mogą być zastąpione. Aktualny stan: Ustalenia - uwagi, Decyzje v7 i właściwe tabele. Oryginalne wpisy i komentarze zachowano.</t>
  </si>
  <si>
    <t xml:space="preserve">Pojemność bufora każdego producenta=200×poziom Ratusza.</t>
  </si>
  <si>
    <t xml:space="preserve">Kara przestoju−10 od blokady, następne−10 co 24 h, maksymalnie−50 z tego tytułu.</t>
  </si>
  <si>
    <t xml:space="preserve">Decyduje faktyczne blokowanie produkcji; reset licznika w drodze do domu, nie automatycznie sama ilość poniżej limitu.</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</si>
  <si>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</si>
  <si>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</si>
  <si>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</si>
  <si>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</si>
  <si>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</si>
  <si>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Głód od razu zmniejsza efektywną wydajność pracy i transportu o 50%.</t>
  </si>
  <si>
    <t xml:space="preserve">Estymaty zakładają nakarmionych. Techniczny wybór mniejszego ładunku/dłuższego kursu jeszcze nieustalony.</t>
  </si>
  <si>
    <t xml:space="preserve">Podatek 1 moneta/h od dotarcia do zakładu; płynie także podczas przestoju przypisanej osoby.</t>
  </si>
  <si>
    <t xml:space="preserve">Bez podatku w drodze, bezrobociu i na zwiedzaniu. Bonus szczęścia za pracę podczas postoju nadal do decyzji.</t>
  </si>
  <si>
    <t xml:space="preserve">Cała gospodarka liczyczas zegarowy również offline.</t>
  </si>
  <si>
    <t xml:space="preserve">Zastępuje zatrzymywanie po ukryciu/zamknięciu karty. Guziki przyspieszenia powiązane z czasowymi premiami.</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</si>
  <si>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</si>
  <si>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</si>
  <si>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</si>
  <si>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TYMCZASOWE</t>
  </si>
  <si>
    <t xml:space="preserve">N×(180 monet+20 drewna+60 kamienia+10 desek), N nowy poziom.</t>
  </si>
  <si>
    <t xml:space="preserve">Cena nie była docelowo ustalona; do przewozu 90×N.</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</si>
  <si>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</si>
  <si>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</si>
  <si>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</si>
  <si>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</si>
  <si>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</si>
  <si>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</si>
  <si>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</si>
  <si>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</si>
  <si>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</si>
  <si>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Latarnia ustawia efektywne szczęście KAŻDEGO na 100%, nie dodaje+100. Produkcja ×2.</t>
  </si>
  <si>
    <t xml:space="preserve">Obie premie 24 h×N; podatki/transport bez mnożnika.</t>
  </si>
  <si>
    <t xml:space="preserve">Kolejna rozbudowa odświeża czas, a nie mnożnik produkcji do ×4.</t>
  </si>
  <si>
    <t xml:space="preserve">Premia zaczyna się po ukończeniu; nowe błogosławieństwa ODŁOŻONE.</t>
  </si>
  <si>
    <t xml:space="preserve">Sprzedaż:centrala→port→statek; wypłata przy wypłynięciu. Zakup:monety w momencie transakcji, rejs 5 min, rozładunek i transport do centrali.</t>
  </si>
  <si>
    <t xml:space="preserve">Dokładny moment zatwierdzenia transakcji pozostaje interpretacją. Towar przed dowozem nie jest dostępny centralnie.</t>
  </si>
  <si>
    <t xml:space="preserve">Ratusz nadal jest warunkiem rozbudowy; lokalny pojemnik 200×ratusz pozostaje.</t>
  </si>
  <si>
    <t xml:space="preserve">Z panelu domu widać wszystkich ludzi i przydziały oraz można wysyłać do kaplicy lub latarni.</t>
  </si>
  <si>
    <t xml:space="preserve">Na starcie 12 osób znajduje się w domu.
Źródło: Budynki! K7; Czlowiek! C7</t>
  </si>
  <si>
    <t xml:space="preserve">Przestój: podatek płynie, jedna kara −10…−50; reset licznika w drodze do domu.</t>
  </si>
  <si>
    <t xml:space="preserve">Nie nakładamy automatycznie drugiej kary bezrobocia. Bonus+1 podczas postoju nadal do ustalenia.</t>
  </si>
  <si>
    <t xml:space="preserve">Domyślnie najpierw zaopatrzenie magazynu, później budowy; gracz może zmieniać priorytety kategorii, producenta i konkretnej budowy.</t>
  </si>
  <si>
    <t xml:space="preserve">Ratusz L daje L aktywnych rozbudów i L pozycji kolejki; kolejka wymaga surowców już przy zlecaniu.</t>
  </si>
  <si>
    <t xml:space="preserve">Dopłata +10% jest nowa; oferty premium zebrane osobno.
Źródło: Budynki! K6</t>
  </si>
  <si>
    <t xml:space="preserve">Panel pokazuje potrzebną i dostarczoną ilość każdego materiału, np. 60/100, oraz ETA transportu i budowy przy bieżących priorytetach.</t>
  </si>
  <si>
    <t xml:space="preserve">ZASTĄPIONE WYMAGANIEM V5</t>
  </si>
  <si>
    <t xml:space="preserve">Usunąć ikony stop/play/przewijania w prawym górnym rogu.</t>
  </si>
  <si>
    <t xml:space="preserve">Wymaganie interfejsu zapisane w Excelu. Premium ma osobny zatwierdzony cennik; kod bez zmian.</t>
  </si>
  <si>
    <t xml:space="preserve">Towar na targu znika po 24 h od przyniesienia; wynik wymiany także znika po własnych 24 h.</t>
  </si>
  <si>
    <t xml:space="preserve">Nie określono osobno zasad dzielenia/łączenia partii ani wpływu premium na wiek.
Źródło: Budynki! D14</t>
  </si>
  <si>
    <t xml:space="preserve">Sprzedaż:wypłata przy wypłynięciu; zakup:monety w momencie transakcji. Rejs zawsze 5 min.</t>
  </si>
  <si>
    <t xml:space="preserve">Rozładunek i transport do centrali nadal wymagane; dokładny moment transakcji do opisania.</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</si>
  <si>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</si>
  <si>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</si>
  <si>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</si>
  <si>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Premia rozbudowy:100% wszystkim i produkcja ×2 przez 24 h×nowy poziom.</t>
  </si>
  <si>
    <t xml:space="preserve">Po zakończeniu przywracamy stan sprzed premii.</t>
  </si>
  <si>
    <t xml:space="preserve">Remis największych załóg:port,kamieniołom,tartak,drwale,farma,młyn,magazyn.</t>
  </si>
  <si>
    <t xml:space="preserve">Najpierw dom, następnie największa załoga. Targ, droga i zwiedzanie nadal do doprecyzowania.</t>
  </si>
  <si>
    <t xml:space="preserve">UZUPEŁNIONE V3</t>
  </si>
  <si>
    <t xml:space="preserve">Oferty budowlane i transportowe otrzymały cennik V3;25/50/75% za 1 monetę/min, transport 10/kurs, budynek port×1,25 + czas.</t>
  </si>
  <si>
    <t xml:space="preserve">Patrz Premium i kalkulatory; brakujące interpretacje jawnie oznaczone.</t>
  </si>
  <si>
    <t xml:space="preserve">CZĘŚCIOWO UZUPEŁNIONE V3</t>
  </si>
  <si>
    <t xml:space="preserve">Nowe oferty, reklamy, challenge i social pozostają do późniejszego opisania.</t>
  </si>
  <si>
    <t xml:space="preserve">Nowe nagrody social, zadania latarni i ekspedycje zdefiniowano wV3. Szczegóły błogosławieństw kaplicy pozostają odłożone.</t>
  </si>
  <si>
    <t xml:space="preserve">1 PLN = 10 monet. Cena w PLN = cena w monetach / 10.</t>
  </si>
  <si>
    <t xml:space="preserve">Ustalono przelicznik; nie zdefiniowano wypłaty monet na PLN. Źródło: wiadomość 22.10.2026 / docs/arkusze/pomysły.</t>
  </si>
  <si>
    <t xml:space="preserve">DO DOPRECYZOWANIA</t>
  </si>
  <si>
    <t xml:space="preserve">Monety służą do Premium; użytkownik używa także nazwy złoto. W gospodarce istnieją już monety z podatków i portu.</t>
  </si>
  <si>
    <t xml:space="preserve">Nie określono, czy złoto, monety zarobione i monety kupione to ta sama pula. Kalkulator roboczo pokazuje jedną monetę, bez nowego tokena. Źródło: wiadomość 22.10.2026 / docs/arkusze/pomysły.</t>
  </si>
  <si>
    <t xml:space="preserve">STAWKA POTWIERDZONA; PODSTAWA DO DOPRECYZOWANIA</t>
  </si>
  <si>
    <t xml:space="preserve">Skrócenie o 25% pozostałego czasu budowy. Cena = pełne minuty zaoszczędzonego czasu × 1 moneta.</t>
  </si>
  <si>
    <t xml:space="preserve">Roboczo FLOOR(pozostałe sekundy × 0,25 / 60). Wybranie pozostałego czasu zamiast czasu początkowego jest interpretacją. Źródło: wiadomość 22.10.2026 / docs/arkusze/pomysły.</t>
  </si>
  <si>
    <t xml:space="preserve">STAWKA POTWIERDZONA; WZÓR MODELOWY</t>
  </si>
  <si>
    <t xml:space="preserve">Skrócenie o 50% pozostałego czasu budowy. Cena = FLOOR(pozostałe sekundy × 0,50 / 60) monet.</t>
  </si>
  <si>
    <t xml:space="preserve">Należy wyświetlać czas skrócenia i cenę przed zatwierdzeniem. Źródło: wiadomość 22.10.2026 / docs/arkusze/pomysły.</t>
  </si>
  <si>
    <t xml:space="preserve">Skrócenie o 75% pozostałego czasu budowy. Cena = FLOOR(pozostałe sekundy × 0,75 / 60) monet.</t>
  </si>
  <si>
    <t xml:space="preserve">Nie ustalono limitu kolejnych przyspieszeń ani minimalnej ceny. Źródło: wiadomość 22.10.2026 / docs/arkusze/pomysły.</t>
  </si>
  <si>
    <t xml:space="preserve">Dotychczasowa oferta została zachowana; nowy cennik podaje tylko skrócenia 25%, 50%, 75%. Cena skrócenia 100% nie została potwierdzona.</t>
  </si>
  <si>
    <t xml:space="preserve">Nie oznaczać automatycznie ceny 100% jako ustalonej. Nie wiadomo także, czy można przyspieszać transport i budowanie łącznie. Źródło: wiadomość 22.10.2026 / docs/arkusze/pomysły.</t>
  </si>
  <si>
    <t xml:space="preserve">POTWIERDZONE; ZAKRES KLIKNIĘCIA DO DOPRECYZOWANIA</t>
  </si>
  <si>
    <t xml:space="preserve">Natychmiastowy przewóz materiałów centralnych na konkretną budowę. 10 monet × SUMA CEILING(ilość każdego materiału / ładunek).</t>
  </si>
  <si>
    <t xml:space="preserve">Każdy materiał liczy się osobno. Monety nie wymagają transportu. Nie ustalono, czy jedno kliknięcie obejmuje wszystkie brakujące materiały. Źródło: wiadomość 22.10.2026 / docs/arkusze/pomysły.</t>
  </si>
  <si>
    <t xml:space="preserve">Takie samo rozliczenie transportu towarów w obu kierunkach. 10 monet za potrzebny kurs właściwej załogi, osobno dla każdego materiału.</t>
  </si>
  <si>
    <t xml:space="preserve">Premium nie tworzy towaru ani wolnej pojemności. Wpływ na blokadę 1 h i termin wygaśnięcia 24 h nadal nieustalony. Źródło: wiadomość 22.10.2026 / docs/arkusze/pomysły.</t>
  </si>
  <si>
    <t xml:space="preserve">STAWKA POTWIERDZONA; ETAP STATKU DO DOPRECYZOWANIA</t>
  </si>
  <si>
    <t xml:space="preserve">Nie ustalono, czy opłata obejmuje również osobny etap port ↔ statek. Zachować rozróżnienie dwóch etapów portowych. Źródło: wiadomość 22.10.2026 / docs/arkusze/pomysły.</t>
  </si>
  <si>
    <t xml:space="preserve">WYCENA POTWIERDZONA; ZAKRES MATERIAŁÓW OTWARTY</t>
  </si>
  <si>
    <t xml:space="preserve">Cena = 1,25 × proporcjonalna bazowa portowa wartość materiałów + wymagane monety budynku + opłata za skrócenie czasu.</t>
  </si>
  <si>
    <t xml:space="preserve">Potwierdzone: bez paczek po 100, bazowe ceny zakupu, +25% tylko od materiałów. Pełny koszt czy brakujące materiały i końcowe zaokrąglenie pozostają do decyzji. Źródło: odpowiedź użytkownika 22.10.2026.</t>
  </si>
  <si>
    <t xml:space="preserve">Monety zapisane w koszcie budynku doliczamy osobno w wymaganej wysokości; nie obejmuje ich dopłata 25%.</t>
  </si>
  <si>
    <t xml:space="preserve">ZACHOWANO; CENA PAKIETU NIEUSTALONA</t>
  </si>
  <si>
    <t xml:space="preserve">Dotychczas +4 aktywne budowy, dowolnie długa kolejka i planowanie z prognoz dostaw. Nowa stawka nie ustala ceny ani czasu trwania pakietu.</t>
  </si>
  <si>
    <t xml:space="preserve">Nie zakładać, że mikropłatności zastępują pakiet lub znoszą dopłatę kolejki +10%. Źródło: wiadomość 22.10.2026 / docs/arkusze/pomysły.</t>
  </si>
  <si>
    <t xml:space="preserve">W prawym górnym rogu wyświetlamy trzy aktualne zadania latarni: małe, średnie i duże. 3 miejsca, po jednym na rozmiar</t>
  </si>
  <si>
    <t xml:space="preserve">Nagrody są widoczne zawsze, przed rozpoczęciem i wpłatami. Źródło: wiadomość 22.10.2026 / docs/arkusze/pomysły.</t>
  </si>
  <si>
    <t xml:space="preserve">MODEL DO POTWIERDZENIA</t>
  </si>
  <si>
    <t xml:space="preserve">Koszt rodzaju i liczymy z maksymalnej obsady obecnego poziomu jego producenta, niezależnie od faktycznej obsady. 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</si>
  <si>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 Źródło: wiadomość 22.10.2026 / docs/arkusze/pomysły.</t>
  </si>
  <si>
    <t xml:space="preserve">Wymagane są dwa lub trzy produkty, w ilości odpowiadającej 3–8 h maksymalnej produkcji, nie mniej niż bieżące małe. 2–3 rodzaje; h∈[3,8]</t>
  </si>
  <si>
    <t xml:space="preserve">Sposób porównania z małym nie jest zdefiniowany; przykład używa h_średnie ≥ h_małe oraz nie mniejszej sumy godzin znormalizowanych. Źródło: wiadomość 22.10.2026 / docs/arkusze/pomysły.</t>
  </si>
  <si>
    <t xml:space="preserve">Wymagane są cztery produkty, w ilości odpowiadającej 4–10 h maksymalnej produkcji, nie mniej niż bieżące średnie. 4 rodzaje; h∈[4,10]</t>
  </si>
  <si>
    <t xml:space="preserve">W przykładzie h_duże ≥ h_średnie. Duże może wymagać więcej niż 6 h produkcji mimo terminu 6 h: zakłada wcześniejsze zapasy lub jest trudno osiągalne od zera. Źródło: wiadomość 22.10.2026 / docs/arkusze/pomysły.</t>
  </si>
  <si>
    <t xml:space="preserve">MODEL PRZYKŁADU</t>
  </si>
  <si>
    <t xml:space="preserve">W przykładach jedna liczba pełnych godzin h obowiązuje wszystkie wymagane rodzaje danego zadania. h_małe ≤ h_średnie ≤ h_duże; H = Σ(koszt_i/R_i)</t>
  </si>
  <si>
    <t xml:space="preserve">Jest to czytelna interpretacja „nie mniejsze”, a nie dodatkowa zatwierdzona reguła. Użytkownik nie określił, czy godziny mają być całkowite ani wspólne dla wszystkich składników. Źródło: wiadomość 22.10.2026 / docs/arkusze/pomysły.</t>
  </si>
  <si>
    <t xml:space="preserve">UZGODNIONE / DOLNY PRÓG CZĘŚCIOWO MODELOWY</t>
  </si>
  <si>
    <t xml:space="preserve">Małe losuje 100–200 monet; średnie do 400; duże do 600. Przykłady: 100–200, 100–400 i 100–600 monet</t>
  </si>
  <si>
    <t xml:space="preserve">Dolny próg 100 dla średniego i dużego jest interpretacją; użytkownik podał dla nich tylko górną granicę. Źródło: wiadomość 22.10.2026 / docs/arkusze/pomysły.</t>
  </si>
  <si>
    <t xml:space="preserve">UZGODNIONE / LICZBA RODZAJÓW OTWARTA</t>
  </si>
  <si>
    <t xml:space="preserve">Każde zadanie daje także losowy towar lub towary w ilości 50–1000. Przykłady: 1 losowy rodzaj, 50–1000 szt.</t>
  </si>
  <si>
    <t xml:space="preserve">Do decyzji: liczba rodzajów nagród; limit na każdy rodzaj czy łącznie; obsługa braku miejsca w magazynie. Źródło: wiadomość 22.10.2026 / docs/arkusze/pomysły.</t>
  </si>
  <si>
    <t xml:space="preserve">Pierwsze kliknięcie konkretnego zadania utrwala mnożnik do ukończenia. Nagroda = bazowa nagroda × utrwalony mnożnik.</t>
  </si>
  <si>
    <t xml:space="preserve">Wypłata dopiero po wpłaceniu całości przed upływem 6 h od pojawienia się; samo kliknięcie nie daje nagrody. Źródło: odpowiedź użytkownika 22.10.2026.</t>
  </si>
  <si>
    <t xml:space="preserve">Każde zadanie ma własny 6-godzinny licznik od pojawienia się. Termin = pojawienie +6 h zegarowych</t>
  </si>
  <si>
    <t xml:space="preserve">Zgodnie z wcześniejszą zasadą świata licznik działa również offline. Zadania nie powinny być przemieszane jednym wspólnym resetem wszystkich trzech. Źródło: wiadomość 22.10.2026 / docs/arkusze/pomysły.</t>
  </si>
  <si>
    <t xml:space="preserve">UZGODNIONE / WCZEŚNIEJSZE UKOŃCZENIE OTWARTE</t>
  </si>
  <si>
    <t xml:space="preserve">Po upływie terminu pojawia się nowe zadanie danego rozmiaru. Każde miejsce ma własny cykl</t>
  </si>
  <si>
    <t xml:space="preserve">Aby stale były trzy, proponujemy natychmiastowe uzupełnienie po ukończeniu; użytkownik nie określił wprost momentu odnowienia po wcześniejszym ukończeniu. Źródło: wiadomość 22.10.2026 / docs/arkusze/pomysły.</t>
  </si>
  <si>
    <t xml:space="preserve">DO DECYZJI</t>
  </si>
  <si>
    <t xml:space="preserve">Przy niezależnych terminach nowy mały może stać się droższy od starego średniego, a nowy średni od starego dużego. 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</si>
  <si>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 Źródło: wiadomość 22.10.2026 / docs/arkusze/pomysły.</t>
  </si>
  <si>
    <t xml:space="preserve">Natychmiastowa wpłata Food może kolidować z rezerwą jedzenia 50 × poziom magazynu. Poprzednia zasada chroni rezerwę przed operacjami nieżywieniowymi</t>
  </si>
  <si>
    <t xml:space="preserve">Propozycja: zadanie można zasilać tylko nadwyżką ponad chronioną rezerwę; to nie jest nowo zatwierdzony wyjątek. Źródło: wiadomość 22.10.2026 / docs/arkusze/pomysły.</t>
  </si>
  <si>
    <t xml:space="preserve">Wypłata po pełnej wpłacie przed upływem6h. Nie ustalono obsługi nagrody, która nie mieści się w magazynie. Maksimum przy×3:1800monet i do3000szt. jednego towaru w przykładzie.</t>
  </si>
  <si>
    <t xml:space="preserve">Propozycje do wyboru później: skrzynka do odebrania, odbiór częściowy lub rezerwacja miejsca; nic nie może znikać bez jawnej reguły. Źródło: wiadomość 22.10.2026 / docs/arkusze/pomysły.</t>
  </si>
  <si>
    <t xml:space="preserve">Wymagania rosną jak 12 × L × p(L), natomiast zakresy nagród są stałe. L1: 120/h; L2: 288/h; L3: 468/h; L4: 672/h</t>
  </si>
  <si>
    <t xml:space="preserve">Na wysokim poziomie stosunek nagrody do wpłat może być słaby. Losowa nagroda nie gwarantuje zwrotu wartości portowej wkładu. Źródło: wiadomość 22.10.2026 / docs/arkusze/pomysły.</t>
  </si>
  <si>
    <t xml:space="preserve">Ekspedycja nie przyznaje materiałów ani szczęścia. Nazwa waluty do ujednolicenia. Źródło: wiadomość 22.10.2026 / docs/arkusze/pomysły.</t>
  </si>
  <si>
    <t xml:space="preserve">Pracownik przypisany do przedsiębiorstwa nadal płaci podatek podczas przestoju produkcji. 1 moneta/os./h; premia podatkowa kaplicy zgodnie z dotychczasową zasadą.</t>
  </si>
  <si>
    <t xml:space="preserve">Przestój obniża szczęście. To nie wprowadza podatku dla bezrobotnego, osoby wracającej do domu ani osoby dopiero idącej do pracy. Źródło: HARBORLIGHT4-zasady.xlsx — Czlowiek!G13; G15; G25; G26</t>
  </si>
  <si>
    <t xml:space="preserve">Karę wiązać z faktycznym zatrzymaniem produkcji. Dotyczy wyłącznie osób przypisanych do tego przedsiębiorstwa przez czas przestoju. Nie zależy od samego procentu zapełnienia lokalnego magazynu. Dotychczasowa drabinka: −10 od razu, kolejne −10 co 24 h, maksymalnie −50 z tego tytułu.</t>
  </si>
  <si>
    <t xml:space="preserve">Notatka w wierszu przestoju odsyła do logiki w wierszu niżej. Dlatego stosujemy tę jedną karę przestoju zamiast automatycznie dokładać jeszcze karę bezrobocia. Podatek pozostaje. Bonus +1 pp/h za pracę podczas postoju nie został osobno określony. Źródło: HARBORLIGHT4-zasady.xlsx — Czlowiek!G22; G25; G26</t>
  </si>
  <si>
    <t xml:space="preserve">Po wysłaniu pracownika do domu licznik jego przestoju resetuje się do 0 już w drodze. Kara dotyczy utrzymywania ludzi w zatrzymanym przedsiębiorstwie. Powrót do domu nadal trwa 5 min.</t>
  </si>
  <si>
    <t xml:space="preserve">Reset dotyczy licznika/modyfikatora przestoju, a nie wyzerowania całego osobistego szczęścia. Notatka wskazuje limit −50 przy długim przestoju; dokładną relację tego limitu do innych kar należy rozróżniać od globalnego zakresu −100…+100. Źródło: HARBORLIGHT4-zasady.xlsx — Czlowiek!G26</t>
  </si>
  <si>
    <t xml:space="preserve">ZAKTUALIZOWANA KOLEJNOŚĆ</t>
  </si>
  <si>
    <t xml:space="preserve">Najpierw odchodzą osoby z domu. Gdy ich brak, odchodzą osoby z zakładu o największej obsadzie. Przy remisie stosować nową kolejność. Port → kamieniołom → tartak → drwale → farma → młyn/wiatrak → transport magazynu.</t>
  </si>
  <si>
    <t xml:space="preserve">Kamieniołom jest teraz przed tartakiem. Targu oraz osób w drodze/na wizytach nie umieszczono w pełnej liście; tych pozycji nie dopisujemy za użytkownika. Minimum populacji6 pozostaje. Źródło: HARBORLIGHT4-zasady.xlsx — Start!D17; Czlowiek!G35</t>
  </si>
  <si>
    <t xml:space="preserve">Pracowników transportu zabiera się na końcu. Gdy Food w centrali jest poniżej rezerwy, a gotowa żywność czeka w młynie, gracz nie może odwołać całej obsady magazynu. Pozostaje co najmniej 1 istniejący tragarz, jeśli Food &lt;50 × poziom magazynu i Food w młynie &gt;0.</t>
  </si>
  <si>
    <t xml:space="preserve">Nie tworzymy nowej osoby przy pustej obsadzie. Blokada dotyczy ręcznego odwołania; użytkownik nie określił osobno wpływu na przymusowe odejście demograficzne. Źródło: HARBORLIGHT4-zasady.xlsx — Transport i priorytety!F10; Czlowiek!H10</t>
  </si>
  <si>
    <t xml:space="preserve">ZATWIERDZONE; ZDARZENIE WYMAGA PRECYZJI</t>
  </si>
  <si>
    <t xml:space="preserve">Monety schodzą z konta w momencie transakcji. Pobranie kosztu zakupu przy transakcji, nie dopiero przy dostarczeniu towaru do centrali.</t>
  </si>
  <si>
    <t xml:space="preserve">W modelu dokumentacji można przyjąć zatwierdzenie zakupu jako moment transakcji, ale źródło nie nazywa tego zdarzenia bardziej szczegółowo. Wypłata za sprzedaż przy wypłynięciu statku pozostaje wcześniejszą zasadą. Źródło: HARBORLIGHT4-zasady.xlsx — Transport i priorytety!F15</t>
  </si>
  <si>
    <t xml:space="preserve">Płatne użycie daje taki sam efekt jak dotychczasowe błogosławieństwo; cena zależy od poziomu kaplicy. 100 × poziom kaplicy monet; maksymalnie 1 płatne użycie na 4 h. Efekt: +50 każdego dotychczasowego zasobu i +20 szczęścia wszystkim na 1 h.</t>
  </si>
  <si>
    <t xml:space="preserve">Nadal nie nakładamy drugiego aktywnego błogosławieństwa. Sposób liczenia okna 4 h od zakupu/aktywacji nie jest dokładniej opisany. Nowa cena dotyczy płatnego użycia, nie rozbudowy kaplicy. Źródło: HARBORLIGHT4-zasady.xlsx — Czlowiek!G29</t>
  </si>
  <si>
    <t xml:space="preserve">Po zakończeniu premii latarni szczęście wraca do stanu sprzed premii. Efekt latarni:100% przez 24 h × osiągnięty poziom; po wygaśnięciu przywrócenie wartości sprzed efektu.</t>
  </si>
  <si>
    <t xml:space="preserve">Zastępuje wcześniejszy model powrotu do wartości bieżącej naliczanej pod premią. Nie określono jeszcze, jak odtwarzać stan osób urodzonych podczas premii ani rozliczać nakładające się efekty. Źródło: HARBORLIGHT4-zasady.xlsx — Czlowiek!G30</t>
  </si>
  <si>
    <t xml:space="preserve">NA PÓŹNIEJ • jawny zakres poza decyzjami</t>
  </si>
  <si>
    <t xml:space="preserve">Te kwestie użytkownik pozostawił na później. Kwoty i pomysły zapisano, ale nie uruchamiamy fikcyjnych płatności, reklam, kont ani nagród społecznościowych.</t>
  </si>
  <si>
    <t xml:space="preserve">Co już ustalono</t>
  </si>
  <si>
    <t xml:space="preserve">Co nadal trzeba określić</t>
  </si>
  <si>
    <t xml:space="preserve">Stan realizacji</t>
  </si>
  <si>
    <t xml:space="preserve">Płatności / backend</t>
  </si>
  <si>
    <t xml:space="preserve">Jedna waluta; 1 PLN = 10 monet. Ceny Premium według tabel.</t>
  </si>
  <si>
    <t xml:space="preserve">Dostawca płatności, rozliczenia, serwerowa walidacja kont, czasu i zakupów.</t>
  </si>
  <si>
    <t xml:space="preserve">Prototyp frontendowy; rzeczywiste transakcje niepodłączone.</t>
  </si>
  <si>
    <t xml:space="preserve">Logowanie / rejestracja</t>
  </si>
  <si>
    <t xml:space="preserve">Ekrany po angielsku, ikonki Facebook i Google.</t>
  </si>
  <si>
    <t xml:space="preserve">Integracja dostawców odłożona zgodnie z prośbą; prawdziwe konta wymagają backendu.</t>
  </si>
  <si>
    <t xml:space="preserve">Formularze frontendowe, bez połączenia z Facebook/Google.</t>
  </si>
  <si>
    <t xml:space="preserve">Social / polecenia</t>
  </si>
  <si>
    <t xml:space="preserve">Kwoty: 1000/500 monet i 500 zasobów z wcześniejszych pomysłów. Nowy wyjątekV8: lokalny przycisk Share ukończonego zadania, bonus500 raz/zadanie, bez integracjiFB.</t>
  </si>
  <si>
    <t xml:space="preserve">Limity, potwierdzanie publikacji, odbiorca nagród, definicja 3. aktywnego dnia.</t>
  </si>
  <si>
    <t xml:space="preserve">Starsze integracje i limity nadal odłożone; bonus500 za kliknięcie zadania jest jawną nową regułą prototypu.</t>
  </si>
  <si>
    <t xml:space="preserve">Ekspedycje — ratunek</t>
  </si>
  <si>
    <t xml:space="preserve">Pula 50→100→200…; wypłata lub ryzyko utraty; nagrody tylko w monetach.</t>
  </si>
  <si>
    <t xml:space="preserve">Docelowe plansze/trudność, limity czasu/ruchów, długość serii, ceny i limity dokupienia ratunku.</t>
  </si>
  <si>
    <t xml:space="preserve">Mechanika puli i prototyp labiryntu; balans minigier do dopracowania.</t>
  </si>
  <si>
    <t xml:space="preserve">Reklamy / hasło</t>
  </si>
  <si>
    <t xml:space="preserve">Reklamy do 30 s; przekaz widoczny 1 s; hasło potrzebne.</t>
  </si>
  <si>
    <t xml:space="preserve">Miejsce wpisania hasła, moment walidacji, próby i wpływ reklamy na zegar.</t>
  </si>
  <si>
    <t xml:space="preserve">Odłożone; bez pozorowanego potwierdzania zewnętrznych reklam.</t>
  </si>
  <si>
    <t xml:space="preserve">Modlitwa</t>
  </si>
  <si>
    <t xml:space="preserve">Uczestnicy modlitwy chronieni przed odejściem, tak jak zwiedzający.</t>
  </si>
  <si>
    <t xml:space="preserve">Osobna wizyta modlitewna nie ma jeszcze czasu, liczby osób ani reguły wejścia.</t>
  </si>
  <si>
    <t xml:space="preserve">Nie tworzymy nieuzgodnionej nowej aktywności.</t>
  </si>
  <si>
    <t xml:space="preserve">Kolejne dni logowania, do 10 dni; dzień Europe/Warsaw.</t>
  </si>
  <si>
    <t xml:space="preserve">Wysokości premii i warunki odebrania.</t>
  </si>
  <si>
    <t xml:space="preserve">Licznik; nagrody później.</t>
  </si>
  <si>
    <t xml:space="preserve">PLANOWANIE PREMIUM • brak po dopłacie kolejki</t>
  </si>
  <si>
    <t xml:space="preserve">Aktywny pakiet jest wymagany. Opłata prognozy nie kupuje materiałów; plan czeka na ich rzeczywiste dostarczenie. Magazyn producenta nie liczy się jako centrala. Przykłady pokazują oddzielnie opłatę i blokadę fizycznej budowy.</t>
  </si>
  <si>
    <t xml:space="preserve">Towar</t>
  </si>
  <si>
    <t xml:space="preserve">Bazowy koszt</t>
  </si>
  <si>
    <t xml:space="preserve">Koszt kolejki +10%</t>
  </si>
  <si>
    <t xml:space="preserve">Stan centrali</t>
  </si>
  <si>
    <t xml:space="preserve">Brak w centrali</t>
  </si>
  <si>
    <t xml:space="preserve">Bazowa cena portu /100</t>
  </si>
  <si>
    <t xml:space="preserve">Dopłata prognozy 25%</t>
  </si>
  <si>
    <t xml:space="preserve">Dopłata pełne monety</t>
  </si>
  <si>
    <t xml:space="preserve">Dopłata od brakujących materiałów po koszcie kolejki. Dla wielu rodzajów sumujemy dokładne wartości przed końcowym ROUNDUP.</t>
  </si>
  <si>
    <t xml:space="preserve">Żywność</t>
  </si>
  <si>
    <t xml:space="preserve">LATARNIA • katalog 100 narracji</t>
  </si>
  <si>
    <t xml:space="preserve">Tytuły po angielsku jak w interfejsie. Narracja jest niezależna od rozmiaru, rodzaju wymaganych produktów i nagrody; te losują się zgodnie z Zadania latarni. Źródło: aktualny katalog frontendowy.</t>
  </si>
  <si>
    <t xml:space="preserve">Tytuł / narracja</t>
  </si>
  <si>
    <t xml:space="preserve">LH-001</t>
  </si>
  <si>
    <t xml:space="preserve">Repair the entrance steps</t>
  </si>
  <si>
    <t xml:space="preserve">Naprawy, zaopatrzenie i przygotowanie latarni; rozmiar S/M/L losowany osobno.</t>
  </si>
  <si>
    <t xml:space="preserve">LH-002</t>
  </si>
  <si>
    <t xml:space="preserve">Replace the welcome sign</t>
  </si>
  <si>
    <t xml:space="preserve">LH-003</t>
  </si>
  <si>
    <t xml:space="preserve">Restore the keeper’s door</t>
  </si>
  <si>
    <t xml:space="preserve">LH-004</t>
  </si>
  <si>
    <t xml:space="preserve">Mend the garden gate</t>
  </si>
  <si>
    <t xml:space="preserve">LH-005</t>
  </si>
  <si>
    <t xml:space="preserve">Secure the stone path</t>
  </si>
  <si>
    <t xml:space="preserve">LH-006</t>
  </si>
  <si>
    <t xml:space="preserve">Repair the porch railing</t>
  </si>
  <si>
    <t xml:space="preserve">LH-007</t>
  </si>
  <si>
    <t xml:space="preserve">Patch the entrance canopy</t>
  </si>
  <si>
    <t xml:space="preserve">LH-008</t>
  </si>
  <si>
    <t xml:space="preserve">Rebuild the visitor bench</t>
  </si>
  <si>
    <t xml:space="preserve">LH-009</t>
  </si>
  <si>
    <t xml:space="preserve">Restore the courtyard wall</t>
  </si>
  <si>
    <t xml:space="preserve">LH-010</t>
  </si>
  <si>
    <t xml:space="preserve">Weatherproof the entrance hall</t>
  </si>
  <si>
    <t xml:space="preserve">LH-011</t>
  </si>
  <si>
    <t xml:space="preserve">Replace a cracked window</t>
  </si>
  <si>
    <t xml:space="preserve">LH-012</t>
  </si>
  <si>
    <t xml:space="preserve">Repair the lantern shutters</t>
  </si>
  <si>
    <t xml:space="preserve">LH-013</t>
  </si>
  <si>
    <t xml:space="preserve">Clean the upper windows</t>
  </si>
  <si>
    <t xml:space="preserve">LH-014</t>
  </si>
  <si>
    <t xml:space="preserve">Restore the observation window</t>
  </si>
  <si>
    <t xml:space="preserve">LH-015</t>
  </si>
  <si>
    <t xml:space="preserve">Seal the lantern glazing</t>
  </si>
  <si>
    <t xml:space="preserve">LH-016</t>
  </si>
  <si>
    <t xml:space="preserve">Repair the storm panels</t>
  </si>
  <si>
    <t xml:space="preserve">LH-017</t>
  </si>
  <si>
    <t xml:space="preserve">Replace the workshop window</t>
  </si>
  <si>
    <t xml:space="preserve">LH-018</t>
  </si>
  <si>
    <t xml:space="preserve">Restore the stairwell vents</t>
  </si>
  <si>
    <t xml:space="preserve">LH-019</t>
  </si>
  <si>
    <t xml:space="preserve">Weatherproof the gallery door</t>
  </si>
  <si>
    <t xml:space="preserve">LH-020</t>
  </si>
  <si>
    <t xml:space="preserve">Repair the keeper’s skylight</t>
  </si>
  <si>
    <t xml:space="preserve">LH-021</t>
  </si>
  <si>
    <t xml:space="preserve">Restore the spiral stairs</t>
  </si>
  <si>
    <t xml:space="preserve">LH-022</t>
  </si>
  <si>
    <t xml:space="preserve">Replace the stair handrail</t>
  </si>
  <si>
    <t xml:space="preserve">LH-023</t>
  </si>
  <si>
    <t xml:space="preserve">Repair the landing boards</t>
  </si>
  <si>
    <t xml:space="preserve">LH-024</t>
  </si>
  <si>
    <t xml:space="preserve">Strengthen the stair supports</t>
  </si>
  <si>
    <t xml:space="preserve">LH-025</t>
  </si>
  <si>
    <t xml:space="preserve">Install a resting platform</t>
  </si>
  <si>
    <t xml:space="preserve">LH-026</t>
  </si>
  <si>
    <t xml:space="preserve">Mend the lower staircase</t>
  </si>
  <si>
    <t xml:space="preserve">LH-027</t>
  </si>
  <si>
    <t xml:space="preserve">Secure the upper landing</t>
  </si>
  <si>
    <t xml:space="preserve">LH-028</t>
  </si>
  <si>
    <t xml:space="preserve">Restore the service ladder</t>
  </si>
  <si>
    <t xml:space="preserve">LH-029</t>
  </si>
  <si>
    <t xml:space="preserve">Repair the tower hatch</t>
  </si>
  <si>
    <t xml:space="preserve">LH-030</t>
  </si>
  <si>
    <t xml:space="preserve">Replace worn stair treads</t>
  </si>
  <si>
    <t xml:space="preserve">LH-031</t>
  </si>
  <si>
    <t xml:space="preserve">Repair the visitor railings</t>
  </si>
  <si>
    <t xml:space="preserve">LH-032</t>
  </si>
  <si>
    <t xml:space="preserve">Rebuild the viewing platform</t>
  </si>
  <si>
    <t xml:space="preserve">LH-033</t>
  </si>
  <si>
    <t xml:space="preserve">Restore the gallery floor</t>
  </si>
  <si>
    <t xml:space="preserve">LH-034</t>
  </si>
  <si>
    <t xml:space="preserve">Strengthen the observation deck</t>
  </si>
  <si>
    <t xml:space="preserve">LH-035</t>
  </si>
  <si>
    <t xml:space="preserve">Add a visitor shelter</t>
  </si>
  <si>
    <t xml:space="preserve">LH-036</t>
  </si>
  <si>
    <t xml:space="preserve">Mend the lookout fence</t>
  </si>
  <si>
    <t xml:space="preserve">LH-037</t>
  </si>
  <si>
    <t xml:space="preserve">Repair the gallery canopy</t>
  </si>
  <si>
    <t xml:space="preserve">LH-038</t>
  </si>
  <si>
    <t xml:space="preserve">Restore the coastal viewpoint</t>
  </si>
  <si>
    <t xml:space="preserve">LH-039</t>
  </si>
  <si>
    <t xml:space="preserve">Secure the cliffside path</t>
  </si>
  <si>
    <t xml:space="preserve">LH-040</t>
  </si>
  <si>
    <t xml:space="preserve">Build a sheltered waiting area</t>
  </si>
  <si>
    <t xml:space="preserve">LH-041</t>
  </si>
  <si>
    <t xml:space="preserve">Repair the lantern housing</t>
  </si>
  <si>
    <t xml:space="preserve">LH-042</t>
  </si>
  <si>
    <t xml:space="preserve">Restore the lamp mechanism</t>
  </si>
  <si>
    <t xml:space="preserve">LH-043</t>
  </si>
  <si>
    <t xml:space="preserve">Replace the lamp supports</t>
  </si>
  <si>
    <t xml:space="preserve">LH-044</t>
  </si>
  <si>
    <t xml:space="preserve">Service the lens turntable</t>
  </si>
  <si>
    <t xml:space="preserve">LH-045</t>
  </si>
  <si>
    <t xml:space="preserve">Repair the reflector frame</t>
  </si>
  <si>
    <t xml:space="preserve">LH-046</t>
  </si>
  <si>
    <t xml:space="preserve">Restore the lantern shutters</t>
  </si>
  <si>
    <t xml:space="preserve">LH-047</t>
  </si>
  <si>
    <t xml:space="preserve">Rebuild the lamp workbench</t>
  </si>
  <si>
    <t xml:space="preserve">LH-048</t>
  </si>
  <si>
    <t xml:space="preserve">Repair the service gantry</t>
  </si>
  <si>
    <t xml:space="preserve">LH-049</t>
  </si>
  <si>
    <t xml:space="preserve">Secure the lens enclosure</t>
  </si>
  <si>
    <t xml:space="preserve">LH-050</t>
  </si>
  <si>
    <t xml:space="preserve">Prepare the lantern for storms</t>
  </si>
  <si>
    <t xml:space="preserve">LH-051</t>
  </si>
  <si>
    <t xml:space="preserve">Repair the supply winch</t>
  </si>
  <si>
    <t xml:space="preserve">LH-052</t>
  </si>
  <si>
    <t xml:space="preserve">Restore the lifting platform</t>
  </si>
  <si>
    <t xml:space="preserve">LH-053</t>
  </si>
  <si>
    <t xml:space="preserve">Replace the hoist supports</t>
  </si>
  <si>
    <t xml:space="preserve">LH-054</t>
  </si>
  <si>
    <t xml:space="preserve">Mend the service pulley</t>
  </si>
  <si>
    <t xml:space="preserve">LH-055</t>
  </si>
  <si>
    <t xml:space="preserve">Rebuild the cargo shelter</t>
  </si>
  <si>
    <t xml:space="preserve">LH-056</t>
  </si>
  <si>
    <t xml:space="preserve">Restore the supply ramp</t>
  </si>
  <si>
    <t xml:space="preserve">LH-057</t>
  </si>
  <si>
    <t xml:space="preserve">Repair the delivery landing</t>
  </si>
  <si>
    <t xml:space="preserve">LH-058</t>
  </si>
  <si>
    <t xml:space="preserve">Secure the keeper’s storeroom</t>
  </si>
  <si>
    <t xml:space="preserve">LH-059</t>
  </si>
  <si>
    <t xml:space="preserve">Rebuild the workshop shelves</t>
  </si>
  <si>
    <t xml:space="preserve">LH-060</t>
  </si>
  <si>
    <t xml:space="preserve">Improve the maintenance depot</t>
  </si>
  <si>
    <t xml:space="preserve">LH-061</t>
  </si>
  <si>
    <t xml:space="preserve">Repair the keeper’s roof</t>
  </si>
  <si>
    <t xml:space="preserve">LH-062</t>
  </si>
  <si>
    <t xml:space="preserve">Restore the keeper’s kitchen</t>
  </si>
  <si>
    <t xml:space="preserve">LH-063</t>
  </si>
  <si>
    <t xml:space="preserve">Provision the repair crew</t>
  </si>
  <si>
    <t xml:space="preserve">LH-064</t>
  </si>
  <si>
    <t xml:space="preserve">Restock the storm shelter</t>
  </si>
  <si>
    <t xml:space="preserve">LH-065</t>
  </si>
  <si>
    <t xml:space="preserve">Rebuild the crew dining room</t>
  </si>
  <si>
    <t xml:space="preserve">LH-066</t>
  </si>
  <si>
    <t xml:space="preserve">Prepare supplies for the keepers</t>
  </si>
  <si>
    <t xml:space="preserve">LH-067</t>
  </si>
  <si>
    <t xml:space="preserve">Restore the lighthouse pantry</t>
  </si>
  <si>
    <t xml:space="preserve">LH-068</t>
  </si>
  <si>
    <t xml:space="preserve">Repair the staff quarters</t>
  </si>
  <si>
    <t xml:space="preserve">LH-069</t>
  </si>
  <si>
    <t xml:space="preserve">Improve the keeper’s garden</t>
  </si>
  <si>
    <t xml:space="preserve">LH-070</t>
  </si>
  <si>
    <t xml:space="preserve">Support the night watch</t>
  </si>
  <si>
    <t xml:space="preserve">LH-071</t>
  </si>
  <si>
    <t xml:space="preserve">Restore the tower masonry</t>
  </si>
  <si>
    <t xml:space="preserve">LH-072</t>
  </si>
  <si>
    <t xml:space="preserve">Repair the foundation wall</t>
  </si>
  <si>
    <t xml:space="preserve">LH-073</t>
  </si>
  <si>
    <t xml:space="preserve">Strengthen the lower buttress</t>
  </si>
  <si>
    <t xml:space="preserve">LH-074</t>
  </si>
  <si>
    <t xml:space="preserve">Replace the damaged roof boards</t>
  </si>
  <si>
    <t xml:space="preserve">LH-075</t>
  </si>
  <si>
    <t xml:space="preserve">Patch the coastal retaining wall</t>
  </si>
  <si>
    <t xml:space="preserve">LH-076</t>
  </si>
  <si>
    <t xml:space="preserve">Restore the east wall</t>
  </si>
  <si>
    <t xml:space="preserve">LH-077</t>
  </si>
  <si>
    <t xml:space="preserve">Repair the west wall</t>
  </si>
  <si>
    <t xml:space="preserve">LH-078</t>
  </si>
  <si>
    <t xml:space="preserve">Rebuild the drainage channel</t>
  </si>
  <si>
    <t xml:space="preserve">LH-079</t>
  </si>
  <si>
    <t xml:space="preserve">Secure the tower foundation</t>
  </si>
  <si>
    <t xml:space="preserve">LH-080</t>
  </si>
  <si>
    <t xml:space="preserve">Repair the storm-damaged facade</t>
  </si>
  <si>
    <t xml:space="preserve">LH-081</t>
  </si>
  <si>
    <t xml:space="preserve">Restore the visitor information board</t>
  </si>
  <si>
    <t xml:space="preserve">LH-082</t>
  </si>
  <si>
    <t xml:space="preserve">Repair the lighthouse museum shelves</t>
  </si>
  <si>
    <t xml:space="preserve">LH-083</t>
  </si>
  <si>
    <t xml:space="preserve">Prepare a keeper’s history display</t>
  </si>
  <si>
    <t xml:space="preserve">LH-084</t>
  </si>
  <si>
    <t xml:space="preserve">Rebuild the visitor shelter</t>
  </si>
  <si>
    <t xml:space="preserve">LH-085</t>
  </si>
  <si>
    <t xml:space="preserve">Restore the tour route</t>
  </si>
  <si>
    <t xml:space="preserve">LH-086</t>
  </si>
  <si>
    <t xml:space="preserve">Repair the ticket shelter</t>
  </si>
  <si>
    <t xml:space="preserve">LH-087</t>
  </si>
  <si>
    <t xml:space="preserve">Improve the visitor resting area</t>
  </si>
  <si>
    <t xml:space="preserve">LH-088</t>
  </si>
  <si>
    <t xml:space="preserve">Prepare the coastal exhibition</t>
  </si>
  <si>
    <t xml:space="preserve">LH-089</t>
  </si>
  <si>
    <t xml:space="preserve">Restore the keeper’s archive</t>
  </si>
  <si>
    <t xml:space="preserve">LH-090</t>
  </si>
  <si>
    <t xml:space="preserve">Repair the welcome courtyard</t>
  </si>
  <si>
    <t xml:space="preserve">LH-091</t>
  </si>
  <si>
    <t xml:space="preserve">Prepare for the autumn storms</t>
  </si>
  <si>
    <t xml:space="preserve">LH-092</t>
  </si>
  <si>
    <t xml:space="preserve">Restore the emergency shelter</t>
  </si>
  <si>
    <t xml:space="preserve">LH-093</t>
  </si>
  <si>
    <t xml:space="preserve">Repair the rainwater gutters</t>
  </si>
  <si>
    <t xml:space="preserve">LH-094</t>
  </si>
  <si>
    <t xml:space="preserve">Secure the lighthouse outbuildings</t>
  </si>
  <si>
    <t xml:space="preserve">LH-095</t>
  </si>
  <si>
    <t xml:space="preserve">Rebuild the storm supply cache</t>
  </si>
  <si>
    <t xml:space="preserve">LH-096</t>
  </si>
  <si>
    <t xml:space="preserve">Restore the coastal signal post</t>
  </si>
  <si>
    <t xml:space="preserve">LH-097</t>
  </si>
  <si>
    <t xml:space="preserve">Repair the emergency stores</t>
  </si>
  <si>
    <t xml:space="preserve">LH-098</t>
  </si>
  <si>
    <t xml:space="preserve">Strengthen the workshop roof</t>
  </si>
  <si>
    <t xml:space="preserve">LH-099</t>
  </si>
  <si>
    <t xml:space="preserve">Prepare the annual lighthouse service</t>
  </si>
  <si>
    <t xml:space="preserve">LH-100</t>
  </si>
  <si>
    <t xml:space="preserve">Complete the lighthouse restoration</t>
  </si>
  <si>
    <t xml:space="preserve">USTALENIA V7 • bieżący rejestr reguł</t>
  </si>
  <si>
    <t xml:space="preserve">200 wcześniejszych wpisów po uzgodnieniu z V7 + 17 decyzji. Pełny stan poprzedniego rejestru zachowano w Rejestr historyczny v6. Źródła i oryginalne uwagi są archiwalne; najnowsza decyzja ma pierwszeństwo.</t>
  </si>
  <si>
    <t xml:space="preserve">DECYZJE V9 • pełny manifest</t>
  </si>
  <si>
    <t xml:space="preserve">Pełna treść docs/decisions-v9.json: 58 decyzji, 19 uwag frontendowych i jawne ustawienia projektu. To szczegółowy rejestr, nie kolejna lista pytań. Źródło V8 jest ukrytym archiwum i nie zastępuje tych nowszych rozstrzygnięć.</t>
  </si>
  <si>
    <t xml:space="preserve">V9-01</t>
  </si>
  <si>
    <t xml:space="preserve">Jedzenie natychmiast zatrzymuje karę głodu i przywraca pełną wydajność. Licznik wcześniejszego głodu zeruje dopiero pełna godzina nieprzerwanego karmienia; krótszy posiłek tylko go wstrzymuje.</t>
  </si>
  <si>
    <t xml:space="preserve">uzgodnione</t>
  </si>
  <si>
    <t xml:space="preserve">V9-02</t>
  </si>
  <si>
    <t xml:space="preserve">Pierwsze 24 godziny nowej osoby</t>
  </si>
  <si>
    <t xml:space="preserve">Nowy mieszkaniec ma zamrożone 0% szczęścia przez 24 godziny. Nadal je i może pracować, ale liczniki głodu i bezrobocia zaczynają biec dopiero po tym okresie; startowa dwunastka jest wyłączona.</t>
  </si>
  <si>
    <t xml:space="preserve">V9-03</t>
  </si>
  <si>
    <t xml:space="preserve">Nakładające się efekty 100%</t>
  </si>
  <si>
    <t xml:space="preserve">Wspólny stan osobistego szczęścia zapisujemy przed pierwszym z nakładających się efektów 100%. Każdy efekt ma własny zegar, a stan przywracamy dopiero po zakończeniu ostatniego, uwzględniając nadal aktywne dodatki i kary.</t>
  </si>
  <si>
    <t xml:space="preserve">V9-04</t>
  </si>
  <si>
    <t xml:space="preserve">Kolejna rozbudowa podczas premii</t>
  </si>
  <si>
    <t xml:space="preserve">Premia kolejnej rozbudowy tego samego budynku zastępuje poprzednią nową wartością i pełnym nowym czasem. Czasów ani mnożników nie dodajemy.</t>
  </si>
  <si>
    <t xml:space="preserve">V9-05</t>
  </si>
  <si>
    <t xml:space="preserve">Odbiorcy atrakcji</t>
  </si>
  <si>
    <t xml:space="preserve">Atrakcję otrzymują uprawnieni mieszkańcy o najniższym efektywnym szczęściu. Przy remisie losujemy; pomijamy osoby już na 100% oraz nowe osoby z zamrożonym 0%.</t>
  </si>
  <si>
    <t xml:space="preserve">V9-06</t>
  </si>
  <si>
    <t xml:space="preserve">Cena atrakcji przy mniejszej liczbie odbiorców</t>
  </si>
  <si>
    <t xml:space="preserve">Atrakcja kosztuje Y razy rzeczywista liczba odbiorców, najwyżej poziom Ratusza osób. Brak odbiorców blokuje zakup.</t>
  </si>
  <si>
    <t xml:space="preserve">V9-07</t>
  </si>
  <si>
    <t xml:space="preserve">Nakładanie atrakcji</t>
  </si>
  <si>
    <t xml:space="preserve">Każdy zakup daje osobny efekt na sześć godzin. Aktywne efekty sumują się, a końcowe szczęście każdej osoby mieści się między −100% i +100%.</t>
  </si>
  <si>
    <t xml:space="preserve">V9-08</t>
  </si>
  <si>
    <t xml:space="preserve">Odnowienie ofert atrakcji</t>
  </si>
  <si>
    <t xml:space="preserve">Pierwsze oferty trwają do najbliższej północy czasu polskiego. Następne odnowienia przypadają o 00:00 Europe/Warsaw, także offline; przyzwyczajenie do atrakcji nadal zeruje się po 24 godzinach bez jej zakupu.</t>
  </si>
  <si>
    <t xml:space="preserve">V9-09</t>
  </si>
  <si>
    <t xml:space="preserve">Rzeczywisty czas transportu i obsada</t>
  </si>
  <si>
    <t xml:space="preserve">Zegar T biegnie od pierwszego faktycznego odbioru materiałów do ostatniej dostawy, łącznie z przerwami pomiędzy kursami. Obsada i priorytety zmieniają ETA; zmiana magazynierów daje powiadomienie, a czas samej budowy wynika z zakończonego T i mnożnika budynku.</t>
  </si>
  <si>
    <t xml:space="preserve">Kupno kompletnego budynku</t>
  </si>
  <si>
    <t xml:space="preserve">Pełny zakup za monety kończy się po 10 sekundach w osobnym zleceniu usługowym. Nie zajmuje zwykłych miejsc budowy ani kolejki, lecz zachowuje limit Ratusza i kolejność poziomów tego samego budynku.</t>
  </si>
  <si>
    <t xml:space="preserve">V9-11</t>
  </si>
  <si>
    <t xml:space="preserve">Rezerwacje prognozowanych dostaw</t>
  </si>
  <si>
    <t xml:space="preserve">Dostępne materiały przypisujemy planom według kolejności zlecenia. Zarezerwowane towary nie mogą opłacić kolejnego planu, a dopłata 25% dotyczy faktycznie brakujących materiałów po naliczeniu kolejki +10%.</t>
  </si>
  <si>
    <t xml:space="preserve">V9-12</t>
  </si>
  <si>
    <t xml:space="preserve">Anulowanie budowy lub planu</t>
  </si>
  <si>
    <t xml:space="preserve">Zlecenie można anulować tylko przed pierwszym transportem i rozpoczęciem budowania. Wracają faktycznie zarezerwowane materiały i monety wraz z dopłatą kolejki; opłata planowania prognozy pozostaje bezzwrotna.</t>
  </si>
  <si>
    <t xml:space="preserve">V9-13</t>
  </si>
  <si>
    <t xml:space="preserve">Nadmiar zwrotu</t>
  </si>
  <si>
    <t xml:space="preserve">Zwrot wypełnia magazyn zgodnie z limitami. Nadwyżka czeka bezterminowo i wchodzi automatycznie po zwolnieniu miejsca, bez tragarzy; przed przyjęciem nie można jej wydać.</t>
  </si>
  <si>
    <t xml:space="preserve">V9-14</t>
  </si>
  <si>
    <t xml:space="preserve">Miejsce na żywność</t>
  </si>
  <si>
    <t xml:space="preserve">Oprócz ochrony wydawania 50 × poziom Magazynu żywności rezerwujemy tyle samo pojemności łącznej wyłącznie dla żywności. Pozostałe towary, zwroty i nagrody nie mogą zająć tego miejsca.</t>
  </si>
  <si>
    <t xml:space="preserve">V9-15</t>
  </si>
  <si>
    <t xml:space="preserve">Etapy transportu Premium</t>
  </si>
  <si>
    <t xml:space="preserve">Jedna opłata obsługuje wyłącznie wskazany etap trasy. Każdy potrzebny kurs, także niepełny, kosztuje 10 monet; dowóz do portu i załadunek na statek są osobnymi etapami.</t>
  </si>
  <si>
    <t xml:space="preserve">V9-16</t>
  </si>
  <si>
    <t xml:space="preserve">Nieodwołalne zadanie</t>
  </si>
  <si>
    <t xml:space="preserve">Przyjęcie zadania wymaga potwierdzenia braku możliwości rezygnacji. Po potwierdzeniu zadanie trwa do ukończenia albo wygaśnięcia; wpłat nie można wycofać.</t>
  </si>
  <si>
    <t xml:space="preserve">V9-17</t>
  </si>
  <si>
    <t xml:space="preserve">Szybka akceptacja i potwierdzenie</t>
  </si>
  <si>
    <t xml:space="preserve">Mnożnik nagrody zapisujemy przy otwarciu potwierdzenia: ×3 przed 15 sekundami, ×2 przed pięcioma minutami, później ×1. Potwierdzenie ma 60 sekund i wymaga nadal ważnej oferty; zamknięcie lub brak potwierdzenia usuwa szkic bez przyjęcia zadania.</t>
  </si>
  <si>
    <t xml:space="preserve">Odłożone udostępnienie zadania</t>
  </si>
  <si>
    <t xml:space="preserve">Nierozstrzygnięta propozycja Share/Skip pozostaje bezterminowo w powiadomieniach. Share daje 500 monet tylko raz na ukończone zadanie, Skip zachowuje zwykłą nagrodę; prototyp nie potwierdza publikacji Facebook.</t>
  </si>
  <si>
    <t xml:space="preserve">Odwołanie tragarza z ładunkiem</t>
  </si>
  <si>
    <t xml:space="preserve">Odwołany tragarz kończy aktualną dostawę i nie dostaje następnego kursu. Do końca dostawy nadal pracuje, następnie wraca do domu przez pięć minut i dopiero wtedy jest wolny.</t>
  </si>
  <si>
    <t xml:space="preserve">V9-20</t>
  </si>
  <si>
    <t xml:space="preserve">Kolejność materiałów budowy</t>
  </si>
  <si>
    <t xml:space="preserve">Kursy Construction najpierw obsługują najstarszą aktywną budowę. Gdy wszystkie jej ładunki zostały wysłane, kolejne kursy mogą obsługiwać następną budowę, bez czekania na ukończenie budowania.</t>
  </si>
  <si>
    <t xml:space="preserve">V9-21</t>
  </si>
  <si>
    <t xml:space="preserve">Ryzykowana pula ekspedycji</t>
  </si>
  <si>
    <t xml:space="preserve">Na kolejną rundę stawiasz całą niewypłaconą pulę. Kolejne terminowe wygrane dają łącznie 50, 100, 150, 200 monet; przegrana zeruje pulę, a wcześniejsze wypłaty pozostają.</t>
  </si>
  <si>
    <t xml:space="preserve">V9-22</t>
  </si>
  <si>
    <t xml:space="preserve">Nowa seria ekspedycji</t>
  </si>
  <si>
    <t xml:space="preserve">Nowa seria jest bezpłatna i zaczyna się od pierwszej rundy oraz pustej puli. Pierwsza terminowa wygrana daje 50 monet.</t>
  </si>
  <si>
    <t xml:space="preserve">V9-23</t>
  </si>
  <si>
    <t xml:space="preserve">Długość serii</t>
  </si>
  <si>
    <t xml:space="preserve">Seria nie ma ostatniego poziomu. Kończy ją wypłata, przegrana albo ustalona nieobecność.</t>
  </si>
  <si>
    <t xml:space="preserve">V9-24</t>
  </si>
  <si>
    <t xml:space="preserve">Ostrzeżenie o nieobecności</t>
  </si>
  <si>
    <t xml:space="preserve">Po pięciu minutach bez aktywności pokazujemy pytanie o obecność. Brak odpowiedzi przez kolejne 60 sekund kończy serię przegraną i utratą niewypłaconej puli.</t>
  </si>
  <si>
    <t xml:space="preserve">V9-25</t>
  </si>
  <si>
    <t xml:space="preserve">Aktywna karta i blokada wyspy</t>
  </si>
  <si>
    <t xml:space="preserve">Aktywność oznacza rzeczywiste działanie w widocznej, aktywnej karcie gry. Otwarty challenge zasłania i blokuje wyspę, która nadal działa w tle; podczas niego nie można zmieniać obsady ani zarządzać wyspą.</t>
  </si>
  <si>
    <t xml:space="preserve">V9-26</t>
  </si>
  <si>
    <t xml:space="preserve">Jedna seria jednocześnie</t>
  </si>
  <si>
    <t xml:space="preserve">Może trwać jedna seria ekspedycji na konto/profil. Pozostałe ekspedycje są zablokowane do wypłaty albo przegranej.</t>
  </si>
  <si>
    <t xml:space="preserve">V9-27</t>
  </si>
  <si>
    <t xml:space="preserve">Wyjście podczas rundy</t>
  </si>
  <si>
    <t xml:space="preserve">Wyjście w trakcie rundy wymaga potwierdzenia utraty niewypłaconej puli. Ukrycie karty lub zamknięcie przeglądarki nadal podlega rzeczywistemu zegarowi rundy i zasadzie nieobecności.</t>
  </si>
  <si>
    <t xml:space="preserve">V9-28</t>
  </si>
  <si>
    <t xml:space="preserve">Zegar rundy</t>
  </si>
  <si>
    <t xml:space="preserve">Zegar biegnie również w tle, po zamknięciu gry oraz podczas pytania o obecność. Dawne natychmiastowe przegranie przy końcu czasu zastępuje reguła potrąceń z punktu 30.</t>
  </si>
  <si>
    <t xml:space="preserve">V9-29</t>
  </si>
  <si>
    <t xml:space="preserve">Trudność minigier</t>
  </si>
  <si>
    <t xml:space="preserve">Każda następna runda jest trudniejsza, a nowa seria zaczyna od najłatwiejszej. Konkretne plansze i docelowe limity czasu pozostają do osobnego zaprojektowania.</t>
  </si>
  <si>
    <t xml:space="preserve">ustalone ramy; szczegóły integracji/projektu odłożone</t>
  </si>
  <si>
    <t xml:space="preserve">V9-30</t>
  </si>
  <si>
    <t xml:space="preserve">Spóźnienie w rundzie</t>
  </si>
  <si>
    <t xml:space="preserve">Po przekroczeniu limitu runda trwa dalej, a potencjalna łączna wypłata maleje o 10 monet za sekundę opóźnienia. Wyzerowanie potencjalnej puli oznacza przegraną; nie ma dodatkowego przycisku kupowania czasu za monety.</t>
  </si>
  <si>
    <t xml:space="preserve">V9-31</t>
  </si>
  <si>
    <t xml:space="preserve">Następna runda po potrąceniu</t>
  </si>
  <si>
    <t xml:space="preserve">Każda wygrana dodaje 50 monet do faktycznie pozostałej puli. Jeżeli zostało 170 monet, kolejna runda ma potencjalną wypłatę 220 monet przed potrąceniami.</t>
  </si>
  <si>
    <t xml:space="preserve">V9-32</t>
  </si>
  <si>
    <t xml:space="preserve">Reklamy w ekspedycjach</t>
  </si>
  <si>
    <t xml:space="preserve">Reklama może dodawać czas lub np. podwajać wygraną. Konkretne wartości, limity, hasło i sposób weryfikacji reklamy pozostają na później.</t>
  </si>
  <si>
    <t xml:space="preserve">V9-33</t>
  </si>
  <si>
    <t xml:space="preserve">Trzeci dzień poleconego</t>
  </si>
  <si>
    <t xml:space="preserve">Premia wymaga aktywności poleconego gracza w trzech różnych dniach w ciągu 30 dni od jego rejestracji. Przerwy są dozwolone; dzień zaliczamy po działaniu wpływającym na grę.</t>
  </si>
  <si>
    <t xml:space="preserve">Wspólna granica dnia</t>
  </si>
  <si>
    <t xml:space="preserve">Wszystkie odnowienia dzienne i dni aktywności używają północy Europe/Warsaw. Czasy sześciu godzin, blokady 24 godzin i termin 30 dni liczymy nadal od zdarzenia.</t>
  </si>
  <si>
    <t xml:space="preserve">V9-35</t>
  </si>
  <si>
    <t xml:space="preserve">Przerwa w lojalności</t>
  </si>
  <si>
    <t xml:space="preserve">Lojalność wymaga kolejnych dni logowania bez przerwy. Pominięcie dnia powoduje rozpoczęcie nowej serii od dnia pierwszego.</t>
  </si>
  <si>
    <t xml:space="preserve">V9-36</t>
  </si>
  <si>
    <t xml:space="preserve">Koniec programu lojalnościowego</t>
  </si>
  <si>
    <t xml:space="preserve">Program kończy się po osiągnięciu Ratusza 4 albo odebraniu dziesiątej kolejnej dziennej nagrody, zależnie od tego, co nastąpi wcześniej. Kwoty nagród pozostają nieustalone.</t>
  </si>
  <si>
    <t xml:space="preserve">V9-37</t>
  </si>
  <si>
    <t xml:space="preserve">Pierwsze udostępnienie gry</t>
  </si>
  <si>
    <t xml:space="preserve">1000 monet za informację o graniu otrzymuje się raz na konto, na wybranej platformie. Kolejne platformy nie odnawiają tej premii.</t>
  </si>
  <si>
    <t xml:space="preserve">V9-38</t>
  </si>
  <si>
    <t xml:space="preserve">Udostępnienie awansu</t>
  </si>
  <si>
    <t xml:space="preserve">Udostępnienie każdego osiągniętego poziomu Ratusza od poziomu 2 daje 500 monet. Każdy awans można nagrodzić raz na konto, niezależnie od platformy.</t>
  </si>
  <si>
    <t xml:space="preserve">V9-39</t>
  </si>
  <si>
    <t xml:space="preserve">Potwierdzenie publikacji</t>
  </si>
  <si>
    <t xml:space="preserve">Docelowa nagroda za awans wymaga opublikowania wpisu, nie samego otwarcia Share. Wpis przygotowuje nick, poziom i linki do gry oraz oficjalnego profilu; potwierdzanie publikacji zależy od przyszłej integracji.</t>
  </si>
  <si>
    <t xml:space="preserve">V9-40</t>
  </si>
  <si>
    <t xml:space="preserve">Sumowanie premii społecznościowych</t>
  </si>
  <si>
    <t xml:space="preserve">Nagrody sumują się, gdy jedna publikacja spełnia kilka warunków. Pierwsza publikacja będąca pochwaleniem awansu daje 1000 + 500 monet, każdą premię tylko raz za zdarzenie.</t>
  </si>
  <si>
    <t xml:space="preserve">V9-41</t>
  </si>
  <si>
    <t xml:space="preserve">Co trzeci post</t>
  </si>
  <si>
    <t xml:space="preserve">Do licznika zaliczamy najwyżej jeden opublikowany wpis dziennie, łącznie ze wszystkich platform. Postęp zachowujemy między dniami; trzeci, szósty, dziewiąty i każdy kolejny trzeci zaliczony wpis daje 1000 monet.</t>
  </si>
  <si>
    <t xml:space="preserve">V9-42</t>
  </si>
  <si>
    <t xml:space="preserve">Przypisanie polecenia</t>
  </si>
  <si>
    <t xml:space="preserve">Polecenie dotyczy nowego konta utworzonego z indywidualnego linku. Rejestracja przypisuje jednego polecającego na stałe; późniejsze linki tego nie zmieniają.</t>
  </si>
  <si>
    <t xml:space="preserve">V9-43</t>
  </si>
  <si>
    <t xml:space="preserve">Zawartość nagrody polecającego</t>
  </si>
  <si>
    <t xml:space="preserve">Polecający dostaje 1000 monet po pierwszym logowaniu nowego gracza. Po jego trzecim aktywnym dniu dostaje dodatkowo po 500 drewna, desek, kamienia, zboża i żywności.</t>
  </si>
  <si>
    <t xml:space="preserve">V9-44</t>
  </si>
  <si>
    <t xml:space="preserve">Wszystkie nagrody rzeczowe</t>
  </si>
  <si>
    <t xml:space="preserve">Każda nagroda rzeczowa przestrzega limitów centrali. Nadwyżka czeka bezterminowo, automatycznie uzupełnia magazyn bez tragarzy i staje się wydawalna dopiero po przyjęciu.</t>
  </si>
  <si>
    <t xml:space="preserve">V9-45</t>
  </si>
  <si>
    <t xml:space="preserve">Fizyczna rezerwacja</t>
  </si>
  <si>
    <t xml:space="preserve">Zarezerwowane na budowę materiały są niedostępne dla innych wydatków. Nadal zajmują miejsce w centrali aż do faktycznego odbioru przez tragarza.</t>
  </si>
  <si>
    <t xml:space="preserve">Wspólne karmienie</t>
  </si>
  <si>
    <t xml:space="preserve">Jedzenie rozdzielamy równomiernie między całą populację. Jedna sztuka żywności wystarcza dwunastu osobom na pięć minut; po wyczerpaniu zapasu wszystkich obejmuje stan braku jedzenia.</t>
  </si>
  <si>
    <t xml:space="preserve">V9-47</t>
  </si>
  <si>
    <t xml:space="preserve">Północ i zadania latarni</t>
  </si>
  <si>
    <t xml:space="preserve">Początkowe zadania mają sześć godzin. Po pierwszym ukończeniu w danym ciągu następcy wygasają o północy Europe/Warsaw; wcześniejsze ukończenie daje od razu kolejne zadanie z tym samym terminem.</t>
  </si>
  <si>
    <t xml:space="preserve">V9-48</t>
  </si>
  <si>
    <t xml:space="preserve">Osoba opuszczająca wyspę</t>
  </si>
  <si>
    <t xml:space="preserve">Zachowujemy wcześniej ustaloną kolejność grup i załóg. W wybranej grupie odchodzi osoba o najniższym efektywnym szczęściu; remisy rozstrzygamy losowo.</t>
  </si>
  <si>
    <t xml:space="preserve">V9-49</t>
  </si>
  <si>
    <t xml:space="preserve">Niezrealizowany ubytek</t>
  </si>
  <si>
    <t xml:space="preserve">Gdy wszyscy kandydaci są chronieni, np. zwiedzają latarnię, nikt nie odchodzi i ubytek przepada. Nie gromadzimy długu odejść na chwilę ich powrotu.</t>
  </si>
  <si>
    <t xml:space="preserve">Wejście do produkcji</t>
  </si>
  <si>
    <t xml:space="preserve">Młyn i tartak pobierają dostępne surowce dopiero przy powstaniu gotowej sztuki, w stosunku 2 do 1. Brak wejścia lub miejsca wstrzymuje postęp bez jego kasowania; zwolnienie pracownika kasuje jego niedokończoną sztukę.</t>
  </si>
  <si>
    <t xml:space="preserve">V9-51</t>
  </si>
  <si>
    <t xml:space="preserve">Paczki targowe</t>
  </si>
  <si>
    <t xml:space="preserve">Wymieniamy pełne wielokrotności dziesięciu sztuk w obrębie zatwierdzonych dwóch grup. Dziesięć sztuk daje dziewięć, dwadzieścia daje osiemnaście.</t>
  </si>
  <si>
    <t xml:space="preserve">Ważność partii handlowej</t>
  </si>
  <si>
    <t xml:space="preserve">Każda fizyczna partia targowa i portowa ma 24 godziny od przybycia. Faktyczny odbiór przed końcem terminu chroni rozpoczęty kurs; pozostawiony towar po terminie przepada.</t>
  </si>
  <si>
    <t xml:space="preserve">V9-53</t>
  </si>
  <si>
    <t xml:space="preserve">Targ bez pracowników</t>
  </si>
  <si>
    <t xml:space="preserve">Dostarczony i odblokowany towar można wymienić przy zerowej obsadzie targu. Załoga odpowiada za transport w obie strony, a wynik wymiany pozostaje na targu do odbioru.</t>
  </si>
  <si>
    <t xml:space="preserve">V9-54</t>
  </si>
  <si>
    <t xml:space="preserve">Premium dowóz a budowanie</t>
  </si>
  <si>
    <t xml:space="preserve">Natychmiastowy dowóz skraca wyłącznie dostawę materiałów. Czas budowania zamrażamy przy zakupie według już minionego transportu i normalnej estymaty pozostałej dostawy; przyspieszenie budowania opłaca się osobno.</t>
  </si>
  <si>
    <t xml:space="preserve">V9-55</t>
  </si>
  <si>
    <t xml:space="preserve">Premium przy zerowej obsadzie</t>
  </si>
  <si>
    <t xml:space="preserve">Natychmiastowy dowóz jest dostępny także bez magazynierów. Do wyznaczenia czasu budowy przyjmujemy wtedy jednego hipotetycznego tragarza z aktualnymi parametrami magazynu, dróg i wyżywienia, bez zatrudniania osoby.</t>
  </si>
  <si>
    <t xml:space="preserve">Darmowe i płatne błogosławieństwo</t>
  </si>
  <si>
    <t xml:space="preserve">Czterogodzinna blokada dotyczy następnego płatnego użycia. Darmowe można wykorzystać w tym czasie bez przesuwania blokady, lecz jednocześnie może działać tylko jedno błogosławieństwo.</t>
  </si>
  <si>
    <t xml:space="preserve">Dzienna pula Domu</t>
  </si>
  <si>
    <t xml:space="preserve">O 23:58 automat rozdaje niewykorzystane punkty uprawnionym mieszkańcom według ustalonej zasady. Reszta przepada o północy, gdy powstaje nowa pula równa aktualnej populacji; punkty nie kumulują się.</t>
  </si>
  <si>
    <t xml:space="preserve">V9-58</t>
  </si>
  <si>
    <t xml:space="preserve">Powrót między rundami</t>
  </si>
  <si>
    <t xml:space="preserve">Powrót do zarządzania wyspą wymaga wypłaty całej puli i kończy serię. Zamknięcie okna po wygranej pokazuje potwierdzenie wypłaty; do decyzji challenge nadal blokuje wyspę.</t>
  </si>
  <si>
    <t xml:space="preserve">F01</t>
  </si>
  <si>
    <t xml:space="preserve">Lewy pasek</t>
  </si>
  <si>
    <t xml:space="preserve">Usunąć cały lewy pasek nawigacji i pozostawić dostęp do funkcji przez inne dostępne elementy interfejsu.</t>
  </si>
  <si>
    <t xml:space="preserve">F02</t>
  </si>
  <si>
    <t xml:space="preserve">Górny pasek</t>
  </si>
  <si>
    <t xml:space="preserve">Usunąć pięć liczników materiałów; dodać faktycznie pracujących, czas do nowego mieszkańca i Punkty. Monety, poziom, szczęście i ludność pozostają.</t>
  </si>
  <si>
    <t xml:space="preserve">F03</t>
  </si>
  <si>
    <t xml:space="preserve">Kolejność budynków</t>
  </si>
  <si>
    <t xml:space="preserve">Ratusz, Dom, Farma, Młyn, Kamieniołom, Drwale, Tartak, Magazyn, Targ, Port, Kaplica, Latarnia.</t>
  </si>
  <si>
    <t xml:space="preserve">F04</t>
  </si>
  <si>
    <t xml:space="preserve">Kafelki budynków</t>
  </si>
  <si>
    <t xml:space="preserve">U góry własny poziom; na dole liczba faktycznie pracujących oraz osobno (+n) idących do pracy i (−n) odwołanych. Ratusz, Dom, Kaplica i Latarnia mają tylko poziom.</t>
  </si>
  <si>
    <t xml:space="preserve">F05</t>
  </si>
  <si>
    <t xml:space="preserve">Kafelki zasobów</t>
  </si>
  <si>
    <t xml:space="preserve">Pięć materiałów pokazuje pracujących na górze i stan lokalny / centralny (w transporcie) na dole. Nawias obejmuje wszystkie fizyczne przewozy tego zasobu, w tym budowy, targ i port.</t>
  </si>
  <si>
    <t xml:space="preserve">wdrażane założenie zgodne z GO; doprecyzowanie ogłoszone przed pracą</t>
  </si>
  <si>
    <t xml:space="preserve">F06</t>
  </si>
  <si>
    <t xml:space="preserve">Język</t>
  </si>
  <si>
    <t xml:space="preserve">W ustawieniach wybór angielskiego lub polskiego. Przełączenie obejmuje cały widoczny interfejs, liczby, komunikaty i podpowiedzi.</t>
  </si>
  <si>
    <t xml:space="preserve">F07</t>
  </si>
  <si>
    <t xml:space="preserve">25 mikrozadań, po pięć przez pierwszych pięć aktywnych dni gry, z nagrodami i trwałym postępem. Zadania uczą obsady, transportu, jedzenia, szczęścia, rozbudowy i pozostałych podstaw.</t>
  </si>
  <si>
    <t xml:space="preserve">F08</t>
  </si>
  <si>
    <t xml:space="preserve">Premia aktywności</t>
  </si>
  <si>
    <t xml:space="preserve">Rzeczywista akcja w aktywnym widocznym oknie odnawia pięciominutowy bonus ×2 produkcji materiałów i podatków. Czas się nie sumuje; mnożnik działa razem z latarnią i kaplicą, bez przyspieszania transportu.</t>
  </si>
  <si>
    <t xml:space="preserve">F09</t>
  </si>
  <si>
    <t xml:space="preserve">Przestoje</t>
  </si>
  <si>
    <t xml:space="preserve">Przyczyny zatrzymania produkcji, np. brak wejścia, trafiają do powiadomień bez powtarzania co sekundę.</t>
  </si>
  <si>
    <t xml:space="preserve">F10</t>
  </si>
  <si>
    <t xml:space="preserve">Udane ulepszenie odcinka daje krótkie wizualne potwierdzenie/fajerwerki, z uwzględnieniem ustawienia animacji.</t>
  </si>
  <si>
    <t xml:space="preserve">F11</t>
  </si>
  <si>
    <t xml:space="preserve">Gracz wybiera kategorie widocznych powiadomień. Historia mechanik nie ginie przez zmianę filtra.</t>
  </si>
  <si>
    <t xml:space="preserve">F12</t>
  </si>
  <si>
    <t xml:space="preserve">Pola otoczenia</t>
  </si>
  <si>
    <t xml:space="preserve">Usunąć klikalne pola otoczenia takie jak plaża, zachowując ilustrację wyspy.</t>
  </si>
  <si>
    <t xml:space="preserve">F13</t>
  </si>
  <si>
    <t xml:space="preserve">Trwałość animacji</t>
  </si>
  <si>
    <t xml:space="preserve">Usunąć przyczynę zatrzymywania animacji podczas dłuższej gry i po przywróceniu karty.</t>
  </si>
  <si>
    <t xml:space="preserve">F14</t>
  </si>
  <si>
    <t xml:space="preserve">Nazewnictwo zadań</t>
  </si>
  <si>
    <t xml:space="preserve">Deposit zmienić na Donation/Donate w angielskim oraz Darowizna/Przekaż w polskim.</t>
  </si>
  <si>
    <t xml:space="preserve">F15</t>
  </si>
  <si>
    <t xml:space="preserve">Każda aktywna premia lub kara zajmuje jeden wiersz: nazwa, wartość, czas/status i ⓘ na końcu. Kliknięcie rozwija szczegóły zakresu i warunku zakończenia.</t>
  </si>
  <si>
    <t xml:space="preserve">F16</t>
  </si>
  <si>
    <t xml:space="preserve">Kupno mieszkańców</t>
  </si>
  <si>
    <t xml:space="preserve">Jedna kupiona osoba kosztuje tyle co najbliższa rozbudowa Ratusza: 500 × obecny poziom każdego z sześciu zasobów. Zakup ograniczają wolne miejsca w Domu i limit Ratusza; nowe osoby podlegają regułom pierwszych 24 godzin.</t>
  </si>
  <si>
    <t xml:space="preserve">F17</t>
  </si>
  <si>
    <t xml:space="preserve">Dom i Ratusz</t>
  </si>
  <si>
    <t xml:space="preserve">Uprościć i uporządkować obie karty: najważniejsze liczby od razu, oszczędne ramki i opisy pod ⓘ.</t>
  </si>
  <si>
    <t xml:space="preserve">F18</t>
  </si>
  <si>
    <t xml:space="preserve">Punkty = poziom Ratusza × stan monet, według migawki przeliczanej o pełnej godzinie zegarowej.</t>
  </si>
  <si>
    <t xml:space="preserve">F19</t>
  </si>
  <si>
    <t xml:space="preserve">Tempo zasobów</t>
  </si>
  <si>
    <t xml:space="preserve">Pokazać ↑ dodatni, ↓ ujemny lub → zerowy bilans godzinowy produkcji i zużycia. Sam transport między składami nie zwiększa ani nie zmniejsza bilansu całej wyspy.</t>
  </si>
  <si>
    <t xml:space="preserve">expeditionInitialSeconds</t>
  </si>
  <si>
    <t xml:space="preserve">Jawne ustawienie projektu</t>
  </si>
  <si>
    <t xml:space="preserve">180</t>
  </si>
  <si>
    <t xml:space="preserve">KONFIGURACJA / DOBÓR WDROŻENIOWY</t>
  </si>
  <si>
    <t xml:space="preserve">expeditionTimeFormula</t>
  </si>
  <si>
    <t xml:space="preserve">180 / (1 + 0.1 * (stage - 1))</t>
  </si>
  <si>
    <t xml:space="preserve">overtimeRounding</t>
  </si>
  <si>
    <t xml:space="preserve">pełne upłynięte sekundy</t>
  </si>
  <si>
    <t xml:space="preserve">activeBonusStacks</t>
  </si>
  <si>
    <t xml:space="preserve">mnożnik ×2 z latarnią (produkcja ×4) lub kaplicą (podatki ×4)</t>
  </si>
  <si>
    <t xml:space="preserve">tutorialRewardStatus</t>
  </si>
  <si>
    <t xml:space="preserve">kwoty dobrane projektowo przy wdrożeniu; nie mylić z nieustalonymi nagrodami lojalnościowymi</t>
  </si>
  <si>
    <t xml:space="preserve">cancelDependencyPolicy</t>
  </si>
  <si>
    <t xml:space="preserve">najpierw anuluj późniejsze poziomy tego samego budynku; bez niejawnego kaskadowego anulowania</t>
  </si>
  <si>
    <t xml:space="preserve">I01</t>
  </si>
  <si>
    <t xml:space="preserve">Zależne poziomy przy anulowaniu</t>
  </si>
  <si>
    <t xml:space="preserve">Najpierw anuluj późniejsze zależne poziomy tego samego budynku; nie anulujemy niczego niejawnie kaskadowo.</t>
  </si>
  <si>
    <t xml:space="preserve">DOPRECYZOWANIE WDROŻENIOWE</t>
  </si>
  <si>
    <t xml:space="preserve">I02</t>
  </si>
  <si>
    <t xml:space="preserve">Port: początek ważności</t>
  </si>
  <si>
    <t xml:space="preserve">Zakupiona partia ma 24 h od przybycia statku i rozładunek nie odnawia terminu; partie sprzedażowe mają czas od każdego przybycia tragarza.</t>
  </si>
  <si>
    <t xml:space="preserve">I03</t>
  </si>
  <si>
    <t xml:space="preserve">Port: częściowe wygaśnięcie</t>
  </si>
  <si>
    <t xml:space="preserve">Płatność tylko za faktycznie wysłaną ilość, proporcjonalnie do zamrożonej ceny, w dół do całych monet; zamówienie nadal wchodzi pełnymi paczkami 100.</t>
  </si>
  <si>
    <t xml:space="preserve">SAMOUCZEK • 25 mikrozadań</t>
  </si>
  <si>
    <t xml:space="preserve">Pięć lekcji przez pierwsze pięć aktywnych dni Europe/Warsaw. Kwoty dobrano projektowo przy wdrożeniu: dni 1–2 po 25 monet i 10 materiału, dni 3–5 po 50 monet i 20 materiału. Razem 1000 monet i 400 materiałów; nie zastępują nieustalonych nagród lojalnościowych.</t>
  </si>
  <si>
    <t xml:space="preserve">Dzień</t>
  </si>
  <si>
    <t xml:space="preserve">Tytuł EN</t>
  </si>
  <si>
    <t xml:space="preserve">Co uczy</t>
  </si>
  <si>
    <t xml:space="preserve">Poprzednik</t>
  </si>
  <si>
    <t xml:space="preserve">Materiał</t>
  </si>
  <si>
    <t xml:space="preserve">Sztuk</t>
  </si>
  <si>
    <t xml:space="preserve">Status kwot</t>
  </si>
  <si>
    <t xml:space="preserve">island-level</t>
  </si>
  <si>
    <t xml:space="preserve">Meet your Town Hall</t>
  </si>
  <si>
    <t xml:space="preserve">The Town Hall sets the island level, building upgrade limits and population capacity.</t>
  </si>
  <si>
    <t xml:space="preserve">observe</t>
  </si>
  <si>
    <t xml:space="preserve">townhall</t>
  </si>
  <si>
    <t xml:space="preserve">wood</t>
  </si>
  <si>
    <t xml:space="preserve">DOBÓR PROJEKTOWY: nie są to nagrody lojalnościowe</t>
  </si>
  <si>
    <t xml:space="preserve">residents-home</t>
  </si>
  <si>
    <t xml:space="preserve">Meet your residents</t>
  </si>
  <si>
    <t xml:space="preserve">The House provides beds. Free residents at Home can take a job.</t>
  </si>
  <si>
    <t xml:space="preserve">house</t>
  </si>
  <si>
    <t xml:space="preserve">first-job</t>
  </si>
  <si>
    <t xml:space="preserve">Assign a producer</t>
  </si>
  <si>
    <t xml:space="preserve">Assign one free resident to a Farm, Windmill, Lumber Camp, Sawmill or Quarry.</t>
  </si>
  <si>
    <t xml:space="preserve">action</t>
  </si>
  <si>
    <t xml:space="preserve">assign-producer</t>
  </si>
  <si>
    <t xml:space="preserve">grain</t>
  </si>
  <si>
    <t xml:space="preserve">workplace-journey</t>
  </si>
  <si>
    <t xml:space="preserve">Give workers time to arrive</t>
  </si>
  <si>
    <t xml:space="preserve">A new worker takes five minutes to reach work. Production begins after arrival.</t>
  </si>
  <si>
    <t xml:space="preserve">stone</t>
  </si>
  <si>
    <t xml:space="preserve">resources-dock</t>
  </si>
  <si>
    <t xml:space="preserve">Read the resource dock</t>
  </si>
  <si>
    <t xml:space="preserve">Resource cards show working people above and local / central stock below.</t>
  </si>
  <si>
    <t xml:space="preserve">resources</t>
  </si>
  <si>
    <t xml:space="preserve">planks</t>
  </si>
  <si>
    <t xml:space="preserve">warehouse-job</t>
  </si>
  <si>
    <t xml:space="preserve">Assign a warehouse carrier</t>
  </si>
  <si>
    <t xml:space="preserve">Assign a resident to the Warehouse so finished goods can reach central storage.</t>
  </si>
  <si>
    <t xml:space="preserve">assign-warehouse</t>
  </si>
  <si>
    <t xml:space="preserve">first-delivery</t>
  </si>
  <si>
    <t xml:space="preserve">Receive a delivery</t>
  </si>
  <si>
    <t xml:space="preserve">Let a carrier deliver at least one batch of finished goods to the Warehouse.</t>
  </si>
  <si>
    <t xml:space="preserve">condition</t>
  </si>
  <si>
    <t xml:space="preserve">delivery</t>
  </si>
  <si>
    <t xml:space="preserve">transport-priority</t>
  </si>
  <si>
    <t xml:space="preserve">Choose a transport priority</t>
  </si>
  <si>
    <t xml:space="preserve">Select a material or Construction as a numbered transport priority.</t>
  </si>
  <si>
    <t xml:space="preserve">food-chain</t>
  </si>
  <si>
    <t xml:space="preserve">Learn the food chain</t>
  </si>
  <si>
    <t xml:space="preserve">The Farm makes grain. The Windmill uses two central grain to make one local Food.</t>
  </si>
  <si>
    <t xml:space="preserve">windmill</t>
  </si>
  <si>
    <t xml:space="preserve">central-food</t>
  </si>
  <si>
    <t xml:space="preserve">Keep food at Home</t>
  </si>
  <si>
    <t xml:space="preserve">Each resident automatically eats one Food per hour, supplied only from central storage.</t>
  </si>
  <si>
    <t xml:space="preserve">personal-happiness</t>
  </si>
  <si>
    <t xml:space="preserve">Read personal happiness</t>
  </si>
  <si>
    <t xml:space="preserve">Each person has individual happiness. The island value is the population average.</t>
  </si>
  <si>
    <t xml:space="preserve">residents</t>
  </si>
  <si>
    <t xml:space="preserve">house-points</t>
  </si>
  <si>
    <t xml:space="preserve">Learn House happiness points</t>
  </si>
  <si>
    <t xml:space="preserve">The House receives a daily point pool; points help people without deleting their penalty history.</t>
  </si>
  <si>
    <t xml:space="preserve">house-happiness</t>
  </si>
  <si>
    <t xml:space="preserve">upgrade-cost</t>
  </si>
  <si>
    <t xml:space="preserve">Read an upgrade cost</t>
  </si>
  <si>
    <t xml:space="preserve">Available / required values turn green when enough central materials are ready.</t>
  </si>
  <si>
    <t xml:space="preserve">upgrade</t>
  </si>
  <si>
    <t xml:space="preserve">construction-queue</t>
  </si>
  <si>
    <t xml:space="preserve">Find construction management</t>
  </si>
  <si>
    <t xml:space="preserve">The Town Hall contains the shared construction queue and its limits.</t>
  </si>
  <si>
    <t xml:space="preserve">construction</t>
  </si>
  <si>
    <t xml:space="preserve">storage-limits</t>
  </si>
  <si>
    <t xml:space="preserve">Compare both stores</t>
  </si>
  <si>
    <t xml:space="preserve">Local output must be carried home. Central storage has per-material and total capacity limits.</t>
  </si>
  <si>
    <t xml:space="preserve">warehouse</t>
  </si>
  <si>
    <t xml:space="preserve">market-rules</t>
  </si>
  <si>
    <t xml:space="preserve">Learn Market exchanges</t>
  </si>
  <si>
    <t xml:space="preserve">The Market unlocks at island level 2 and exchanges goods within categories, with a 10% fee.</t>
  </si>
  <si>
    <t xml:space="preserve">market</t>
  </si>
  <si>
    <t xml:space="preserve">lighthouse-visits</t>
  </si>
  <si>
    <t xml:space="preserve">Learn Lighthouse visits</t>
  </si>
  <si>
    <t xml:space="preserve">An available Lighthouse visit takes four hours. Its personal and population bonuses begin after return.</t>
  </si>
  <si>
    <t xml:space="preserve">lighthouse</t>
  </si>
  <si>
    <t xml:space="preserve">lighthouse-task</t>
  </si>
  <si>
    <t xml:space="preserve">Start one Lighthouse task</t>
  </si>
  <si>
    <t xml:space="preserve">Accept one task. Only one can be active, and its deliveries are made from central storage.</t>
  </si>
  <si>
    <t xml:space="preserve">task-accept</t>
  </si>
  <si>
    <t xml:space="preserve">path-levels</t>
  </si>
  <si>
    <t xml:space="preserve">Learn path upgrades</t>
  </si>
  <si>
    <t xml:space="preserve">All 100 path sections must finish the current level before any can begin the next.</t>
  </si>
  <si>
    <t xml:space="preserve">paths</t>
  </si>
  <si>
    <t xml:space="preserve">daily-attractions</t>
  </si>
  <si>
    <t xml:space="preserve">Discover daily attractions</t>
  </si>
  <si>
    <t xml:space="preserve">Five offers rotate daily. Repeated use of each attraction reduces its temporary happiness benefit.</t>
  </si>
  <si>
    <t xml:space="preserve">decorations</t>
  </si>
  <si>
    <t xml:space="preserve">chapel-blessing</t>
  </si>
  <si>
    <t xml:space="preserve">Learn Chapel blessings</t>
  </si>
  <si>
    <t xml:space="preserve">A manual blessing gives materials and one hour of happiness. Another cannot overlap it.</t>
  </si>
  <si>
    <t xml:space="preserve">chapel</t>
  </si>
  <si>
    <t xml:space="preserve">expedition-rules</t>
  </si>
  <si>
    <t xml:space="preserve">Learn expedition risk</t>
  </si>
  <si>
    <t xml:space="preserve">Expedition rewards form a coin pot. Cash out or risk it on the next stage.</t>
  </si>
  <si>
    <t xml:space="preserve">expeditions</t>
  </si>
  <si>
    <t xml:space="preserve">returning-workers</t>
  </si>
  <si>
    <t xml:space="preserve">Release a worker safely</t>
  </si>
  <si>
    <t xml:space="preserve">Release one assigned resident. Returning Home takes five minutes; already loaded cargo still arrives.</t>
  </si>
  <si>
    <t xml:space="preserve">release-worker</t>
  </si>
  <si>
    <t xml:space="preserve">motion-setting</t>
  </si>
  <si>
    <t xml:space="preserve">Choose your animation setting</t>
  </si>
  <si>
    <t xml:space="preserve">Change Animations and highlights in Settings to choose whether the island moves.</t>
  </si>
  <si>
    <t xml:space="preserve">island-review</t>
  </si>
  <si>
    <t xml:space="preserve">Review your island</t>
  </si>
  <si>
    <t xml:space="preserve">Check food, jobs, storage, active effects and plans. You are ready to manage the island.</t>
  </si>
  <si>
    <t xml:space="preserve">overview</t>
  </si>
  <si>
    <t xml:space="preserve">SPRAWDZENIA V9 • kontrola liczb</t>
  </si>
  <si>
    <t xml:space="preserve">Formuły sprawdzają arytmetykę przykładowego kalkulatora i kompletność manifestu. Wynik TRUE nie zastępuje testów silnika ani publikacji gry. Kolumny i historyczne źródła są zachowane osobno.</t>
  </si>
  <si>
    <t xml:space="preserve">Zgodność</t>
  </si>
  <si>
    <t xml:space="preserve">Ładunek bazowy</t>
  </si>
  <si>
    <t xml:space="preserve">Pięć rodzajów po500</t>
  </si>
  <si>
    <t xml:space="preserve">Transport45kursów/6osób</t>
  </si>
  <si>
    <t xml:space="preserve">Budowanie standardowe</t>
  </si>
  <si>
    <t xml:space="preserve">Cały scenariusz</t>
  </si>
  <si>
    <t xml:space="preserve">Instant45kursów</t>
  </si>
  <si>
    <t xml:space="preserve">PremiumT10+5</t>
  </si>
  <si>
    <t xml:space="preserve">Prognoza1</t>
  </si>
  <si>
    <t xml:space="preserve">Prognoza2</t>
  </si>
  <si>
    <t xml:space="preserve">Brak podwójnego zastawu</t>
  </si>
  <si>
    <t xml:space="preserve">Rzeczywiści odbiorcy</t>
  </si>
  <si>
    <t xml:space="preserve">Drugie użycie</t>
  </si>
  <si>
    <t xml:space="preserve">CenaY×2osoby</t>
  </si>
  <si>
    <t xml:space="preserve">Dokładna ułamkowa premia</t>
  </si>
  <si>
    <t xml:space="preserve">170+50</t>
  </si>
  <si>
    <t xml:space="preserve">3sekundyspóźnienia</t>
  </si>
  <si>
    <t xml:space="preserve">Krzywa projektowa runda3</t>
  </si>
  <si>
    <t xml:space="preserve">Kamieńpoziom</t>
  </si>
  <si>
    <t xml:space="preserve">Kamień0→5</t>
  </si>
  <si>
    <t xml:space="preserve">CenaosobyTH2każdego</t>
  </si>
  <si>
    <t xml:space="preserve">Samouczekmonety</t>
  </si>
  <si>
    <t xml:space="preserve">Samouczekmateriały</t>
  </si>
  <si>
    <t xml:space="preserve">PunktyTH2×1000</t>
  </si>
  <si>
    <t xml:space="preserve">CentralaL1per</t>
  </si>
  <si>
    <t xml:space="preserve">CentralaL1total</t>
  </si>
  <si>
    <t xml:space="preserve">MiejscenaFood</t>
  </si>
  <si>
    <t xml:space="preserve">Innetowarymaks</t>
  </si>
  <si>
    <t xml:space="preserve">58decyzji</t>
  </si>
  <si>
    <t xml:space="preserve">19uwagfrontu</t>
  </si>
  <si>
    <t xml:space="preserve">25lekcji</t>
  </si>
  <si>
    <t xml:space="preserve">DECYZJE V10 • różnice względem Excela 9</t>
  </si>
  <si>
    <t xml:space="preserve">Manifest docs/decisions-v10.json odróżnia decyzje użytkownika, konfigurację projektu i przyszłe integracje.</t>
  </si>
  <si>
    <t xml:space="preserve">Bieżąca zasada</t>
  </si>
  <si>
    <t xml:space="preserve">V15-01</t>
  </si>
  <si>
    <t xml:space="preserve">Jednakowe miniatury</t>
  </si>
  <si>
    <t xml:space="preserve">Wszystkie budynki w Administracji i Gospodarce mają jednakowe pole miniatury oraz proporcje, również szeroki Port i Farma. Obraz jest dopasowany do wspólnej ramki, a nazwy i liczniki mają spójne położenie.</t>
  </si>
  <si>
    <t xml:space="preserve">UZGODNIONE — FRONTEND V15</t>
  </si>
  <si>
    <t xml:space="preserve">V15-02</t>
  </si>
  <si>
    <t xml:space="preserve">Podpis liczby pracowników</t>
  </si>
  <si>
    <t xml:space="preserve">Zamiast samotnego zera kafelek miejsca pracy pokazuje „Pracuje: 0” i właściwą liczbę. Zachowuje informacje o idących (+n) i odwołanych (−n) osobach, także na telefonie.</t>
  </si>
  <si>
    <t xml:space="preserve">V15-03</t>
  </si>
  <si>
    <t xml:space="preserve">Budynek na jednym ekranie</t>
  </si>
  <si>
    <t xml:space="preserve">Na komputerze karta każdego budynku mieści podstawowe informacje i dostępne działania w jednym ekranie bez przewijania. Dodatkowe objaśnienia są pod i lub w zwijanych szczegółach; na telefonie układ pozostaje czytelny.</t>
  </si>
  <si>
    <t xml:space="preserve">V15-04</t>
  </si>
  <si>
    <t xml:space="preserve">Powrót do menu</t>
  </si>
  <si>
    <t xml:space="preserve">Przejście z menu wyspy do Ratusza lub innego widoku daje strzałkę powrotu do poprzedniego menu. Zamknięcie okna i powrót to różne czynności, a nawigacja nie tworzy nieskończonej pętli.</t>
  </si>
  <si>
    <t xml:space="preserve">Własna nazwa wyspy</t>
  </si>
  <si>
    <t xml:space="preserve">Rejestracja zawiera pole „Nazwa wyspy”; po poprawnym zatwierdzeniu nazwa zastępuje „Twoja wyspa” w nagłówku i menu. Nazwa jest przypisana do właściwego lokalnego profilu, pozostaje dosłowna w EN/PL i nie wymaga udawania połączenia z usługą kont.</t>
  </si>
  <si>
    <t xml:space="preserve">V15-06</t>
  </si>
  <si>
    <t xml:space="preserve">Pełny polski interfejs</t>
  </si>
  <si>
    <t xml:space="preserve">Polska wersja nie miesza języków w opisach, przyciskach, podpowiedziach, powiadomieniach i błędach. Audyt obejmuje m.in. estymatę budowy, „Pozostałe użycia” Kaplicy, zadania i pulę ekspedycji; angielski pozostaje osobnym wyborem w ustawieniach.</t>
  </si>
  <si>
    <t xml:space="preserve">V15-07</t>
  </si>
  <si>
    <t xml:space="preserve">Ruiny latarni</t>
  </si>
  <si>
    <t xml:space="preserve">Usuwamy cały blok „Nie zbudowano / Zbuduj ten budynek, aby rozpocząć”. Poziom 0 latarni przedstawia stan „Ruiny” bez powtarzania drugiego komunikatu o braku budynku.</t>
  </si>
  <si>
    <t xml:space="preserve">V15-08</t>
  </si>
  <si>
    <t xml:space="preserve">Nazwy poziomów latarni</t>
  </si>
  <si>
    <t xml:space="preserve">Każdy osiągany poziom 1–100 ma własną nazwę etapu odbudowy i rozwoju, w obu językach. Nazwy są warstwą opowieści i nie dodają kosztów, warunków ani nowych efektów.</t>
  </si>
  <si>
    <t xml:space="preserve">Cel całej gry</t>
  </si>
  <si>
    <t xml:space="preserve">Celem jest rozwój całej wyspy i szczęście jej mieszkańców. Opisy celu, strony startowej i powiązanych podpowiedzi uwzględniają osadę, produkcję, handel, transport i wszystkie budynki; latarnia jest częścią rozwoju.</t>
  </si>
  <si>
    <t xml:space="preserve">V15-10</t>
  </si>
  <si>
    <t xml:space="preserve">Opisy w menu budynków</t>
  </si>
  <si>
    <t xml:space="preserve">Każdy kafelek w menu „Budynki” ma krótki, jednozdaniowy opis funkcji budynku obok poziomu i wejścia w szczegóły. Opis odpowiada rzeczywistej logice.</t>
  </si>
  <si>
    <t xml:space="preserve">V15-11</t>
  </si>
  <si>
    <t xml:space="preserve">Jasny opis zadań</t>
  </si>
  <si>
    <t xml:space="preserve">Opis wyjaśnia jedno aktywne zadanie, bezpośrednie darowizny z centrali również w ratach, brak zwrotu i utratę wpłat po wygaśnięciu. Wyjaśnia własny zegar zadania i ochronę rezerwy żywności, naturalną polszczyzną.</t>
  </si>
  <si>
    <t xml:space="preserve">V15-12</t>
  </si>
  <si>
    <t xml:space="preserve">Mieszkańcy: opis i ramki</t>
  </si>
  <si>
    <t xml:space="preserve">Teksty, liczby i jednostki mieszczą się w kartach. Krótki opis wyjaśnia rolę mieszkańców, pracę i potrzeby oraz przybywanie przy dodatnim szczęściu i odejścia przy ujemnym, z limitami Ratusza, Domu i minimum sześciu osób.</t>
  </si>
  <si>
    <t xml:space="preserve">V15-13</t>
  </si>
  <si>
    <t xml:space="preserve">Opis magazynu</t>
  </si>
  <si>
    <t xml:space="preserve">Nad sekcją Magazynu centralnego znajduje się krótki opis jego roli, limitu łącznego i limitów materiałów oraz pracy tragarzy. Opis uwzględnia nową bazową ładowność.</t>
  </si>
  <si>
    <t xml:space="preserve">V15-14</t>
  </si>
  <si>
    <t xml:space="preserve">Atrakcje: zasięg, cena i wyłączność</t>
  </si>
  <si>
    <t xml:space="preserve">Oferta losuje udział od 1% do 50% populacji i kieruje bonus do tylu uprawnionych osób, ile wynika z tego udziału. Cena rośnie z sumą przyznawanych pp; na całej wyspie trwa jedna nowa atrakcja przez 6 h, a następną wolno rozpocząć od razu po końcu efektu.</t>
  </si>
  <si>
    <t xml:space="preserve">V15-15</t>
  </si>
  <si>
    <t xml:space="preserve">Produkcja ×2</t>
  </si>
  <si>
    <t xml:space="preserve">Bazowa produkcja wszystkich pięciu materiałów na osobę jest podwojona: 20/24/26/28… zamiast 10/12/13/14…. Głód i istniejące premie działają nadal, bez podwajania podatku lub zużycia żywności przez samo wprowadzenie nowej bazy.</t>
  </si>
  <si>
    <t xml:space="preserve">V15-16</t>
  </si>
  <si>
    <t xml:space="preserve">Ładowność transportu ×2</t>
  </si>
  <si>
    <t xml:space="preserve">Bazowy ładunek każdego tragarza wynosi 120 zamiast 60 sztuk na poziomie 1; bazowy pełny kurs nadal trwa 5 min. Poziom miejsca pracy i drogi skalują nową bazę, a estymaty i kursy Premium korzystają z tej samej ładowności.</t>
  </si>
  <si>
    <t xml:space="preserve">V15-17</t>
  </si>
  <si>
    <t xml:space="preserve">Bez logowania w menu gracza</t>
  </si>
  <si>
    <t xml:space="preserve">Z menu wyspy usuwamy przycisk „Zaloguj się lub załóż konto”, ponieważ jest to widok osoby już grającej. Oddzielne formularze rejestracji i logowania zachowują swoje przeznaczenie.</t>
  </si>
  <si>
    <t xml:space="preserve">Automatyczny samouczek 25 akcji</t>
  </si>
  <si>
    <t xml:space="preserve">V16-02</t>
  </si>
  <si>
    <t xml:space="preserve">Pierwsze sześć akcji</t>
  </si>
  <si>
    <t xml:space="preserve">Początek prowadzi przez menu lewego górnego rogu i zasady, mapę wyspy, przydział ludzi, sprawdzenie jedzenia, przyjęcie rozbudowy Ratusza oraz zwiększenie szczęścia. Dalsze akcje uczą rzeczywistej obsługi wyspy.</t>
  </si>
  <si>
    <t xml:space="preserve">UZGODNIONE + DOBÓR DALSZYCH LEKCJI</t>
  </si>
  <si>
    <t xml:space="preserve">V16-03</t>
  </si>
  <si>
    <t xml:space="preserve">Skrzynia po każdej akcji</t>
  </si>
  <si>
    <t xml:space="preserve">V16-04</t>
  </si>
  <si>
    <t xml:space="preserve">Podwojenie skrzyni zaShare</t>
  </si>
  <si>
    <t xml:space="preserve">Wybór udostępnienia przyznaje drugi raz identyczną wylosowaną zawartość tej skrzyni, najwyżej raz. Pominięcie zachowuje zwykłą nagrodę. Jest to lokalny prototyp bez prawdziwego publikowania i potwierdzania posta naFacebooku.</t>
  </si>
  <si>
    <t xml:space="preserve">UZGODNIONE; INTEGRACJA ODŁOŻONA</t>
  </si>
  <si>
    <t xml:space="preserve">V16-05</t>
  </si>
  <si>
    <t xml:space="preserve">Fanfara i świętowanie</t>
  </si>
  <si>
    <t xml:space="preserve">Po wykonaniu każdej akcji pojawia się ekran sukcesu ze skrzynią i fanfarą. Obsługiwany telefon otrzymuje krótką wibrację; preferencje dźwięku i animacji nadal obowiązują.</t>
  </si>
  <si>
    <t xml:space="preserve">UZGODNIONE + OGRANICZENIA PLATFORMY</t>
  </si>
  <si>
    <t xml:space="preserve">V16-06</t>
  </si>
  <si>
    <t xml:space="preserve">Pomoc przy rozbudowie Ratusza</t>
  </si>
  <si>
    <t xml:space="preserve">JAWNY DOBÓR WDROŻENIOWY NA PODSTAWIE PROŚBY O ZASOBY</t>
  </si>
  <si>
    <t xml:space="preserve">V16-07</t>
  </si>
  <si>
    <t xml:space="preserve">Lojalność nadal bez kwot</t>
  </si>
  <si>
    <t xml:space="preserve">ZACHOWANE V9-34…36</t>
  </si>
  <si>
    <t xml:space="preserve">V16-08</t>
  </si>
  <si>
    <t xml:space="preserve">Dwa rodzaje ekspedycji</t>
  </si>
  <si>
    <t xml:space="preserve">Nowa runda losuje labirynt z kulkami albo dopasowywanie trójek. Losowanie i postęp są zapisywane; ponowne wczytanie nie losuje wygodniejszej gry. Niewypłacona pula serii jest ryzykowana przy kontynuacji.</t>
  </si>
  <si>
    <t xml:space="preserve">V16-09</t>
  </si>
  <si>
    <t xml:space="preserve">UZGODNIONE; KONKRETNA KRZYWA PROJEKTOWA</t>
  </si>
  <si>
    <t xml:space="preserve">V16-10</t>
  </si>
  <si>
    <t xml:space="preserve">Limit i wygrana labiryntu</t>
  </si>
  <si>
    <t xml:space="preserve">UZGODNIONE + PROPORCJONALNE SKALOWANIE PROJEKTU</t>
  </si>
  <si>
    <t xml:space="preserve">V16-11</t>
  </si>
  <si>
    <t xml:space="preserve">Narastająca trudność labiryntu</t>
  </si>
  <si>
    <t xml:space="preserve">DOBÓR PROJEKTOWY</t>
  </si>
  <si>
    <t xml:space="preserve">V16-12</t>
  </si>
  <si>
    <t xml:space="preserve">V16-13</t>
  </si>
  <si>
    <t xml:space="preserve">Rozwój planszy dopasowywania</t>
  </si>
  <si>
    <t xml:space="preserve">Pierwszy etap ma 24 kafelki i 8 symboli po 3 kopie, a każdy kolejny dodaje 6 pól, do 120 pól i 40 symboli. Limit wynosi min(900,240+30×(n−1))s; pełna nagroda 50 monet trwa do 2/3 limitu, potem ubywa 1 co 1/12 limitu. Przy twardym końcu czasu cała niewypłacona seria przegrywa.</t>
  </si>
  <si>
    <t xml:space="preserve">JAWNY DOBÓR PROJEKTOWY W RAMACH UZGODNIONYCH GRANIC</t>
  </si>
  <si>
    <t xml:space="preserve">V16-14</t>
  </si>
  <si>
    <t xml:space="preserve">Ruch kafelków</t>
  </si>
  <si>
    <t xml:space="preserve">Zapis i starsze rozgrywki</t>
  </si>
  <si>
    <t xml:space="preserve">Nowe postępy samouczka, odebrane skrzynie, Share i minigry pozostają w lokalnym zapisie. Stare odebrane lekcje i rozpoczęte serie nie są kasowane ani ponownie nagradzane przez migrację. Prawdziwe konta, reklamy i serwerowa weryfikacja nie są częścią tego pakietu.</t>
  </si>
  <si>
    <t xml:space="preserve">ZACHOWANIE ZAPISÓW / ZAKRES</t>
  </si>
  <si>
    <t xml:space="preserve">Baza9</t>
  </si>
  <si>
    <t xml:space="preserve">Zachowane rozstrzygnięcia</t>
  </si>
  <si>
    <t xml:space="preserve">58 decyzji i 19 uwag frontendu pozostaje w niezmienionym ukrytym źródle Decyzje v9; nadpisania z tej zakładki i bieżące zasady v10 mają pierwszeństwo.</t>
  </si>
  <si>
    <t xml:space="preserve">ARCHIWUM + NADPISANIA</t>
  </si>
  <si>
    <t xml:space="preserve">SAMOUCZEK V10 • rzeczywiste akcje</t>
  </si>
  <si>
    <t xml:space="preserve">Kolejność, identyfikatory i warunki są odczytywane z eksportu modułu gry. Skrzynie są rozliczane raz; Share daje tylko drugą taką samą nagrodę.</t>
  </si>
  <si>
    <t xml:space="preserve">Krok</t>
  </si>
  <si>
    <t xml:space="preserve">Tytuł PL</t>
  </si>
  <si>
    <t xml:space="preserve">Opis PL</t>
  </si>
  <si>
    <t xml:space="preserve">Rodzaj</t>
  </si>
  <si>
    <t xml:space="preserve">rules-read</t>
  </si>
  <si>
    <t xml:space="preserve">Poznaj zasady swojej wyspy</t>
  </si>
  <si>
    <t xml:space="preserve">rules</t>
  </si>
  <si>
    <t xml:space="preserve">island-map</t>
  </si>
  <si>
    <t xml:space="preserve">Obejrzyj mapę wyspy</t>
  </si>
  <si>
    <t xml:space="preserve">map</t>
  </si>
  <si>
    <t xml:space="preserve">Przydziel mieszkańcom pracę</t>
  </si>
  <si>
    <t xml:space="preserve">assign-crew</t>
  </si>
  <si>
    <t xml:space="preserve">food-check</t>
  </si>
  <si>
    <t xml:space="preserve">Sprawdź, czy nikt nie jest głodny</t>
  </si>
  <si>
    <t xml:space="preserve">townhall-upgrade</t>
  </si>
  <si>
    <t xml:space="preserve">Rozpocznij rozbudowę Ratusza</t>
  </si>
  <si>
    <t xml:space="preserve">upgrade-townhall</t>
  </si>
  <si>
    <t xml:space="preserve">happiness-action</t>
  </si>
  <si>
    <t xml:space="preserve">Popraw szczęście mieszkańców</t>
  </si>
  <si>
    <t xml:space="preserve">increase-happiness</t>
  </si>
  <si>
    <t xml:space="preserve">Sprawdź drogę do pracy</t>
  </si>
  <si>
    <t xml:space="preserve">Odczytaj oba magazyny zasobów</t>
  </si>
  <si>
    <t xml:space="preserve">Wybierz priorytet transportu</t>
  </si>
  <si>
    <t xml:space="preserve">Odbierz prawdziwą dostawę</t>
  </si>
  <si>
    <t xml:space="preserve">Porównaj limity magazynów</t>
  </si>
  <si>
    <t xml:space="preserve">Poznaj produkcję żywności</t>
  </si>
  <si>
    <t xml:space="preserve">Znajdź codzienne punkty Domu</t>
  </si>
  <si>
    <t xml:space="preserve">Odczytaj szczęście każdej osoby</t>
  </si>
  <si>
    <t xml:space="preserve">Sprawdź koszt rozbudowy</t>
  </si>
  <si>
    <t xml:space="preserve">Znajdź zarządzanie budową</t>
  </si>
  <si>
    <t xml:space="preserve">path-upgrade</t>
  </si>
  <si>
    <t xml:space="preserve">Ulepsz jeden odcinek ścieżki</t>
  </si>
  <si>
    <t xml:space="preserve">upgrade-road</t>
  </si>
  <si>
    <t xml:space="preserve">Poznaj codzienne atrakcje</t>
  </si>
  <si>
    <t xml:space="preserve">Poznaj błogosławieństwa Kaplicy</t>
  </si>
  <si>
    <t xml:space="preserve">Poznaj wymiany na Targu</t>
  </si>
  <si>
    <t xml:space="preserve">Poznaj wizyty w latarni</t>
  </si>
  <si>
    <t xml:space="preserve">Podejmij jedno zadanie</t>
  </si>
  <si>
    <t xml:space="preserve">Spróbuj ekspedycji</t>
  </si>
  <si>
    <t xml:space="preserve">expedition-play</t>
  </si>
  <si>
    <t xml:space="preserve">Bezpiecznie odwołaj pracownika</t>
  </si>
  <si>
    <t xml:space="preserve">Zrób przegląd swojej wyspy</t>
  </si>
  <si>
    <t xml:space="preserve">SPRAWDZENIA V10 • kontrola arytmetyki</t>
  </si>
  <si>
    <t xml:space="preserve">Każdy wiersz ma dać TRUE po przeliczeniu LibreOffice. To kontrola arkusza, nie zastępstwo testów kodu gry ani potwierdzenia publicznej publikacji.</t>
  </si>
  <si>
    <t xml:space="preserve">Scenariusz</t>
  </si>
  <si>
    <t xml:space="preserve">Kalkulator C13</t>
  </si>
  <si>
    <t xml:space="preserve">Kalkulator C16</t>
  </si>
  <si>
    <t xml:space="preserve">Kalkulator C17</t>
  </si>
  <si>
    <t xml:space="preserve">Kalkulator C18</t>
  </si>
  <si>
    <t xml:space="preserve">Kalkulator C19</t>
  </si>
  <si>
    <t xml:space="preserve">Kalkulator C20</t>
  </si>
  <si>
    <t xml:space="preserve">Kalkulator C21</t>
  </si>
  <si>
    <t xml:space="preserve">Kalkulator C22</t>
  </si>
  <si>
    <t xml:space="preserve">Kalkulator C27</t>
  </si>
  <si>
    <t xml:space="preserve">Kalkulator C30</t>
  </si>
  <si>
    <t xml:space="preserve">Kalkulator C31</t>
  </si>
  <si>
    <t xml:space="preserve">Kalkulator C32</t>
  </si>
  <si>
    <t xml:space="preserve">Kalkulator C33</t>
  </si>
  <si>
    <t xml:space="preserve">Kalkulator C34</t>
  </si>
  <si>
    <t xml:space="preserve">Kalkulator C35</t>
  </si>
  <si>
    <t xml:space="preserve">Kalkulator C36</t>
  </si>
  <si>
    <t xml:space="preserve">Kalkulator C37</t>
  </si>
  <si>
    <t xml:space="preserve">Kalkulator C45</t>
  </si>
  <si>
    <t xml:space="preserve">Kalkulator C46</t>
  </si>
  <si>
    <t xml:space="preserve">Kalkulator C47</t>
  </si>
  <si>
    <t xml:space="preserve">Kalkulator C48</t>
  </si>
  <si>
    <t xml:space="preserve">Kalkulator C50</t>
  </si>
  <si>
    <t xml:space="preserve">Kalkulator C56</t>
  </si>
  <si>
    <t xml:space="preserve">Kalkulator C57</t>
  </si>
  <si>
    <t xml:space="preserve">Kalkulator C58</t>
  </si>
  <si>
    <t xml:space="preserve">Kalkulator C60</t>
  </si>
  <si>
    <t xml:space="preserve">Kalkulator C61</t>
  </si>
  <si>
    <t xml:space="preserve">Kalkulator C62</t>
  </si>
  <si>
    <t xml:space="preserve">Kalkulator C65</t>
  </si>
  <si>
    <t xml:space="preserve">Kalkulator C68</t>
  </si>
  <si>
    <t xml:space="preserve">Kalkulator C69</t>
  </si>
  <si>
    <t xml:space="preserve">Kalkulator C70</t>
  </si>
  <si>
    <t xml:space="preserve">Kalkulator C71</t>
  </si>
  <si>
    <t xml:space="preserve">Kalkulator C72</t>
  </si>
  <si>
    <t xml:space="preserve">Kalkulator C76</t>
  </si>
  <si>
    <t xml:space="preserve">Kalkulator C77</t>
  </si>
  <si>
    <t xml:space="preserve">Kalkulator C79</t>
  </si>
  <si>
    <t xml:space="preserve">Kalkulator C81</t>
  </si>
  <si>
    <t xml:space="preserve">Kalkulator C83</t>
  </si>
  <si>
    <t xml:space="preserve">Kalkulator C84</t>
  </si>
  <si>
    <t xml:space="preserve">Kalkulator C85</t>
  </si>
  <si>
    <t xml:space="preserve">Kalkulator C86</t>
  </si>
  <si>
    <t xml:space="preserve">Dopasowywanie C90</t>
  </si>
  <si>
    <t xml:space="preserve">Dopasowywanie C91</t>
  </si>
  <si>
    <t xml:space="preserve">Dopasowywanie C92</t>
  </si>
  <si>
    <t xml:space="preserve">Dopasowywanie C93</t>
  </si>
  <si>
    <t xml:space="preserve">Dopasowywanie C94</t>
  </si>
  <si>
    <t xml:space="preserve">Dopasowywanie C95</t>
  </si>
  <si>
    <t xml:space="preserve">Dopasowywanie C96</t>
  </si>
  <si>
    <t xml:space="preserve">Labirynt: nagroda w120s</t>
  </si>
  <si>
    <t xml:space="preserve">Labirynt: nagroda w135s</t>
  </si>
  <si>
    <t xml:space="preserve">Labirynt: nagroda w150s</t>
  </si>
  <si>
    <t xml:space="preserve">Labirynt: nagroda w165s</t>
  </si>
  <si>
    <t xml:space="preserve">Labirynt: nagroda w180s</t>
  </si>
  <si>
    <t xml:space="preserve">Trójki: nagroda w160s</t>
  </si>
  <si>
    <t xml:space="preserve">Trójki: nagroda w180s</t>
  </si>
  <si>
    <t xml:space="preserve">Trójki: nagroda w220s</t>
  </si>
  <si>
    <t xml:space="preserve">Trójki: nagroda w240s</t>
  </si>
  <si>
    <t xml:space="preserve">Minimalny limit labiryntu</t>
  </si>
  <si>
    <t xml:space="preserve">Maksymalny limit trójek</t>
  </si>
  <si>
    <t xml:space="preserve">Liczba opisanych budynków</t>
  </si>
</sst>
</file>

<file path=xl/styles.xml><?xml version="1.0" encoding="utf-8"?>
<styleSheet xmlns="http://schemas.openxmlformats.org/spreadsheetml/2006/main">
  <numFmts count="9">
    <numFmt numFmtId="164" formatCode="General"/>
    <numFmt numFmtId="165" formatCode="0%"/>
    <numFmt numFmtId="166" formatCode="0.00"/>
    <numFmt numFmtId="167" formatCode="0&quot; h&quot;"/>
    <numFmt numFmtId="168" formatCode="0"/>
    <numFmt numFmtId="169" formatCode="0.00%"/>
    <numFmt numFmtId="170" formatCode="0.00&quot; s&quot;"/>
    <numFmt numFmtId="171" formatCode="0.0%"/>
    <numFmt numFmtId="172" formatCode="0.00&quot; h&quot;"/>
  </numFmts>
  <fonts count="23">
    <font>
      <sz val="11"/>
      <color theme="1"/>
      <name val="Calibri"/>
      <family val="2"/>
      <charset val="1"/>
    </font>
    <font>
      <sz val="10"/>
      <name val="Arial"/>
      <family val="0"/>
    </font>
    <font>
      <sz val="10"/>
      <name val="Arial"/>
      <family val="0"/>
    </font>
    <font>
      <sz val="10"/>
      <name val="Arial"/>
      <family val="0"/>
    </font>
    <font>
      <b val="true"/>
      <sz val="19"/>
      <color rgb="FFF0CE80"/>
      <name val="Calibri"/>
      <family val="0"/>
      <charset val="1"/>
    </font>
    <font>
      <sz val="11"/>
      <color rgb="FF123140"/>
      <name val="Calibri"/>
      <family val="0"/>
      <charset val="1"/>
    </font>
    <font>
      <b val="true"/>
      <sz val="10"/>
      <color rgb="FFFFFFFF"/>
      <name val="Calibri"/>
      <family val="0"/>
      <charset val="1"/>
    </font>
    <font>
      <sz val="11"/>
      <color rgb="FF135CAA"/>
      <name val="Calibri"/>
      <family val="0"/>
      <charset val="1"/>
    </font>
    <font>
      <sz val="20"/>
      <color theme="1"/>
      <name val="Calibri"/>
      <family val="2"/>
      <charset val="1"/>
    </font>
    <font>
      <b val="true"/>
      <sz val="20"/>
      <color rgb="FFF0CE80"/>
      <name val="Calibri"/>
      <family val="2"/>
      <charset val="1"/>
    </font>
    <font>
      <sz val="20"/>
      <color rgb="FF123140"/>
      <name val="Calibri"/>
      <family val="2"/>
      <charset val="1"/>
    </font>
    <font>
      <b val="true"/>
      <sz val="20"/>
      <color rgb="FFFFFFFF"/>
      <name val="Calibri"/>
      <family val="2"/>
      <charset val="1"/>
    </font>
    <font>
      <sz val="10"/>
      <color rgb="FF123140"/>
      <name val="Calibri"/>
      <family val="0"/>
      <charset val="1"/>
    </font>
    <font>
      <b val="true"/>
      <sz val="18"/>
      <color rgb="FFF0CE80"/>
      <name val="Calibri"/>
      <family val="0"/>
      <charset val="1"/>
    </font>
    <font>
      <b val="true"/>
      <sz val="11"/>
      <color rgb="FFFFFFFF"/>
      <name val="Calibri"/>
      <family val="0"/>
      <charset val="1"/>
    </font>
    <font>
      <sz val="10"/>
      <name val="Arial"/>
      <family val="2"/>
    </font>
    <font>
      <sz val="10"/>
      <color rgb="FF135CAA"/>
      <name val="Calibri"/>
      <family val="0"/>
      <charset val="1"/>
    </font>
    <font>
      <sz val="20"/>
      <color rgb="FF135CAA"/>
      <name val="Calibri"/>
      <family val="2"/>
      <charset val="1"/>
    </font>
    <font>
      <u val="single"/>
      <sz val="10"/>
      <color rgb="FF135CAA"/>
      <name val="Calibri"/>
      <family val="0"/>
      <charset val="1"/>
    </font>
    <font>
      <sz val="10"/>
      <color rgb="FF123140"/>
      <name val="Calibri"/>
      <family val="2"/>
      <charset val="1"/>
    </font>
    <font>
      <b val="true"/>
      <sz val="18"/>
      <color rgb="FFF0CE8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AF2FF"/>
        <bgColor rgb="FFF0F6F8"/>
      </patternFill>
    </fill>
    <fill>
      <patternFill patternType="solid">
        <fgColor rgb="FFE4F2E9"/>
        <bgColor rgb="FFEAF2FF"/>
      </patternFill>
    </fill>
    <fill>
      <patternFill patternType="solid">
        <fgColor rgb="FFFFF0CC"/>
        <bgColor rgb="FFF0F6F8"/>
      </patternFill>
    </fill>
  </fills>
  <borders count="6">
    <border diagonalUp="false" diagonalDown="false">
      <left/>
      <right/>
      <top/>
      <bottom/>
      <diagonal/>
    </border>
    <border diagonalUp="false" diagonalDown="false">
      <left/>
      <right/>
      <top/>
      <bottom style="hair">
        <color rgb="FFD5E2E6"/>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right/>
      <top/>
      <bottom style="hair">
        <color rgb="FFD4E3E7"/>
      </bottom>
      <diagonal/>
    </border>
    <border diagonalUp="false" diagonalDown="false">
      <left style="thin">
        <color rgb="FFCCDAE0"/>
      </left>
      <right/>
      <top/>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6" fontId="5"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tru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center" textRotation="0" wrapText="tru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4" fontId="10"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2" fillId="3"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12" fillId="3" borderId="3" xfId="0" applyFont="true" applyBorder="true" applyAlignment="true" applyProtection="false">
      <alignment horizontal="general" vertical="top" textRotation="0" wrapText="true" indent="0" shrinkToFit="false"/>
      <protection locked="true" hidden="false"/>
    </xf>
    <xf numFmtId="164" fontId="12" fillId="5" borderId="3"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4" fillId="4"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0" fillId="7" borderId="2"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7" fontId="12" fillId="3" borderId="3" xfId="0" applyFont="true" applyBorder="true" applyAlignment="true" applyProtection="false">
      <alignment horizontal="general" vertical="top" textRotation="0" wrapText="true" indent="0" shrinkToFit="false"/>
      <protection locked="true" hidden="false"/>
    </xf>
    <xf numFmtId="167" fontId="12" fillId="5" borderId="3" xfId="0" applyFont="true" applyBorder="true" applyAlignment="true" applyProtection="false">
      <alignment horizontal="general" vertical="top" textRotation="0" wrapText="true" indent="0" shrinkToFit="false"/>
      <protection locked="true" hidden="false"/>
    </xf>
    <xf numFmtId="164" fontId="16" fillId="3" borderId="3" xfId="0" applyFont="true" applyBorder="true" applyAlignment="true" applyProtection="false">
      <alignment horizontal="general" vertical="top" textRotation="0" wrapText="true" indent="0" shrinkToFit="false"/>
      <protection locked="true" hidden="false"/>
    </xf>
    <xf numFmtId="165" fontId="12" fillId="3" borderId="3" xfId="0" applyFont="true" applyBorder="true" applyAlignment="true" applyProtection="false">
      <alignment horizontal="general" vertical="top" textRotation="0" wrapText="true" indent="0" shrinkToFit="false"/>
      <protection locked="true" hidden="false"/>
    </xf>
    <xf numFmtId="166" fontId="12" fillId="3" borderId="3" xfId="0" applyFont="true" applyBorder="true" applyAlignment="true" applyProtection="false">
      <alignment horizontal="general" vertical="top" textRotation="0" wrapText="true" indent="0" shrinkToFit="false"/>
      <protection locked="true" hidden="false"/>
    </xf>
    <xf numFmtId="168" fontId="12" fillId="3" borderId="3" xfId="0" applyFont="true" applyBorder="true" applyAlignment="true" applyProtection="false">
      <alignment horizontal="general" vertical="top" textRotation="0" wrapText="true" indent="0" shrinkToFit="false"/>
      <protection locked="true" hidden="false"/>
    </xf>
    <xf numFmtId="164" fontId="16" fillId="5" borderId="3" xfId="0" applyFont="true" applyBorder="true" applyAlignment="true" applyProtection="false">
      <alignment horizontal="general" vertical="top" textRotation="0" wrapText="true" indent="0" shrinkToFit="false"/>
      <protection locked="true" hidden="false"/>
    </xf>
    <xf numFmtId="165" fontId="12" fillId="5" borderId="3" xfId="0" applyFont="true" applyBorder="true" applyAlignment="true" applyProtection="false">
      <alignment horizontal="general" vertical="top" textRotation="0" wrapText="true" indent="0" shrinkToFit="false"/>
      <protection locked="true" hidden="false"/>
    </xf>
    <xf numFmtId="166" fontId="12" fillId="5" borderId="3" xfId="0" applyFont="true" applyBorder="true" applyAlignment="true" applyProtection="false">
      <alignment horizontal="general" vertical="top" textRotation="0" wrapText="true" indent="0" shrinkToFit="false"/>
      <protection locked="true" hidden="false"/>
    </xf>
    <xf numFmtId="168" fontId="12" fillId="5" borderId="3" xfId="0" applyFont="true" applyBorder="true" applyAlignment="true" applyProtection="false">
      <alignment horizontal="general" vertical="top" textRotation="0" wrapText="true" indent="0" shrinkToFit="false"/>
      <protection locked="true" hidden="false"/>
    </xf>
    <xf numFmtId="169" fontId="12" fillId="3" borderId="3" xfId="0" applyFont="true" applyBorder="true" applyAlignment="true" applyProtection="false">
      <alignment horizontal="general" vertical="top" textRotation="0" wrapText="true" indent="0" shrinkToFit="false"/>
      <protection locked="true" hidden="false"/>
    </xf>
    <xf numFmtId="170" fontId="12" fillId="3" borderId="3" xfId="0" applyFont="true" applyBorder="true" applyAlignment="true" applyProtection="false">
      <alignment horizontal="general" vertical="top" textRotation="0" wrapText="true" indent="0" shrinkToFit="false"/>
      <protection locked="true" hidden="false"/>
    </xf>
    <xf numFmtId="169" fontId="12" fillId="5" borderId="3" xfId="0" applyFont="true" applyBorder="true" applyAlignment="true" applyProtection="false">
      <alignment horizontal="general" vertical="top" textRotation="0" wrapText="true" indent="0" shrinkToFit="false"/>
      <protection locked="true" hidden="false"/>
    </xf>
    <xf numFmtId="170" fontId="12" fillId="5" borderId="3" xfId="0" applyFont="true" applyBorder="true" applyAlignment="true" applyProtection="false">
      <alignment horizontal="general" vertical="top" textRotation="0" wrapText="true" indent="0" shrinkToFit="false"/>
      <protection locked="true" hidden="false"/>
    </xf>
    <xf numFmtId="164" fontId="12" fillId="3" borderId="3" xfId="0" applyFont="true" applyBorder="true" applyAlignment="true" applyProtection="false">
      <alignment horizontal="general" vertical="top" textRotation="0" wrapText="true" indent="0" shrinkToFit="false"/>
      <protection locked="true" hidden="false"/>
    </xf>
    <xf numFmtId="164" fontId="12" fillId="5" borderId="3"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7" fillId="6" borderId="2" xfId="0" applyFont="true" applyBorder="true" applyAlignment="true" applyProtection="false">
      <alignment horizontal="general" vertical="top" textRotation="0" wrapText="true" indent="0" shrinkToFit="false"/>
      <protection locked="true" hidden="false"/>
    </xf>
    <xf numFmtId="165" fontId="17" fillId="6" borderId="2" xfId="0" applyFont="true" applyBorder="true" applyAlignment="true" applyProtection="false">
      <alignment horizontal="general" vertical="top" textRotation="0" wrapText="true" indent="0" shrinkToFit="false"/>
      <protection locked="true" hidden="false"/>
    </xf>
    <xf numFmtId="166" fontId="10" fillId="3" borderId="2" xfId="0" applyFont="true" applyBorder="true" applyAlignment="true" applyProtection="false">
      <alignment horizontal="general" vertical="top" textRotation="0" wrapText="true" indent="0" shrinkToFit="false"/>
      <protection locked="true" hidden="false"/>
    </xf>
    <xf numFmtId="166" fontId="10" fillId="5"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18" fillId="3" borderId="2" xfId="0" applyFont="true" applyBorder="true" applyAlignment="true" applyProtection="false">
      <alignment horizontal="general" vertical="top"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6" fontId="12" fillId="3" borderId="2" xfId="0" applyFont="true" applyBorder="true" applyAlignment="true" applyProtection="false">
      <alignment horizontal="general" vertical="top" textRotation="0" wrapText="true" indent="0" shrinkToFit="false"/>
      <protection locked="true" hidden="false"/>
    </xf>
    <xf numFmtId="166" fontId="12" fillId="5" borderId="2" xfId="0" applyFont="true" applyBorder="true" applyAlignment="true" applyProtection="false">
      <alignment horizontal="general" vertical="top" textRotation="0" wrapText="true" indent="0" shrinkToFit="false"/>
      <protection locked="true" hidden="false"/>
    </xf>
    <xf numFmtId="168" fontId="12" fillId="3" borderId="2" xfId="0" applyFont="true" applyBorder="true" applyAlignment="true" applyProtection="false">
      <alignment horizontal="general" vertical="top" textRotation="0" wrapText="true" indent="0" shrinkToFit="false"/>
      <protection locked="true" hidden="false"/>
    </xf>
    <xf numFmtId="168" fontId="12" fillId="5" borderId="2" xfId="0" applyFont="true" applyBorder="true" applyAlignment="true" applyProtection="false">
      <alignment horizontal="general" vertical="top" textRotation="0" wrapText="true" indent="0" shrinkToFit="false"/>
      <protection locked="true" hidden="false"/>
    </xf>
    <xf numFmtId="168" fontId="7" fillId="6" borderId="2" xfId="0" applyFont="true" applyBorder="true" applyAlignment="true" applyProtection="false">
      <alignment horizontal="general" vertical="top" textRotation="0" wrapText="true" indent="0" shrinkToFit="false"/>
      <protection locked="true" hidden="false"/>
    </xf>
    <xf numFmtId="166" fontId="7" fillId="6"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8" fontId="7" fillId="3" borderId="2" xfId="0" applyFont="true" applyBorder="true" applyAlignment="true" applyProtection="false">
      <alignment horizontal="general" vertical="top" textRotation="0" wrapText="true" indent="0" shrinkToFit="false"/>
      <protection locked="true" hidden="false"/>
    </xf>
    <xf numFmtId="171" fontId="7" fillId="3"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12" fillId="7" borderId="2" xfId="0" applyFont="true" applyBorder="true" applyAlignment="true" applyProtection="false">
      <alignment horizontal="general" vertical="top" textRotation="0" wrapText="true" indent="0" shrinkToFit="false"/>
      <protection locked="true" hidden="false"/>
    </xf>
    <xf numFmtId="164" fontId="12" fillId="8" borderId="2" xfId="0" applyFont="true" applyBorder="true" applyAlignment="true" applyProtection="false">
      <alignment horizontal="general" vertical="top" textRotation="0" wrapText="true" indent="0" shrinkToFit="false"/>
      <protection locked="true" hidden="false"/>
    </xf>
    <xf numFmtId="164" fontId="19" fillId="3" borderId="4" xfId="0" applyFont="true" applyBorder="true" applyAlignment="true" applyProtection="false">
      <alignment horizontal="general" vertical="top" textRotation="0" wrapText="true" indent="0" shrinkToFit="false"/>
      <protection locked="true" hidden="false"/>
    </xf>
    <xf numFmtId="164" fontId="19" fillId="5" borderId="4" xfId="0" applyFont="true" applyBorder="true" applyAlignment="true" applyProtection="false">
      <alignment horizontal="general" vertical="top" textRotation="0" wrapText="true" indent="0" shrinkToFit="false"/>
      <protection locked="true" hidden="false"/>
    </xf>
    <xf numFmtId="164" fontId="19" fillId="3" borderId="0" xfId="0" applyFont="true" applyBorder="false" applyAlignment="true" applyProtection="false">
      <alignment horizontal="general" vertical="top" textRotation="0" wrapText="tru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true" applyAlignment="true" applyProtection="false">
      <alignment horizontal="general" vertical="top" textRotation="0" wrapText="true" indent="0" shrinkToFit="false"/>
      <protection locked="true" hidden="false"/>
    </xf>
    <xf numFmtId="164" fontId="21" fillId="4" borderId="5" xfId="0" applyFont="true" applyBorder="true" applyAlignment="true" applyProtection="false">
      <alignment horizontal="general" vertical="center" textRotation="0" wrapText="true" indent="0" shrinkToFit="false"/>
      <protection locked="true" hidden="false"/>
    </xf>
    <xf numFmtId="166" fontId="0" fillId="0" borderId="2" xfId="0" applyFont="false" applyBorder="true" applyAlignment="true" applyProtection="false">
      <alignment horizontal="general" vertical="top" textRotation="0" wrapText="false" indent="0" shrinkToFit="false"/>
      <protection locked="true" hidden="false"/>
    </xf>
    <xf numFmtId="172" fontId="0" fillId="0" borderId="2" xfId="0" applyFont="false" applyBorder="true" applyAlignment="true" applyProtection="false">
      <alignment horizontal="general" vertical="top" textRotation="0" wrapText="fals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2" fillId="3" borderId="2"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bgColor rgb="FF000000"/>
        </patternFill>
      </fill>
    </dxf>
    <dxf>
      <fill>
        <patternFill patternType="solid">
          <fgColor rgb="FF000000"/>
          <bgColor rgb="FF000000"/>
        </patternFill>
      </fill>
    </dxf>
    <dxf>
      <fill>
        <patternFill patternType="solid">
          <fgColor rgb="FFE4F2E9"/>
          <bgColor rgb="FF000000"/>
        </patternFill>
      </fill>
    </dxf>
    <dxf>
      <fill>
        <patternFill patternType="solid">
          <fgColor rgb="FF135CAA"/>
          <bgColor rgb="FF000000"/>
        </patternFill>
      </fill>
    </dxf>
    <dxf>
      <fill>
        <patternFill patternType="solid">
          <fgColor rgb="FFEAF2FF"/>
          <bgColor rgb="FF000000"/>
        </patternFill>
      </fill>
    </dxf>
    <dxf>
      <fill>
        <patternFill patternType="solid">
          <fgColor rgb="FFFFF0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AAB5B9"/>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D4E3E7"/>
      <rgbColor rgb="FFF0F6F8"/>
      <rgbColor rgb="FFD5E2E6"/>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sharedStrings" Target="sharedStrings.xml"/>
<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hyperlink" Target="../../../workspace/workspace/workspace/gra/docs/final-input/HARBORLIGHT2-zasady.xlsx" TargetMode="External"/><Relationship Id="rId2"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1.xml"/><Relationship Id="rId3"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drawing" Target="../drawings/drawing22.xml"/>
</Relationships>
</file>

<file path=xl/worksheets/_rels/sheet25.xml.rels><?xml version="1.0" encoding="UTF-8"?>
<Relationships xmlns="http://schemas.openxmlformats.org/package/2006/relationships"><Relationship Id="rId1" Type="http://schemas.openxmlformats.org/officeDocument/2006/relationships/drawing" Target="../drawings/drawing23.xml"/>
</Relationships>
</file>

<file path=xl/worksheets/_rels/sheet26.xml.rels><?xml version="1.0" encoding="UTF-8"?>
<Relationships xmlns="http://schemas.openxmlformats.org/package/2006/relationships"><Relationship Id="rId1" Type="http://schemas.openxmlformats.org/officeDocument/2006/relationships/hyperlink" Target="https://www.facebook.com/policies_center/pages_groups_events" TargetMode="External"/><Relationship Id="rId2" Type="http://schemas.openxmlformats.org/officeDocument/2006/relationships/hyperlink" Target="https://help.instagram.com/179379842258600" TargetMode="External"/><Relationship Id="rId3" Type="http://schemas.openxmlformats.org/officeDocument/2006/relationships/hyperlink" Target="https://transparency.meta.com/policies/community-standards/spam/" TargetMode="External"/><Relationship Id="rId4" Type="http://schemas.openxmlformats.org/officeDocument/2006/relationships/hyperlink" Target="https://www.tiktok.com/community-guidelines/en/integrity-authenticity/" TargetMode="External"/><Relationship Id="rId5" Type="http://schemas.openxmlformats.org/officeDocument/2006/relationships/hyperlink" Target="https://support.google.com/youtube/answer/3399767?hl=en" TargetMode="External"/><Relationship Id="rId6" Type="http://schemas.openxmlformats.org/officeDocument/2006/relationships/hyperlink" Target="https://discord.com/guidelines" TargetMode="External"/><Relationship Id="rId7" Type="http://schemas.openxmlformats.org/officeDocument/2006/relationships/hyperlink" Target="https://support.reddithelp.com/hc/en-us/articles/360043504051-Spam" TargetMode="External"/><Relationship Id="rId8" Type="http://schemas.openxmlformats.org/officeDocument/2006/relationships/hyperlink" Target="https://help.x.com/en/rules-and-policies/platform-manipulation" TargetMode="External"/><Relationship Id="rId9" Type="http://schemas.openxmlformats.org/officeDocument/2006/relationships/hyperlink" Target="https://bsky.social/about/support/community-guidelines" TargetMode="External"/><Relationship Id="rId10" Type="http://schemas.openxmlformats.org/officeDocument/2006/relationships/hyperlink" Target="https://joinmastodon.org/" TargetMode="External"/><Relationship Id="rId11" Type="http://schemas.openxmlformats.org/officeDocument/2006/relationships/hyperlink" Target="https://values.snap.com/policy/policy-community-guidelines" TargetMode="External"/><Relationship Id="rId12" Type="http://schemas.openxmlformats.org/officeDocument/2006/relationships/drawing" Target="../drawings/drawing24.xml"/>
</Relationships>
</file>

<file path=xl/worksheets/_rels/sheet27.xml.rels><?xml version="1.0" encoding="UTF-8"?>
<Relationships xmlns="http://schemas.openxmlformats.org/package/2006/relationships"><Relationship Id="rId1" Type="http://schemas.openxmlformats.org/officeDocument/2006/relationships/drawing" Target="../drawings/drawing25.xml"/>
</Relationships>
</file>

<file path=xl/worksheets/_rels/sheet28.xml.rels><?xml version="1.0" encoding="UTF-8"?>
<Relationships xmlns="http://schemas.openxmlformats.org/package/2006/relationships"><Relationship Id="rId1" Type="http://schemas.openxmlformats.org/officeDocument/2006/relationships/drawing" Target="../drawings/drawing26.xml"/>
</Relationships>
</file>

<file path=xl/worksheets/_rels/sheet29.xml.rels><?xml version="1.0" encoding="UTF-8"?>
<Relationships xmlns="http://schemas.openxmlformats.org/package/2006/relationships"><Relationship Id="rId1" Type="http://schemas.openxmlformats.org/officeDocument/2006/relationships/drawing" Target="../drawings/drawing27.xml"/>
</Relationships>
</file>

<file path=xl/worksheets/_rels/sheet30.xml.rels><?xml version="1.0" encoding="UTF-8"?>
<Relationships xmlns="http://schemas.openxmlformats.org/package/2006/relationships"><Relationship Id="rId1" Type="http://schemas.openxmlformats.org/officeDocument/2006/relationships/drawing" Target="../drawings/drawing28.xml"/>
</Relationships>
</file>

<file path=xl/worksheets/_rels/sheet31.xml.rels><?xml version="1.0" encoding="UTF-8"?>
<Relationships xmlns="http://schemas.openxmlformats.org/package/2006/relationships"><Relationship Id="rId1" Type="http://schemas.openxmlformats.org/officeDocument/2006/relationships/drawing" Target="../drawings/drawing29.xml"/>
</Relationships>
</file>

<file path=xl/worksheets/_rels/sheet32.xml.rels><?xml version="1.0" encoding="UTF-8"?>
<Relationships xmlns="http://schemas.openxmlformats.org/package/2006/relationships"><Relationship Id="rId1" Type="http://schemas.openxmlformats.org/officeDocument/2006/relationships/drawing" Target="../drawings/drawing30.xml"/>
</Relationships>
</file>

<file path=xl/worksheets/_rels/sheet33.xml.rels><?xml version="1.0" encoding="UTF-8"?>
<Relationships xmlns="http://schemas.openxmlformats.org/package/2006/relationships"><Relationship Id="rId1" Type="http://schemas.openxmlformats.org/officeDocument/2006/relationships/drawing" Target="../drawings/drawing31.xml"/>
</Relationships>
</file>

<file path=xl/worksheets/_rels/sheet34.xml.rels><?xml version="1.0" encoding="UTF-8"?>
<Relationships xmlns="http://schemas.openxmlformats.org/package/2006/relationships"><Relationship Id="rId1" Type="http://schemas.openxmlformats.org/officeDocument/2006/relationships/drawing" Target="../drawings/drawing32.xml"/>
</Relationships>
</file>

<file path=xl/worksheets/_rels/sheet35.xml.rels><?xml version="1.0" encoding="UTF-8"?>
<Relationships xmlns="http://schemas.openxmlformats.org/package/2006/relationships"><Relationship Id="rId1" Type="http://schemas.openxmlformats.org/officeDocument/2006/relationships/drawing" Target="../drawings/drawing33.xml"/>
</Relationships>
</file>

<file path=xl/worksheets/_rels/sheet36.xml.rels><?xml version="1.0" encoding="UTF-8"?>
<Relationships xmlns="http://schemas.openxmlformats.org/package/2006/relationships"><Relationship Id="rId1" Type="http://schemas.openxmlformats.org/officeDocument/2006/relationships/drawing" Target="../drawings/drawing34.xml"/>
</Relationships>
</file>

<file path=xl/worksheets/_rels/sheet37.xml.rels><?xml version="1.0" encoding="UTF-8"?>
<Relationships xmlns="http://schemas.openxmlformats.org/package/2006/relationships"><Relationship Id="rId1" Type="http://schemas.openxmlformats.org/officeDocument/2006/relationships/drawing" Target="../drawings/drawing35.xml"/>
</Relationships>
</file>

<file path=xl/worksheets/_rels/sheet38.xml.rels><?xml version="1.0" encoding="UTF-8"?>
<Relationships xmlns="http://schemas.openxmlformats.org/package/2006/relationships"><Relationship Id="rId1" Type="http://schemas.openxmlformats.org/officeDocument/2006/relationships/drawing" Target="../drawings/drawing36.xml"/>
</Relationships>
</file>

<file path=xl/worksheets/_rels/sheet39.xml.rels><?xml version="1.0" encoding="UTF-8"?>
<Relationships xmlns="http://schemas.openxmlformats.org/package/2006/relationships"><Relationship Id="rId1" Type="http://schemas.openxmlformats.org/officeDocument/2006/relationships/drawing" Target="../drawings/drawing37.xml"/>
</Relationships>
</file>

<file path=xl/worksheets/_rels/sheet40.xml.rels><?xml version="1.0" encoding="UTF-8"?>
<Relationships xmlns="http://schemas.openxmlformats.org/package/2006/relationships"><Relationship Id="rId1" Type="http://schemas.openxmlformats.org/officeDocument/2006/relationships/drawing" Target="../drawings/drawing38.xml"/>
</Relationships>
</file>

<file path=xl/worksheets/_rels/sheet41.xml.rels><?xml version="1.0" encoding="UTF-8"?>
<Relationships xmlns="http://schemas.openxmlformats.org/package/2006/relationships"><Relationship Id="rId1" Type="http://schemas.openxmlformats.org/officeDocument/2006/relationships/drawing" Target="../drawings/drawing39.xml"/>
</Relationships>
</file>

<file path=xl/worksheets/_rels/sheet42.xml.rels><?xml version="1.0" encoding="UTF-8"?>
<Relationships xmlns="http://schemas.openxmlformats.org/package/2006/relationships"><Relationship Id="rId1" Type="http://schemas.openxmlformats.org/officeDocument/2006/relationships/drawing" Target="../drawings/drawing40.xml"/>
</Relationships>
</file>

<file path=xl/worksheets/_rels/sheet43.xml.rels><?xml version="1.0" encoding="UTF-8"?>
<Relationships xmlns="http://schemas.openxmlformats.org/package/2006/relationships"><Relationship Id="rId1" Type="http://schemas.openxmlformats.org/officeDocument/2006/relationships/drawing" Target="../drawings/drawing41.xml"/>
</Relationships>
</file>

<file path=xl/worksheets/_rels/sheet44.xml.rels><?xml version="1.0" encoding="UTF-8"?>
<Relationships xmlns="http://schemas.openxmlformats.org/package/2006/relationships"><Relationship Id="rId1" Type="http://schemas.openxmlformats.org/officeDocument/2006/relationships/drawing" Target="../drawings/drawing42.xml"/>
</Relationships>
</file>

<file path=xl/worksheets/_rels/sheet45.xml.rels><?xml version="1.0" encoding="UTF-8"?>
<Relationships xmlns="http://schemas.openxmlformats.org/package/2006/relationships"><Relationship Id="rId1" Type="http://schemas.openxmlformats.org/officeDocument/2006/relationships/drawing" Target="../drawings/drawing43.xml"/>
</Relationships>
</file>

<file path=xl/worksheets/_rels/sheet46.xml.rels><?xml version="1.0" encoding="UTF-8"?>
<Relationships xmlns="http://schemas.openxmlformats.org/package/2006/relationships"><Relationship Id="rId1" Type="http://schemas.openxmlformats.org/officeDocument/2006/relationships/drawing" Target="../drawings/drawing44.xml"/>
</Relationships>
</file>

<file path=xl/worksheets/_rels/sheet47.xml.rels><?xml version="1.0" encoding="UTF-8"?>
<Relationships xmlns="http://schemas.openxmlformats.org/package/2006/relationships"><Relationship Id="rId1" Type="http://schemas.openxmlformats.org/officeDocument/2006/relationships/drawing" Target="../drawings/drawing45.xml"/>
</Relationships>
</file>

<file path=xl/worksheets/_rels/sheet48.xml.rels><?xml version="1.0" encoding="UTF-8"?>
<Relationships xmlns="http://schemas.openxmlformats.org/package/2006/relationships"><Relationship Id="rId1" Type="http://schemas.openxmlformats.org/officeDocument/2006/relationships/drawing" Target="../drawings/drawing46.xml"/>
</Relationships>
</file>

<file path=xl/worksheets/_rels/sheet49.xml.rels><?xml version="1.0" encoding="UTF-8"?>
<Relationships xmlns="http://schemas.openxmlformats.org/package/2006/relationships"><Relationship Id="rId1" Type="http://schemas.openxmlformats.org/officeDocument/2006/relationships/drawing" Target="../drawings/drawing47.xml"/>
</Relationships>
</file>

<file path=xl/worksheets/_rels/sheet50.xml.rels><?xml version="1.0" encoding="UTF-8"?>
<Relationships xmlns="http://schemas.openxmlformats.org/package/2006/relationships"><Relationship Id="rId1" Type="http://schemas.openxmlformats.org/officeDocument/2006/relationships/drawing" Target="../drawings/drawing48.xml"/>
</Relationships>
</file>

<file path=xl/worksheets/_rels/sheet51.xml.rels><?xml version="1.0" encoding="UTF-8"?>
<Relationships xmlns="http://schemas.openxmlformats.org/package/2006/relationships"><Relationship Id="rId1" Type="http://schemas.openxmlformats.org/officeDocument/2006/relationships/drawing" Target="../drawings/drawing49.xml"/>
</Relationships>
</file>

<file path=xl/worksheets/_rels/sheet52.xml.rels><?xml version="1.0" encoding="UTF-8"?>
<Relationships xmlns="http://schemas.openxmlformats.org/package/2006/relationships"><Relationship Id="rId1" Type="http://schemas.openxmlformats.org/officeDocument/2006/relationships/drawing" Target="../drawings/drawing50.xml"/>
</Relationships>
</file>

<file path=xl/worksheets/_rels/sheet54.xml.rels><?xml version="1.0" encoding="UTF-8"?>
<Relationships xmlns="http://schemas.openxmlformats.org/package/2006/relationships"><Relationship Id="rId1" Type="http://schemas.openxmlformats.org/officeDocument/2006/relationships/drawing" Target="../drawings/drawing51.xml"/>
</Relationships>
</file>

<file path=xl/worksheets/_rels/sheet55.xml.rels><?xml version="1.0" encoding="UTF-8"?>
<Relationships xmlns="http://schemas.openxmlformats.org/package/2006/relationships"><Relationship Id="rId1" Type="http://schemas.openxmlformats.org/officeDocument/2006/relationships/drawing" Target="../drawings/drawing52.xml"/>
</Relationships>
</file>

<file path=xl/worksheets/_rels/sheet56.xml.rels><?xml version="1.0" encoding="UTF-8"?>
<Relationships xmlns="http://schemas.openxmlformats.org/package/2006/relationships"><Relationship Id="rId1" Type="http://schemas.openxmlformats.org/officeDocument/2006/relationships/drawing" Target="../drawings/drawing53.xml"/>
</Relationships>
</file>

<file path=xl/worksheets/_rels/sheet57.xml.rels><?xml version="1.0" encoding="UTF-8"?>
<Relationships xmlns="http://schemas.openxmlformats.org/package/2006/relationships"><Relationship Id="rId1" Type="http://schemas.openxmlformats.org/officeDocument/2006/relationships/drawing" Target="../drawings/drawing54.xml"/>
</Relationships>
</file>

<file path=xl/worksheets/_rels/sheet58.xml.rels><?xml version="1.0" encoding="UTF-8"?>
<Relationships xmlns="http://schemas.openxmlformats.org/package/2006/relationships"><Relationship Id="rId1" Type="http://schemas.openxmlformats.org/officeDocument/2006/relationships/drawing" Target="../drawings/drawing55.xml"/>
</Relationships>
</file>

<file path=xl/worksheets/_rels/sheet59.xml.rels><?xml version="1.0" encoding="UTF-8"?>
<Relationships xmlns="http://schemas.openxmlformats.org/package/2006/relationships"><Relationship Id="rId1" Type="http://schemas.openxmlformats.org/officeDocument/2006/relationships/drawing" Target="../drawings/drawing5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C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4"/>
    <col collapsed="false" customWidth="true" hidden="false" outlineLevel="0" max="3" min="3" style="0" width="42"/>
  </cols>
  <sheetData>
    <row r="1" customFormat="false" ht="34.5" hidden="false" customHeight="true" outlineLevel="0" collapsed="false">
      <c r="A1" s="1" t="s">
        <v>0</v>
      </c>
      <c r="B1" s="1"/>
      <c r="C1" s="1"/>
    </row>
    <row r="2" customFormat="false" ht="67.5" hidden="false" customHeight="true" outlineLevel="0" collapsed="false">
      <c r="A2" s="2" t="s">
        <v>1</v>
      </c>
      <c r="B2" s="2"/>
      <c r="C2" s="2"/>
    </row>
    <row r="5" customFormat="false" ht="30" hidden="false" customHeight="true" outlineLevel="0" collapsed="false">
      <c r="A5" s="3" t="s">
        <v>2</v>
      </c>
      <c r="B5" s="3" t="s">
        <v>3</v>
      </c>
      <c r="C5" s="3" t="s">
        <v>4</v>
      </c>
    </row>
    <row r="6" customFormat="false" ht="75.75" hidden="false" customHeight="true" outlineLevel="0" collapsed="false">
      <c r="A6" s="4" t="s">
        <v>5</v>
      </c>
      <c r="B6" s="4" t="s">
        <v>6</v>
      </c>
      <c r="C6" s="4" t="s">
        <v>7</v>
      </c>
    </row>
    <row r="7" customFormat="false" ht="75.75" hidden="false" customHeight="true" outlineLevel="0" collapsed="false">
      <c r="A7" s="5" t="s">
        <v>8</v>
      </c>
      <c r="B7" s="5" t="s">
        <v>9</v>
      </c>
      <c r="C7" s="5" t="s">
        <v>10</v>
      </c>
    </row>
    <row r="8" customFormat="false" ht="75.75" hidden="false" customHeight="true" outlineLevel="0" collapsed="false">
      <c r="A8" s="4" t="s">
        <v>11</v>
      </c>
      <c r="B8" s="4" t="s">
        <v>12</v>
      </c>
      <c r="C8" s="4" t="s">
        <v>13</v>
      </c>
    </row>
    <row r="9" customFormat="false" ht="75.75" hidden="false" customHeight="true" outlineLevel="0" collapsed="false">
      <c r="A9" s="5" t="s">
        <v>14</v>
      </c>
      <c r="B9" s="5" t="s">
        <v>15</v>
      </c>
      <c r="C9" s="5" t="s">
        <v>16</v>
      </c>
    </row>
    <row r="10" customFormat="false" ht="75.75" hidden="false" customHeight="true" outlineLevel="0" collapsed="false">
      <c r="A10" s="4" t="s">
        <v>17</v>
      </c>
      <c r="B10" s="4" t="s">
        <v>18</v>
      </c>
      <c r="C10" s="4" t="s">
        <v>19</v>
      </c>
    </row>
    <row r="11" customFormat="false" ht="75.75" hidden="false" customHeight="true" outlineLevel="0" collapsed="false">
      <c r="A11" s="5" t="s">
        <v>20</v>
      </c>
      <c r="B11" s="5" t="s">
        <v>21</v>
      </c>
      <c r="C11" s="5" t="s">
        <v>22</v>
      </c>
    </row>
    <row r="12" customFormat="false" ht="75.75" hidden="false" customHeight="true" outlineLevel="0" collapsed="false">
      <c r="A12" s="4" t="s">
        <v>23</v>
      </c>
      <c r="B12" s="4" t="s">
        <v>24</v>
      </c>
      <c r="C12" s="4" t="s">
        <v>25</v>
      </c>
    </row>
    <row r="13" customFormat="false" ht="75.75" hidden="false" customHeight="true" outlineLevel="0" collapsed="false">
      <c r="A13" s="5" t="s">
        <v>26</v>
      </c>
      <c r="B13" s="5" t="s">
        <v>27</v>
      </c>
      <c r="C13" s="5" t="s">
        <v>28</v>
      </c>
    </row>
    <row r="14" customFormat="false" ht="75.75" hidden="false" customHeight="true" outlineLevel="0" collapsed="false">
      <c r="A14" s="4" t="s">
        <v>29</v>
      </c>
      <c r="B14" s="4" t="s">
        <v>30</v>
      </c>
      <c r="C14" s="4" t="s">
        <v>31</v>
      </c>
    </row>
    <row r="15" customFormat="false" ht="75.75" hidden="false" customHeight="true" outlineLevel="0" collapsed="false">
      <c r="A15" s="5" t="s">
        <v>32</v>
      </c>
      <c r="B15" s="5" t="s">
        <v>33</v>
      </c>
      <c r="C15" s="5" t="s">
        <v>34</v>
      </c>
    </row>
    <row r="16" customFormat="false" ht="75.75" hidden="false" customHeight="true" outlineLevel="0" collapsed="false">
      <c r="A16" s="4" t="s">
        <v>35</v>
      </c>
      <c r="B16" s="4" t="s">
        <v>36</v>
      </c>
      <c r="C16" s="4" t="s">
        <v>37</v>
      </c>
    </row>
    <row r="17" customFormat="false" ht="75.75" hidden="false" customHeight="true" outlineLevel="0" collapsed="false">
      <c r="A17" s="5" t="s">
        <v>38</v>
      </c>
      <c r="B17" s="5" t="s">
        <v>39</v>
      </c>
      <c r="C17" s="5" t="s">
        <v>40</v>
      </c>
    </row>
    <row r="18" customFormat="false" ht="75.75" hidden="false" customHeight="true" outlineLevel="0" collapsed="false">
      <c r="A18" s="4" t="s">
        <v>41</v>
      </c>
      <c r="B18" s="4" t="s">
        <v>42</v>
      </c>
      <c r="C18" s="4" t="s">
        <v>43</v>
      </c>
    </row>
    <row r="19" customFormat="false" ht="75.75" hidden="false" customHeight="true" outlineLevel="0" collapsed="false">
      <c r="A19" s="5" t="s">
        <v>44</v>
      </c>
      <c r="B19" s="5" t="s">
        <v>45</v>
      </c>
      <c r="C19" s="5" t="s">
        <v>46</v>
      </c>
    </row>
    <row r="20" customFormat="false" ht="75.75" hidden="false" customHeight="true" outlineLevel="0" collapsed="false">
      <c r="A20" s="4" t="s">
        <v>47</v>
      </c>
      <c r="B20" s="4" t="s">
        <v>48</v>
      </c>
      <c r="C20" s="4" t="s">
        <v>49</v>
      </c>
    </row>
    <row r="21" customFormat="false" ht="75.75" hidden="false" customHeight="true" outlineLevel="0" collapsed="false">
      <c r="A21" s="5" t="s">
        <v>50</v>
      </c>
      <c r="B21" s="5" t="s">
        <v>51</v>
      </c>
      <c r="C21" s="5" t="s">
        <v>52</v>
      </c>
    </row>
    <row r="22" customFormat="false" ht="75.75" hidden="false" customHeight="true" outlineLevel="0" collapsed="false">
      <c r="A22" s="4" t="s">
        <v>53</v>
      </c>
      <c r="B22" s="4" t="s">
        <v>54</v>
      </c>
      <c r="C22" s="4" t="s">
        <v>55</v>
      </c>
    </row>
    <row r="23" customFormat="false" ht="75.75" hidden="false" customHeight="true" outlineLevel="0" collapsed="false">
      <c r="A23" s="5" t="s">
        <v>56</v>
      </c>
      <c r="B23" s="5" t="s">
        <v>57</v>
      </c>
      <c r="C23" s="5" t="s">
        <v>58</v>
      </c>
    </row>
    <row r="24" customFormat="false" ht="75.75" hidden="false" customHeight="true" outlineLevel="0" collapsed="false">
      <c r="A24" s="4" t="s">
        <v>59</v>
      </c>
      <c r="B24" s="4" t="s">
        <v>60</v>
      </c>
      <c r="C24" s="4" t="s">
        <v>61</v>
      </c>
    </row>
    <row r="25" customFormat="false" ht="75.75" hidden="false" customHeight="true" outlineLevel="0" collapsed="false">
      <c r="A25" s="5" t="s">
        <v>62</v>
      </c>
      <c r="B25" s="5" t="s">
        <v>63</v>
      </c>
      <c r="C25" s="5" t="s">
        <v>64</v>
      </c>
    </row>
    <row r="26" customFormat="false" ht="75.75" hidden="false" customHeight="true" outlineLevel="0" collapsed="false">
      <c r="A26" s="4" t="s">
        <v>65</v>
      </c>
      <c r="B26" s="4" t="s">
        <v>66</v>
      </c>
      <c r="C26" s="4" t="s">
        <v>67</v>
      </c>
    </row>
    <row r="27" customFormat="false" ht="75.75" hidden="false" customHeight="true" outlineLevel="0" collapsed="false">
      <c r="A27" s="5" t="s">
        <v>68</v>
      </c>
      <c r="B27" s="5" t="s">
        <v>69</v>
      </c>
      <c r="C27" s="5" t="s">
        <v>70</v>
      </c>
    </row>
    <row r="28" customFormat="false" ht="75.75" hidden="false" customHeight="true" outlineLevel="0" collapsed="false">
      <c r="A28" s="4" t="s">
        <v>71</v>
      </c>
      <c r="B28" s="4" t="s">
        <v>72</v>
      </c>
      <c r="C28" s="4" t="s">
        <v>73</v>
      </c>
    </row>
    <row r="29" customFormat="false" ht="75.75" hidden="false" customHeight="true" outlineLevel="0" collapsed="false">
      <c r="A29" s="5" t="s">
        <v>74</v>
      </c>
      <c r="B29" s="5" t="s">
        <v>75</v>
      </c>
      <c r="C29" s="5" t="s">
        <v>76</v>
      </c>
    </row>
    <row r="30" customFormat="false" ht="75.75" hidden="false" customHeight="true" outlineLevel="0" collapsed="false">
      <c r="A30" s="4" t="s">
        <v>77</v>
      </c>
      <c r="B30" s="4" t="s">
        <v>78</v>
      </c>
      <c r="C30" s="4" t="s">
        <v>79</v>
      </c>
    </row>
    <row r="31" customFormat="false" ht="75.75" hidden="false" customHeight="true" outlineLevel="0" collapsed="false">
      <c r="A31" s="5" t="s">
        <v>80</v>
      </c>
      <c r="B31" s="5" t="s">
        <v>81</v>
      </c>
      <c r="C31" s="5" t="s">
        <v>82</v>
      </c>
    </row>
    <row r="32" customFormat="false" ht="75.75" hidden="false" customHeight="true" outlineLevel="0" collapsed="false">
      <c r="A32" s="4" t="s">
        <v>83</v>
      </c>
      <c r="B32" s="4" t="s">
        <v>84</v>
      </c>
      <c r="C32" s="4" t="s">
        <v>85</v>
      </c>
    </row>
    <row r="33" customFormat="false" ht="75.75" hidden="false" customHeight="true" outlineLevel="0" collapsed="false">
      <c r="A33" s="5" t="s">
        <v>86</v>
      </c>
      <c r="B33" s="5" t="s">
        <v>87</v>
      </c>
      <c r="C33" s="5" t="s">
        <v>88</v>
      </c>
    </row>
    <row r="34" customFormat="false" ht="75.75" hidden="false" customHeight="true" outlineLevel="0" collapsed="false">
      <c r="A34" s="4" t="s">
        <v>89</v>
      </c>
      <c r="B34" s="4" t="s">
        <v>90</v>
      </c>
      <c r="C34" s="4" t="s">
        <v>91</v>
      </c>
    </row>
    <row r="35" customFormat="false" ht="75.75" hidden="false" customHeight="true" outlineLevel="0" collapsed="false">
      <c r="A35" s="5" t="s">
        <v>92</v>
      </c>
      <c r="B35" s="5" t="s">
        <v>93</v>
      </c>
      <c r="C35" s="5" t="s">
        <v>94</v>
      </c>
    </row>
    <row r="36" customFormat="false" ht="75.75" hidden="false" customHeight="true" outlineLevel="0" collapsed="false">
      <c r="A36" s="4" t="s">
        <v>95</v>
      </c>
      <c r="B36" s="4" t="s">
        <v>96</v>
      </c>
      <c r="C36" s="4" t="s">
        <v>97</v>
      </c>
    </row>
    <row r="37" customFormat="false" ht="75.75" hidden="false" customHeight="true" outlineLevel="0" collapsed="false">
      <c r="A37" s="5" t="s">
        <v>98</v>
      </c>
      <c r="B37" s="5" t="s">
        <v>99</v>
      </c>
      <c r="C37" s="5" t="s">
        <v>100</v>
      </c>
    </row>
    <row r="38" customFormat="false" ht="75.75" hidden="false" customHeight="true" outlineLevel="0" collapsed="false">
      <c r="A38" s="4" t="s">
        <v>101</v>
      </c>
      <c r="B38" s="4" t="s">
        <v>102</v>
      </c>
      <c r="C38" s="4" t="s">
        <v>103</v>
      </c>
    </row>
    <row r="39" customFormat="false" ht="75.75" hidden="false" customHeight="true" outlineLevel="0" collapsed="false">
      <c r="A39" s="5" t="s">
        <v>104</v>
      </c>
      <c r="B39" s="5" t="s">
        <v>105</v>
      </c>
      <c r="C39" s="5" t="s">
        <v>106</v>
      </c>
    </row>
    <row r="40" customFormat="false" ht="75.75" hidden="false" customHeight="true" outlineLevel="0" collapsed="false">
      <c r="A40" s="4" t="s">
        <v>107</v>
      </c>
      <c r="B40" s="4" t="s">
        <v>108</v>
      </c>
      <c r="C40" s="4" t="s">
        <v>109</v>
      </c>
    </row>
    <row r="41" customFormat="false" ht="75.75" hidden="false" customHeight="true" outlineLevel="0" collapsed="false">
      <c r="A41" s="5" t="s">
        <v>110</v>
      </c>
      <c r="B41" s="5" t="s">
        <v>111</v>
      </c>
      <c r="C41" s="5" t="s">
        <v>112</v>
      </c>
    </row>
    <row r="42" customFormat="false" ht="75.75" hidden="false" customHeight="true" outlineLevel="0" collapsed="false">
      <c r="A42" s="4" t="s">
        <v>113</v>
      </c>
      <c r="B42" s="4" t="s">
        <v>114</v>
      </c>
      <c r="C42" s="4" t="s">
        <v>115</v>
      </c>
    </row>
    <row r="43" customFormat="false" ht="75.75" hidden="false" customHeight="true" outlineLevel="0" collapsed="false">
      <c r="A43" s="5" t="s">
        <v>116</v>
      </c>
      <c r="B43" s="5" t="s">
        <v>117</v>
      </c>
      <c r="C43" s="5" t="s">
        <v>118</v>
      </c>
    </row>
    <row r="44" customFormat="false" ht="75.75" hidden="false" customHeight="true" outlineLevel="0" collapsed="false">
      <c r="A44" s="4" t="s">
        <v>119</v>
      </c>
      <c r="B44" s="4" t="s">
        <v>120</v>
      </c>
      <c r="C44" s="4" t="s">
        <v>121</v>
      </c>
    </row>
    <row r="45" customFormat="false" ht="75.75" hidden="false" customHeight="true" outlineLevel="0" collapsed="false">
      <c r="A45" s="5" t="s">
        <v>122</v>
      </c>
      <c r="B45" s="5" t="s">
        <v>123</v>
      </c>
      <c r="C45" s="5" t="s">
        <v>124</v>
      </c>
    </row>
    <row r="46" customFormat="false" ht="75.75" hidden="false" customHeight="true" outlineLevel="0" collapsed="false">
      <c r="A46" s="4" t="s">
        <v>125</v>
      </c>
      <c r="B46" s="4" t="s">
        <v>126</v>
      </c>
      <c r="C46" s="4" t="s">
        <v>127</v>
      </c>
    </row>
    <row r="47" customFormat="false" ht="75.75" hidden="false" customHeight="true" outlineLevel="0" collapsed="false">
      <c r="A47" s="5" t="s">
        <v>128</v>
      </c>
      <c r="B47" s="5" t="s">
        <v>129</v>
      </c>
      <c r="C47" s="5" t="s">
        <v>130</v>
      </c>
    </row>
    <row r="48" customFormat="false" ht="75.75" hidden="false" customHeight="true" outlineLevel="0" collapsed="false">
      <c r="A48" s="4" t="s">
        <v>131</v>
      </c>
      <c r="B48" s="4" t="s">
        <v>132</v>
      </c>
      <c r="C48" s="4" t="s">
        <v>133</v>
      </c>
    </row>
    <row r="49" customFormat="false" ht="75.75" hidden="false" customHeight="true" outlineLevel="0" collapsed="false">
      <c r="A49" s="5" t="s">
        <v>134</v>
      </c>
      <c r="B49" s="5" t="s">
        <v>135</v>
      </c>
      <c r="C49" s="5" t="s">
        <v>136</v>
      </c>
    </row>
    <row r="50" customFormat="false" ht="75.75" hidden="false" customHeight="true" outlineLevel="0" collapsed="false">
      <c r="A50" s="4" t="s">
        <v>137</v>
      </c>
      <c r="B50" s="4" t="s">
        <v>138</v>
      </c>
      <c r="C50" s="4" t="s">
        <v>139</v>
      </c>
    </row>
    <row r="51" customFormat="false" ht="75.75" hidden="false" customHeight="true" outlineLevel="0" collapsed="false">
      <c r="A51" s="5" t="s">
        <v>140</v>
      </c>
      <c r="B51" s="5" t="s">
        <v>141</v>
      </c>
      <c r="C51" s="5" t="s">
        <v>142</v>
      </c>
    </row>
    <row r="52" customFormat="false" ht="75.75" hidden="false" customHeight="true" outlineLevel="0" collapsed="false">
      <c r="A52" s="4" t="s">
        <v>143</v>
      </c>
      <c r="B52" s="4" t="s">
        <v>144</v>
      </c>
      <c r="C52" s="4" t="s">
        <v>145</v>
      </c>
    </row>
    <row r="53" customFormat="false" ht="75.75" hidden="false" customHeight="true" outlineLevel="0" collapsed="false">
      <c r="A53" s="5" t="s">
        <v>146</v>
      </c>
      <c r="B53" s="5" t="s">
        <v>147</v>
      </c>
      <c r="C53" s="5" t="s">
        <v>148</v>
      </c>
    </row>
    <row r="54" customFormat="false" ht="75.75" hidden="false" customHeight="true" outlineLevel="0" collapsed="false">
      <c r="A54" s="4" t="s">
        <v>149</v>
      </c>
      <c r="B54" s="4" t="s">
        <v>150</v>
      </c>
      <c r="C54" s="4" t="s">
        <v>151</v>
      </c>
    </row>
    <row r="55" customFormat="false" ht="75.75" hidden="false" customHeight="true" outlineLevel="0" collapsed="false">
      <c r="A55" s="5" t="s">
        <v>152</v>
      </c>
      <c r="B55" s="5" t="s">
        <v>153</v>
      </c>
      <c r="C55" s="5" t="s">
        <v>154</v>
      </c>
    </row>
    <row r="56" customFormat="false" ht="75.75" hidden="false" customHeight="true" outlineLevel="0" collapsed="false">
      <c r="A56" s="4" t="s">
        <v>155</v>
      </c>
      <c r="B56" s="4" t="s">
        <v>156</v>
      </c>
      <c r="C56" s="4" t="s">
        <v>157</v>
      </c>
    </row>
    <row r="57" customFormat="false" ht="75.75" hidden="false" customHeight="true" outlineLevel="0" collapsed="false">
      <c r="A57" s="5" t="s">
        <v>158</v>
      </c>
      <c r="B57" s="5" t="s">
        <v>159</v>
      </c>
      <c r="C57" s="5" t="s">
        <v>160</v>
      </c>
    </row>
    <row r="58" customFormat="false" ht="75.75" hidden="false" customHeight="true" outlineLevel="0" collapsed="false">
      <c r="A58" s="4" t="s">
        <v>161</v>
      </c>
      <c r="B58" s="4" t="s">
        <v>162</v>
      </c>
      <c r="C58" s="4" t="s">
        <v>163</v>
      </c>
    </row>
    <row r="59" customFormat="false" ht="75.75" hidden="false" customHeight="true" outlineLevel="0" collapsed="false">
      <c r="A59" s="5" t="s">
        <v>164</v>
      </c>
      <c r="B59" s="5" t="s">
        <v>165</v>
      </c>
      <c r="C59" s="5" t="s">
        <v>166</v>
      </c>
    </row>
    <row r="60" customFormat="false" ht="75.75" hidden="false" customHeight="true" outlineLevel="0" collapsed="false">
      <c r="A60" s="4" t="s">
        <v>167</v>
      </c>
      <c r="B60" s="4" t="s">
        <v>168</v>
      </c>
      <c r="C60" s="4" t="s">
        <v>169</v>
      </c>
    </row>
    <row r="61" customFormat="false" ht="75.75" hidden="false" customHeight="true" outlineLevel="0" collapsed="false">
      <c r="A61" s="5" t="s">
        <v>170</v>
      </c>
      <c r="B61" s="5" t="s">
        <v>171</v>
      </c>
      <c r="C61" s="5" t="s">
        <v>172</v>
      </c>
    </row>
    <row r="62" customFormat="false" ht="75.75" hidden="false" customHeight="true" outlineLevel="0" collapsed="false">
      <c r="A62" s="4" t="s">
        <v>173</v>
      </c>
      <c r="B62" s="4" t="s">
        <v>174</v>
      </c>
      <c r="C62" s="4" t="s">
        <v>175</v>
      </c>
    </row>
    <row r="65" customFormat="false" ht="15" hidden="false" customHeight="false" outlineLevel="0" collapsed="false">
      <c r="A65" s="3" t="s">
        <v>149</v>
      </c>
      <c r="B65" s="3" t="s">
        <v>176</v>
      </c>
      <c r="C65" s="3" t="s">
        <v>177</v>
      </c>
    </row>
    <row r="66" customFormat="false" ht="61.5" hidden="false" customHeight="true" outlineLevel="0" collapsed="false">
      <c r="A66" s="4" t="s">
        <v>178</v>
      </c>
      <c r="B66" s="4" t="s">
        <v>179</v>
      </c>
      <c r="C66" s="4" t="s">
        <v>180</v>
      </c>
    </row>
    <row r="67" customFormat="false" ht="61.5" hidden="false" customHeight="true" outlineLevel="0" collapsed="false">
      <c r="A67" s="5" t="s">
        <v>181</v>
      </c>
      <c r="B67" s="5" t="s">
        <v>182</v>
      </c>
      <c r="C67" s="5" t="s">
        <v>180</v>
      </c>
    </row>
    <row r="68" customFormat="false" ht="61.5" hidden="false" customHeight="true" outlineLevel="0" collapsed="false">
      <c r="A68" s="4" t="s">
        <v>183</v>
      </c>
      <c r="B68" s="4" t="s">
        <v>184</v>
      </c>
      <c r="C68" s="4" t="s">
        <v>180</v>
      </c>
    </row>
    <row r="69" customFormat="false" ht="61.5" hidden="false" customHeight="true" outlineLevel="0" collapsed="false">
      <c r="A69" s="5" t="s">
        <v>185</v>
      </c>
      <c r="B69" s="5" t="s">
        <v>186</v>
      </c>
      <c r="C69" s="5" t="s">
        <v>180</v>
      </c>
    </row>
    <row r="70" customFormat="false" ht="61.5" hidden="false" customHeight="true" outlineLevel="0" collapsed="false">
      <c r="A70" s="4" t="s">
        <v>187</v>
      </c>
      <c r="B70" s="4" t="s">
        <v>188</v>
      </c>
      <c r="C70" s="4" t="s">
        <v>180</v>
      </c>
    </row>
    <row r="71" customFormat="false" ht="61.5" hidden="false" customHeight="true" outlineLevel="0" collapsed="false">
      <c r="A71" s="5" t="s">
        <v>189</v>
      </c>
      <c r="B71" s="5" t="s">
        <v>190</v>
      </c>
      <c r="C71" s="5" t="s">
        <v>180</v>
      </c>
    </row>
    <row r="72" customFormat="false" ht="61.5" hidden="false" customHeight="true" outlineLevel="0" collapsed="false">
      <c r="A72" s="4" t="s">
        <v>191</v>
      </c>
      <c r="B72" s="4" t="s">
        <v>192</v>
      </c>
      <c r="C72" s="4" t="s">
        <v>180</v>
      </c>
    </row>
    <row r="73" customFormat="false" ht="61.5" hidden="false" customHeight="true" outlineLevel="0" collapsed="false">
      <c r="A73" s="5" t="s">
        <v>193</v>
      </c>
      <c r="B73" s="5" t="s">
        <v>194</v>
      </c>
      <c r="C73" s="5" t="s">
        <v>180</v>
      </c>
    </row>
    <row r="74" customFormat="false" ht="61.5" hidden="false" customHeight="true" outlineLevel="0" collapsed="false">
      <c r="A74" s="4" t="s">
        <v>195</v>
      </c>
      <c r="B74" s="4" t="s">
        <v>196</v>
      </c>
      <c r="C74" s="4" t="s">
        <v>180</v>
      </c>
    </row>
    <row r="75" customFormat="false" ht="61.5" hidden="false" customHeight="true" outlineLevel="0" collapsed="false">
      <c r="A75" s="5" t="s">
        <v>197</v>
      </c>
      <c r="B75" s="5" t="s">
        <v>198</v>
      </c>
      <c r="C75" s="5" t="s">
        <v>180</v>
      </c>
    </row>
    <row r="76" customFormat="false" ht="61.5" hidden="false" customHeight="true" outlineLevel="0" collapsed="false">
      <c r="A76" s="4" t="s">
        <v>199</v>
      </c>
      <c r="B76" s="4" t="s">
        <v>200</v>
      </c>
      <c r="C76" s="4" t="s">
        <v>180</v>
      </c>
    </row>
    <row r="77" customFormat="false" ht="61.5" hidden="false" customHeight="true" outlineLevel="0" collapsed="false">
      <c r="A77" s="5" t="s">
        <v>201</v>
      </c>
      <c r="B77" s="5" t="s">
        <v>202</v>
      </c>
      <c r="C77" s="5" t="s">
        <v>180</v>
      </c>
    </row>
    <row r="78" customFormat="false" ht="61.5" hidden="false" customHeight="true" outlineLevel="0" collapsed="false">
      <c r="A78" s="4" t="s">
        <v>203</v>
      </c>
      <c r="B78" s="4" t="s">
        <v>204</v>
      </c>
      <c r="C78" s="4" t="s">
        <v>180</v>
      </c>
    </row>
    <row r="79" customFormat="false" ht="61.5" hidden="false" customHeight="true" outlineLevel="0" collapsed="false">
      <c r="A79" s="5" t="s">
        <v>205</v>
      </c>
      <c r="B79" s="5" t="s">
        <v>206</v>
      </c>
      <c r="C79" s="5" t="s">
        <v>180</v>
      </c>
    </row>
    <row r="80" customFormat="false" ht="61.5" hidden="false" customHeight="true" outlineLevel="0" collapsed="false">
      <c r="A80" s="4" t="s">
        <v>207</v>
      </c>
      <c r="B80" s="4" t="s">
        <v>208</v>
      </c>
      <c r="C80" s="4" t="s">
        <v>180</v>
      </c>
    </row>
    <row r="81" customFormat="false" ht="61.5" hidden="false" customHeight="true" outlineLevel="0" collapsed="false">
      <c r="A81" s="5" t="s">
        <v>209</v>
      </c>
      <c r="B81" s="5" t="s">
        <v>210</v>
      </c>
      <c r="C81" s="5" t="s">
        <v>180</v>
      </c>
    </row>
    <row r="82" customFormat="false" ht="61.5" hidden="false" customHeight="true" outlineLevel="0" collapsed="false">
      <c r="A82" s="4" t="s">
        <v>211</v>
      </c>
      <c r="B82" s="4" t="s">
        <v>212</v>
      </c>
      <c r="C82" s="4" t="s">
        <v>180</v>
      </c>
    </row>
    <row r="83" customFormat="false" ht="61.5" hidden="false" customHeight="true" outlineLevel="0" collapsed="false">
      <c r="A83" s="5" t="s">
        <v>213</v>
      </c>
      <c r="B83" s="5" t="s">
        <v>214</v>
      </c>
      <c r="C83" s="5" t="s">
        <v>180</v>
      </c>
    </row>
    <row r="84" customFormat="false" ht="61.5" hidden="false" customHeight="true" outlineLevel="0" collapsed="false">
      <c r="A84" s="4" t="s">
        <v>215</v>
      </c>
      <c r="B84" s="4" t="s">
        <v>216</v>
      </c>
      <c r="C84" s="4" t="s">
        <v>180</v>
      </c>
    </row>
    <row r="85" customFormat="false" ht="61.5" hidden="false" customHeight="true" outlineLevel="0" collapsed="false">
      <c r="A85" s="5" t="s">
        <v>217</v>
      </c>
      <c r="B85" s="5" t="s">
        <v>218</v>
      </c>
      <c r="C85" s="5" t="s">
        <v>180</v>
      </c>
    </row>
    <row r="86" customFormat="false" ht="61.5" hidden="false" customHeight="true" outlineLevel="0" collapsed="false">
      <c r="A86" s="4" t="s">
        <v>219</v>
      </c>
      <c r="B86" s="4" t="s">
        <v>220</v>
      </c>
      <c r="C86" s="4" t="s">
        <v>180</v>
      </c>
    </row>
    <row r="87" customFormat="false" ht="61.5" hidden="false" customHeight="true" outlineLevel="0" collapsed="false">
      <c r="A87" s="5" t="s">
        <v>221</v>
      </c>
      <c r="B87" s="5" t="s">
        <v>222</v>
      </c>
      <c r="C87" s="5" t="s">
        <v>180</v>
      </c>
    </row>
    <row r="88" customFormat="false" ht="61.5" hidden="false" customHeight="true" outlineLevel="0" collapsed="false">
      <c r="A88" s="4" t="s">
        <v>223</v>
      </c>
      <c r="B88" s="4" t="s">
        <v>224</v>
      </c>
      <c r="C88" s="4" t="s">
        <v>180</v>
      </c>
    </row>
    <row r="89" customFormat="false" ht="61.5" hidden="false" customHeight="true" outlineLevel="0" collapsed="false">
      <c r="A89" s="5" t="s">
        <v>225</v>
      </c>
      <c r="B89" s="5" t="s">
        <v>226</v>
      </c>
      <c r="C89" s="5" t="s">
        <v>180</v>
      </c>
    </row>
    <row r="90" customFormat="false" ht="61.5" hidden="false" customHeight="true" outlineLevel="0" collapsed="false">
      <c r="A90" s="4" t="s">
        <v>227</v>
      </c>
      <c r="B90" s="4" t="s">
        <v>228</v>
      </c>
      <c r="C90" s="4" t="s">
        <v>180</v>
      </c>
    </row>
  </sheetData>
  <autoFilter ref="A5:C62"/>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23"/>
    <col collapsed="false" customWidth="true" hidden="false" outlineLevel="0" max="3" min="3" style="0" width="70"/>
    <col collapsed="false" customWidth="true" hidden="false" outlineLevel="0" max="4" min="4" style="0" width="28"/>
    <col collapsed="false" customWidth="true" hidden="false" outlineLevel="0" max="5" min="5" style="0" width="55"/>
    <col collapsed="false" customWidth="true" hidden="false" outlineLevel="0" max="6" min="6" style="0" width="58"/>
    <col collapsed="false" customWidth="true" hidden="false" outlineLevel="0" max="7" min="7" style="0" width="28"/>
    <col collapsed="false" customWidth="true" hidden="false" outlineLevel="0" max="8" min="8" style="0" width="86"/>
  </cols>
  <sheetData>
    <row r="1" customFormat="false" ht="34.5" hidden="false" customHeight="true" outlineLevel="0" collapsed="false">
      <c r="A1" s="1" t="s">
        <v>229</v>
      </c>
      <c r="B1" s="1"/>
      <c r="C1" s="1"/>
      <c r="D1" s="1"/>
      <c r="E1" s="1"/>
      <c r="F1" s="1"/>
      <c r="G1" s="1"/>
      <c r="H1" s="1"/>
    </row>
    <row r="2" customFormat="false" ht="67.5" hidden="false" customHeight="true" outlineLevel="0" collapsed="false">
      <c r="A2" s="2" t="s">
        <v>230</v>
      </c>
      <c r="B2" s="2"/>
      <c r="C2" s="2"/>
      <c r="D2" s="2"/>
      <c r="E2" s="2"/>
      <c r="F2" s="2"/>
      <c r="G2" s="2"/>
      <c r="H2" s="2"/>
    </row>
    <row r="5" customFormat="false" ht="30" hidden="false" customHeight="true" outlineLevel="0" collapsed="false">
      <c r="A5" s="3" t="s">
        <v>231</v>
      </c>
      <c r="B5" s="3" t="s">
        <v>232</v>
      </c>
      <c r="C5" s="3" t="s">
        <v>233</v>
      </c>
      <c r="D5" s="3" t="s">
        <v>234</v>
      </c>
      <c r="E5" s="3" t="s">
        <v>235</v>
      </c>
      <c r="F5" s="3" t="s">
        <v>236</v>
      </c>
      <c r="G5" s="3" t="s">
        <v>237</v>
      </c>
      <c r="H5" s="3" t="s">
        <v>238</v>
      </c>
    </row>
    <row r="6" customFormat="false" ht="37.5" hidden="false" customHeight="true" outlineLevel="0" collapsed="false">
      <c r="A6" s="4" t="s">
        <v>239</v>
      </c>
      <c r="B6" s="4" t="s">
        <v>240</v>
      </c>
      <c r="C6" s="4" t="s">
        <v>241</v>
      </c>
      <c r="D6" s="4" t="s">
        <v>242</v>
      </c>
      <c r="E6" s="4" t="s">
        <v>243</v>
      </c>
      <c r="F6" s="4" t="s">
        <v>244</v>
      </c>
      <c r="G6" s="4" t="s">
        <v>245</v>
      </c>
      <c r="H6" s="4" t="s">
        <v>246</v>
      </c>
    </row>
    <row r="7" customFormat="false" ht="37.5" hidden="false" customHeight="true" outlineLevel="0" collapsed="false">
      <c r="A7" s="5" t="s">
        <v>247</v>
      </c>
      <c r="B7" s="5" t="s">
        <v>248</v>
      </c>
      <c r="C7" s="5" t="s">
        <v>249</v>
      </c>
      <c r="D7" s="5" t="s">
        <v>242</v>
      </c>
      <c r="E7" s="5" t="s">
        <v>250</v>
      </c>
      <c r="F7" s="5" t="s">
        <v>244</v>
      </c>
      <c r="G7" s="5" t="s">
        <v>245</v>
      </c>
      <c r="H7" s="5" t="s">
        <v>251</v>
      </c>
    </row>
    <row r="8" customFormat="false" ht="37.5" hidden="false" customHeight="true" outlineLevel="0" collapsed="false">
      <c r="A8" s="4" t="s">
        <v>252</v>
      </c>
      <c r="B8" s="4" t="s">
        <v>253</v>
      </c>
      <c r="C8" s="4" t="s">
        <v>254</v>
      </c>
      <c r="D8" s="4" t="s">
        <v>255</v>
      </c>
      <c r="E8" s="4" t="s">
        <v>256</v>
      </c>
      <c r="F8" s="4" t="s">
        <v>257</v>
      </c>
      <c r="G8" s="4" t="s">
        <v>245</v>
      </c>
      <c r="H8" s="4" t="s">
        <v>258</v>
      </c>
    </row>
    <row r="9" customFormat="false" ht="37.5" hidden="false" customHeight="true" outlineLevel="0" collapsed="false">
      <c r="A9" s="5" t="s">
        <v>259</v>
      </c>
      <c r="B9" s="5" t="s">
        <v>260</v>
      </c>
      <c r="C9" s="5" t="s">
        <v>261</v>
      </c>
      <c r="D9" s="5" t="s">
        <v>255</v>
      </c>
      <c r="E9" s="5" t="s">
        <v>256</v>
      </c>
      <c r="F9" s="5" t="s">
        <v>262</v>
      </c>
      <c r="G9" s="5" t="s">
        <v>245</v>
      </c>
      <c r="H9" s="5" t="s">
        <v>263</v>
      </c>
    </row>
    <row r="10" customFormat="false" ht="37.5" hidden="false" customHeight="true" outlineLevel="0" collapsed="false">
      <c r="A10" s="4" t="s">
        <v>264</v>
      </c>
      <c r="B10" s="4" t="s">
        <v>265</v>
      </c>
      <c r="C10" s="4" t="s">
        <v>266</v>
      </c>
      <c r="D10" s="4" t="s">
        <v>255</v>
      </c>
      <c r="E10" s="4" t="s">
        <v>256</v>
      </c>
      <c r="F10" s="4" t="s">
        <v>267</v>
      </c>
      <c r="G10" s="4" t="s">
        <v>245</v>
      </c>
      <c r="H10" s="4" t="s">
        <v>268</v>
      </c>
    </row>
    <row r="11" customFormat="false" ht="37.5" hidden="false" customHeight="true" outlineLevel="0" collapsed="false">
      <c r="A11" s="5" t="s">
        <v>269</v>
      </c>
      <c r="B11" s="5" t="s">
        <v>270</v>
      </c>
      <c r="C11" s="5" t="s">
        <v>271</v>
      </c>
      <c r="D11" s="5" t="s">
        <v>255</v>
      </c>
      <c r="E11" s="5" t="s">
        <v>256</v>
      </c>
      <c r="F11" s="5" t="s">
        <v>272</v>
      </c>
      <c r="G11" s="5" t="s">
        <v>245</v>
      </c>
      <c r="H11" s="5" t="s">
        <v>273</v>
      </c>
    </row>
    <row r="12" customFormat="false" ht="37.5" hidden="false" customHeight="true" outlineLevel="0" collapsed="false">
      <c r="A12" s="4" t="s">
        <v>274</v>
      </c>
      <c r="B12" s="4" t="s">
        <v>275</v>
      </c>
      <c r="C12" s="4" t="s">
        <v>276</v>
      </c>
      <c r="D12" s="4" t="s">
        <v>255</v>
      </c>
      <c r="E12" s="4" t="s">
        <v>256</v>
      </c>
      <c r="F12" s="4" t="s">
        <v>277</v>
      </c>
      <c r="G12" s="4" t="s">
        <v>245</v>
      </c>
      <c r="H12" s="4" t="s">
        <v>263</v>
      </c>
    </row>
    <row r="13" customFormat="false" ht="37.5" hidden="false" customHeight="true" outlineLevel="0" collapsed="false">
      <c r="A13" s="5" t="s">
        <v>278</v>
      </c>
      <c r="B13" s="5" t="s">
        <v>279</v>
      </c>
      <c r="C13" s="5" t="s">
        <v>280</v>
      </c>
      <c r="D13" s="5" t="s">
        <v>255</v>
      </c>
      <c r="E13" s="5" t="s">
        <v>281</v>
      </c>
      <c r="F13" s="5" t="s">
        <v>282</v>
      </c>
      <c r="G13" s="5" t="s">
        <v>245</v>
      </c>
      <c r="H13" s="5" t="s">
        <v>283</v>
      </c>
    </row>
    <row r="14" customFormat="false" ht="37.5" hidden="false" customHeight="true" outlineLevel="0" collapsed="false">
      <c r="A14" s="4" t="s">
        <v>98</v>
      </c>
      <c r="B14" s="4" t="s">
        <v>284</v>
      </c>
      <c r="C14" s="4" t="s">
        <v>285</v>
      </c>
      <c r="D14" s="4" t="s">
        <v>255</v>
      </c>
      <c r="E14" s="4" t="s">
        <v>286</v>
      </c>
      <c r="F14" s="4" t="s">
        <v>282</v>
      </c>
      <c r="G14" s="4" t="s">
        <v>245</v>
      </c>
      <c r="H14" s="4" t="s">
        <v>287</v>
      </c>
    </row>
    <row r="15" customFormat="false" ht="37.5" hidden="false" customHeight="true" outlineLevel="0" collapsed="false">
      <c r="A15" s="5" t="s">
        <v>101</v>
      </c>
      <c r="B15" s="5" t="s">
        <v>288</v>
      </c>
      <c r="C15" s="5" t="s">
        <v>289</v>
      </c>
      <c r="D15" s="5" t="s">
        <v>255</v>
      </c>
      <c r="E15" s="5" t="s">
        <v>290</v>
      </c>
      <c r="F15" s="5" t="s">
        <v>291</v>
      </c>
      <c r="G15" s="5" t="s">
        <v>245</v>
      </c>
      <c r="H15" s="5" t="s">
        <v>292</v>
      </c>
    </row>
    <row r="16" customFormat="false" ht="37.5" hidden="false" customHeight="true" outlineLevel="0" collapsed="false">
      <c r="A16" s="4" t="s">
        <v>56</v>
      </c>
      <c r="B16" s="4" t="s">
        <v>293</v>
      </c>
      <c r="C16" s="4" t="s">
        <v>294</v>
      </c>
      <c r="D16" s="4" t="s">
        <v>242</v>
      </c>
      <c r="E16" s="4" t="s">
        <v>295</v>
      </c>
      <c r="F16" s="4" t="s">
        <v>296</v>
      </c>
      <c r="G16" s="4" t="s">
        <v>297</v>
      </c>
      <c r="H16" s="4" t="s">
        <v>298</v>
      </c>
    </row>
    <row r="17" customFormat="false" ht="37.5" hidden="false" customHeight="true" outlineLevel="0" collapsed="false">
      <c r="A17" s="5" t="s">
        <v>62</v>
      </c>
      <c r="B17" s="5" t="s">
        <v>299</v>
      </c>
      <c r="C17" s="5" t="s">
        <v>300</v>
      </c>
      <c r="D17" s="5" t="s">
        <v>242</v>
      </c>
      <c r="E17" s="5" t="s">
        <v>301</v>
      </c>
      <c r="F17" s="5" t="s">
        <v>302</v>
      </c>
      <c r="G17" s="5" t="s">
        <v>303</v>
      </c>
      <c r="H17" s="5" t="s">
        <v>304</v>
      </c>
    </row>
  </sheetData>
  <autoFilter ref="A5:H17"/>
  <mergeCells count="2">
    <mergeCell ref="A1:H1"/>
    <mergeCell ref="A2:H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55"/>
    <col collapsed="false" customWidth="true" hidden="false" outlineLevel="0" max="3" min="3" style="0" width="130"/>
    <col collapsed="false" customWidth="true" hidden="false" outlineLevel="0" max="4" min="4" style="0" width="42"/>
  </cols>
  <sheetData>
    <row r="1" customFormat="false" ht="34.5" hidden="false" customHeight="true" outlineLevel="0" collapsed="false">
      <c r="A1" s="1" t="s">
        <v>305</v>
      </c>
      <c r="B1" s="1"/>
      <c r="C1" s="1"/>
      <c r="D1" s="1"/>
    </row>
    <row r="2" customFormat="false" ht="67.5" hidden="false" customHeight="true" outlineLevel="0" collapsed="false">
      <c r="A2" s="2" t="s">
        <v>306</v>
      </c>
      <c r="B2" s="2"/>
      <c r="C2" s="2"/>
      <c r="D2" s="2"/>
    </row>
    <row r="5" customFormat="false" ht="30" hidden="false" customHeight="true" outlineLevel="0" collapsed="false">
      <c r="A5" s="3" t="s">
        <v>307</v>
      </c>
      <c r="B5" s="3" t="s">
        <v>308</v>
      </c>
      <c r="C5" s="3" t="s">
        <v>309</v>
      </c>
      <c r="D5" s="3" t="s">
        <v>310</v>
      </c>
    </row>
    <row r="6" customFormat="false" ht="54" hidden="false" customHeight="true" outlineLevel="0" collapsed="false">
      <c r="A6" s="4" t="s">
        <v>311</v>
      </c>
      <c r="B6" s="4" t="s">
        <v>312</v>
      </c>
      <c r="C6" s="4" t="s">
        <v>313</v>
      </c>
      <c r="D6" s="4" t="s">
        <v>314</v>
      </c>
    </row>
    <row r="7" customFormat="false" ht="37.5" hidden="false" customHeight="true" outlineLevel="0" collapsed="false">
      <c r="A7" s="5" t="s">
        <v>315</v>
      </c>
      <c r="B7" s="5" t="s">
        <v>316</v>
      </c>
      <c r="C7" s="5" t="s">
        <v>317</v>
      </c>
      <c r="D7" s="5" t="s">
        <v>318</v>
      </c>
    </row>
    <row r="8" customFormat="false" ht="37.5" hidden="false" customHeight="true" outlineLevel="0" collapsed="false">
      <c r="A8" s="4" t="s">
        <v>319</v>
      </c>
      <c r="B8" s="4" t="s">
        <v>320</v>
      </c>
      <c r="C8" s="4" t="s">
        <v>321</v>
      </c>
      <c r="D8" s="4" t="s">
        <v>322</v>
      </c>
    </row>
    <row r="9" customFormat="false" ht="37.5" hidden="false" customHeight="true" outlineLevel="0" collapsed="false">
      <c r="A9" s="5" t="s">
        <v>323</v>
      </c>
      <c r="B9" s="5" t="s">
        <v>324</v>
      </c>
      <c r="C9" s="5" t="s">
        <v>325</v>
      </c>
      <c r="D9" s="5" t="s">
        <v>326</v>
      </c>
    </row>
  </sheetData>
  <autoFilter ref="A5:D9"/>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55"/>
    <col collapsed="false" customWidth="true" hidden="false" outlineLevel="0" max="3" min="3" style="0" width="27"/>
    <col collapsed="false" customWidth="true" hidden="false" outlineLevel="0" max="4" min="4" style="0" width="23"/>
    <col collapsed="false" customWidth="true" hidden="false" outlineLevel="0" max="5" min="5" style="0" width="110"/>
  </cols>
  <sheetData>
    <row r="1" customFormat="false" ht="34.5" hidden="false" customHeight="true" outlineLevel="0" collapsed="false">
      <c r="A1" s="1" t="s">
        <v>327</v>
      </c>
      <c r="B1" s="1"/>
      <c r="C1" s="1"/>
      <c r="D1" s="1"/>
      <c r="E1" s="1"/>
    </row>
    <row r="2" customFormat="false" ht="67.5" hidden="false" customHeight="true" outlineLevel="0" collapsed="false">
      <c r="A2" s="2" t="s">
        <v>328</v>
      </c>
      <c r="B2" s="2"/>
      <c r="C2" s="2"/>
      <c r="D2" s="2"/>
      <c r="E2" s="2"/>
    </row>
    <row r="5" customFormat="false" ht="30" hidden="false" customHeight="true" outlineLevel="0" collapsed="false">
      <c r="A5" s="3" t="s">
        <v>329</v>
      </c>
      <c r="B5" s="3" t="s">
        <v>330</v>
      </c>
      <c r="C5" s="3" t="s">
        <v>331</v>
      </c>
      <c r="D5" s="3" t="s">
        <v>332</v>
      </c>
      <c r="E5" s="3" t="s">
        <v>333</v>
      </c>
    </row>
    <row r="6" customFormat="false" ht="28.5" hidden="false" customHeight="true" outlineLevel="0" collapsed="false">
      <c r="A6" s="3" t="s">
        <v>334</v>
      </c>
      <c r="B6" s="3"/>
      <c r="C6" s="3"/>
      <c r="D6" s="3"/>
      <c r="E6" s="3"/>
    </row>
    <row r="7" customFormat="false" ht="36" hidden="false" customHeight="true" outlineLevel="0" collapsed="false">
      <c r="A7" s="5" t="s">
        <v>335</v>
      </c>
      <c r="B7" s="5" t="s">
        <v>336</v>
      </c>
      <c r="C7" s="6" t="n">
        <v>1</v>
      </c>
      <c r="D7" s="5" t="s">
        <v>337</v>
      </c>
      <c r="E7" s="5"/>
    </row>
    <row r="8" customFormat="false" ht="36" hidden="false" customHeight="true" outlineLevel="0" collapsed="false">
      <c r="A8" s="4" t="s">
        <v>335</v>
      </c>
      <c r="B8" s="4" t="s">
        <v>338</v>
      </c>
      <c r="C8" s="6" t="n">
        <v>0</v>
      </c>
      <c r="D8" s="4" t="s">
        <v>339</v>
      </c>
      <c r="E8" s="4"/>
    </row>
    <row r="9" customFormat="false" ht="36" hidden="false" customHeight="true" outlineLevel="0" collapsed="false">
      <c r="A9" s="5" t="s">
        <v>335</v>
      </c>
      <c r="B9" s="5" t="s">
        <v>340</v>
      </c>
      <c r="C9" s="6" t="n">
        <v>6</v>
      </c>
      <c r="D9" s="5" t="s">
        <v>341</v>
      </c>
      <c r="E9" s="5"/>
    </row>
    <row r="10" customFormat="false" ht="36" hidden="false" customHeight="true" outlineLevel="0" collapsed="false">
      <c r="A10" s="4" t="s">
        <v>335</v>
      </c>
      <c r="B10" s="4" t="s">
        <v>342</v>
      </c>
      <c r="C10" s="6" t="n">
        <v>1</v>
      </c>
      <c r="D10" s="4" t="s">
        <v>343</v>
      </c>
      <c r="E10" s="4"/>
    </row>
    <row r="11" customFormat="false" ht="36" hidden="false" customHeight="true" outlineLevel="0" collapsed="false">
      <c r="A11" s="5" t="s">
        <v>335</v>
      </c>
      <c r="B11" s="5" t="s">
        <v>344</v>
      </c>
      <c r="C11" s="6" t="n">
        <v>500</v>
      </c>
      <c r="D11" s="5" t="s">
        <v>345</v>
      </c>
      <c r="E11" s="5" t="s">
        <v>346</v>
      </c>
    </row>
    <row r="12" customFormat="false" ht="36" hidden="false" customHeight="true" outlineLevel="0" collapsed="false">
      <c r="A12" s="4" t="s">
        <v>335</v>
      </c>
      <c r="B12" s="4" t="s">
        <v>347</v>
      </c>
      <c r="C12" s="6" t="n">
        <v>1</v>
      </c>
      <c r="D12" s="4" t="s">
        <v>348</v>
      </c>
      <c r="E12" s="4" t="s">
        <v>349</v>
      </c>
    </row>
    <row r="13" customFormat="false" ht="36" hidden="false" customHeight="true" outlineLevel="0" collapsed="false">
      <c r="A13" s="5" t="s">
        <v>350</v>
      </c>
      <c r="B13" s="5" t="s">
        <v>351</v>
      </c>
      <c r="C13" s="5" t="n">
        <f aca="false">IF(C7=1,20,2*(C7+10))</f>
        <v>20</v>
      </c>
      <c r="D13" s="5" t="s">
        <v>352</v>
      </c>
      <c r="E13" s="5"/>
    </row>
    <row r="14" customFormat="false" ht="36" hidden="false" customHeight="true" outlineLevel="0" collapsed="false">
      <c r="A14" s="4" t="s">
        <v>335</v>
      </c>
      <c r="B14" s="4" t="s">
        <v>353</v>
      </c>
      <c r="C14" s="6" t="n">
        <v>1</v>
      </c>
      <c r="D14" s="4" t="s">
        <v>354</v>
      </c>
      <c r="E14" s="4" t="s">
        <v>355</v>
      </c>
    </row>
    <row r="15" customFormat="false" ht="36" hidden="false" customHeight="true" outlineLevel="0" collapsed="false">
      <c r="A15" s="5" t="s">
        <v>335</v>
      </c>
      <c r="B15" s="5" t="s">
        <v>356</v>
      </c>
      <c r="C15" s="6" t="n">
        <v>1</v>
      </c>
      <c r="D15" s="5" t="s">
        <v>354</v>
      </c>
      <c r="E15" s="5"/>
    </row>
    <row r="16" customFormat="false" ht="36" hidden="false" customHeight="true" outlineLevel="0" collapsed="false">
      <c r="A16" s="4" t="s">
        <v>350</v>
      </c>
      <c r="B16" s="4" t="s">
        <v>357</v>
      </c>
      <c r="C16" s="4" t="n">
        <f aca="false">C13*C10*C14*C15</f>
        <v>20</v>
      </c>
      <c r="D16" s="4" t="s">
        <v>358</v>
      </c>
      <c r="E16" s="4"/>
    </row>
    <row r="17" customFormat="false" ht="36" hidden="false" customHeight="true" outlineLevel="0" collapsed="false">
      <c r="A17" s="5" t="s">
        <v>350</v>
      </c>
      <c r="B17" s="5" t="s">
        <v>359</v>
      </c>
      <c r="C17" s="5" t="n">
        <f aca="false">ROUNDDOWN(ROUNDDOWN(120*1.1^(C7-1),0)*(1+0.1*MAX(0,C8-2)),0)</f>
        <v>120</v>
      </c>
      <c r="D17" s="5" t="s">
        <v>345</v>
      </c>
      <c r="E17" s="5"/>
    </row>
    <row r="18" customFormat="false" ht="36" hidden="false" customHeight="true" outlineLevel="0" collapsed="false">
      <c r="A18" s="4" t="s">
        <v>350</v>
      </c>
      <c r="B18" s="4" t="s">
        <v>360</v>
      </c>
      <c r="C18" s="4" t="n">
        <f aca="false">5*ROUNDUP(C11/C17,0)</f>
        <v>25</v>
      </c>
      <c r="D18" s="4" t="s">
        <v>361</v>
      </c>
      <c r="E18" s="4"/>
    </row>
    <row r="19" customFormat="false" ht="36" hidden="false" customHeight="true" outlineLevel="0" collapsed="false">
      <c r="A19" s="5" t="s">
        <v>350</v>
      </c>
      <c r="B19" s="5" t="s">
        <v>362</v>
      </c>
      <c r="C19" s="5" t="n">
        <f aca="false">IF(C9&gt;0,ROUNDUP(C18/C9,0)*5/(1+0.1*C8)/C10,"brak obsady")</f>
        <v>25</v>
      </c>
      <c r="D19" s="5" t="s">
        <v>363</v>
      </c>
      <c r="E19" s="5" t="s">
        <v>364</v>
      </c>
    </row>
    <row r="20" customFormat="false" ht="36" hidden="false" customHeight="true" outlineLevel="0" collapsed="false">
      <c r="A20" s="4" t="s">
        <v>350</v>
      </c>
      <c r="B20" s="4" t="s">
        <v>365</v>
      </c>
      <c r="C20" s="4" t="n">
        <f aca="false">IF(ISNUMBER(C19),C19*C12,"brak estymaty")</f>
        <v>25</v>
      </c>
      <c r="D20" s="4" t="s">
        <v>363</v>
      </c>
      <c r="E20" s="4"/>
    </row>
    <row r="21" customFormat="false" ht="36" hidden="false" customHeight="true" outlineLevel="0" collapsed="false">
      <c r="A21" s="5" t="s">
        <v>350</v>
      </c>
      <c r="B21" s="5" t="s">
        <v>366</v>
      </c>
      <c r="C21" s="5" t="n">
        <f aca="false">IF(ISNUMBER(C19),C19+C20,"brak estymaty")</f>
        <v>50</v>
      </c>
      <c r="D21" s="5" t="s">
        <v>363</v>
      </c>
      <c r="E21" s="5"/>
    </row>
    <row r="22" customFormat="false" ht="36" hidden="false" customHeight="true" outlineLevel="0" collapsed="false">
      <c r="A22" s="4" t="s">
        <v>350</v>
      </c>
      <c r="B22" s="4" t="s">
        <v>367</v>
      </c>
      <c r="C22" s="4" t="n">
        <f aca="false">C18*10</f>
        <v>250</v>
      </c>
      <c r="D22" s="4" t="s">
        <v>368</v>
      </c>
      <c r="E22" s="4" t="s">
        <v>369</v>
      </c>
    </row>
    <row r="24" customFormat="false" ht="28.5" hidden="false" customHeight="true" outlineLevel="0" collapsed="false">
      <c r="A24" s="3" t="s">
        <v>370</v>
      </c>
      <c r="B24" s="3"/>
      <c r="C24" s="3"/>
      <c r="D24" s="3"/>
      <c r="E24" s="3"/>
    </row>
    <row r="25" customFormat="false" ht="36" hidden="false" customHeight="true" outlineLevel="0" collapsed="false">
      <c r="A25" s="5" t="s">
        <v>335</v>
      </c>
      <c r="B25" s="5" t="s">
        <v>371</v>
      </c>
      <c r="C25" s="6" t="n">
        <v>10</v>
      </c>
      <c r="D25" s="5" t="s">
        <v>363</v>
      </c>
      <c r="E25" s="5"/>
    </row>
    <row r="26" customFormat="false" ht="36" hidden="false" customHeight="true" outlineLevel="0" collapsed="false">
      <c r="A26" s="4" t="s">
        <v>335</v>
      </c>
      <c r="B26" s="4" t="s">
        <v>372</v>
      </c>
      <c r="C26" s="6" t="n">
        <v>5</v>
      </c>
      <c r="D26" s="4" t="s">
        <v>363</v>
      </c>
      <c r="E26" s="4" t="s">
        <v>373</v>
      </c>
    </row>
    <row r="27" customFormat="false" ht="36" hidden="false" customHeight="true" outlineLevel="0" collapsed="false">
      <c r="A27" s="5" t="s">
        <v>350</v>
      </c>
      <c r="B27" s="5" t="s">
        <v>374</v>
      </c>
      <c r="C27" s="5" t="n">
        <f aca="false">(C25+C26)*C12</f>
        <v>15</v>
      </c>
      <c r="D27" s="5" t="s">
        <v>363</v>
      </c>
      <c r="E27" s="5"/>
    </row>
    <row r="28" customFormat="false" ht="36" hidden="false" customHeight="true" outlineLevel="0" collapsed="false">
      <c r="A28" s="4" t="s">
        <v>335</v>
      </c>
      <c r="B28" s="4" t="s">
        <v>375</v>
      </c>
      <c r="C28" s="6" t="n">
        <v>200</v>
      </c>
      <c r="D28" s="4" t="s">
        <v>345</v>
      </c>
      <c r="E28" s="4"/>
    </row>
    <row r="29" customFormat="false" ht="36" hidden="false" customHeight="true" outlineLevel="0" collapsed="false">
      <c r="A29" s="5" t="s">
        <v>335</v>
      </c>
      <c r="B29" s="5" t="s">
        <v>376</v>
      </c>
      <c r="C29" s="6" t="n">
        <v>300</v>
      </c>
      <c r="D29" s="5" t="s">
        <v>345</v>
      </c>
      <c r="E29" s="5"/>
    </row>
    <row r="30" customFormat="false" ht="36" hidden="false" customHeight="true" outlineLevel="0" collapsed="false">
      <c r="A30" s="4" t="s">
        <v>350</v>
      </c>
      <c r="B30" s="4" t="s">
        <v>377</v>
      </c>
      <c r="C30" s="4" t="n">
        <f aca="false">ROUNDUP(C29*1.1,0)</f>
        <v>330</v>
      </c>
      <c r="D30" s="4" t="s">
        <v>345</v>
      </c>
      <c r="E30" s="4"/>
    </row>
    <row r="31" customFormat="false" ht="36" hidden="false" customHeight="true" outlineLevel="0" collapsed="false">
      <c r="A31" s="5" t="s">
        <v>350</v>
      </c>
      <c r="B31" s="5" t="s">
        <v>378</v>
      </c>
      <c r="C31" s="5" t="n">
        <f aca="false">MIN(C28,C30)</f>
        <v>200</v>
      </c>
      <c r="D31" s="5" t="s">
        <v>345</v>
      </c>
      <c r="E31" s="5"/>
    </row>
    <row r="32" customFormat="false" ht="36" hidden="false" customHeight="true" outlineLevel="0" collapsed="false">
      <c r="A32" s="4" t="s">
        <v>350</v>
      </c>
      <c r="B32" s="4" t="s">
        <v>379</v>
      </c>
      <c r="C32" s="4" t="n">
        <f aca="false">MAX(0,C30-C31)</f>
        <v>130</v>
      </c>
      <c r="D32" s="4" t="s">
        <v>345</v>
      </c>
      <c r="E32" s="4"/>
    </row>
    <row r="33" customFormat="false" ht="36" hidden="false" customHeight="true" outlineLevel="0" collapsed="false">
      <c r="A33" s="5" t="s">
        <v>350</v>
      </c>
      <c r="B33" s="5" t="s">
        <v>380</v>
      </c>
      <c r="C33" s="5" t="n">
        <f aca="false">ROUNDUP(C32*0.5*0.25,0)</f>
        <v>17</v>
      </c>
      <c r="D33" s="5" t="s">
        <v>368</v>
      </c>
      <c r="E33" s="5"/>
    </row>
    <row r="34" customFormat="false" ht="36" hidden="false" customHeight="true" outlineLevel="0" collapsed="false">
      <c r="A34" s="4" t="s">
        <v>350</v>
      </c>
      <c r="B34" s="4" t="s">
        <v>381</v>
      </c>
      <c r="C34" s="4" t="n">
        <f aca="false">MIN(MAX(0,C28-C31),C30)</f>
        <v>0</v>
      </c>
      <c r="D34" s="4" t="s">
        <v>345</v>
      </c>
      <c r="E34" s="4"/>
    </row>
    <row r="35" customFormat="false" ht="36" hidden="false" customHeight="true" outlineLevel="0" collapsed="false">
      <c r="A35" s="5" t="s">
        <v>350</v>
      </c>
      <c r="B35" s="5" t="s">
        <v>382</v>
      </c>
      <c r="C35" s="5" t="n">
        <f aca="false">MAX(0,C30-C34)</f>
        <v>330</v>
      </c>
      <c r="D35" s="5" t="s">
        <v>345</v>
      </c>
      <c r="E35" s="5"/>
    </row>
    <row r="36" customFormat="false" ht="36" hidden="false" customHeight="true" outlineLevel="0" collapsed="false">
      <c r="A36" s="4" t="s">
        <v>350</v>
      </c>
      <c r="B36" s="4" t="s">
        <v>383</v>
      </c>
      <c r="C36" s="4" t="n">
        <f aca="false">ROUNDUP(C35*0.5*0.25,0)</f>
        <v>42</v>
      </c>
      <c r="D36" s="4" t="s">
        <v>368</v>
      </c>
      <c r="E36" s="4"/>
    </row>
    <row r="37" customFormat="false" ht="36" hidden="false" customHeight="true" outlineLevel="0" collapsed="false">
      <c r="A37" s="5" t="s">
        <v>350</v>
      </c>
      <c r="B37" s="5" t="s">
        <v>384</v>
      </c>
      <c r="C37" s="5" t="n">
        <f aca="false">C33+C36</f>
        <v>59</v>
      </c>
      <c r="D37" s="5" t="s">
        <v>368</v>
      </c>
      <c r="E37" s="5" t="s">
        <v>385</v>
      </c>
    </row>
    <row r="39" customFormat="false" ht="28.5" hidden="false" customHeight="true" outlineLevel="0" collapsed="false">
      <c r="A39" s="3" t="s">
        <v>386</v>
      </c>
      <c r="B39" s="3"/>
      <c r="C39" s="3"/>
      <c r="D39" s="3"/>
      <c r="E39" s="3"/>
    </row>
    <row r="40" customFormat="false" ht="36" hidden="false" customHeight="true" outlineLevel="0" collapsed="false">
      <c r="A40" s="4" t="s">
        <v>335</v>
      </c>
      <c r="B40" s="4" t="s">
        <v>387</v>
      </c>
      <c r="C40" s="6" t="n">
        <v>48</v>
      </c>
      <c r="D40" s="4" t="s">
        <v>341</v>
      </c>
      <c r="E40" s="4"/>
    </row>
    <row r="41" customFormat="false" ht="36" hidden="false" customHeight="true" outlineLevel="0" collapsed="false">
      <c r="A41" s="5" t="s">
        <v>335</v>
      </c>
      <c r="B41" s="5" t="s">
        <v>388</v>
      </c>
      <c r="C41" s="6" t="n">
        <v>25</v>
      </c>
      <c r="D41" s="5" t="s">
        <v>389</v>
      </c>
      <c r="E41" s="5" t="s">
        <v>390</v>
      </c>
    </row>
    <row r="42" customFormat="false" ht="36" hidden="false" customHeight="true" outlineLevel="0" collapsed="false">
      <c r="A42" s="4" t="s">
        <v>335</v>
      </c>
      <c r="B42" s="4" t="s">
        <v>391</v>
      </c>
      <c r="C42" s="6" t="n">
        <v>20</v>
      </c>
      <c r="D42" s="4" t="s">
        <v>341</v>
      </c>
      <c r="E42" s="4" t="s">
        <v>392</v>
      </c>
    </row>
    <row r="43" customFormat="false" ht="36" hidden="false" customHeight="true" outlineLevel="0" collapsed="false">
      <c r="A43" s="5" t="s">
        <v>335</v>
      </c>
      <c r="B43" s="5" t="s">
        <v>393</v>
      </c>
      <c r="C43" s="6" t="n">
        <v>50</v>
      </c>
      <c r="D43" s="5" t="s">
        <v>394</v>
      </c>
      <c r="E43" s="5" t="s">
        <v>395</v>
      </c>
    </row>
    <row r="44" customFormat="false" ht="36" hidden="false" customHeight="true" outlineLevel="0" collapsed="false">
      <c r="A44" s="4" t="s">
        <v>335</v>
      </c>
      <c r="B44" s="4" t="s">
        <v>396</v>
      </c>
      <c r="C44" s="6" t="n">
        <v>2</v>
      </c>
      <c r="D44" s="4" t="s">
        <v>397</v>
      </c>
      <c r="E44" s="4" t="s">
        <v>398</v>
      </c>
    </row>
    <row r="45" customFormat="false" ht="36" hidden="false" customHeight="true" outlineLevel="0" collapsed="false">
      <c r="A45" s="5" t="s">
        <v>350</v>
      </c>
      <c r="B45" s="5" t="s">
        <v>399</v>
      </c>
      <c r="C45" s="5" t="n">
        <f aca="false">IF(C40&gt;0,MIN(C42,MAX(1,ROUNDDOWN(C40*C41/100,0))),0)</f>
        <v>12</v>
      </c>
      <c r="D45" s="5" t="s">
        <v>341</v>
      </c>
      <c r="E45" s="5"/>
    </row>
    <row r="46" customFormat="false" ht="36" hidden="false" customHeight="true" outlineLevel="0" collapsed="false">
      <c r="A46" s="4" t="s">
        <v>350</v>
      </c>
      <c r="B46" s="4" t="s">
        <v>400</v>
      </c>
      <c r="C46" s="7" t="n">
        <f aca="false">MAX(0,1-(C44-1)*0.25)</f>
        <v>0.75</v>
      </c>
      <c r="D46" s="4" t="s">
        <v>401</v>
      </c>
      <c r="E46" s="4"/>
    </row>
    <row r="47" customFormat="false" ht="36" hidden="false" customHeight="true" outlineLevel="0" collapsed="false">
      <c r="A47" s="5" t="s">
        <v>350</v>
      </c>
      <c r="B47" s="5" t="s">
        <v>402</v>
      </c>
      <c r="C47" s="5" t="n">
        <f aca="false">C43*C46</f>
        <v>37.5</v>
      </c>
      <c r="D47" s="5" t="s">
        <v>394</v>
      </c>
      <c r="E47" s="5"/>
    </row>
    <row r="48" customFormat="false" ht="36" hidden="false" customHeight="true" outlineLevel="0" collapsed="false">
      <c r="A48" s="4" t="s">
        <v>350</v>
      </c>
      <c r="B48" s="4" t="s">
        <v>403</v>
      </c>
      <c r="C48" s="4" t="n">
        <f aca="false">IF(AND(C45&gt;0,C47&gt;0),ROUNDUP(C45*C47,0),0)</f>
        <v>450</v>
      </c>
      <c r="D48" s="4" t="s">
        <v>368</v>
      </c>
      <c r="E48" s="4"/>
    </row>
    <row r="49" customFormat="false" ht="36" hidden="false" customHeight="true" outlineLevel="0" collapsed="false">
      <c r="A49" s="5" t="s">
        <v>335</v>
      </c>
      <c r="B49" s="5" t="s">
        <v>404</v>
      </c>
      <c r="C49" s="6" t="n">
        <v>0</v>
      </c>
      <c r="D49" s="5" t="s">
        <v>405</v>
      </c>
      <c r="E49" s="5" t="s">
        <v>406</v>
      </c>
    </row>
    <row r="50" customFormat="false" ht="36" hidden="false" customHeight="true" outlineLevel="0" collapsed="false">
      <c r="A50" s="4" t="s">
        <v>350</v>
      </c>
      <c r="B50" s="4" t="s">
        <v>407</v>
      </c>
      <c r="C50" s="8" t="b">
        <f aca="false">AND(C49=0,C45&gt;0,C47&gt;0)</f>
        <v>1</v>
      </c>
      <c r="D50" s="4" t="s">
        <v>408</v>
      </c>
      <c r="E50" s="4" t="s">
        <v>409</v>
      </c>
    </row>
    <row r="52" customFormat="false" ht="28.5" hidden="false" customHeight="true" outlineLevel="0" collapsed="false">
      <c r="A52" s="3" t="s">
        <v>410</v>
      </c>
      <c r="B52" s="3"/>
      <c r="C52" s="3"/>
      <c r="D52" s="3"/>
      <c r="E52" s="3"/>
    </row>
    <row r="53" customFormat="false" ht="36" hidden="false" customHeight="true" outlineLevel="0" collapsed="false">
      <c r="A53" s="5" t="s">
        <v>335</v>
      </c>
      <c r="B53" s="5" t="s">
        <v>411</v>
      </c>
      <c r="C53" s="6" t="n">
        <v>170</v>
      </c>
      <c r="D53" s="5" t="s">
        <v>368</v>
      </c>
      <c r="E53" s="5"/>
    </row>
    <row r="54" customFormat="false" ht="36" hidden="false" customHeight="true" outlineLevel="0" collapsed="false">
      <c r="A54" s="4" t="s">
        <v>335</v>
      </c>
      <c r="B54" s="4" t="s">
        <v>412</v>
      </c>
      <c r="C54" s="6" t="n">
        <v>150</v>
      </c>
      <c r="D54" s="4" t="s">
        <v>405</v>
      </c>
      <c r="E54" s="4"/>
    </row>
    <row r="55" customFormat="false" ht="36" hidden="false" customHeight="true" outlineLevel="0" collapsed="false">
      <c r="A55" s="5" t="s">
        <v>335</v>
      </c>
      <c r="B55" s="5" t="s">
        <v>413</v>
      </c>
      <c r="C55" s="6" t="n">
        <v>180</v>
      </c>
      <c r="D55" s="5" t="s">
        <v>405</v>
      </c>
      <c r="E55" s="5" t="s">
        <v>414</v>
      </c>
    </row>
    <row r="56" customFormat="false" ht="36" hidden="false" customHeight="true" outlineLevel="0" collapsed="false">
      <c r="A56" s="4" t="s">
        <v>350</v>
      </c>
      <c r="B56" s="4" t="s">
        <v>415</v>
      </c>
      <c r="C56" s="4" t="n">
        <f aca="false">C55*2/3</f>
        <v>120</v>
      </c>
      <c r="D56" s="4" t="s">
        <v>405</v>
      </c>
      <c r="E56" s="4" t="s">
        <v>416</v>
      </c>
    </row>
    <row r="57" customFormat="false" ht="36" hidden="false" customHeight="true" outlineLevel="0" collapsed="false">
      <c r="A57" s="5" t="s">
        <v>350</v>
      </c>
      <c r="B57" s="5" t="s">
        <v>417</v>
      </c>
      <c r="C57" s="5" t="n">
        <f aca="false">IF(C54&lt;C55,MAX(0,50-ROUNDDOWN(MAX(0,C54-C56)/(C55/12),0)),0)</f>
        <v>48</v>
      </c>
      <c r="D57" s="5" t="s">
        <v>368</v>
      </c>
      <c r="E57" s="5" t="s">
        <v>418</v>
      </c>
    </row>
    <row r="58" customFormat="false" ht="36" hidden="false" customHeight="true" outlineLevel="0" collapsed="false">
      <c r="A58" s="4" t="s">
        <v>350</v>
      </c>
      <c r="B58" s="4" t="s">
        <v>419</v>
      </c>
      <c r="C58" s="4" t="n">
        <f aca="false">IF(C54&lt;C55,C53+C57,0)</f>
        <v>218</v>
      </c>
      <c r="D58" s="4" t="s">
        <v>368</v>
      </c>
      <c r="E58" s="4" t="s">
        <v>420</v>
      </c>
    </row>
    <row r="59" customFormat="false" ht="36" hidden="false" customHeight="true" outlineLevel="0" collapsed="false">
      <c r="A59" s="5" t="s">
        <v>335</v>
      </c>
      <c r="B59" s="5" t="s">
        <v>421</v>
      </c>
      <c r="C59" s="6" t="n">
        <v>3</v>
      </c>
      <c r="D59" s="5" t="s">
        <v>422</v>
      </c>
      <c r="E59" s="5"/>
    </row>
    <row r="60" customFormat="false" ht="36" hidden="false" customHeight="true" outlineLevel="0" collapsed="false">
      <c r="A60" s="4" t="s">
        <v>423</v>
      </c>
      <c r="B60" s="4" t="s">
        <v>424</v>
      </c>
      <c r="C60" s="9" t="n">
        <f aca="false">MAX(60,180/(1+0.1*(C59-1)))</f>
        <v>150</v>
      </c>
      <c r="D60" s="4" t="s">
        <v>405</v>
      </c>
      <c r="E60" s="4" t="s">
        <v>425</v>
      </c>
    </row>
    <row r="61" customFormat="false" ht="36" hidden="false" customHeight="true" outlineLevel="0" collapsed="false">
      <c r="A61" s="5" t="s">
        <v>423</v>
      </c>
      <c r="B61" s="5" t="s">
        <v>426</v>
      </c>
      <c r="C61" s="5" t="n">
        <f aca="false">MIN(6,1+ROUNDDOWN((C59-1)/2,0))</f>
        <v>2</v>
      </c>
      <c r="D61" s="5" t="s">
        <v>427</v>
      </c>
      <c r="E61" s="5"/>
    </row>
    <row r="62" customFormat="false" ht="36" hidden="false" customHeight="true" outlineLevel="0" collapsed="false">
      <c r="A62" s="4" t="s">
        <v>423</v>
      </c>
      <c r="B62" s="4" t="s">
        <v>428</v>
      </c>
      <c r="C62" s="4" t="n">
        <f aca="false">MIN(8,3+ROUNDDOWN((C59-1)/3,0))</f>
        <v>3</v>
      </c>
      <c r="D62" s="4" t="s">
        <v>429</v>
      </c>
      <c r="E62" s="4"/>
    </row>
    <row r="64" customFormat="false" ht="28.5" hidden="false" customHeight="true" outlineLevel="0" collapsed="false">
      <c r="A64" s="3" t="s">
        <v>430</v>
      </c>
      <c r="B64" s="3"/>
      <c r="C64" s="3"/>
      <c r="D64" s="3"/>
      <c r="E64" s="3"/>
    </row>
    <row r="65" customFormat="false" ht="36" hidden="false" customHeight="true" outlineLevel="0" collapsed="false">
      <c r="A65" s="5" t="s">
        <v>350</v>
      </c>
      <c r="B65" s="5" t="s">
        <v>431</v>
      </c>
      <c r="C65" s="5" t="n">
        <v>25</v>
      </c>
      <c r="D65" s="5" t="s">
        <v>432</v>
      </c>
      <c r="E65" s="5" t="s">
        <v>433</v>
      </c>
    </row>
    <row r="66" customFormat="false" ht="36" hidden="false" customHeight="true" outlineLevel="0" collapsed="false">
      <c r="A66" s="4" t="s">
        <v>335</v>
      </c>
      <c r="B66" s="4" t="s">
        <v>434</v>
      </c>
      <c r="C66" s="6" t="n">
        <v>200</v>
      </c>
      <c r="D66" s="4" t="s">
        <v>345</v>
      </c>
      <c r="E66" s="4" t="s">
        <v>435</v>
      </c>
    </row>
    <row r="67" customFormat="false" ht="36" hidden="false" customHeight="true" outlineLevel="0" collapsed="false">
      <c r="A67" s="5" t="s">
        <v>335</v>
      </c>
      <c r="B67" s="5" t="s">
        <v>436</v>
      </c>
      <c r="C67" s="6" t="n">
        <v>0</v>
      </c>
      <c r="D67" s="5" t="s">
        <v>437</v>
      </c>
      <c r="E67" s="5" t="s">
        <v>438</v>
      </c>
    </row>
    <row r="68" customFormat="false" ht="36" hidden="false" customHeight="true" outlineLevel="0" collapsed="false">
      <c r="A68" s="4" t="s">
        <v>350</v>
      </c>
      <c r="B68" s="4" t="s">
        <v>439</v>
      </c>
      <c r="C68" s="4" t="n">
        <f aca="false">C66*5*(1+C67)</f>
        <v>1000</v>
      </c>
      <c r="D68" s="4" t="s">
        <v>345</v>
      </c>
      <c r="E68" s="4" t="s">
        <v>180</v>
      </c>
    </row>
    <row r="69" customFormat="false" ht="36" hidden="false" customHeight="true" outlineLevel="0" collapsed="false">
      <c r="A69" s="5" t="s">
        <v>350</v>
      </c>
      <c r="B69" s="5" t="s">
        <v>440</v>
      </c>
      <c r="C69" s="5" t="n">
        <f aca="false">C65*5*100</f>
        <v>12500</v>
      </c>
      <c r="D69" s="5" t="s">
        <v>345</v>
      </c>
      <c r="E69" s="5" t="s">
        <v>441</v>
      </c>
    </row>
    <row r="70" customFormat="false" ht="36" hidden="false" customHeight="true" outlineLevel="0" collapsed="false">
      <c r="A70" s="4" t="s">
        <v>350</v>
      </c>
      <c r="B70" s="4" t="s">
        <v>442</v>
      </c>
      <c r="C70" s="4" t="n">
        <f aca="false">C65*5*300</f>
        <v>37500</v>
      </c>
      <c r="D70" s="4" t="s">
        <v>345</v>
      </c>
      <c r="E70" s="4" t="s">
        <v>441</v>
      </c>
    </row>
    <row r="71" customFormat="false" ht="36" hidden="false" customHeight="true" outlineLevel="0" collapsed="false">
      <c r="A71" s="5" t="s">
        <v>350</v>
      </c>
      <c r="B71" s="5" t="s">
        <v>443</v>
      </c>
      <c r="C71" s="5" t="n">
        <f aca="false">C65*5*200</f>
        <v>25000</v>
      </c>
      <c r="D71" s="5" t="s">
        <v>345</v>
      </c>
      <c r="E71" s="5" t="s">
        <v>444</v>
      </c>
    </row>
    <row r="72" customFormat="false" ht="36" hidden="false" customHeight="true" outlineLevel="0" collapsed="false">
      <c r="A72" s="4" t="s">
        <v>350</v>
      </c>
      <c r="B72" s="4" t="s">
        <v>445</v>
      </c>
      <c r="C72" s="4" t="n">
        <f aca="false">C71*2</f>
        <v>50000</v>
      </c>
      <c r="D72" s="4" t="s">
        <v>345</v>
      </c>
      <c r="E72" s="4" t="s">
        <v>446</v>
      </c>
    </row>
    <row r="74" customFormat="false" ht="28.5" hidden="false" customHeight="true" outlineLevel="0" collapsed="false">
      <c r="A74" s="3" t="s">
        <v>447</v>
      </c>
      <c r="B74" s="3"/>
      <c r="C74" s="3"/>
      <c r="D74" s="3"/>
      <c r="E74" s="3"/>
    </row>
    <row r="75" customFormat="false" ht="36" hidden="false" customHeight="true" outlineLevel="0" collapsed="false">
      <c r="A75" s="5" t="s">
        <v>335</v>
      </c>
      <c r="B75" s="5" t="s">
        <v>448</v>
      </c>
      <c r="C75" s="6" t="n">
        <v>100</v>
      </c>
      <c r="D75" s="5" t="s">
        <v>449</v>
      </c>
      <c r="E75" s="5"/>
    </row>
    <row r="76" customFormat="false" ht="36" hidden="false" customHeight="true" outlineLevel="0" collapsed="false">
      <c r="A76" s="4" t="s">
        <v>350</v>
      </c>
      <c r="B76" s="4" t="s">
        <v>450</v>
      </c>
      <c r="C76" s="4" t="n">
        <f aca="false">C75*100</f>
        <v>10000</v>
      </c>
      <c r="D76" s="4" t="s">
        <v>451</v>
      </c>
      <c r="E76" s="4"/>
    </row>
    <row r="77" customFormat="false" ht="36" hidden="false" customHeight="true" outlineLevel="0" collapsed="false">
      <c r="A77" s="5" t="s">
        <v>350</v>
      </c>
      <c r="B77" s="5" t="s">
        <v>452</v>
      </c>
      <c r="C77" s="5" t="n">
        <f aca="false">100*100*5</f>
        <v>50000</v>
      </c>
      <c r="D77" s="5" t="s">
        <v>451</v>
      </c>
      <c r="E77" s="5"/>
    </row>
    <row r="78" customFormat="false" ht="36" hidden="false" customHeight="true" outlineLevel="0" collapsed="false">
      <c r="A78" s="4" t="s">
        <v>335</v>
      </c>
      <c r="B78" s="4" t="s">
        <v>453</v>
      </c>
      <c r="C78" s="6" t="n">
        <v>2</v>
      </c>
      <c r="D78" s="4" t="s">
        <v>337</v>
      </c>
      <c r="E78" s="4"/>
    </row>
    <row r="79" customFormat="false" ht="36" hidden="false" customHeight="true" outlineLevel="0" collapsed="false">
      <c r="A79" s="5" t="s">
        <v>454</v>
      </c>
      <c r="B79" s="5" t="s">
        <v>455</v>
      </c>
      <c r="C79" s="5" t="n">
        <f aca="false">500*C78</f>
        <v>1000</v>
      </c>
      <c r="D79" s="5" t="s">
        <v>456</v>
      </c>
      <c r="E79" s="5" t="s">
        <v>457</v>
      </c>
    </row>
    <row r="80" customFormat="false" ht="36" hidden="false" customHeight="true" outlineLevel="0" collapsed="false">
      <c r="A80" s="4" t="s">
        <v>335</v>
      </c>
      <c r="B80" s="4" t="s">
        <v>458</v>
      </c>
      <c r="C80" s="6" t="n">
        <v>1000</v>
      </c>
      <c r="D80" s="4" t="s">
        <v>368</v>
      </c>
      <c r="E80" s="4"/>
    </row>
    <row r="81" customFormat="false" ht="36" hidden="false" customHeight="true" outlineLevel="0" collapsed="false">
      <c r="A81" s="5" t="s">
        <v>350</v>
      </c>
      <c r="B81" s="5" t="s">
        <v>459</v>
      </c>
      <c r="C81" s="5" t="n">
        <f aca="false">C78*C80</f>
        <v>2000</v>
      </c>
      <c r="D81" s="5" t="s">
        <v>460</v>
      </c>
      <c r="E81" s="5"/>
    </row>
    <row r="82" customFormat="false" ht="36" hidden="false" customHeight="true" outlineLevel="0" collapsed="false">
      <c r="A82" s="4" t="s">
        <v>335</v>
      </c>
      <c r="B82" s="4" t="s">
        <v>461</v>
      </c>
      <c r="C82" s="6" t="n">
        <v>1</v>
      </c>
      <c r="D82" s="4" t="s">
        <v>337</v>
      </c>
      <c r="E82" s="4"/>
    </row>
    <row r="83" customFormat="false" ht="36" hidden="false" customHeight="true" outlineLevel="0" collapsed="false">
      <c r="A83" s="5" t="s">
        <v>350</v>
      </c>
      <c r="B83" s="5" t="s">
        <v>462</v>
      </c>
      <c r="C83" s="5" t="n">
        <f aca="false">ROUNDDOWN(1000*1.5^(C82-1),0)</f>
        <v>1000</v>
      </c>
      <c r="D83" s="5" t="s">
        <v>345</v>
      </c>
      <c r="E83" s="5"/>
    </row>
    <row r="84" customFormat="false" ht="36" hidden="false" customHeight="true" outlineLevel="0" collapsed="false">
      <c r="A84" s="4" t="s">
        <v>350</v>
      </c>
      <c r="B84" s="4" t="s">
        <v>463</v>
      </c>
      <c r="C84" s="4" t="n">
        <f aca="false">ROUNDDOWN(4000*1.5^(C82-1),0)</f>
        <v>4000</v>
      </c>
      <c r="D84" s="4" t="s">
        <v>345</v>
      </c>
      <c r="E84" s="4"/>
    </row>
    <row r="85" customFormat="false" ht="36" hidden="false" customHeight="true" outlineLevel="0" collapsed="false">
      <c r="A85" s="5" t="s">
        <v>350</v>
      </c>
      <c r="B85" s="5" t="s">
        <v>464</v>
      </c>
      <c r="C85" s="5" t="n">
        <f aca="false">50*C82</f>
        <v>50</v>
      </c>
      <c r="D85" s="5" t="s">
        <v>345</v>
      </c>
      <c r="E85" s="5"/>
    </row>
    <row r="86" customFormat="false" ht="36" hidden="false" customHeight="true" outlineLevel="0" collapsed="false">
      <c r="A86" s="4" t="s">
        <v>350</v>
      </c>
      <c r="B86" s="4" t="s">
        <v>465</v>
      </c>
      <c r="C86" s="4" t="n">
        <f aca="false">C84-C85</f>
        <v>3950</v>
      </c>
      <c r="D86" s="4" t="s">
        <v>345</v>
      </c>
      <c r="E86" s="4"/>
    </row>
    <row r="88" customFormat="false" ht="28.5" hidden="false" customHeight="true" outlineLevel="0" collapsed="false">
      <c r="A88" s="3" t="s">
        <v>131</v>
      </c>
      <c r="B88" s="3"/>
      <c r="C88" s="3"/>
      <c r="D88" s="3"/>
      <c r="E88" s="3"/>
    </row>
    <row r="89" customFormat="false" ht="36" hidden="false" customHeight="true" outlineLevel="0" collapsed="false">
      <c r="A89" s="5" t="s">
        <v>335</v>
      </c>
      <c r="B89" s="5" t="s">
        <v>466</v>
      </c>
      <c r="C89" s="6" t="n">
        <v>1</v>
      </c>
      <c r="D89" s="5" t="s">
        <v>467</v>
      </c>
      <c r="E89" s="5" t="s">
        <v>468</v>
      </c>
    </row>
    <row r="90" customFormat="false" ht="36" hidden="false" customHeight="true" outlineLevel="0" collapsed="false">
      <c r="A90" s="4" t="s">
        <v>423</v>
      </c>
      <c r="B90" s="4" t="s">
        <v>469</v>
      </c>
      <c r="C90" s="4" t="n">
        <f aca="false">MIN(120,24+6*(C89-1))</f>
        <v>24</v>
      </c>
      <c r="D90" s="4" t="s">
        <v>470</v>
      </c>
      <c r="E90" s="4"/>
    </row>
    <row r="91" customFormat="false" ht="36" hidden="false" customHeight="true" outlineLevel="0" collapsed="false">
      <c r="A91" s="5" t="s">
        <v>350</v>
      </c>
      <c r="B91" s="5" t="s">
        <v>471</v>
      </c>
      <c r="C91" s="5" t="n">
        <f aca="false">C90/3</f>
        <v>8</v>
      </c>
      <c r="D91" s="5" t="s">
        <v>472</v>
      </c>
      <c r="E91" s="5" t="s">
        <v>473</v>
      </c>
    </row>
    <row r="92" customFormat="false" ht="36" hidden="false" customHeight="true" outlineLevel="0" collapsed="false">
      <c r="A92" s="4" t="s">
        <v>423</v>
      </c>
      <c r="B92" s="4" t="s">
        <v>474</v>
      </c>
      <c r="C92" s="4" t="n">
        <f aca="false">MIN(900,240+30*(C89-1))</f>
        <v>240</v>
      </c>
      <c r="D92" s="4" t="s">
        <v>405</v>
      </c>
      <c r="E92" s="4" t="s">
        <v>475</v>
      </c>
    </row>
    <row r="93" customFormat="false" ht="36" hidden="false" customHeight="true" outlineLevel="0" collapsed="false">
      <c r="A93" s="5" t="s">
        <v>350</v>
      </c>
      <c r="B93" s="5" t="s">
        <v>415</v>
      </c>
      <c r="C93" s="5" t="n">
        <f aca="false">C92*2/3</f>
        <v>160</v>
      </c>
      <c r="D93" s="5" t="s">
        <v>405</v>
      </c>
      <c r="E93" s="5"/>
    </row>
    <row r="94" customFormat="false" ht="36" hidden="false" customHeight="true" outlineLevel="0" collapsed="false">
      <c r="A94" s="4" t="s">
        <v>350</v>
      </c>
      <c r="B94" s="4" t="s">
        <v>476</v>
      </c>
      <c r="C94" s="4" t="n">
        <f aca="false">C92/12</f>
        <v>20</v>
      </c>
      <c r="D94" s="4" t="s">
        <v>405</v>
      </c>
      <c r="E94" s="4"/>
    </row>
    <row r="95" customFormat="false" ht="36" hidden="false" customHeight="true" outlineLevel="0" collapsed="false">
      <c r="A95" s="5" t="s">
        <v>423</v>
      </c>
      <c r="B95" s="5" t="s">
        <v>477</v>
      </c>
      <c r="C95" s="5" t="n">
        <f aca="false">IF(C89&gt;=4,MAX(30,60-2*(C89-4)),0)</f>
        <v>0</v>
      </c>
      <c r="D95" s="5" t="s">
        <v>405</v>
      </c>
      <c r="E95" s="5" t="s">
        <v>478</v>
      </c>
    </row>
    <row r="96" customFormat="false" ht="36" hidden="false" customHeight="true" outlineLevel="0" collapsed="false">
      <c r="A96" s="4" t="s">
        <v>350</v>
      </c>
      <c r="B96" s="4" t="s">
        <v>479</v>
      </c>
      <c r="C96" s="4" t="n">
        <f aca="false">C90/3</f>
        <v>8</v>
      </c>
      <c r="D96" s="4" t="s">
        <v>480</v>
      </c>
      <c r="E96" s="4"/>
    </row>
    <row r="98" customFormat="false" ht="36" hidden="false" customHeight="true" outlineLevel="0" collapsed="false">
      <c r="A98" s="4" t="s">
        <v>481</v>
      </c>
      <c r="B98" s="4" t="s">
        <v>482</v>
      </c>
      <c r="C98" s="4" t="s">
        <v>483</v>
      </c>
      <c r="D98" s="4"/>
      <c r="E98" s="4" t="s">
        <v>484</v>
      </c>
    </row>
    <row r="99" customFormat="false" ht="36" hidden="false" customHeight="true" outlineLevel="0" collapsed="false">
      <c r="A99" s="5" t="s">
        <v>481</v>
      </c>
      <c r="B99" s="5" t="s">
        <v>485</v>
      </c>
      <c r="C99" s="5" t="s">
        <v>486</v>
      </c>
      <c r="D99" s="5"/>
      <c r="E99" s="5" t="s">
        <v>487</v>
      </c>
    </row>
  </sheetData>
  <mergeCells count="2">
    <mergeCell ref="A1:E1"/>
    <mergeCell ref="A2:E2"/>
  </mergeCells>
  <dataValidations count="29">
    <dataValidation allowBlank="false" error="Wpisz wartość w podanym zakresie." errorStyle="stop" operator="between" showDropDown="false" showErrorMessage="true" showInputMessage="false" sqref="C7" type="whole">
      <formula1>1</formula1>
      <formula2>100</formula2>
    </dataValidation>
    <dataValidation allowBlank="false" error="Wpisz wartość w podanym zakresie." errorStyle="stop" operator="between" showDropDown="false" showErrorMessage="true" showInputMessage="false" sqref="C8" type="whole">
      <formula1>0</formula1>
      <formula2>5</formula2>
    </dataValidation>
    <dataValidation allowBlank="false" error="Wpisz wartość w podanym zakresie." errorStyle="stop" operator="between" showDropDown="false" showErrorMessage="true" showInputMessage="false" sqref="C9" type="whole">
      <formula1>0</formula1>
      <formula2>1200</formula2>
    </dataValidation>
    <dataValidation allowBlank="false" error="Wpisz wartość w podanym zakresie." errorStyle="stop" operator="between" showDropDown="false" showErrorMessage="true" showInputMessage="false" sqref="C10" type="decimal">
      <formula1>0.5</formula1>
      <formula2>1</formula2>
    </dataValidation>
    <dataValidation allowBlank="false" error="Wpisz wartość w podanym zakresie." errorStyle="stop" operator="between" showDropDown="false" showErrorMessage="true" showInputMessage="false" sqref="C11" type="whole">
      <formula1>0</formula1>
      <formula2>10000000</formula2>
    </dataValidation>
    <dataValidation allowBlank="false" error="Wpisz wartość w podanym zakresie." errorStyle="stop" operator="between" showDropDown="false" showErrorMessage="true" showInputMessage="false" sqref="C12" type="whole">
      <formula1>1</formula1>
      <formula2>300</formula2>
    </dataValidation>
    <dataValidation allowBlank="false" error="Wpisz wartość w podanym zakresie." errorStyle="stop" operator="between" showDropDown="false" showErrorMessage="true" showInputMessage="false" sqref="C14" type="whole">
      <formula1>1</formula1>
      <formula2>2</formula2>
    </dataValidation>
    <dataValidation allowBlank="false" error="Wpisz wartość w podanym zakresie." errorStyle="stop" operator="between" showDropDown="false" showErrorMessage="true" showInputMessage="false" sqref="C15" type="whole">
      <formula1>1</formula1>
      <formula2>2</formula2>
    </dataValidation>
    <dataValidation allowBlank="false" error="Wpisz wartość w podanym zakresie." errorStyle="stop" operator="between" showDropDown="false" showErrorMessage="true" showInputMessage="false" sqref="C25" type="whole">
      <formula1>0</formula1>
      <formula2>1000000</formula2>
    </dataValidation>
    <dataValidation allowBlank="false" error="Wpisz wartość w podanym zakresie." errorStyle="stop" operator="between" showDropDown="false" showErrorMessage="true" showInputMessage="false" sqref="C26" type="whole">
      <formula1>0</formula1>
      <formula2>1000000</formula2>
    </dataValidation>
    <dataValidation allowBlank="false" error="Wpisz wartość w podanym zakresie." errorStyle="stop" operator="between" showDropDown="false" showErrorMessage="true" showInputMessage="false" sqref="C28" type="whole">
      <formula1>0</formula1>
      <formula2>10000000</formula2>
    </dataValidation>
    <dataValidation allowBlank="false" error="Wpisz wartość w podanym zakresie." errorStyle="stop" operator="between" showDropDown="false" showErrorMessage="true" showInputMessage="false" sqref="C29" type="whole">
      <formula1>0</formula1>
      <formula2>10000000</formula2>
    </dataValidation>
    <dataValidation allowBlank="false" error="Wpisz wartość w podanym zakresie." errorStyle="stop" operator="between" showDropDown="false" showErrorMessage="true" showInputMessage="false" sqref="C40" type="whole">
      <formula1>0</formula1>
      <formula2>2400</formula2>
    </dataValidation>
    <dataValidation allowBlank="false" error="Wpisz wartość w podanym zakresie." errorStyle="stop" operator="between" showDropDown="false" showErrorMessage="true" showInputMessage="false" sqref="C41" type="whole">
      <formula1>1</formula1>
      <formula2>50</formula2>
    </dataValidation>
    <dataValidation allowBlank="false" error="Wpisz wartość w podanym zakresie." errorStyle="stop" operator="between" showDropDown="false" showErrorMessage="true" showInputMessage="false" sqref="C42" type="whole">
      <formula1>0</formula1>
      <formula2>2400</formula2>
    </dataValidation>
    <dataValidation allowBlank="false" error="Wpisz wartość w podanym zakresie." errorStyle="stop" operator="between" showDropDown="false" showErrorMessage="true" showInputMessage="false" sqref="C43" type="whole">
      <formula1>5</formula1>
      <formula2>100</formula2>
    </dataValidation>
    <dataValidation allowBlank="false" error="Wpisz wartość w podanym zakresie." errorStyle="stop" operator="between" showDropDown="false" showErrorMessage="true" showInputMessage="false" sqref="C44" type="whole">
      <formula1>1</formula1>
      <formula2>5</formula2>
    </dataValidation>
    <dataValidation allowBlank="false" error="Wpisz wartość w podanym zakresie." errorStyle="stop" operator="between" showDropDown="false" showErrorMessage="true" showInputMessage="false" sqref="C49" type="whole">
      <formula1>0</formula1>
      <formula2>21600</formula2>
    </dataValidation>
    <dataValidation allowBlank="false" error="Wpisz wartość w podanym zakresie." errorStyle="stop" operator="between" showDropDown="false" showErrorMessage="true" showInputMessage="false" sqref="C53" type="whole">
      <formula1>0</formula1>
      <formula2>10000000</formula2>
    </dataValidation>
    <dataValidation allowBlank="false" error="Wpisz wartość w podanym zakresie." errorStyle="stop" operator="between" showDropDown="false" showErrorMessage="true" showInputMessage="false" sqref="C54" type="whole">
      <formula1>0</formula1>
      <formula2>86400</formula2>
    </dataValidation>
    <dataValidation allowBlank="false" error="Wpisz wartość w podanym zakresie." errorStyle="stop" operator="between" showDropDown="false" showErrorMessage="true" showInputMessage="false" sqref="C55" type="whole">
      <formula1>1</formula1>
      <formula2>86400</formula2>
    </dataValidation>
    <dataValidation allowBlank="false" error="Wpisz wartość w podanym zakresie." errorStyle="stop" operator="between" showDropDown="false" showErrorMessage="true" showInputMessage="false" sqref="C59" type="whole">
      <formula1>1</formula1>
      <formula2>10000</formula2>
    </dataValidation>
    <dataValidation allowBlank="false" error="Wpisz wartość w podanym zakresie." errorStyle="stop" operator="between" showDropDown="false" showErrorMessage="true" showInputMessage="false" sqref="C66" type="whole">
      <formula1>100</formula1>
      <formula2>300</formula2>
    </dataValidation>
    <dataValidation allowBlank="false" error="Wpisz wartość w podanym zakresie." errorStyle="stop" operator="between" showDropDown="false" showErrorMessage="true" showInputMessage="false" sqref="C67" type="whole">
      <formula1>0</formula1>
      <formula2>1</formula2>
    </dataValidation>
    <dataValidation allowBlank="false" error="Wpisz wartość w podanym zakresie." errorStyle="stop" operator="between" showDropDown="false" showErrorMessage="true" showInputMessage="false" sqref="C75" type="whole">
      <formula1>0</formula1>
      <formula2>100</formula2>
    </dataValidation>
    <dataValidation allowBlank="false" error="Wpisz wartość w podanym zakresie." errorStyle="stop" operator="between" showDropDown="false" showErrorMessage="true" showInputMessage="false" sqref="C78" type="whole">
      <formula1>1</formula1>
      <formula2>100</formula2>
    </dataValidation>
    <dataValidation allowBlank="false" error="Wpisz wartość w podanym zakresie." errorStyle="stop" operator="between" showDropDown="false" showErrorMessage="true" showInputMessage="false" sqref="C80" type="whole">
      <formula1>0</formula1>
      <formula2>1000000000</formula2>
    </dataValidation>
    <dataValidation allowBlank="false" error="Wpisz wartość w podanym zakresie." errorStyle="stop" operator="between" showDropDown="false" showErrorMessage="true" showInputMessage="false" sqref="C82" type="whole">
      <formula1>1</formula1>
      <formula2>100</formula2>
    </dataValidation>
    <dataValidation allowBlank="false" error="Wpisz wartość w podanym zakresie." errorStyle="stop" operator="between" showDropDown="false" showErrorMessage="true" showInputMessage="false" sqref="C89" type="whole">
      <formula1>1</formula1>
      <formula2>10000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8"/>
    <col collapsed="false" customWidth="true" hidden="false" outlineLevel="0" max="2" min="2" style="10" width="122"/>
    <col collapsed="false" customWidth="true" hidden="false" outlineLevel="0" max="3" min="3" style="10" width="38"/>
  </cols>
  <sheetData>
    <row r="1" customFormat="false" ht="34.5" hidden="false" customHeight="true" outlineLevel="0" collapsed="false">
      <c r="A1" s="1" t="s">
        <v>488</v>
      </c>
      <c r="B1" s="1"/>
      <c r="C1" s="1"/>
    </row>
    <row r="2" customFormat="false" ht="67.5" hidden="false" customHeight="true" outlineLevel="0" collapsed="false">
      <c r="A2" s="2" t="s">
        <v>489</v>
      </c>
      <c r="B2" s="2"/>
      <c r="C2" s="2"/>
    </row>
    <row r="5" customFormat="false" ht="30" hidden="false" customHeight="true" outlineLevel="0" collapsed="false">
      <c r="A5" s="3" t="s">
        <v>2</v>
      </c>
      <c r="B5" s="3" t="s">
        <v>3</v>
      </c>
      <c r="C5" s="3" t="s">
        <v>4</v>
      </c>
    </row>
    <row r="6" customFormat="false" ht="73.5" hidden="false" customHeight="true" outlineLevel="0" collapsed="false">
      <c r="A6" s="4" t="s">
        <v>8</v>
      </c>
      <c r="B6" s="4" t="s">
        <v>9</v>
      </c>
      <c r="C6" s="4" t="s">
        <v>10</v>
      </c>
    </row>
    <row r="7" customFormat="false" ht="73.5" hidden="false" customHeight="true" outlineLevel="0" collapsed="false">
      <c r="A7" s="5" t="s">
        <v>14</v>
      </c>
      <c r="B7" s="5" t="s">
        <v>15</v>
      </c>
      <c r="C7" s="5" t="s">
        <v>16</v>
      </c>
    </row>
    <row r="8" customFormat="false" ht="73.5" hidden="false" customHeight="true" outlineLevel="0" collapsed="false">
      <c r="A8" s="4" t="s">
        <v>17</v>
      </c>
      <c r="B8" s="4" t="s">
        <v>18</v>
      </c>
      <c r="C8" s="4" t="s">
        <v>19</v>
      </c>
    </row>
    <row r="9" customFormat="false" ht="73.5" hidden="false" customHeight="true" outlineLevel="0" collapsed="false">
      <c r="A9" s="5" t="s">
        <v>20</v>
      </c>
      <c r="B9" s="5" t="s">
        <v>21</v>
      </c>
      <c r="C9" s="5" t="s">
        <v>22</v>
      </c>
    </row>
    <row r="10" customFormat="false" ht="73.5" hidden="false" customHeight="true" outlineLevel="0" collapsed="false">
      <c r="A10" s="4" t="s">
        <v>23</v>
      </c>
      <c r="B10" s="4" t="s">
        <v>490</v>
      </c>
      <c r="C10" s="4" t="s">
        <v>28</v>
      </c>
    </row>
    <row r="11" customFormat="false" ht="73.5" hidden="false" customHeight="true" outlineLevel="0" collapsed="false">
      <c r="A11" s="5" t="s">
        <v>26</v>
      </c>
      <c r="B11" s="5" t="s">
        <v>27</v>
      </c>
      <c r="C11" s="5" t="s">
        <v>28</v>
      </c>
    </row>
    <row r="12" customFormat="false" ht="73.5" hidden="false" customHeight="true" outlineLevel="0" collapsed="false">
      <c r="A12" s="4" t="s">
        <v>29</v>
      </c>
      <c r="B12" s="4" t="s">
        <v>30</v>
      </c>
      <c r="C12" s="4" t="s">
        <v>31</v>
      </c>
    </row>
    <row r="13" customFormat="false" ht="73.5" hidden="false" customHeight="true" outlineLevel="0" collapsed="false">
      <c r="A13" s="5" t="s">
        <v>32</v>
      </c>
      <c r="B13" s="5" t="s">
        <v>33</v>
      </c>
      <c r="C13" s="5" t="s">
        <v>34</v>
      </c>
    </row>
    <row r="14" customFormat="false" ht="73.5" hidden="false" customHeight="true" outlineLevel="0" collapsed="false">
      <c r="A14" s="4" t="s">
        <v>35</v>
      </c>
      <c r="B14" s="4" t="s">
        <v>36</v>
      </c>
      <c r="C14" s="4" t="s">
        <v>37</v>
      </c>
    </row>
    <row r="15" customFormat="false" ht="73.5" hidden="false" customHeight="true" outlineLevel="0" collapsed="false">
      <c r="A15" s="5" t="s">
        <v>38</v>
      </c>
      <c r="B15" s="5" t="s">
        <v>39</v>
      </c>
      <c r="C15" s="5" t="s">
        <v>40</v>
      </c>
    </row>
    <row r="16" customFormat="false" ht="73.5" hidden="false" customHeight="true" outlineLevel="0" collapsed="false">
      <c r="A16" s="4" t="s">
        <v>41</v>
      </c>
      <c r="B16" s="4" t="s">
        <v>42</v>
      </c>
      <c r="C16" s="4" t="s">
        <v>43</v>
      </c>
    </row>
    <row r="17" customFormat="false" ht="73.5" hidden="false" customHeight="true" outlineLevel="0" collapsed="false">
      <c r="A17" s="5" t="s">
        <v>44</v>
      </c>
      <c r="B17" s="5" t="s">
        <v>45</v>
      </c>
      <c r="C17" s="5" t="s">
        <v>46</v>
      </c>
    </row>
    <row r="18" customFormat="false" ht="73.5" hidden="false" customHeight="true" outlineLevel="0" collapsed="false">
      <c r="A18" s="4" t="s">
        <v>47</v>
      </c>
      <c r="B18" s="4" t="s">
        <v>48</v>
      </c>
      <c r="C18" s="4" t="s">
        <v>49</v>
      </c>
    </row>
    <row r="19" customFormat="false" ht="73.5" hidden="false" customHeight="true" outlineLevel="0" collapsed="false">
      <c r="A19" s="5" t="s">
        <v>50</v>
      </c>
      <c r="B19" s="5" t="s">
        <v>51</v>
      </c>
      <c r="C19" s="5" t="s">
        <v>52</v>
      </c>
    </row>
    <row r="20" customFormat="false" ht="73.5" hidden="false" customHeight="true" outlineLevel="0" collapsed="false">
      <c r="A20" s="4" t="s">
        <v>53</v>
      </c>
      <c r="B20" s="4" t="s">
        <v>54</v>
      </c>
      <c r="C20" s="4" t="s">
        <v>55</v>
      </c>
    </row>
    <row r="21" customFormat="false" ht="73.5" hidden="false" customHeight="true" outlineLevel="0" collapsed="false">
      <c r="A21" s="5" t="s">
        <v>56</v>
      </c>
      <c r="B21" s="5" t="s">
        <v>57</v>
      </c>
      <c r="C21" s="5" t="s">
        <v>58</v>
      </c>
    </row>
    <row r="22" customFormat="false" ht="73.5" hidden="false" customHeight="true" outlineLevel="0" collapsed="false">
      <c r="A22" s="4" t="s">
        <v>59</v>
      </c>
      <c r="B22" s="4" t="s">
        <v>60</v>
      </c>
      <c r="C22" s="4" t="s">
        <v>61</v>
      </c>
    </row>
    <row r="23" customFormat="false" ht="73.5" hidden="false" customHeight="true" outlineLevel="0" collapsed="false">
      <c r="A23" s="5" t="s">
        <v>62</v>
      </c>
      <c r="B23" s="5" t="s">
        <v>63</v>
      </c>
      <c r="C23" s="5" t="s">
        <v>64</v>
      </c>
    </row>
    <row r="24" customFormat="false" ht="73.5" hidden="false" customHeight="true" outlineLevel="0" collapsed="false">
      <c r="A24" s="4" t="s">
        <v>65</v>
      </c>
      <c r="B24" s="4" t="s">
        <v>66</v>
      </c>
      <c r="C24" s="4" t="s">
        <v>67</v>
      </c>
    </row>
    <row r="25" customFormat="false" ht="73.5" hidden="false" customHeight="true" outlineLevel="0" collapsed="false">
      <c r="A25" s="5" t="s">
        <v>68</v>
      </c>
      <c r="B25" s="5" t="s">
        <v>491</v>
      </c>
      <c r="C25" s="5" t="s">
        <v>492</v>
      </c>
    </row>
    <row r="26" customFormat="false" ht="73.5" hidden="false" customHeight="true" outlineLevel="0" collapsed="false">
      <c r="A26" s="4" t="s">
        <v>71</v>
      </c>
      <c r="B26" s="4" t="s">
        <v>493</v>
      </c>
      <c r="C26" s="4" t="s">
        <v>494</v>
      </c>
    </row>
    <row r="27" customFormat="false" ht="73.5" hidden="false" customHeight="true" outlineLevel="0" collapsed="false">
      <c r="A27" s="5" t="s">
        <v>74</v>
      </c>
      <c r="B27" s="5" t="s">
        <v>75</v>
      </c>
      <c r="C27" s="5" t="s">
        <v>76</v>
      </c>
    </row>
    <row r="28" customFormat="false" ht="73.5" hidden="false" customHeight="true" outlineLevel="0" collapsed="false">
      <c r="A28" s="4" t="s">
        <v>77</v>
      </c>
      <c r="B28" s="4" t="s">
        <v>495</v>
      </c>
      <c r="C28" s="4" t="s">
        <v>496</v>
      </c>
    </row>
    <row r="29" customFormat="false" ht="73.5" hidden="false" customHeight="true" outlineLevel="0" collapsed="false">
      <c r="A29" s="5" t="s">
        <v>80</v>
      </c>
      <c r="B29" s="5" t="s">
        <v>81</v>
      </c>
      <c r="C29" s="5" t="s">
        <v>82</v>
      </c>
    </row>
    <row r="30" customFormat="false" ht="73.5" hidden="false" customHeight="true" outlineLevel="0" collapsed="false">
      <c r="A30" s="4" t="s">
        <v>83</v>
      </c>
      <c r="B30" s="4" t="s">
        <v>84</v>
      </c>
      <c r="C30" s="4" t="s">
        <v>85</v>
      </c>
    </row>
    <row r="31" customFormat="false" ht="73.5" hidden="false" customHeight="true" outlineLevel="0" collapsed="false">
      <c r="A31" s="5" t="s">
        <v>86</v>
      </c>
      <c r="B31" s="5" t="s">
        <v>87</v>
      </c>
      <c r="C31" s="5" t="s">
        <v>88</v>
      </c>
    </row>
    <row r="32" customFormat="false" ht="73.5" hidden="false" customHeight="true" outlineLevel="0" collapsed="false">
      <c r="A32" s="4" t="s">
        <v>89</v>
      </c>
      <c r="B32" s="4" t="s">
        <v>90</v>
      </c>
      <c r="C32" s="4" t="s">
        <v>91</v>
      </c>
    </row>
    <row r="33" customFormat="false" ht="73.5" hidden="false" customHeight="true" outlineLevel="0" collapsed="false">
      <c r="A33" s="5" t="s">
        <v>92</v>
      </c>
      <c r="B33" s="5" t="s">
        <v>93</v>
      </c>
      <c r="C33" s="5" t="s">
        <v>94</v>
      </c>
    </row>
    <row r="34" customFormat="false" ht="73.5" hidden="false" customHeight="true" outlineLevel="0" collapsed="false">
      <c r="A34" s="4" t="s">
        <v>95</v>
      </c>
      <c r="B34" s="4" t="s">
        <v>96</v>
      </c>
      <c r="C34" s="4" t="s">
        <v>97</v>
      </c>
    </row>
    <row r="35" customFormat="false" ht="73.5" hidden="false" customHeight="true" outlineLevel="0" collapsed="false">
      <c r="A35" s="5" t="s">
        <v>98</v>
      </c>
      <c r="B35" s="5" t="s">
        <v>99</v>
      </c>
      <c r="C35" s="5" t="s">
        <v>100</v>
      </c>
    </row>
    <row r="36" customFormat="false" ht="73.5" hidden="false" customHeight="true" outlineLevel="0" collapsed="false">
      <c r="A36" s="4" t="s">
        <v>101</v>
      </c>
      <c r="B36" s="4" t="s">
        <v>102</v>
      </c>
      <c r="C36" s="4" t="s">
        <v>103</v>
      </c>
    </row>
    <row r="37" customFormat="false" ht="73.5" hidden="false" customHeight="true" outlineLevel="0" collapsed="false">
      <c r="A37" s="5" t="s">
        <v>104</v>
      </c>
      <c r="B37" s="5" t="s">
        <v>105</v>
      </c>
      <c r="C37" s="5" t="s">
        <v>106</v>
      </c>
    </row>
    <row r="38" customFormat="false" ht="73.5" hidden="false" customHeight="true" outlineLevel="0" collapsed="false">
      <c r="A38" s="4" t="s">
        <v>107</v>
      </c>
      <c r="B38" s="4" t="s">
        <v>108</v>
      </c>
      <c r="C38" s="4" t="s">
        <v>109</v>
      </c>
    </row>
    <row r="39" customFormat="false" ht="73.5" hidden="false" customHeight="true" outlineLevel="0" collapsed="false">
      <c r="A39" s="5" t="s">
        <v>110</v>
      </c>
      <c r="B39" s="5" t="s">
        <v>111</v>
      </c>
      <c r="C39" s="5" t="s">
        <v>112</v>
      </c>
    </row>
    <row r="40" customFormat="false" ht="73.5" hidden="false" customHeight="true" outlineLevel="0" collapsed="false">
      <c r="A40" s="4" t="s">
        <v>113</v>
      </c>
      <c r="B40" s="4" t="s">
        <v>114</v>
      </c>
      <c r="C40" s="4" t="s">
        <v>115</v>
      </c>
    </row>
    <row r="41" customFormat="false" ht="73.5" hidden="false" customHeight="true" outlineLevel="0" collapsed="false">
      <c r="A41" s="5" t="s">
        <v>116</v>
      </c>
      <c r="B41" s="5" t="s">
        <v>497</v>
      </c>
      <c r="C41" s="5" t="s">
        <v>498</v>
      </c>
    </row>
    <row r="42" customFormat="false" ht="73.5" hidden="false" customHeight="true" outlineLevel="0" collapsed="false">
      <c r="A42" s="4" t="s">
        <v>119</v>
      </c>
      <c r="B42" s="4" t="s">
        <v>499</v>
      </c>
      <c r="C42" s="4" t="s">
        <v>500</v>
      </c>
    </row>
    <row r="43" customFormat="false" ht="73.5" hidden="false" customHeight="true" outlineLevel="0" collapsed="false">
      <c r="A43" s="5" t="s">
        <v>140</v>
      </c>
      <c r="B43" s="5" t="s">
        <v>141</v>
      </c>
      <c r="C43" s="5" t="s">
        <v>142</v>
      </c>
    </row>
    <row r="44" customFormat="false" ht="73.5" hidden="false" customHeight="true" outlineLevel="0" collapsed="false">
      <c r="A44" s="4" t="s">
        <v>143</v>
      </c>
      <c r="B44" s="4" t="s">
        <v>144</v>
      </c>
      <c r="C44" s="4" t="s">
        <v>145</v>
      </c>
    </row>
    <row r="45" customFormat="false" ht="73.5" hidden="false" customHeight="true" outlineLevel="0" collapsed="false">
      <c r="A45" s="5" t="s">
        <v>146</v>
      </c>
      <c r="B45" s="5" t="s">
        <v>147</v>
      </c>
      <c r="C45" s="5" t="s">
        <v>148</v>
      </c>
    </row>
    <row r="46" customFormat="false" ht="73.5" hidden="false" customHeight="true" outlineLevel="0" collapsed="false">
      <c r="A46" s="4" t="s">
        <v>149</v>
      </c>
      <c r="B46" s="4" t="s">
        <v>501</v>
      </c>
      <c r="C46" s="4" t="s">
        <v>502</v>
      </c>
    </row>
    <row r="47" customFormat="false" ht="73.5" hidden="false" customHeight="true" outlineLevel="0" collapsed="false">
      <c r="A47" s="5" t="s">
        <v>161</v>
      </c>
      <c r="B47" s="5" t="s">
        <v>503</v>
      </c>
      <c r="C47" s="5" t="s">
        <v>504</v>
      </c>
    </row>
    <row r="48" customFormat="false" ht="73.5" hidden="false" customHeight="true" outlineLevel="0" collapsed="false">
      <c r="A48" s="4" t="s">
        <v>164</v>
      </c>
      <c r="B48" s="4" t="s">
        <v>165</v>
      </c>
      <c r="C48" s="4" t="s">
        <v>166</v>
      </c>
    </row>
    <row r="49" customFormat="false" ht="73.5" hidden="false" customHeight="true" outlineLevel="0" collapsed="false">
      <c r="A49" s="5" t="s">
        <v>167</v>
      </c>
      <c r="B49" s="5" t="s">
        <v>168</v>
      </c>
      <c r="C49" s="5" t="s">
        <v>169</v>
      </c>
    </row>
    <row r="50" customFormat="false" ht="73.5" hidden="false" customHeight="true" outlineLevel="0" collapsed="false">
      <c r="A50" s="4" t="s">
        <v>170</v>
      </c>
      <c r="B50" s="4" t="s">
        <v>171</v>
      </c>
      <c r="C50" s="4" t="s">
        <v>172</v>
      </c>
    </row>
    <row r="51" customFormat="false" ht="73.5" hidden="false" customHeight="true" outlineLevel="0" collapsed="false">
      <c r="A51" s="5" t="s">
        <v>173</v>
      </c>
      <c r="B51" s="5" t="s">
        <v>505</v>
      </c>
      <c r="C51" s="5" t="s">
        <v>506</v>
      </c>
    </row>
  </sheetData>
  <autoFilter ref="A5:C51"/>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3"/>
    <col collapsed="false" customWidth="true" hidden="false" outlineLevel="0" max="2" min="2" style="10" width="22"/>
    <col collapsed="false" customWidth="true" hidden="false" outlineLevel="0" max="3" min="3" style="10" width="40"/>
    <col collapsed="false" customWidth="true" hidden="false" outlineLevel="0" max="4" min="4" style="10" width="27"/>
    <col collapsed="false" customWidth="true" hidden="false" outlineLevel="0" max="5" min="5" style="10" width="46"/>
    <col collapsed="false" customWidth="true" hidden="false" outlineLevel="0" max="6" min="6" style="10" width="54"/>
    <col collapsed="false" customWidth="true" hidden="false" outlineLevel="0" max="7" min="7" style="10" width="26"/>
    <col collapsed="false" customWidth="true" hidden="false" outlineLevel="0" max="8" min="8" style="10" width="70"/>
  </cols>
  <sheetData>
    <row r="1" customFormat="false" ht="34.5" hidden="false" customHeight="true" outlineLevel="0" collapsed="false">
      <c r="A1" s="1" t="s">
        <v>507</v>
      </c>
      <c r="B1" s="1"/>
      <c r="C1" s="1"/>
      <c r="D1" s="1"/>
      <c r="E1" s="1"/>
      <c r="F1" s="1"/>
      <c r="G1" s="1"/>
      <c r="H1" s="1"/>
    </row>
    <row r="2" customFormat="false" ht="67.5" hidden="false" customHeight="true" outlineLevel="0" collapsed="false">
      <c r="A2" s="2" t="s">
        <v>508</v>
      </c>
      <c r="B2" s="2"/>
      <c r="C2" s="2"/>
      <c r="D2" s="2"/>
      <c r="E2" s="2"/>
      <c r="F2" s="2"/>
      <c r="G2" s="2"/>
      <c r="H2" s="2"/>
    </row>
    <row r="5" customFormat="false" ht="30" hidden="false" customHeight="true" outlineLevel="0" collapsed="false">
      <c r="A5" s="3" t="s">
        <v>231</v>
      </c>
      <c r="B5" s="3" t="s">
        <v>232</v>
      </c>
      <c r="C5" s="3" t="s">
        <v>233</v>
      </c>
      <c r="D5" s="3" t="s">
        <v>234</v>
      </c>
      <c r="E5" s="3" t="s">
        <v>509</v>
      </c>
      <c r="F5" s="3" t="s">
        <v>236</v>
      </c>
      <c r="G5" s="3" t="s">
        <v>237</v>
      </c>
      <c r="H5" s="3" t="s">
        <v>510</v>
      </c>
    </row>
    <row r="6" customFormat="false" ht="37.5" hidden="false" customHeight="true" outlineLevel="0" collapsed="false">
      <c r="A6" s="4" t="s">
        <v>239</v>
      </c>
      <c r="B6" s="4" t="s">
        <v>240</v>
      </c>
      <c r="C6" s="4" t="s">
        <v>511</v>
      </c>
      <c r="D6" s="4" t="s">
        <v>242</v>
      </c>
      <c r="E6" s="4" t="s">
        <v>243</v>
      </c>
      <c r="F6" s="4" t="s">
        <v>244</v>
      </c>
      <c r="G6" s="4" t="s">
        <v>245</v>
      </c>
      <c r="H6" s="4" t="s">
        <v>246</v>
      </c>
    </row>
    <row r="7" customFormat="false" ht="37.5" hidden="false" customHeight="true" outlineLevel="0" collapsed="false">
      <c r="A7" s="5" t="s">
        <v>247</v>
      </c>
      <c r="B7" s="5" t="s">
        <v>248</v>
      </c>
      <c r="C7" s="5" t="s">
        <v>512</v>
      </c>
      <c r="D7" s="5" t="s">
        <v>242</v>
      </c>
      <c r="E7" s="5" t="s">
        <v>250</v>
      </c>
      <c r="F7" s="5" t="s">
        <v>244</v>
      </c>
      <c r="G7" s="5" t="s">
        <v>245</v>
      </c>
      <c r="H7" s="5" t="s">
        <v>251</v>
      </c>
    </row>
    <row r="8" customFormat="false" ht="37.5" hidden="false" customHeight="true" outlineLevel="0" collapsed="false">
      <c r="A8" s="4" t="s">
        <v>252</v>
      </c>
      <c r="B8" s="4" t="s">
        <v>253</v>
      </c>
      <c r="C8" s="4" t="s">
        <v>513</v>
      </c>
      <c r="D8" s="4" t="s">
        <v>255</v>
      </c>
      <c r="E8" s="4" t="s">
        <v>514</v>
      </c>
      <c r="F8" s="4" t="s">
        <v>257</v>
      </c>
      <c r="G8" s="4" t="s">
        <v>245</v>
      </c>
      <c r="H8" s="4" t="s">
        <v>258</v>
      </c>
    </row>
    <row r="9" customFormat="false" ht="37.5" hidden="false" customHeight="true" outlineLevel="0" collapsed="false">
      <c r="A9" s="5" t="s">
        <v>259</v>
      </c>
      <c r="B9" s="5" t="s">
        <v>260</v>
      </c>
      <c r="C9" s="5" t="s">
        <v>515</v>
      </c>
      <c r="D9" s="5" t="s">
        <v>255</v>
      </c>
      <c r="E9" s="5" t="s">
        <v>516</v>
      </c>
      <c r="F9" s="5" t="s">
        <v>262</v>
      </c>
      <c r="G9" s="5" t="s">
        <v>245</v>
      </c>
      <c r="H9" s="5" t="s">
        <v>263</v>
      </c>
    </row>
    <row r="10" customFormat="false" ht="37.5" hidden="false" customHeight="true" outlineLevel="0" collapsed="false">
      <c r="A10" s="4" t="s">
        <v>264</v>
      </c>
      <c r="B10" s="4" t="s">
        <v>265</v>
      </c>
      <c r="C10" s="4" t="s">
        <v>517</v>
      </c>
      <c r="D10" s="4" t="s">
        <v>255</v>
      </c>
      <c r="E10" s="4" t="s">
        <v>516</v>
      </c>
      <c r="F10" s="4" t="s">
        <v>267</v>
      </c>
      <c r="G10" s="4" t="s">
        <v>245</v>
      </c>
      <c r="H10" s="4" t="s">
        <v>268</v>
      </c>
    </row>
    <row r="11" customFormat="false" ht="37.5" hidden="false" customHeight="true" outlineLevel="0" collapsed="false">
      <c r="A11" s="5" t="s">
        <v>269</v>
      </c>
      <c r="B11" s="5" t="s">
        <v>270</v>
      </c>
      <c r="C11" s="5" t="s">
        <v>518</v>
      </c>
      <c r="D11" s="5" t="s">
        <v>255</v>
      </c>
      <c r="E11" s="5" t="s">
        <v>516</v>
      </c>
      <c r="F11" s="5" t="s">
        <v>272</v>
      </c>
      <c r="G11" s="5" t="s">
        <v>245</v>
      </c>
      <c r="H11" s="5" t="s">
        <v>273</v>
      </c>
    </row>
    <row r="12" customFormat="false" ht="37.5" hidden="false" customHeight="true" outlineLevel="0" collapsed="false">
      <c r="A12" s="4" t="s">
        <v>274</v>
      </c>
      <c r="B12" s="4" t="s">
        <v>275</v>
      </c>
      <c r="C12" s="4" t="s">
        <v>519</v>
      </c>
      <c r="D12" s="4" t="s">
        <v>255</v>
      </c>
      <c r="E12" s="4" t="s">
        <v>516</v>
      </c>
      <c r="F12" s="4" t="s">
        <v>277</v>
      </c>
      <c r="G12" s="4" t="s">
        <v>245</v>
      </c>
      <c r="H12" s="4" t="s">
        <v>263</v>
      </c>
    </row>
    <row r="13" customFormat="false" ht="37.5" hidden="false" customHeight="true" outlineLevel="0" collapsed="false">
      <c r="A13" s="5" t="s">
        <v>278</v>
      </c>
      <c r="B13" s="5" t="s">
        <v>279</v>
      </c>
      <c r="C13" s="5" t="s">
        <v>520</v>
      </c>
      <c r="D13" s="5" t="s">
        <v>255</v>
      </c>
      <c r="E13" s="5" t="s">
        <v>521</v>
      </c>
      <c r="F13" s="5" t="s">
        <v>282</v>
      </c>
      <c r="G13" s="5" t="s">
        <v>245</v>
      </c>
      <c r="H13" s="5" t="s">
        <v>522</v>
      </c>
    </row>
    <row r="14" customFormat="false" ht="37.5" hidden="false" customHeight="true" outlineLevel="0" collapsed="false">
      <c r="A14" s="4" t="s">
        <v>98</v>
      </c>
      <c r="B14" s="4" t="s">
        <v>284</v>
      </c>
      <c r="C14" s="4" t="s">
        <v>523</v>
      </c>
      <c r="D14" s="4" t="s">
        <v>255</v>
      </c>
      <c r="E14" s="4" t="s">
        <v>524</v>
      </c>
      <c r="F14" s="4" t="s">
        <v>282</v>
      </c>
      <c r="G14" s="4" t="s">
        <v>245</v>
      </c>
      <c r="H14" s="4" t="s">
        <v>287</v>
      </c>
    </row>
    <row r="15" customFormat="false" ht="37.5" hidden="false" customHeight="true" outlineLevel="0" collapsed="false">
      <c r="A15" s="5" t="s">
        <v>101</v>
      </c>
      <c r="B15" s="5" t="s">
        <v>288</v>
      </c>
      <c r="C15" s="5" t="s">
        <v>525</v>
      </c>
      <c r="D15" s="5" t="s">
        <v>255</v>
      </c>
      <c r="E15" s="5" t="s">
        <v>526</v>
      </c>
      <c r="F15" s="5" t="s">
        <v>291</v>
      </c>
      <c r="G15" s="5" t="s">
        <v>245</v>
      </c>
      <c r="H15" s="5" t="s">
        <v>292</v>
      </c>
    </row>
    <row r="16" customFormat="false" ht="37.5" hidden="false" customHeight="true" outlineLevel="0" collapsed="false">
      <c r="A16" s="4" t="s">
        <v>56</v>
      </c>
      <c r="B16" s="4" t="s">
        <v>293</v>
      </c>
      <c r="C16" s="4" t="s">
        <v>527</v>
      </c>
      <c r="D16" s="4" t="s">
        <v>242</v>
      </c>
      <c r="E16" s="4" t="s">
        <v>295</v>
      </c>
      <c r="F16" s="4" t="s">
        <v>296</v>
      </c>
      <c r="G16" s="4" t="s">
        <v>297</v>
      </c>
      <c r="H16" s="4" t="s">
        <v>298</v>
      </c>
    </row>
    <row r="17" customFormat="false" ht="37.5" hidden="false" customHeight="true" outlineLevel="0" collapsed="false">
      <c r="A17" s="5" t="s">
        <v>62</v>
      </c>
      <c r="B17" s="5" t="s">
        <v>299</v>
      </c>
      <c r="C17" s="5" t="s">
        <v>528</v>
      </c>
      <c r="D17" s="5" t="s">
        <v>242</v>
      </c>
      <c r="E17" s="5" t="s">
        <v>301</v>
      </c>
      <c r="F17" s="5" t="s">
        <v>302</v>
      </c>
      <c r="G17" s="5" t="s">
        <v>303</v>
      </c>
      <c r="H17" s="5" t="s">
        <v>529</v>
      </c>
    </row>
  </sheetData>
  <autoFilter ref="A5:H17"/>
  <mergeCells count="2">
    <mergeCell ref="A1:H1"/>
    <mergeCell ref="A2:H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12"/>
    <col collapsed="false" customWidth="true" hidden="false" outlineLevel="0" max="2" min="2" style="10" width="86"/>
    <col collapsed="false" customWidth="true" hidden="false" outlineLevel="0" max="3" min="3" style="10" width="110"/>
    <col collapsed="false" customWidth="true" hidden="false" outlineLevel="0" max="4" min="4" style="10" width="27"/>
  </cols>
  <sheetData>
    <row r="1" customFormat="false" ht="34.5" hidden="false" customHeight="true" outlineLevel="0" collapsed="false">
      <c r="A1" s="1" t="s">
        <v>530</v>
      </c>
      <c r="B1" s="1"/>
      <c r="C1" s="1"/>
      <c r="D1" s="1"/>
    </row>
    <row r="2" customFormat="false" ht="67.5" hidden="false" customHeight="true" outlineLevel="0" collapsed="false">
      <c r="A2" s="2" t="s">
        <v>531</v>
      </c>
      <c r="B2" s="2"/>
      <c r="C2" s="2"/>
      <c r="D2" s="2"/>
    </row>
    <row r="5" customFormat="false" ht="30" hidden="false" customHeight="true" outlineLevel="0" collapsed="false">
      <c r="A5" s="3" t="s">
        <v>307</v>
      </c>
      <c r="B5" s="3" t="s">
        <v>532</v>
      </c>
      <c r="C5" s="3" t="s">
        <v>533</v>
      </c>
      <c r="D5" s="3" t="s">
        <v>310</v>
      </c>
    </row>
    <row r="6" customFormat="false" ht="37.5" hidden="false" customHeight="true" outlineLevel="0" collapsed="false">
      <c r="A6" s="4" t="s">
        <v>311</v>
      </c>
      <c r="B6" s="4" t="s">
        <v>534</v>
      </c>
      <c r="C6" s="4" t="s">
        <v>535</v>
      </c>
      <c r="D6" s="4" t="s">
        <v>536</v>
      </c>
    </row>
    <row r="7" customFormat="false" ht="37.5" hidden="false" customHeight="true" outlineLevel="0" collapsed="false">
      <c r="A7" s="5" t="s">
        <v>315</v>
      </c>
      <c r="B7" s="5" t="s">
        <v>537</v>
      </c>
      <c r="C7" s="5" t="s">
        <v>538</v>
      </c>
      <c r="D7" s="5" t="s">
        <v>536</v>
      </c>
    </row>
    <row r="8" customFormat="false" ht="37.5" hidden="false" customHeight="true" outlineLevel="0" collapsed="false">
      <c r="A8" s="4" t="s">
        <v>319</v>
      </c>
      <c r="B8" s="4" t="s">
        <v>539</v>
      </c>
      <c r="C8" s="4" t="s">
        <v>540</v>
      </c>
      <c r="D8" s="4" t="s">
        <v>536</v>
      </c>
    </row>
    <row r="9" customFormat="false" ht="37.5" hidden="false" customHeight="true" outlineLevel="0" collapsed="false">
      <c r="A9" s="5" t="s">
        <v>323</v>
      </c>
      <c r="B9" s="5" t="s">
        <v>541</v>
      </c>
      <c r="C9" s="5" t="s">
        <v>542</v>
      </c>
      <c r="D9" s="5" t="s">
        <v>536</v>
      </c>
    </row>
    <row r="10" customFormat="false" ht="37.5" hidden="false" customHeight="true" outlineLevel="0" collapsed="false">
      <c r="A10" s="4" t="s">
        <v>543</v>
      </c>
      <c r="B10" s="4" t="s">
        <v>544</v>
      </c>
      <c r="C10" s="4" t="s">
        <v>545</v>
      </c>
      <c r="D10" s="4" t="s">
        <v>536</v>
      </c>
    </row>
  </sheetData>
  <autoFilter ref="A5:D1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6"/>
    <col collapsed="false" customWidth="true" hidden="false" outlineLevel="0" max="2" min="2" style="10" width="54"/>
    <col collapsed="false" customWidth="true" hidden="false" outlineLevel="0" max="3" min="3" style="10" width="25"/>
    <col collapsed="false" customWidth="true" hidden="false" outlineLevel="0" max="4" min="4" style="10" width="22"/>
    <col collapsed="false" customWidth="true" hidden="false" outlineLevel="0" max="5" min="5" style="10" width="100"/>
  </cols>
  <sheetData>
    <row r="1" customFormat="false" ht="34.5" hidden="false" customHeight="true" outlineLevel="0" collapsed="false">
      <c r="A1" s="1" t="s">
        <v>546</v>
      </c>
      <c r="B1" s="1"/>
      <c r="C1" s="1"/>
      <c r="D1" s="1"/>
      <c r="E1" s="1"/>
    </row>
    <row r="2" customFormat="false" ht="67.5" hidden="false" customHeight="true" outlineLevel="0" collapsed="false">
      <c r="A2" s="2" t="s">
        <v>547</v>
      </c>
      <c r="B2" s="2"/>
      <c r="C2" s="2"/>
      <c r="D2" s="2"/>
      <c r="E2" s="2"/>
    </row>
    <row r="5" customFormat="false" ht="30" hidden="false" customHeight="true" outlineLevel="0" collapsed="false">
      <c r="A5" s="3" t="s">
        <v>329</v>
      </c>
      <c r="B5" s="3" t="s">
        <v>330</v>
      </c>
      <c r="C5" s="3" t="s">
        <v>331</v>
      </c>
      <c r="D5" s="3" t="s">
        <v>332</v>
      </c>
      <c r="E5" s="3" t="s">
        <v>333</v>
      </c>
    </row>
    <row r="6" customFormat="false" ht="27.75" hidden="false" customHeight="true" outlineLevel="0" collapsed="false">
      <c r="A6" s="3" t="s">
        <v>366</v>
      </c>
      <c r="B6" s="3"/>
      <c r="C6" s="3"/>
      <c r="D6" s="3"/>
      <c r="E6" s="3"/>
    </row>
    <row r="7" customFormat="false" ht="33.75" hidden="false" customHeight="true" outlineLevel="0" collapsed="false">
      <c r="A7" s="5" t="s">
        <v>335</v>
      </c>
      <c r="B7" s="5" t="s">
        <v>548</v>
      </c>
      <c r="C7" s="6" t="n">
        <v>1</v>
      </c>
      <c r="D7" s="5" t="s">
        <v>337</v>
      </c>
      <c r="E7" s="5" t="s">
        <v>549</v>
      </c>
    </row>
    <row r="8" customFormat="false" ht="33.75" hidden="false" customHeight="true" outlineLevel="0" collapsed="false">
      <c r="A8" s="4" t="s">
        <v>335</v>
      </c>
      <c r="B8" s="4" t="s">
        <v>550</v>
      </c>
      <c r="C8" s="6" t="n">
        <v>0</v>
      </c>
      <c r="D8" s="4" t="s">
        <v>339</v>
      </c>
      <c r="E8" s="4" t="s">
        <v>549</v>
      </c>
    </row>
    <row r="9" customFormat="false" ht="33.75" hidden="false" customHeight="true" outlineLevel="0" collapsed="false">
      <c r="A9" s="5" t="s">
        <v>335</v>
      </c>
      <c r="B9" s="5" t="s">
        <v>551</v>
      </c>
      <c r="C9" s="6" t="n">
        <v>6</v>
      </c>
      <c r="D9" s="5" t="s">
        <v>341</v>
      </c>
      <c r="E9" s="5" t="s">
        <v>549</v>
      </c>
    </row>
    <row r="10" customFormat="false" ht="33.75" hidden="false" customHeight="true" outlineLevel="0" collapsed="false">
      <c r="A10" s="4" t="s">
        <v>335</v>
      </c>
      <c r="B10" s="4" t="s">
        <v>342</v>
      </c>
      <c r="C10" s="6" t="n">
        <v>1</v>
      </c>
      <c r="D10" s="4" t="s">
        <v>552</v>
      </c>
      <c r="E10" s="4" t="s">
        <v>549</v>
      </c>
    </row>
    <row r="11" customFormat="false" ht="33.75" hidden="false" customHeight="true" outlineLevel="0" collapsed="false">
      <c r="A11" s="5" t="s">
        <v>335</v>
      </c>
      <c r="B11" s="5" t="s">
        <v>553</v>
      </c>
      <c r="C11" s="6" t="n">
        <v>500</v>
      </c>
      <c r="D11" s="5" t="s">
        <v>345</v>
      </c>
      <c r="E11" s="5" t="s">
        <v>549</v>
      </c>
    </row>
    <row r="12" customFormat="false" ht="33.75" hidden="false" customHeight="true" outlineLevel="0" collapsed="false">
      <c r="A12" s="4" t="s">
        <v>335</v>
      </c>
      <c r="B12" s="4" t="s">
        <v>554</v>
      </c>
      <c r="C12" s="6" t="n">
        <v>500</v>
      </c>
      <c r="D12" s="4" t="s">
        <v>345</v>
      </c>
      <c r="E12" s="4" t="s">
        <v>549</v>
      </c>
    </row>
    <row r="13" customFormat="false" ht="33.75" hidden="false" customHeight="true" outlineLevel="0" collapsed="false">
      <c r="A13" s="5" t="s">
        <v>335</v>
      </c>
      <c r="B13" s="5" t="s">
        <v>555</v>
      </c>
      <c r="C13" s="6" t="n">
        <v>500</v>
      </c>
      <c r="D13" s="5" t="s">
        <v>345</v>
      </c>
      <c r="E13" s="5" t="s">
        <v>549</v>
      </c>
    </row>
    <row r="14" customFormat="false" ht="33.75" hidden="false" customHeight="true" outlineLevel="0" collapsed="false">
      <c r="A14" s="4" t="s">
        <v>335</v>
      </c>
      <c r="B14" s="4" t="s">
        <v>556</v>
      </c>
      <c r="C14" s="6" t="n">
        <v>500</v>
      </c>
      <c r="D14" s="4" t="s">
        <v>345</v>
      </c>
      <c r="E14" s="4" t="s">
        <v>549</v>
      </c>
    </row>
    <row r="15" customFormat="false" ht="33.75" hidden="false" customHeight="true" outlineLevel="0" collapsed="false">
      <c r="A15" s="5" t="s">
        <v>335</v>
      </c>
      <c r="B15" s="5" t="s">
        <v>557</v>
      </c>
      <c r="C15" s="6" t="n">
        <v>500</v>
      </c>
      <c r="D15" s="5" t="s">
        <v>345</v>
      </c>
      <c r="E15" s="5" t="s">
        <v>549</v>
      </c>
    </row>
    <row r="16" customFormat="false" ht="33.75" hidden="false" customHeight="true" outlineLevel="0" collapsed="false">
      <c r="A16" s="4" t="s">
        <v>335</v>
      </c>
      <c r="B16" s="4" t="s">
        <v>558</v>
      </c>
      <c r="C16" s="6" t="n">
        <v>1</v>
      </c>
      <c r="D16" s="4" t="s">
        <v>559</v>
      </c>
      <c r="E16" s="4" t="s">
        <v>549</v>
      </c>
    </row>
    <row r="17" customFormat="false" ht="33.75" hidden="false" customHeight="true" outlineLevel="0" collapsed="false">
      <c r="A17" s="5" t="s">
        <v>350</v>
      </c>
      <c r="B17" s="5" t="s">
        <v>359</v>
      </c>
      <c r="C17" s="5" t="n">
        <f aca="false">ROUNDDOWN(ROUNDDOWN(60*1.1^(C7-1),0)*(1+0.1*MAX(0,C8-2)),0)</f>
        <v>60</v>
      </c>
      <c r="D17" s="5" t="s">
        <v>345</v>
      </c>
      <c r="E17" s="5" t="s">
        <v>560</v>
      </c>
    </row>
    <row r="18" customFormat="false" ht="33.75" hidden="false" customHeight="true" outlineLevel="0" collapsed="false">
      <c r="A18" s="4" t="s">
        <v>350</v>
      </c>
      <c r="B18" s="4" t="s">
        <v>561</v>
      </c>
      <c r="C18" s="4" t="n">
        <f aca="false">SUM(ROUNDUP(C11/C17,0),ROUNDUP(C12/C17,0),ROUNDUP(C13/C17,0),ROUNDUP(C14/C17,0),ROUNDUP(C15/C17,0))</f>
        <v>45</v>
      </c>
      <c r="D18" s="4" t="s">
        <v>361</v>
      </c>
      <c r="E18" s="4" t="s">
        <v>562</v>
      </c>
    </row>
    <row r="19" customFormat="false" ht="33.75" hidden="false" customHeight="true" outlineLevel="0" collapsed="false">
      <c r="A19" s="5" t="s">
        <v>350</v>
      </c>
      <c r="B19" s="5" t="s">
        <v>362</v>
      </c>
      <c r="C19" s="5" t="n">
        <f aca="false">IF(C9&gt;0,ROUNDUP(C18/C9,0)*5/(1+0.1*C8)/C10,"brak obsady")</f>
        <v>40</v>
      </c>
      <c r="D19" s="5" t="s">
        <v>363</v>
      </c>
      <c r="E19" s="5" t="s">
        <v>563</v>
      </c>
    </row>
    <row r="20" customFormat="false" ht="33.75" hidden="false" customHeight="true" outlineLevel="0" collapsed="false">
      <c r="A20" s="4" t="s">
        <v>350</v>
      </c>
      <c r="B20" s="4" t="s">
        <v>365</v>
      </c>
      <c r="C20" s="4" t="n">
        <f aca="false">IF(ISNUMBER(C19),C19*C16,"brak estymaty")</f>
        <v>40</v>
      </c>
      <c r="D20" s="4" t="s">
        <v>363</v>
      </c>
      <c r="E20" s="4"/>
    </row>
    <row r="21" customFormat="false" ht="33.75" hidden="false" customHeight="true" outlineLevel="0" collapsed="false">
      <c r="A21" s="5" t="s">
        <v>350</v>
      </c>
      <c r="B21" s="5" t="s">
        <v>564</v>
      </c>
      <c r="C21" s="5" t="n">
        <f aca="false">IF(ISNUMBER(C19),C19+C20,"brak estymaty")</f>
        <v>80</v>
      </c>
      <c r="D21" s="5" t="s">
        <v>363</v>
      </c>
      <c r="E21" s="5"/>
    </row>
    <row r="22" customFormat="false" ht="33.75" hidden="false" customHeight="true" outlineLevel="0" collapsed="false">
      <c r="A22" s="4" t="s">
        <v>350</v>
      </c>
      <c r="B22" s="4" t="s">
        <v>565</v>
      </c>
      <c r="C22" s="4" t="n">
        <f aca="false">C18*10</f>
        <v>450</v>
      </c>
      <c r="D22" s="4" t="s">
        <v>368</v>
      </c>
      <c r="E22" s="4" t="s">
        <v>566</v>
      </c>
    </row>
    <row r="24" customFormat="false" ht="27.75" hidden="false" customHeight="true" outlineLevel="0" collapsed="false">
      <c r="A24" s="3" t="s">
        <v>567</v>
      </c>
      <c r="B24" s="3"/>
      <c r="C24" s="3"/>
      <c r="D24" s="3"/>
      <c r="E24" s="3"/>
    </row>
    <row r="25" customFormat="false" ht="33.75" hidden="false" customHeight="true" outlineLevel="0" collapsed="false">
      <c r="A25" s="5" t="s">
        <v>335</v>
      </c>
      <c r="B25" s="5" t="s">
        <v>568</v>
      </c>
      <c r="C25" s="6" t="n">
        <v>10</v>
      </c>
      <c r="D25" s="5" t="s">
        <v>363</v>
      </c>
      <c r="E25" s="5" t="s">
        <v>569</v>
      </c>
    </row>
    <row r="26" customFormat="false" ht="33.75" hidden="false" customHeight="true" outlineLevel="0" collapsed="false">
      <c r="A26" s="4" t="s">
        <v>335</v>
      </c>
      <c r="B26" s="4" t="s">
        <v>570</v>
      </c>
      <c r="C26" s="6" t="n">
        <v>5</v>
      </c>
      <c r="D26" s="4" t="s">
        <v>363</v>
      </c>
      <c r="E26" s="4" t="s">
        <v>571</v>
      </c>
    </row>
    <row r="27" customFormat="false" ht="33.75" hidden="false" customHeight="true" outlineLevel="0" collapsed="false">
      <c r="A27" s="5" t="s">
        <v>350</v>
      </c>
      <c r="B27" s="5" t="s">
        <v>572</v>
      </c>
      <c r="C27" s="5" t="n">
        <f aca="false">(C25+C26)*C16</f>
        <v>15</v>
      </c>
      <c r="D27" s="5" t="s">
        <v>363</v>
      </c>
      <c r="E27" s="5" t="s">
        <v>573</v>
      </c>
    </row>
    <row r="29" customFormat="false" ht="27.75" hidden="false" customHeight="true" outlineLevel="0" collapsed="false">
      <c r="A29" s="3" t="s">
        <v>574</v>
      </c>
      <c r="B29" s="3"/>
      <c r="C29" s="3"/>
      <c r="D29" s="3"/>
      <c r="E29" s="3"/>
    </row>
    <row r="30" customFormat="false" ht="33.75" hidden="false" customHeight="true" outlineLevel="0" collapsed="false">
      <c r="A30" s="4" t="s">
        <v>335</v>
      </c>
      <c r="B30" s="4" t="s">
        <v>575</v>
      </c>
      <c r="C30" s="6" t="n">
        <v>200</v>
      </c>
      <c r="D30" s="4" t="s">
        <v>345</v>
      </c>
      <c r="E30" s="4" t="s">
        <v>576</v>
      </c>
    </row>
    <row r="31" customFormat="false" ht="33.75" hidden="false" customHeight="true" outlineLevel="0" collapsed="false">
      <c r="A31" s="5" t="s">
        <v>335</v>
      </c>
      <c r="B31" s="5" t="s">
        <v>577</v>
      </c>
      <c r="C31" s="6" t="n">
        <v>300</v>
      </c>
      <c r="D31" s="5" t="s">
        <v>345</v>
      </c>
      <c r="E31" s="5" t="s">
        <v>578</v>
      </c>
    </row>
    <row r="32" customFormat="false" ht="33.75" hidden="false" customHeight="true" outlineLevel="0" collapsed="false">
      <c r="A32" s="4" t="s">
        <v>350</v>
      </c>
      <c r="B32" s="4" t="s">
        <v>377</v>
      </c>
      <c r="C32" s="4" t="n">
        <f aca="false">ROUNDUP(C31*1.1,0)</f>
        <v>330</v>
      </c>
      <c r="D32" s="4" t="s">
        <v>345</v>
      </c>
      <c r="E32" s="4"/>
    </row>
    <row r="33" customFormat="false" ht="33.75" hidden="false" customHeight="true" outlineLevel="0" collapsed="false">
      <c r="A33" s="5" t="s">
        <v>350</v>
      </c>
      <c r="B33" s="5" t="s">
        <v>378</v>
      </c>
      <c r="C33" s="5" t="n">
        <f aca="false">MIN(C30,C32)</f>
        <v>200</v>
      </c>
      <c r="D33" s="5" t="s">
        <v>345</v>
      </c>
      <c r="E33" s="5" t="s">
        <v>579</v>
      </c>
    </row>
    <row r="34" customFormat="false" ht="33.75" hidden="false" customHeight="true" outlineLevel="0" collapsed="false">
      <c r="A34" s="4" t="s">
        <v>350</v>
      </c>
      <c r="B34" s="4" t="s">
        <v>379</v>
      </c>
      <c r="C34" s="4" t="n">
        <f aca="false">MAX(0,C32-C33)</f>
        <v>130</v>
      </c>
      <c r="D34" s="4" t="s">
        <v>345</v>
      </c>
      <c r="E34" s="4"/>
    </row>
    <row r="35" customFormat="false" ht="33.75" hidden="false" customHeight="true" outlineLevel="0" collapsed="false">
      <c r="A35" s="5" t="s">
        <v>350</v>
      </c>
      <c r="B35" s="5" t="s">
        <v>580</v>
      </c>
      <c r="C35" s="5" t="n">
        <f aca="false">ROUNDUP(C34*0.5*0.25,0)</f>
        <v>17</v>
      </c>
      <c r="D35" s="5" t="s">
        <v>368</v>
      </c>
      <c r="E35" s="5"/>
    </row>
    <row r="36" customFormat="false" ht="33.75" hidden="false" customHeight="true" outlineLevel="0" collapsed="false">
      <c r="A36" s="4" t="s">
        <v>350</v>
      </c>
      <c r="B36" s="4" t="s">
        <v>581</v>
      </c>
      <c r="C36" s="4" t="n">
        <f aca="false">MIN(MAX(0,C30-C33),C32)</f>
        <v>0</v>
      </c>
      <c r="D36" s="4" t="s">
        <v>345</v>
      </c>
      <c r="E36" s="4"/>
    </row>
    <row r="37" customFormat="false" ht="33.75" hidden="false" customHeight="true" outlineLevel="0" collapsed="false">
      <c r="A37" s="5" t="s">
        <v>350</v>
      </c>
      <c r="B37" s="5" t="s">
        <v>582</v>
      </c>
      <c r="C37" s="5" t="n">
        <f aca="false">MAX(0,C32-C36)</f>
        <v>330</v>
      </c>
      <c r="D37" s="5" t="s">
        <v>345</v>
      </c>
      <c r="E37" s="5"/>
    </row>
    <row r="38" customFormat="false" ht="33.75" hidden="false" customHeight="true" outlineLevel="0" collapsed="false">
      <c r="A38" s="4" t="s">
        <v>350</v>
      </c>
      <c r="B38" s="4" t="s">
        <v>583</v>
      </c>
      <c r="C38" s="4" t="n">
        <f aca="false">ROUNDUP(C37*0.5*0.25,0)</f>
        <v>42</v>
      </c>
      <c r="D38" s="4" t="s">
        <v>368</v>
      </c>
      <c r="E38" s="4"/>
    </row>
    <row r="39" customFormat="false" ht="33.75" hidden="false" customHeight="true" outlineLevel="0" collapsed="false">
      <c r="A39" s="5" t="s">
        <v>350</v>
      </c>
      <c r="B39" s="5" t="s">
        <v>384</v>
      </c>
      <c r="C39" s="5" t="n">
        <f aca="false">C35+C38</f>
        <v>59</v>
      </c>
      <c r="D39" s="5" t="s">
        <v>368</v>
      </c>
      <c r="E39" s="5" t="s">
        <v>584</v>
      </c>
    </row>
    <row r="41" customFormat="false" ht="27.75" hidden="false" customHeight="true" outlineLevel="0" collapsed="false">
      <c r="A41" s="3" t="s">
        <v>585</v>
      </c>
      <c r="B41" s="3"/>
      <c r="C41" s="3"/>
      <c r="D41" s="3"/>
      <c r="E41" s="3"/>
    </row>
    <row r="42" customFormat="false" ht="33.75" hidden="false" customHeight="true" outlineLevel="0" collapsed="false">
      <c r="A42" s="4" t="s">
        <v>335</v>
      </c>
      <c r="B42" s="4" t="s">
        <v>586</v>
      </c>
      <c r="C42" s="6" t="n">
        <v>4</v>
      </c>
      <c r="D42" s="4" t="s">
        <v>337</v>
      </c>
      <c r="E42" s="4" t="s">
        <v>587</v>
      </c>
    </row>
    <row r="43" customFormat="false" ht="33.75" hidden="false" customHeight="true" outlineLevel="0" collapsed="false">
      <c r="A43" s="5" t="s">
        <v>335</v>
      </c>
      <c r="B43" s="5" t="s">
        <v>588</v>
      </c>
      <c r="C43" s="6" t="n">
        <v>2</v>
      </c>
      <c r="D43" s="5" t="s">
        <v>341</v>
      </c>
      <c r="E43" s="5" t="s">
        <v>589</v>
      </c>
    </row>
    <row r="44" customFormat="false" ht="33.75" hidden="false" customHeight="true" outlineLevel="0" collapsed="false">
      <c r="A44" s="4" t="s">
        <v>335</v>
      </c>
      <c r="B44" s="4" t="s">
        <v>590</v>
      </c>
      <c r="C44" s="6" t="n">
        <v>50</v>
      </c>
      <c r="D44" s="4" t="s">
        <v>591</v>
      </c>
      <c r="E44" s="4" t="s">
        <v>592</v>
      </c>
    </row>
    <row r="45" customFormat="false" ht="33.75" hidden="false" customHeight="true" outlineLevel="0" collapsed="false">
      <c r="A45" s="5" t="s">
        <v>335</v>
      </c>
      <c r="B45" s="5" t="s">
        <v>593</v>
      </c>
      <c r="C45" s="6" t="n">
        <v>2</v>
      </c>
      <c r="D45" s="5" t="s">
        <v>397</v>
      </c>
      <c r="E45" s="5" t="s">
        <v>594</v>
      </c>
    </row>
    <row r="46" customFormat="false" ht="33.75" hidden="false" customHeight="true" outlineLevel="0" collapsed="false">
      <c r="A46" s="4" t="s">
        <v>350</v>
      </c>
      <c r="B46" s="4" t="s">
        <v>399</v>
      </c>
      <c r="C46" s="4" t="n">
        <f aca="false">MIN(C42,C43)</f>
        <v>2</v>
      </c>
      <c r="D46" s="4" t="s">
        <v>341</v>
      </c>
      <c r="E46" s="4"/>
    </row>
    <row r="47" customFormat="false" ht="33.75" hidden="false" customHeight="true" outlineLevel="0" collapsed="false">
      <c r="A47" s="5" t="s">
        <v>350</v>
      </c>
      <c r="B47" s="5" t="s">
        <v>400</v>
      </c>
      <c r="C47" s="11" t="n">
        <f aca="false">MAX(0,1-(C45-1)*0.25)</f>
        <v>0.75</v>
      </c>
      <c r="D47" s="5" t="s">
        <v>401</v>
      </c>
      <c r="E47" s="5"/>
    </row>
    <row r="48" customFormat="false" ht="33.75" hidden="false" customHeight="true" outlineLevel="0" collapsed="false">
      <c r="A48" s="4" t="s">
        <v>350</v>
      </c>
      <c r="B48" s="4" t="s">
        <v>595</v>
      </c>
      <c r="C48" s="4" t="n">
        <f aca="false">IF(AND(C46&gt;0,C47&gt;0),C44*C46,0)</f>
        <v>100</v>
      </c>
      <c r="D48" s="4" t="s">
        <v>368</v>
      </c>
      <c r="E48" s="4" t="s">
        <v>596</v>
      </c>
    </row>
    <row r="49" customFormat="false" ht="33.75" hidden="false" customHeight="true" outlineLevel="0" collapsed="false">
      <c r="A49" s="5" t="s">
        <v>350</v>
      </c>
      <c r="B49" s="5" t="s">
        <v>597</v>
      </c>
      <c r="C49" s="5" t="n">
        <f aca="false">C44*C47</f>
        <v>37.5</v>
      </c>
      <c r="D49" s="5" t="s">
        <v>394</v>
      </c>
      <c r="E49" s="5" t="s">
        <v>598</v>
      </c>
    </row>
    <row r="51" customFormat="false" ht="27.75" hidden="false" customHeight="true" outlineLevel="0" collapsed="false">
      <c r="A51" s="3" t="s">
        <v>599</v>
      </c>
      <c r="B51" s="3"/>
      <c r="C51" s="3"/>
      <c r="D51" s="3"/>
      <c r="E51" s="3"/>
    </row>
    <row r="52" customFormat="false" ht="33.75" hidden="false" customHeight="true" outlineLevel="0" collapsed="false">
      <c r="A52" s="4" t="s">
        <v>335</v>
      </c>
      <c r="B52" s="4" t="s">
        <v>600</v>
      </c>
      <c r="C52" s="6" t="n">
        <v>170</v>
      </c>
      <c r="D52" s="4" t="s">
        <v>368</v>
      </c>
      <c r="E52" s="4" t="s">
        <v>601</v>
      </c>
    </row>
    <row r="53" customFormat="false" ht="33.75" hidden="false" customHeight="true" outlineLevel="0" collapsed="false">
      <c r="A53" s="5" t="s">
        <v>335</v>
      </c>
      <c r="B53" s="5" t="s">
        <v>602</v>
      </c>
      <c r="C53" s="6" t="n">
        <v>3</v>
      </c>
      <c r="D53" s="5" t="s">
        <v>405</v>
      </c>
      <c r="E53" s="5" t="s">
        <v>603</v>
      </c>
    </row>
    <row r="54" customFormat="false" ht="33.75" hidden="false" customHeight="true" outlineLevel="0" collapsed="false">
      <c r="A54" s="4" t="s">
        <v>350</v>
      </c>
      <c r="B54" s="4" t="s">
        <v>604</v>
      </c>
      <c r="C54" s="4" t="n">
        <f aca="false">C52+50</f>
        <v>220</v>
      </c>
      <c r="D54" s="4" t="s">
        <v>368</v>
      </c>
      <c r="E54" s="4"/>
    </row>
    <row r="55" customFormat="false" ht="33.75" hidden="false" customHeight="true" outlineLevel="0" collapsed="false">
      <c r="A55" s="5" t="s">
        <v>350</v>
      </c>
      <c r="B55" s="5" t="s">
        <v>605</v>
      </c>
      <c r="C55" s="5" t="n">
        <f aca="false">MAX(0,C54-10*ROUNDDOWN(C53,0))</f>
        <v>190</v>
      </c>
      <c r="D55" s="5" t="s">
        <v>368</v>
      </c>
      <c r="E55" s="5" t="s">
        <v>606</v>
      </c>
    </row>
    <row r="56" customFormat="false" ht="33.75" hidden="false" customHeight="true" outlineLevel="0" collapsed="false">
      <c r="A56" s="4" t="s">
        <v>335</v>
      </c>
      <c r="B56" s="4" t="s">
        <v>607</v>
      </c>
      <c r="C56" s="6" t="n">
        <v>3</v>
      </c>
      <c r="D56" s="4" t="s">
        <v>422</v>
      </c>
      <c r="E56" s="4" t="s">
        <v>608</v>
      </c>
    </row>
    <row r="57" customFormat="false" ht="33.75" hidden="false" customHeight="true" outlineLevel="0" collapsed="false">
      <c r="A57" s="5" t="s">
        <v>423</v>
      </c>
      <c r="B57" s="5" t="s">
        <v>609</v>
      </c>
      <c r="C57" s="12" t="n">
        <f aca="false">180/(1+0.1*(C56-1))</f>
        <v>150</v>
      </c>
      <c r="D57" s="5" t="s">
        <v>405</v>
      </c>
      <c r="E57" s="5" t="s">
        <v>610</v>
      </c>
    </row>
    <row r="59" customFormat="false" ht="27.75" hidden="false" customHeight="true" outlineLevel="0" collapsed="false">
      <c r="A59" s="3" t="s">
        <v>611</v>
      </c>
      <c r="B59" s="3"/>
      <c r="C59" s="3"/>
      <c r="D59" s="3"/>
      <c r="E59" s="3"/>
    </row>
    <row r="60" customFormat="false" ht="33.75" hidden="false" customHeight="true" outlineLevel="0" collapsed="false">
      <c r="A60" s="4" t="s">
        <v>335</v>
      </c>
      <c r="B60" s="4" t="s">
        <v>612</v>
      </c>
      <c r="C60" s="6" t="n">
        <v>100</v>
      </c>
      <c r="D60" s="4" t="s">
        <v>449</v>
      </c>
      <c r="E60" s="4" t="s">
        <v>613</v>
      </c>
    </row>
    <row r="61" customFormat="false" ht="33.75" hidden="false" customHeight="true" outlineLevel="0" collapsed="false">
      <c r="A61" s="5" t="s">
        <v>350</v>
      </c>
      <c r="B61" s="5" t="s">
        <v>614</v>
      </c>
      <c r="C61" s="5" t="n">
        <f aca="false">C60*100</f>
        <v>10000</v>
      </c>
      <c r="D61" s="5" t="s">
        <v>451</v>
      </c>
      <c r="E61" s="5"/>
    </row>
    <row r="62" customFormat="false" ht="33.75" hidden="false" customHeight="true" outlineLevel="0" collapsed="false">
      <c r="A62" s="4" t="s">
        <v>350</v>
      </c>
      <c r="B62" s="4" t="s">
        <v>615</v>
      </c>
      <c r="C62" s="4" t="n">
        <f aca="false">100*100*5</f>
        <v>50000</v>
      </c>
      <c r="D62" s="4" t="s">
        <v>451</v>
      </c>
      <c r="E62" s="4"/>
    </row>
    <row r="63" customFormat="false" ht="33.75" hidden="false" customHeight="true" outlineLevel="0" collapsed="false">
      <c r="A63" s="5" t="s">
        <v>335</v>
      </c>
      <c r="B63" s="5" t="s">
        <v>453</v>
      </c>
      <c r="C63" s="6" t="n">
        <v>2</v>
      </c>
      <c r="D63" s="5" t="s">
        <v>337</v>
      </c>
      <c r="E63" s="5" t="s">
        <v>616</v>
      </c>
    </row>
    <row r="64" customFormat="false" ht="33.75" hidden="false" customHeight="true" outlineLevel="0" collapsed="false">
      <c r="A64" s="4" t="s">
        <v>454</v>
      </c>
      <c r="B64" s="4" t="s">
        <v>617</v>
      </c>
      <c r="C64" s="4" t="n">
        <f aca="false">500*C63</f>
        <v>1000</v>
      </c>
      <c r="D64" s="4" t="s">
        <v>456</v>
      </c>
      <c r="E64" s="4" t="s">
        <v>618</v>
      </c>
    </row>
    <row r="66" customFormat="false" ht="27.75" hidden="false" customHeight="true" outlineLevel="0" collapsed="false">
      <c r="A66" s="3" t="s">
        <v>619</v>
      </c>
      <c r="B66" s="3"/>
      <c r="C66" s="3"/>
      <c r="D66" s="3"/>
      <c r="E66" s="3"/>
    </row>
    <row r="67" customFormat="false" ht="33.75" hidden="false" customHeight="true" outlineLevel="0" collapsed="false">
      <c r="A67" s="5" t="s">
        <v>423</v>
      </c>
      <c r="B67" s="5" t="s">
        <v>620</v>
      </c>
      <c r="C67" s="5" t="n">
        <f aca="false">SUM('Samouczek v9'!H6:H30)</f>
        <v>1000</v>
      </c>
      <c r="D67" s="5" t="s">
        <v>368</v>
      </c>
      <c r="E67" s="5" t="s">
        <v>621</v>
      </c>
    </row>
    <row r="68" customFormat="false" ht="33.75" hidden="false" customHeight="true" outlineLevel="0" collapsed="false">
      <c r="A68" s="4" t="s">
        <v>423</v>
      </c>
      <c r="B68" s="4" t="s">
        <v>622</v>
      </c>
      <c r="C68" s="4" t="n">
        <f aca="false">SUM('Samouczek v9'!J6:J30)</f>
        <v>400</v>
      </c>
      <c r="D68" s="4" t="s">
        <v>345</v>
      </c>
      <c r="E68" s="4" t="s">
        <v>623</v>
      </c>
    </row>
    <row r="69" customFormat="false" ht="33.75" hidden="false" customHeight="true" outlineLevel="0" collapsed="false">
      <c r="A69" s="5" t="s">
        <v>335</v>
      </c>
      <c r="B69" s="5" t="s">
        <v>624</v>
      </c>
      <c r="C69" s="6" t="n">
        <v>1000</v>
      </c>
      <c r="D69" s="5" t="s">
        <v>368</v>
      </c>
      <c r="E69" s="5" t="s">
        <v>625</v>
      </c>
    </row>
    <row r="70" customFormat="false" ht="33.75" hidden="false" customHeight="true" outlineLevel="0" collapsed="false">
      <c r="A70" s="4" t="s">
        <v>350</v>
      </c>
      <c r="B70" s="4" t="s">
        <v>626</v>
      </c>
      <c r="C70" s="4" t="n">
        <f aca="false">C63*C69</f>
        <v>2000</v>
      </c>
      <c r="D70" s="4" t="s">
        <v>460</v>
      </c>
      <c r="E70" s="4"/>
    </row>
    <row r="72" customFormat="false" ht="27.75" hidden="false" customHeight="true" outlineLevel="0" collapsed="false">
      <c r="A72" s="3" t="s">
        <v>627</v>
      </c>
      <c r="B72" s="3"/>
      <c r="C72" s="3"/>
      <c r="D72" s="3"/>
      <c r="E72" s="3"/>
    </row>
    <row r="73" customFormat="false" ht="33.75" hidden="false" customHeight="true" outlineLevel="0" collapsed="false">
      <c r="A73" s="5" t="s">
        <v>335</v>
      </c>
      <c r="B73" s="5" t="s">
        <v>461</v>
      </c>
      <c r="C73" s="6" t="n">
        <v>1</v>
      </c>
      <c r="D73" s="5" t="s">
        <v>337</v>
      </c>
      <c r="E73" s="5" t="s">
        <v>628</v>
      </c>
    </row>
    <row r="74" customFormat="false" ht="33.75" hidden="false" customHeight="true" outlineLevel="0" collapsed="false">
      <c r="A74" s="4" t="s">
        <v>350</v>
      </c>
      <c r="B74" s="4" t="s">
        <v>629</v>
      </c>
      <c r="C74" s="4" t="n">
        <f aca="false">ROUNDDOWN(1000*1.5^(C73-1),0)</f>
        <v>1000</v>
      </c>
      <c r="D74" s="4" t="s">
        <v>345</v>
      </c>
      <c r="E74" s="4"/>
    </row>
    <row r="75" customFormat="false" ht="33.75" hidden="false" customHeight="true" outlineLevel="0" collapsed="false">
      <c r="A75" s="5" t="s">
        <v>350</v>
      </c>
      <c r="B75" s="5" t="s">
        <v>630</v>
      </c>
      <c r="C75" s="5" t="n">
        <f aca="false">ROUNDDOWN(4000*1.5^(C73-1),0)</f>
        <v>4000</v>
      </c>
      <c r="D75" s="5" t="s">
        <v>345</v>
      </c>
      <c r="E75" s="5"/>
    </row>
    <row r="76" customFormat="false" ht="33.75" hidden="false" customHeight="true" outlineLevel="0" collapsed="false">
      <c r="A76" s="4" t="s">
        <v>350</v>
      </c>
      <c r="B76" s="4" t="s">
        <v>631</v>
      </c>
      <c r="C76" s="4" t="n">
        <f aca="false">50*C73</f>
        <v>50</v>
      </c>
      <c r="D76" s="4" t="s">
        <v>345</v>
      </c>
      <c r="E76" s="4" t="s">
        <v>632</v>
      </c>
    </row>
    <row r="77" customFormat="false" ht="33.75" hidden="false" customHeight="true" outlineLevel="0" collapsed="false">
      <c r="A77" s="5" t="s">
        <v>350</v>
      </c>
      <c r="B77" s="5" t="s">
        <v>633</v>
      </c>
      <c r="C77" s="5" t="n">
        <f aca="false">C75-C76</f>
        <v>3950</v>
      </c>
      <c r="D77" s="5" t="s">
        <v>345</v>
      </c>
      <c r="E77" s="5" t="s">
        <v>634</v>
      </c>
    </row>
    <row r="79" customFormat="false" ht="33.75" hidden="false" customHeight="true" outlineLevel="0" collapsed="false">
      <c r="A79" s="5" t="s">
        <v>481</v>
      </c>
      <c r="B79" s="5" t="s">
        <v>635</v>
      </c>
      <c r="C79" s="5" t="s">
        <v>486</v>
      </c>
      <c r="D79" s="5"/>
      <c r="E79" s="5" t="s">
        <v>636</v>
      </c>
    </row>
  </sheetData>
  <mergeCells count="2">
    <mergeCell ref="A1:E1"/>
    <mergeCell ref="A2:E2"/>
  </mergeCells>
  <dataValidations count="11">
    <dataValidation allowBlank="false" error="Wpisz wartość w podanym zakresie." errorStyle="stop" operator="between" showDropDown="false" showErrorMessage="true" showInputMessage="false" sqref="C7" type="whole">
      <formula1>1</formula1>
      <formula2>100</formula2>
    </dataValidation>
    <dataValidation allowBlank="false" error="Wpisz wartość w podanym zakresie." errorStyle="stop" operator="between" showDropDown="false" showErrorMessage="true" showInputMessage="false" sqref="C8" type="whole">
      <formula1>0</formula1>
      <formula2>5</formula2>
    </dataValidation>
    <dataValidation allowBlank="false" error="Wpisz wartość w podanym zakresie." errorStyle="stop" operator="between" showDropDown="false" showErrorMessage="true" showInputMessage="false" sqref="C9" type="whole">
      <formula1>0</formula1>
      <formula2>1200</formula2>
    </dataValidation>
    <dataValidation allowBlank="false" error="Wpisz wartość w podanym zakresie." errorStyle="stop" operator="between" showDropDown="false" showErrorMessage="true" showInputMessage="false" sqref="C42" type="whole">
      <formula1>1</formula1>
      <formula2>100</formula2>
    </dataValidation>
    <dataValidation allowBlank="false" error="Wpisz wartość w podanym zakresie." errorStyle="stop" operator="between" showDropDown="false" showErrorMessage="true" showInputMessage="false" sqref="C43" type="whole">
      <formula1>0</formula1>
      <formula2>2400</formula2>
    </dataValidation>
    <dataValidation allowBlank="false" error="Wpisz wartość w podanym zakresie." errorStyle="stop" operator="between" showDropDown="false" showErrorMessage="true" showInputMessage="false" sqref="C44" type="whole">
      <formula1>5</formula1>
      <formula2>100</formula2>
    </dataValidation>
    <dataValidation allowBlank="false" error="Wpisz wartość w podanym zakresie." errorStyle="stop" operator="between" showDropDown="false" showErrorMessage="true" showInputMessage="false" sqref="C45" type="whole">
      <formula1>1</formula1>
      <formula2>5</formula2>
    </dataValidation>
    <dataValidation allowBlank="false" error="Wpisz wartość w podanym zakresie." errorStyle="stop" operator="between" showDropDown="false" showErrorMessage="true" showInputMessage="false" sqref="C56" type="whole">
      <formula1>1</formula1>
      <formula2>10000</formula2>
    </dataValidation>
    <dataValidation allowBlank="false" error="Wpisz wartość w podanym zakresie." errorStyle="stop" operator="between" showDropDown="false" showErrorMessage="true" showInputMessage="false" sqref="C60" type="whole">
      <formula1>0</formula1>
      <formula2>100</formula2>
    </dataValidation>
    <dataValidation allowBlank="false" error="Wpisz wartość w podanym zakresie." errorStyle="stop" operator="between" showDropDown="false" showErrorMessage="true" showInputMessage="false" sqref="C63" type="whole">
      <formula1>1</formula1>
      <formula2>100</formula2>
    </dataValidation>
    <dataValidation allowBlank="false" error="Wpisz wartość w podanym zakresie." errorStyle="stop" operator="between" showDropDown="false" showErrorMessage="true" showInputMessage="false" sqref="C73" type="whole">
      <formula1>1</formula1>
      <formula2>100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34"/>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9"/>
    <col collapsed="false" customWidth="true" hidden="false" outlineLevel="0" max="2" min="2" style="13" width="145"/>
    <col collapsed="false" customWidth="true" hidden="false" outlineLevel="0" max="3" min="3" style="13" width="95"/>
    <col collapsed="false" customWidth="false" hidden="false" outlineLevel="0" max="16384" min="4" style="13" width="8.71"/>
  </cols>
  <sheetData>
    <row r="1" customFormat="false" ht="33.75" hidden="false" customHeight="true" outlineLevel="0" collapsed="false">
      <c r="A1" s="14" t="s">
        <v>637</v>
      </c>
      <c r="B1" s="14"/>
      <c r="C1" s="14"/>
    </row>
    <row r="2" customFormat="false" ht="90" hidden="false" customHeight="true" outlineLevel="0" collapsed="false">
      <c r="A2" s="15" t="s">
        <v>638</v>
      </c>
      <c r="B2" s="15"/>
      <c r="C2" s="15"/>
    </row>
    <row r="3" customFormat="false" ht="24.75" hidden="false" customHeight="true" outlineLevel="0" collapsed="false">
      <c r="A3" s="15"/>
      <c r="B3" s="15"/>
      <c r="C3" s="15"/>
    </row>
    <row r="5" customFormat="false" ht="48" hidden="false" customHeight="true" outlineLevel="0" collapsed="false">
      <c r="A5" s="16" t="s">
        <v>329</v>
      </c>
      <c r="B5" s="16" t="s">
        <v>639</v>
      </c>
      <c r="C5" s="16" t="s">
        <v>640</v>
      </c>
    </row>
    <row r="6" customFormat="false" ht="90" hidden="false" customHeight="true" outlineLevel="0" collapsed="false">
      <c r="A6" s="17" t="s">
        <v>641</v>
      </c>
      <c r="B6" s="17" t="s">
        <v>642</v>
      </c>
      <c r="C6" s="17" t="s">
        <v>643</v>
      </c>
    </row>
    <row r="7" customFormat="false" ht="90" hidden="false" customHeight="true" outlineLevel="0" collapsed="false">
      <c r="A7" s="18" t="s">
        <v>644</v>
      </c>
      <c r="B7" s="18" t="s">
        <v>645</v>
      </c>
      <c r="C7" s="18" t="s">
        <v>646</v>
      </c>
    </row>
    <row r="8" customFormat="false" ht="90" hidden="false" customHeight="true" outlineLevel="0" collapsed="false">
      <c r="A8" s="17" t="s">
        <v>647</v>
      </c>
      <c r="B8" s="17" t="s">
        <v>648</v>
      </c>
      <c r="C8" s="17" t="s">
        <v>649</v>
      </c>
    </row>
    <row r="9" customFormat="false" ht="90" hidden="false" customHeight="true" outlineLevel="0" collapsed="false">
      <c r="A9" s="18" t="s">
        <v>650</v>
      </c>
      <c r="B9" s="18" t="s">
        <v>651</v>
      </c>
      <c r="C9" s="18" t="s">
        <v>652</v>
      </c>
    </row>
    <row r="10" customFormat="false" ht="90" hidden="false" customHeight="true" outlineLevel="0" collapsed="false">
      <c r="A10" s="17" t="s">
        <v>653</v>
      </c>
      <c r="B10" s="17" t="s">
        <v>654</v>
      </c>
      <c r="C10" s="17" t="s">
        <v>655</v>
      </c>
      <c r="E10" s="13" t="s">
        <v>656</v>
      </c>
    </row>
    <row r="11" customFormat="false" ht="90" hidden="false" customHeight="true" outlineLevel="0" collapsed="false">
      <c r="A11" s="18" t="s">
        <v>657</v>
      </c>
      <c r="B11" s="18" t="s">
        <v>658</v>
      </c>
      <c r="C11" s="18" t="s">
        <v>659</v>
      </c>
    </row>
    <row r="12" customFormat="false" ht="90" hidden="false" customHeight="true" outlineLevel="0" collapsed="false">
      <c r="A12" s="17" t="s">
        <v>660</v>
      </c>
      <c r="B12" s="17" t="s">
        <v>661</v>
      </c>
      <c r="C12" s="17" t="s">
        <v>662</v>
      </c>
    </row>
    <row r="13" customFormat="false" ht="90" hidden="false" customHeight="true" outlineLevel="0" collapsed="false">
      <c r="A13" s="18" t="s">
        <v>663</v>
      </c>
      <c r="B13" s="18" t="s">
        <v>664</v>
      </c>
      <c r="C13" s="18" t="s">
        <v>665</v>
      </c>
    </row>
    <row r="14" customFormat="false" ht="90" hidden="false" customHeight="true" outlineLevel="0" collapsed="false">
      <c r="A14" s="17" t="s">
        <v>666</v>
      </c>
      <c r="B14" s="17" t="s">
        <v>667</v>
      </c>
      <c r="C14" s="17" t="s">
        <v>668</v>
      </c>
    </row>
    <row r="15" customFormat="false" ht="90" hidden="false" customHeight="true" outlineLevel="0" collapsed="false">
      <c r="A15" s="18" t="s">
        <v>669</v>
      </c>
      <c r="B15" s="18" t="s">
        <v>670</v>
      </c>
      <c r="C15" s="18" t="s">
        <v>671</v>
      </c>
    </row>
    <row r="16" customFormat="false" ht="90" hidden="false" customHeight="true" outlineLevel="0" collapsed="false">
      <c r="A16" s="17" t="s">
        <v>672</v>
      </c>
      <c r="B16" s="17" t="s">
        <v>673</v>
      </c>
      <c r="C16" s="17" t="s">
        <v>674</v>
      </c>
      <c r="F16" s="13" t="s">
        <v>675</v>
      </c>
    </row>
    <row r="17" customFormat="false" ht="90" hidden="false" customHeight="true" outlineLevel="0" collapsed="false">
      <c r="A17" s="18" t="s">
        <v>676</v>
      </c>
      <c r="B17" s="18" t="s">
        <v>677</v>
      </c>
      <c r="C17" s="18" t="s">
        <v>678</v>
      </c>
      <c r="F17" s="13" t="s">
        <v>679</v>
      </c>
    </row>
    <row r="18" customFormat="false" ht="90" hidden="false" customHeight="true" outlineLevel="0" collapsed="false">
      <c r="A18" s="17" t="s">
        <v>680</v>
      </c>
      <c r="B18" s="17" t="s">
        <v>681</v>
      </c>
      <c r="C18" s="17" t="s">
        <v>682</v>
      </c>
    </row>
    <row r="19" customFormat="false" ht="90" hidden="false" customHeight="true" outlineLevel="0" collapsed="false">
      <c r="A19" s="18" t="s">
        <v>683</v>
      </c>
      <c r="B19" s="18" t="s">
        <v>684</v>
      </c>
      <c r="C19" s="18" t="s">
        <v>685</v>
      </c>
    </row>
    <row r="20" customFormat="false" ht="69.75" hidden="false" customHeight="true" outlineLevel="0" collapsed="false">
      <c r="A20" s="18" t="s">
        <v>686</v>
      </c>
      <c r="B20" s="18" t="s">
        <v>687</v>
      </c>
      <c r="C20" s="18" t="s">
        <v>688</v>
      </c>
    </row>
    <row r="21" customFormat="false" ht="99.75" hidden="false" customHeight="true" outlineLevel="0" collapsed="false">
      <c r="A21" s="18" t="s">
        <v>107</v>
      </c>
      <c r="B21" s="18" t="s">
        <v>689</v>
      </c>
      <c r="C21" s="18" t="s">
        <v>690</v>
      </c>
    </row>
    <row r="22" customFormat="false" ht="99.75" hidden="false" customHeight="true" outlineLevel="0" collapsed="false">
      <c r="A22" s="17" t="s">
        <v>691</v>
      </c>
      <c r="B22" s="17" t="s">
        <v>692</v>
      </c>
      <c r="C22" s="17" t="s">
        <v>693</v>
      </c>
    </row>
    <row r="23" customFormat="false" ht="99.75" hidden="false" customHeight="true" outlineLevel="0" collapsed="false">
      <c r="A23" s="18" t="s">
        <v>694</v>
      </c>
      <c r="B23" s="18" t="s">
        <v>695</v>
      </c>
      <c r="C23" s="18" t="s">
        <v>696</v>
      </c>
    </row>
    <row r="24" customFormat="false" ht="99.75" hidden="false" customHeight="true" outlineLevel="0" collapsed="false">
      <c r="A24" s="17" t="s">
        <v>697</v>
      </c>
      <c r="B24" s="17" t="s">
        <v>698</v>
      </c>
      <c r="C24" s="17" t="s">
        <v>699</v>
      </c>
    </row>
    <row r="25" customFormat="false" ht="90" hidden="false" customHeight="true" outlineLevel="0" collapsed="false">
      <c r="A25" s="18" t="s">
        <v>700</v>
      </c>
      <c r="B25" s="18" t="s">
        <v>701</v>
      </c>
      <c r="C25" s="18" t="s">
        <v>702</v>
      </c>
    </row>
    <row r="26" customFormat="false" ht="69.75" hidden="false" customHeight="true" outlineLevel="0" collapsed="false">
      <c r="A26" s="17" t="s">
        <v>703</v>
      </c>
      <c r="B26" s="17" t="s">
        <v>704</v>
      </c>
      <c r="C26" s="17" t="s">
        <v>705</v>
      </c>
    </row>
    <row r="27" customFormat="false" ht="159.75" hidden="false" customHeight="true" outlineLevel="0" collapsed="false">
      <c r="A27" s="19" t="s">
        <v>706</v>
      </c>
      <c r="B27" s="19" t="s">
        <v>707</v>
      </c>
      <c r="C27" s="19" t="s">
        <v>708</v>
      </c>
    </row>
    <row r="28" customFormat="false" ht="150" hidden="false" customHeight="true" outlineLevel="0" collapsed="false">
      <c r="A28" s="20" t="s">
        <v>709</v>
      </c>
      <c r="B28" s="20" t="s">
        <v>710</v>
      </c>
      <c r="C28" s="20" t="s">
        <v>711</v>
      </c>
    </row>
    <row r="29" customFormat="false" ht="105" hidden="false" customHeight="true" outlineLevel="0" collapsed="false">
      <c r="A29" s="19" t="s">
        <v>712</v>
      </c>
      <c r="B29" s="19" t="s">
        <v>713</v>
      </c>
      <c r="C29" s="19" t="s">
        <v>714</v>
      </c>
    </row>
    <row r="30" customFormat="false" ht="63.75" hidden="false" customHeight="true" outlineLevel="0" collapsed="false">
      <c r="A30" s="19" t="s">
        <v>68</v>
      </c>
      <c r="B30" s="19" t="s">
        <v>715</v>
      </c>
      <c r="C30" s="19" t="s">
        <v>716</v>
      </c>
    </row>
    <row r="31" customFormat="false" ht="63.75" hidden="false" customHeight="true" outlineLevel="0" collapsed="false">
      <c r="A31" s="19" t="s">
        <v>74</v>
      </c>
      <c r="B31" s="19" t="s">
        <v>717</v>
      </c>
      <c r="C31" s="19" t="s">
        <v>718</v>
      </c>
    </row>
    <row r="32" customFormat="false" ht="63.75" hidden="false" customHeight="true" outlineLevel="0" collapsed="false">
      <c r="A32" s="19" t="s">
        <v>719</v>
      </c>
      <c r="B32" s="19" t="s">
        <v>720</v>
      </c>
      <c r="C32" s="19" t="s">
        <v>721</v>
      </c>
    </row>
    <row r="33" customFormat="false" ht="63.75" hidden="false" customHeight="true" outlineLevel="0" collapsed="false">
      <c r="A33" s="19" t="s">
        <v>722</v>
      </c>
      <c r="B33" s="19" t="s">
        <v>723</v>
      </c>
      <c r="C33" s="19" t="s">
        <v>724</v>
      </c>
    </row>
    <row r="34" customFormat="false" ht="63.75" hidden="false" customHeight="true" outlineLevel="0" collapsed="false">
      <c r="A34" s="19" t="s">
        <v>725</v>
      </c>
      <c r="B34" s="19" t="s">
        <v>726</v>
      </c>
      <c r="C34" s="19" t="s">
        <v>727</v>
      </c>
    </row>
  </sheetData>
  <autoFilter ref="A5:F34"/>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14"/>
    <col collapsed="false" customWidth="true" hidden="false" outlineLevel="0" max="2" min="2" style="10" width="21"/>
    <col collapsed="false" customWidth="true" hidden="false" outlineLevel="0" max="3" min="3" style="10" width="27"/>
    <col collapsed="false" customWidth="true" hidden="false" outlineLevel="0" max="4" min="4" style="10" width="85"/>
    <col collapsed="false" customWidth="true" hidden="false" outlineLevel="0" max="5" min="5" style="10" width="80"/>
  </cols>
  <sheetData>
    <row r="1" customFormat="false" ht="31.5" hidden="false" customHeight="true" outlineLevel="0" collapsed="false">
      <c r="A1" s="21" t="s">
        <v>728</v>
      </c>
      <c r="B1" s="21"/>
      <c r="C1" s="21"/>
      <c r="D1" s="21"/>
      <c r="E1" s="21"/>
    </row>
    <row r="2" customFormat="false" ht="75.75" hidden="false" customHeight="true" outlineLevel="0" collapsed="false">
      <c r="A2" s="2" t="s">
        <v>729</v>
      </c>
      <c r="B2" s="2"/>
      <c r="C2" s="2"/>
      <c r="D2" s="2"/>
      <c r="E2" s="2"/>
    </row>
    <row r="5" customFormat="false" ht="33.75" hidden="false" customHeight="true" outlineLevel="0" collapsed="false">
      <c r="A5" s="22" t="s">
        <v>307</v>
      </c>
      <c r="B5" s="22" t="s">
        <v>329</v>
      </c>
      <c r="C5" s="22" t="s">
        <v>730</v>
      </c>
      <c r="D5" s="22" t="s">
        <v>731</v>
      </c>
      <c r="E5" s="22" t="s">
        <v>732</v>
      </c>
    </row>
    <row r="6" customFormat="false" ht="51" hidden="false" customHeight="true" outlineLevel="0" collapsed="false">
      <c r="A6" s="23" t="s">
        <v>733</v>
      </c>
      <c r="B6" s="23" t="s">
        <v>734</v>
      </c>
      <c r="C6" s="23" t="s">
        <v>735</v>
      </c>
      <c r="D6" s="23" t="s">
        <v>736</v>
      </c>
      <c r="E6" s="23" t="s">
        <v>737</v>
      </c>
    </row>
    <row r="7" customFormat="false" ht="51" hidden="false" customHeight="true" outlineLevel="0" collapsed="false">
      <c r="A7" s="24" t="s">
        <v>738</v>
      </c>
      <c r="B7" s="24" t="s">
        <v>8</v>
      </c>
      <c r="C7" s="24" t="s">
        <v>739</v>
      </c>
      <c r="D7" s="24" t="s">
        <v>740</v>
      </c>
      <c r="E7" s="24" t="s">
        <v>741</v>
      </c>
    </row>
    <row r="8" customFormat="false" ht="51" hidden="false" customHeight="true" outlineLevel="0" collapsed="false">
      <c r="A8" s="23" t="s">
        <v>742</v>
      </c>
      <c r="B8" s="23" t="s">
        <v>8</v>
      </c>
      <c r="C8" s="23" t="s">
        <v>743</v>
      </c>
      <c r="D8" s="23" t="s">
        <v>744</v>
      </c>
      <c r="E8" s="23" t="s">
        <v>745</v>
      </c>
    </row>
    <row r="9" customFormat="false" ht="51" hidden="false" customHeight="true" outlineLevel="0" collapsed="false">
      <c r="A9" s="24" t="s">
        <v>746</v>
      </c>
      <c r="B9" s="24" t="s">
        <v>8</v>
      </c>
      <c r="C9" s="24" t="s">
        <v>747</v>
      </c>
      <c r="D9" s="24" t="s">
        <v>748</v>
      </c>
      <c r="E9" s="24" t="s">
        <v>749</v>
      </c>
    </row>
    <row r="10" customFormat="false" ht="33.75" hidden="false" customHeight="true" outlineLevel="0" collapsed="false">
      <c r="A10" s="23" t="s">
        <v>750</v>
      </c>
      <c r="B10" s="23" t="s">
        <v>23</v>
      </c>
      <c r="C10" s="23" t="s">
        <v>751</v>
      </c>
      <c r="D10" s="23" t="s">
        <v>752</v>
      </c>
      <c r="E10" s="23" t="s">
        <v>753</v>
      </c>
    </row>
    <row r="11" customFormat="false" ht="33.75" hidden="false" customHeight="true" outlineLevel="0" collapsed="false">
      <c r="A11" s="24" t="s">
        <v>754</v>
      </c>
      <c r="B11" s="24" t="s">
        <v>755</v>
      </c>
      <c r="C11" s="24" t="s">
        <v>756</v>
      </c>
      <c r="D11" s="24" t="s">
        <v>757</v>
      </c>
      <c r="E11" s="24" t="s">
        <v>758</v>
      </c>
    </row>
    <row r="12" customFormat="false" ht="33.75" hidden="false" customHeight="true" outlineLevel="0" collapsed="false">
      <c r="A12" s="23" t="s">
        <v>759</v>
      </c>
      <c r="B12" s="23" t="s">
        <v>760</v>
      </c>
      <c r="C12" s="23" t="s">
        <v>761</v>
      </c>
      <c r="D12" s="23" t="s">
        <v>762</v>
      </c>
      <c r="E12" s="23" t="s">
        <v>763</v>
      </c>
    </row>
    <row r="13" customFormat="false" ht="33.75" hidden="false" customHeight="true" outlineLevel="0" collapsed="false">
      <c r="A13" s="24" t="s">
        <v>764</v>
      </c>
      <c r="B13" s="24" t="s">
        <v>760</v>
      </c>
      <c r="C13" s="24" t="s">
        <v>23</v>
      </c>
      <c r="D13" s="24" t="s">
        <v>765</v>
      </c>
      <c r="E13" s="24" t="s">
        <v>766</v>
      </c>
    </row>
    <row r="14" customFormat="false" ht="33.75" hidden="false" customHeight="true" outlineLevel="0" collapsed="false">
      <c r="A14" s="23" t="s">
        <v>767</v>
      </c>
      <c r="B14" s="23" t="s">
        <v>760</v>
      </c>
      <c r="C14" s="23" t="s">
        <v>768</v>
      </c>
      <c r="D14" s="23" t="s">
        <v>769</v>
      </c>
      <c r="E14" s="23" t="s">
        <v>770</v>
      </c>
    </row>
    <row r="15" customFormat="false" ht="33.75" hidden="false" customHeight="true" outlineLevel="0" collapsed="false">
      <c r="A15" s="24" t="s">
        <v>771</v>
      </c>
      <c r="B15" s="24" t="s">
        <v>760</v>
      </c>
      <c r="C15" s="24" t="s">
        <v>772</v>
      </c>
      <c r="D15" s="24" t="s">
        <v>773</v>
      </c>
      <c r="E15" s="24" t="s">
        <v>774</v>
      </c>
    </row>
    <row r="16" customFormat="false" ht="51" hidden="false" customHeight="true" outlineLevel="0" collapsed="false">
      <c r="A16" s="23" t="s">
        <v>775</v>
      </c>
      <c r="B16" s="23" t="s">
        <v>760</v>
      </c>
      <c r="C16" s="23" t="s">
        <v>776</v>
      </c>
      <c r="D16" s="23" t="s">
        <v>777</v>
      </c>
      <c r="E16" s="23" t="s">
        <v>778</v>
      </c>
    </row>
    <row r="17" customFormat="false" ht="33.75" hidden="false" customHeight="true" outlineLevel="0" collapsed="false">
      <c r="A17" s="24" t="s">
        <v>779</v>
      </c>
      <c r="B17" s="24" t="s">
        <v>760</v>
      </c>
      <c r="C17" s="24" t="s">
        <v>780</v>
      </c>
      <c r="D17" s="24" t="s">
        <v>781</v>
      </c>
      <c r="E17" s="24" t="s">
        <v>782</v>
      </c>
    </row>
    <row r="18" customFormat="false" ht="51" hidden="false" customHeight="true" outlineLevel="0" collapsed="false">
      <c r="A18" s="23" t="s">
        <v>783</v>
      </c>
      <c r="B18" s="23" t="s">
        <v>760</v>
      </c>
      <c r="C18" s="23" t="s">
        <v>248</v>
      </c>
      <c r="D18" s="23" t="s">
        <v>784</v>
      </c>
      <c r="E18" s="23" t="s">
        <v>785</v>
      </c>
    </row>
    <row r="19" customFormat="false" ht="51" hidden="false" customHeight="true" outlineLevel="0" collapsed="false">
      <c r="A19" s="24" t="s">
        <v>786</v>
      </c>
      <c r="B19" s="24" t="s">
        <v>760</v>
      </c>
      <c r="C19" s="24" t="s">
        <v>787</v>
      </c>
      <c r="D19" s="24" t="s">
        <v>788</v>
      </c>
      <c r="E19" s="24" t="s">
        <v>789</v>
      </c>
    </row>
    <row r="20" customFormat="false" ht="51" hidden="false" customHeight="true" outlineLevel="0" collapsed="false">
      <c r="A20" s="23" t="s">
        <v>790</v>
      </c>
      <c r="B20" s="23" t="s">
        <v>760</v>
      </c>
      <c r="C20" s="23" t="s">
        <v>791</v>
      </c>
      <c r="D20" s="23" t="s">
        <v>792</v>
      </c>
      <c r="E20" s="23" t="s">
        <v>793</v>
      </c>
    </row>
    <row r="21" customFormat="false" ht="51" hidden="false" customHeight="true" outlineLevel="0" collapsed="false">
      <c r="A21" s="24" t="s">
        <v>794</v>
      </c>
      <c r="B21" s="24" t="s">
        <v>760</v>
      </c>
      <c r="C21" s="24" t="s">
        <v>795</v>
      </c>
      <c r="D21" s="24" t="s">
        <v>796</v>
      </c>
      <c r="E21" s="24" t="s">
        <v>797</v>
      </c>
    </row>
    <row r="22" customFormat="false" ht="33.75" hidden="false" customHeight="true" outlineLevel="0" collapsed="false">
      <c r="A22" s="23" t="s">
        <v>798</v>
      </c>
      <c r="B22" s="23" t="s">
        <v>660</v>
      </c>
      <c r="C22" s="23" t="s">
        <v>279</v>
      </c>
      <c r="D22" s="23" t="s">
        <v>799</v>
      </c>
      <c r="E22" s="23" t="s">
        <v>800</v>
      </c>
    </row>
    <row r="23" customFormat="false" ht="33.75" hidden="false" customHeight="true" outlineLevel="0" collapsed="false">
      <c r="A23" s="24" t="s">
        <v>801</v>
      </c>
      <c r="B23" s="24" t="s">
        <v>802</v>
      </c>
      <c r="C23" s="24" t="s">
        <v>803</v>
      </c>
      <c r="D23" s="24" t="s">
        <v>804</v>
      </c>
      <c r="E23" s="24" t="s">
        <v>805</v>
      </c>
    </row>
    <row r="24" customFormat="false" ht="51" hidden="false" customHeight="true" outlineLevel="0" collapsed="false">
      <c r="A24" s="23" t="s">
        <v>806</v>
      </c>
      <c r="B24" s="23" t="s">
        <v>802</v>
      </c>
      <c r="C24" s="23" t="s">
        <v>807</v>
      </c>
      <c r="D24" s="23" t="s">
        <v>808</v>
      </c>
      <c r="E24" s="23" t="s">
        <v>809</v>
      </c>
    </row>
    <row r="25" customFormat="false" ht="33.75" hidden="false" customHeight="true" outlineLevel="0" collapsed="false">
      <c r="A25" s="24" t="s">
        <v>810</v>
      </c>
      <c r="B25" s="24" t="s">
        <v>802</v>
      </c>
      <c r="C25" s="24" t="s">
        <v>811</v>
      </c>
      <c r="D25" s="24" t="s">
        <v>812</v>
      </c>
      <c r="E25" s="24" t="s">
        <v>813</v>
      </c>
    </row>
    <row r="26" customFormat="false" ht="51" hidden="false" customHeight="true" outlineLevel="0" collapsed="false">
      <c r="A26" s="23" t="s">
        <v>814</v>
      </c>
      <c r="B26" s="23" t="s">
        <v>815</v>
      </c>
      <c r="C26" s="23" t="s">
        <v>816</v>
      </c>
      <c r="D26" s="23" t="s">
        <v>817</v>
      </c>
      <c r="E26" s="23" t="s">
        <v>818</v>
      </c>
    </row>
    <row r="27" customFormat="false" ht="51" hidden="false" customHeight="true" outlineLevel="0" collapsed="false">
      <c r="A27" s="24" t="s">
        <v>819</v>
      </c>
      <c r="B27" s="24" t="s">
        <v>815</v>
      </c>
      <c r="C27" s="24" t="s">
        <v>820</v>
      </c>
      <c r="D27" s="24" t="s">
        <v>821</v>
      </c>
      <c r="E27" s="24" t="s">
        <v>822</v>
      </c>
    </row>
    <row r="28" customFormat="false" ht="33.75" hidden="false" customHeight="true" outlineLevel="0" collapsed="false">
      <c r="A28" s="23" t="s">
        <v>823</v>
      </c>
      <c r="B28" s="23" t="s">
        <v>815</v>
      </c>
      <c r="C28" s="23" t="s">
        <v>824</v>
      </c>
      <c r="D28" s="23" t="s">
        <v>825</v>
      </c>
      <c r="E28" s="23" t="s">
        <v>826</v>
      </c>
    </row>
    <row r="29" customFormat="false" ht="51" hidden="false" customHeight="true" outlineLevel="0" collapsed="false">
      <c r="A29" s="24" t="s">
        <v>827</v>
      </c>
      <c r="B29" s="24" t="s">
        <v>828</v>
      </c>
      <c r="C29" s="24" t="s">
        <v>829</v>
      </c>
      <c r="D29" s="24" t="s">
        <v>830</v>
      </c>
      <c r="E29" s="24" t="s">
        <v>831</v>
      </c>
    </row>
    <row r="30" customFormat="false" ht="33.75" hidden="false" customHeight="true" outlineLevel="0" collapsed="false">
      <c r="A30" s="23" t="s">
        <v>832</v>
      </c>
      <c r="B30" s="23" t="s">
        <v>760</v>
      </c>
      <c r="C30" s="23" t="s">
        <v>833</v>
      </c>
      <c r="D30" s="23" t="s">
        <v>834</v>
      </c>
      <c r="E30" s="23" t="s">
        <v>835</v>
      </c>
    </row>
    <row r="31" customFormat="false" ht="33.75" hidden="false" customHeight="true" outlineLevel="0" collapsed="false">
      <c r="A31" s="24" t="s">
        <v>836</v>
      </c>
      <c r="B31" s="24" t="s">
        <v>837</v>
      </c>
      <c r="C31" s="24" t="s">
        <v>838</v>
      </c>
      <c r="D31" s="24" t="s">
        <v>839</v>
      </c>
      <c r="E31" s="24" t="s">
        <v>840</v>
      </c>
    </row>
    <row r="32" customFormat="false" ht="33.75" hidden="false" customHeight="true" outlineLevel="0" collapsed="false">
      <c r="A32" s="23" t="s">
        <v>841</v>
      </c>
      <c r="B32" s="23" t="s">
        <v>837</v>
      </c>
      <c r="C32" s="23" t="s">
        <v>842</v>
      </c>
      <c r="D32" s="23" t="s">
        <v>843</v>
      </c>
      <c r="E32" s="23" t="s">
        <v>844</v>
      </c>
    </row>
    <row r="33" customFormat="false" ht="33.75" hidden="false" customHeight="true" outlineLevel="0" collapsed="false">
      <c r="A33" s="24" t="s">
        <v>845</v>
      </c>
      <c r="B33" s="24" t="s">
        <v>837</v>
      </c>
      <c r="C33" s="24" t="s">
        <v>846</v>
      </c>
      <c r="D33" s="24" t="s">
        <v>847</v>
      </c>
      <c r="E33" s="24" t="s">
        <v>848</v>
      </c>
    </row>
    <row r="34" customFormat="false" ht="33.75" hidden="false" customHeight="true" outlineLevel="0" collapsed="false">
      <c r="A34" s="23" t="s">
        <v>849</v>
      </c>
      <c r="B34" s="23" t="s">
        <v>837</v>
      </c>
      <c r="C34" s="23" t="s">
        <v>850</v>
      </c>
      <c r="D34" s="23" t="s">
        <v>851</v>
      </c>
      <c r="E34" s="23" t="s">
        <v>852</v>
      </c>
    </row>
    <row r="35" customFormat="false" ht="33.75" hidden="false" customHeight="true" outlineLevel="0" collapsed="false">
      <c r="A35" s="24" t="s">
        <v>853</v>
      </c>
      <c r="B35" s="24" t="s">
        <v>815</v>
      </c>
      <c r="C35" s="24" t="s">
        <v>854</v>
      </c>
      <c r="D35" s="24" t="s">
        <v>855</v>
      </c>
      <c r="E35" s="24" t="s">
        <v>856</v>
      </c>
    </row>
    <row r="36" customFormat="false" ht="51" hidden="false" customHeight="true" outlineLevel="0" collapsed="false">
      <c r="A36" s="23" t="s">
        <v>857</v>
      </c>
      <c r="B36" s="23" t="s">
        <v>815</v>
      </c>
      <c r="C36" s="23" t="s">
        <v>858</v>
      </c>
      <c r="D36" s="23" t="s">
        <v>859</v>
      </c>
      <c r="E36" s="23" t="s">
        <v>860</v>
      </c>
    </row>
    <row r="37" customFormat="false" ht="33.75" hidden="false" customHeight="true" outlineLevel="0" collapsed="false">
      <c r="A37" s="24" t="s">
        <v>861</v>
      </c>
      <c r="B37" s="24" t="s">
        <v>815</v>
      </c>
      <c r="C37" s="24" t="s">
        <v>862</v>
      </c>
      <c r="D37" s="24" t="s">
        <v>863</v>
      </c>
      <c r="E37" s="24" t="s">
        <v>864</v>
      </c>
    </row>
    <row r="38" customFormat="false" ht="33.75" hidden="false" customHeight="true" outlineLevel="0" collapsed="false">
      <c r="A38" s="23" t="s">
        <v>865</v>
      </c>
      <c r="B38" s="23" t="s">
        <v>68</v>
      </c>
      <c r="C38" s="23" t="s">
        <v>866</v>
      </c>
      <c r="D38" s="23" t="s">
        <v>867</v>
      </c>
      <c r="E38" s="23" t="s">
        <v>868</v>
      </c>
    </row>
    <row r="39" customFormat="false" ht="51" hidden="false" customHeight="true" outlineLevel="0" collapsed="false">
      <c r="A39" s="24" t="s">
        <v>869</v>
      </c>
      <c r="B39" s="24" t="s">
        <v>68</v>
      </c>
      <c r="C39" s="24" t="s">
        <v>870</v>
      </c>
      <c r="D39" s="24" t="s">
        <v>871</v>
      </c>
      <c r="E39" s="24" t="s">
        <v>872</v>
      </c>
    </row>
    <row r="40" customFormat="false" ht="33.75" hidden="false" customHeight="true" outlineLevel="0" collapsed="false">
      <c r="A40" s="23" t="s">
        <v>873</v>
      </c>
      <c r="B40" s="23" t="s">
        <v>68</v>
      </c>
      <c r="C40" s="23" t="s">
        <v>874</v>
      </c>
      <c r="D40" s="23" t="s">
        <v>875</v>
      </c>
      <c r="E40" s="23" t="s">
        <v>876</v>
      </c>
    </row>
    <row r="41" customFormat="false" ht="51" hidden="false" customHeight="true" outlineLevel="0" collapsed="false">
      <c r="A41" s="24" t="s">
        <v>877</v>
      </c>
      <c r="B41" s="24" t="s">
        <v>68</v>
      </c>
      <c r="C41" s="24" t="s">
        <v>41</v>
      </c>
      <c r="D41" s="24" t="s">
        <v>878</v>
      </c>
      <c r="E41" s="24" t="s">
        <v>879</v>
      </c>
    </row>
    <row r="42" customFormat="false" ht="33.75" hidden="false" customHeight="true" outlineLevel="0" collapsed="false">
      <c r="A42" s="23" t="s">
        <v>880</v>
      </c>
      <c r="B42" s="23" t="s">
        <v>68</v>
      </c>
      <c r="C42" s="23" t="s">
        <v>71</v>
      </c>
      <c r="D42" s="23" t="s">
        <v>881</v>
      </c>
      <c r="E42" s="23" t="s">
        <v>882</v>
      </c>
    </row>
    <row r="43" customFormat="false" ht="51" hidden="false" customHeight="true" outlineLevel="0" collapsed="false">
      <c r="A43" s="24" t="s">
        <v>883</v>
      </c>
      <c r="B43" s="24" t="s">
        <v>68</v>
      </c>
      <c r="C43" s="24" t="s">
        <v>884</v>
      </c>
      <c r="D43" s="24" t="s">
        <v>885</v>
      </c>
      <c r="E43" s="24" t="s">
        <v>886</v>
      </c>
    </row>
    <row r="44" customFormat="false" ht="33.75" hidden="false" customHeight="true" outlineLevel="0" collapsed="false">
      <c r="A44" s="23" t="s">
        <v>887</v>
      </c>
      <c r="B44" s="23" t="s">
        <v>74</v>
      </c>
      <c r="C44" s="23" t="s">
        <v>888</v>
      </c>
      <c r="D44" s="23" t="s">
        <v>889</v>
      </c>
      <c r="E44" s="23" t="s">
        <v>890</v>
      </c>
    </row>
    <row r="45" customFormat="false" ht="33.75" hidden="false" customHeight="true" outlineLevel="0" collapsed="false">
      <c r="A45" s="24" t="s">
        <v>891</v>
      </c>
      <c r="B45" s="24" t="s">
        <v>74</v>
      </c>
      <c r="C45" s="24" t="s">
        <v>892</v>
      </c>
      <c r="D45" s="24" t="s">
        <v>893</v>
      </c>
      <c r="E45" s="24" t="s">
        <v>894</v>
      </c>
    </row>
    <row r="46" customFormat="false" ht="51" hidden="false" customHeight="true" outlineLevel="0" collapsed="false">
      <c r="A46" s="23" t="s">
        <v>895</v>
      </c>
      <c r="B46" s="23" t="s">
        <v>74</v>
      </c>
      <c r="C46" s="23" t="s">
        <v>896</v>
      </c>
      <c r="D46" s="23" t="s">
        <v>897</v>
      </c>
      <c r="E46" s="23" t="s">
        <v>898</v>
      </c>
    </row>
    <row r="47" customFormat="false" ht="33.75" hidden="false" customHeight="true" outlineLevel="0" collapsed="false">
      <c r="A47" s="24" t="s">
        <v>899</v>
      </c>
      <c r="B47" s="24" t="s">
        <v>74</v>
      </c>
      <c r="C47" s="24" t="s">
        <v>900</v>
      </c>
      <c r="D47" s="24" t="s">
        <v>901</v>
      </c>
      <c r="E47" s="24" t="s">
        <v>902</v>
      </c>
    </row>
    <row r="48" customFormat="false" ht="33.75" hidden="false" customHeight="true" outlineLevel="0" collapsed="false">
      <c r="A48" s="23" t="s">
        <v>903</v>
      </c>
      <c r="B48" s="23" t="s">
        <v>74</v>
      </c>
      <c r="C48" s="23" t="s">
        <v>904</v>
      </c>
      <c r="D48" s="23" t="s">
        <v>905</v>
      </c>
      <c r="E48" s="23" t="s">
        <v>906</v>
      </c>
    </row>
    <row r="49" customFormat="false" ht="33.75" hidden="false" customHeight="true" outlineLevel="0" collapsed="false">
      <c r="A49" s="24" t="s">
        <v>907</v>
      </c>
      <c r="B49" s="24" t="s">
        <v>74</v>
      </c>
      <c r="C49" s="24" t="s">
        <v>908</v>
      </c>
      <c r="D49" s="24" t="s">
        <v>909</v>
      </c>
      <c r="E49" s="24" t="s">
        <v>910</v>
      </c>
    </row>
    <row r="50" customFormat="false" ht="51" hidden="false" customHeight="true" outlineLevel="0" collapsed="false">
      <c r="A50" s="23" t="s">
        <v>911</v>
      </c>
      <c r="B50" s="23" t="s">
        <v>719</v>
      </c>
      <c r="C50" s="23" t="s">
        <v>240</v>
      </c>
      <c r="D50" s="23" t="s">
        <v>912</v>
      </c>
      <c r="E50" s="23" t="s">
        <v>913</v>
      </c>
    </row>
    <row r="51" customFormat="false" ht="33.75" hidden="false" customHeight="true" outlineLevel="0" collapsed="false">
      <c r="A51" s="24" t="s">
        <v>914</v>
      </c>
      <c r="B51" s="24" t="s">
        <v>719</v>
      </c>
      <c r="C51" s="24" t="s">
        <v>915</v>
      </c>
      <c r="D51" s="24" t="s">
        <v>916</v>
      </c>
      <c r="E51" s="24" t="s">
        <v>917</v>
      </c>
    </row>
    <row r="52" customFormat="false" ht="51" hidden="false" customHeight="true" outlineLevel="0" collapsed="false">
      <c r="A52" s="23" t="s">
        <v>918</v>
      </c>
      <c r="B52" s="23" t="s">
        <v>919</v>
      </c>
      <c r="C52" s="23" t="s">
        <v>920</v>
      </c>
      <c r="D52" s="23" t="s">
        <v>921</v>
      </c>
      <c r="E52" s="23" t="s">
        <v>922</v>
      </c>
    </row>
    <row r="53" customFormat="false" ht="51" hidden="false" customHeight="true" outlineLevel="0" collapsed="false">
      <c r="A53" s="24" t="s">
        <v>923</v>
      </c>
      <c r="B53" s="24" t="s">
        <v>924</v>
      </c>
      <c r="C53" s="24" t="s">
        <v>925</v>
      </c>
      <c r="D53" s="24" t="s">
        <v>926</v>
      </c>
      <c r="E53" s="24" t="s">
        <v>927</v>
      </c>
    </row>
  </sheetData>
  <autoFilter ref="A5:E53"/>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4"/>
    <col collapsed="false" customWidth="true" hidden="false" outlineLevel="0" max="2" min="2" style="10" width="43"/>
    <col collapsed="false" customWidth="true" hidden="false" outlineLevel="0" max="3" min="3" style="10" width="85"/>
    <col collapsed="false" customWidth="true" hidden="false" outlineLevel="0" max="4" min="4" style="10" width="75"/>
  </cols>
  <sheetData>
    <row r="1" customFormat="false" ht="31.5" hidden="false" customHeight="true" outlineLevel="0" collapsed="false">
      <c r="A1" s="21" t="s">
        <v>928</v>
      </c>
      <c r="B1" s="21"/>
      <c r="C1" s="21"/>
      <c r="D1" s="21"/>
    </row>
    <row r="2" customFormat="false" ht="75.75" hidden="false" customHeight="true" outlineLevel="0" collapsed="false">
      <c r="A2" s="2" t="s">
        <v>929</v>
      </c>
      <c r="B2" s="2"/>
      <c r="C2" s="2"/>
      <c r="D2" s="2"/>
    </row>
    <row r="5" customFormat="false" ht="33.75" hidden="false" customHeight="true" outlineLevel="0" collapsed="false">
      <c r="A5" s="22" t="s">
        <v>930</v>
      </c>
      <c r="B5" s="22" t="s">
        <v>931</v>
      </c>
      <c r="C5" s="22" t="s">
        <v>932</v>
      </c>
      <c r="D5" s="22" t="s">
        <v>933</v>
      </c>
    </row>
    <row r="6" customFormat="false" ht="31.5" hidden="false" customHeight="true" outlineLevel="0" collapsed="false">
      <c r="A6" s="23" t="s">
        <v>934</v>
      </c>
      <c r="B6" s="23" t="s">
        <v>935</v>
      </c>
      <c r="C6" s="23" t="s">
        <v>936</v>
      </c>
      <c r="D6" s="23" t="s">
        <v>937</v>
      </c>
    </row>
    <row r="7" customFormat="false" ht="31.5" hidden="false" customHeight="true" outlineLevel="0" collapsed="false">
      <c r="A7" s="24" t="s">
        <v>934</v>
      </c>
      <c r="B7" s="24" t="s">
        <v>768</v>
      </c>
      <c r="C7" s="24" t="s">
        <v>938</v>
      </c>
      <c r="D7" s="24" t="s">
        <v>939</v>
      </c>
    </row>
    <row r="8" customFormat="false" ht="31.5" hidden="false" customHeight="true" outlineLevel="0" collapsed="false">
      <c r="A8" s="23" t="s">
        <v>940</v>
      </c>
      <c r="B8" s="23" t="s">
        <v>772</v>
      </c>
      <c r="C8" s="23" t="s">
        <v>941</v>
      </c>
      <c r="D8" s="23" t="s">
        <v>942</v>
      </c>
    </row>
    <row r="9" customFormat="false" ht="31.5" hidden="false" customHeight="true" outlineLevel="0" collapsed="false">
      <c r="A9" s="24" t="s">
        <v>940</v>
      </c>
      <c r="B9" s="24" t="s">
        <v>943</v>
      </c>
      <c r="C9" s="24" t="s">
        <v>944</v>
      </c>
      <c r="D9" s="24" t="s">
        <v>945</v>
      </c>
    </row>
    <row r="10" customFormat="false" ht="31.5" hidden="false" customHeight="true" outlineLevel="0" collapsed="false">
      <c r="A10" s="23" t="s">
        <v>946</v>
      </c>
      <c r="B10" s="23" t="s">
        <v>310</v>
      </c>
      <c r="C10" s="23" t="s">
        <v>947</v>
      </c>
      <c r="D10" s="23" t="s">
        <v>948</v>
      </c>
    </row>
    <row r="11" customFormat="false" ht="31.5" hidden="false" customHeight="true" outlineLevel="0" collapsed="false">
      <c r="A11" s="24" t="s">
        <v>949</v>
      </c>
      <c r="B11" s="24" t="s">
        <v>776</v>
      </c>
      <c r="C11" s="24" t="s">
        <v>950</v>
      </c>
      <c r="D11" s="24" t="s">
        <v>951</v>
      </c>
    </row>
    <row r="12" customFormat="false" ht="31.5" hidden="false" customHeight="true" outlineLevel="0" collapsed="false">
      <c r="A12" s="23" t="s">
        <v>248</v>
      </c>
      <c r="B12" s="23" t="s">
        <v>952</v>
      </c>
      <c r="C12" s="23" t="s">
        <v>953</v>
      </c>
      <c r="D12" s="23" t="s">
        <v>954</v>
      </c>
    </row>
    <row r="13" customFormat="false" ht="31.5" hidden="false" customHeight="true" outlineLevel="0" collapsed="false">
      <c r="A13" s="24" t="s">
        <v>248</v>
      </c>
      <c r="B13" s="24" t="s">
        <v>955</v>
      </c>
      <c r="C13" s="24" t="s">
        <v>956</v>
      </c>
      <c r="D13" s="24" t="s">
        <v>957</v>
      </c>
    </row>
    <row r="14" customFormat="false" ht="31.5" hidden="false" customHeight="true" outlineLevel="0" collapsed="false">
      <c r="A14" s="23" t="s">
        <v>240</v>
      </c>
      <c r="B14" s="23" t="s">
        <v>958</v>
      </c>
      <c r="C14" s="23" t="s">
        <v>959</v>
      </c>
      <c r="D14" s="23" t="s">
        <v>960</v>
      </c>
    </row>
    <row r="15" customFormat="false" ht="31.5" hidden="false" customHeight="true" outlineLevel="0" collapsed="false">
      <c r="A15" s="24" t="s">
        <v>240</v>
      </c>
      <c r="B15" s="24" t="s">
        <v>961</v>
      </c>
      <c r="C15" s="24" t="s">
        <v>962</v>
      </c>
      <c r="D15" s="24" t="s">
        <v>963</v>
      </c>
    </row>
    <row r="16" customFormat="false" ht="31.5" hidden="false" customHeight="true" outlineLevel="0" collapsed="false">
      <c r="A16" s="23" t="s">
        <v>964</v>
      </c>
      <c r="B16" s="23" t="s">
        <v>791</v>
      </c>
      <c r="C16" s="23" t="s">
        <v>965</v>
      </c>
      <c r="D16" s="23" t="s">
        <v>966</v>
      </c>
    </row>
    <row r="17" customFormat="false" ht="31.5" hidden="false" customHeight="true" outlineLevel="0" collapsed="false">
      <c r="A17" s="24" t="s">
        <v>967</v>
      </c>
      <c r="B17" s="24" t="s">
        <v>968</v>
      </c>
      <c r="C17" s="24" t="s">
        <v>969</v>
      </c>
      <c r="D17" s="24" t="s">
        <v>970</v>
      </c>
    </row>
    <row r="18" customFormat="false" ht="31.5" hidden="false" customHeight="true" outlineLevel="0" collapsed="false">
      <c r="A18" s="23" t="s">
        <v>279</v>
      </c>
      <c r="B18" s="23" t="s">
        <v>971</v>
      </c>
      <c r="C18" s="23" t="s">
        <v>972</v>
      </c>
      <c r="D18" s="23" t="s">
        <v>973</v>
      </c>
    </row>
    <row r="19" customFormat="false" ht="31.5" hidden="false" customHeight="true" outlineLevel="0" collapsed="false">
      <c r="A19" s="24" t="s">
        <v>279</v>
      </c>
      <c r="B19" s="24" t="s">
        <v>974</v>
      </c>
      <c r="C19" s="24" t="s">
        <v>975</v>
      </c>
      <c r="D19" s="24" t="s">
        <v>976</v>
      </c>
    </row>
    <row r="20" customFormat="false" ht="31.5" hidden="false" customHeight="true" outlineLevel="0" collapsed="false">
      <c r="A20" s="23" t="s">
        <v>837</v>
      </c>
      <c r="B20" s="23" t="s">
        <v>977</v>
      </c>
      <c r="C20" s="23" t="s">
        <v>978</v>
      </c>
      <c r="D20" s="23" t="s">
        <v>979</v>
      </c>
    </row>
    <row r="21" customFormat="false" ht="31.5" hidden="false" customHeight="true" outlineLevel="0" collapsed="false">
      <c r="A21" s="24" t="s">
        <v>837</v>
      </c>
      <c r="B21" s="24" t="s">
        <v>980</v>
      </c>
      <c r="C21" s="24" t="s">
        <v>981</v>
      </c>
      <c r="D21" s="24" t="s">
        <v>982</v>
      </c>
    </row>
    <row r="22" customFormat="false" ht="31.5" hidden="false" customHeight="true" outlineLevel="0" collapsed="false">
      <c r="A22" s="23" t="s">
        <v>837</v>
      </c>
      <c r="B22" s="23" t="s">
        <v>983</v>
      </c>
      <c r="C22" s="23" t="s">
        <v>984</v>
      </c>
      <c r="D22" s="23" t="s">
        <v>985</v>
      </c>
    </row>
    <row r="23" customFormat="false" ht="33.75" hidden="false" customHeight="true" outlineLevel="0" collapsed="false">
      <c r="A23" s="24" t="s">
        <v>986</v>
      </c>
      <c r="B23" s="24" t="s">
        <v>987</v>
      </c>
      <c r="C23" s="24" t="s">
        <v>988</v>
      </c>
      <c r="D23" s="24" t="s">
        <v>989</v>
      </c>
    </row>
    <row r="24" customFormat="false" ht="31.5" hidden="false" customHeight="true" outlineLevel="0" collapsed="false">
      <c r="A24" s="23" t="s">
        <v>990</v>
      </c>
      <c r="B24" s="23" t="s">
        <v>991</v>
      </c>
      <c r="C24" s="23" t="s">
        <v>992</v>
      </c>
      <c r="D24" s="23" t="s">
        <v>993</v>
      </c>
    </row>
    <row r="25" customFormat="false" ht="31.5" hidden="false" customHeight="true" outlineLevel="0" collapsed="false">
      <c r="A25" s="24" t="s">
        <v>994</v>
      </c>
      <c r="B25" s="24" t="s">
        <v>995</v>
      </c>
      <c r="C25" s="24" t="s">
        <v>996</v>
      </c>
      <c r="D25" s="24" t="s">
        <v>997</v>
      </c>
    </row>
    <row r="26" customFormat="false" ht="31.5" hidden="false" customHeight="true" outlineLevel="0" collapsed="false">
      <c r="A26" s="23" t="s">
        <v>998</v>
      </c>
      <c r="B26" s="23" t="s">
        <v>999</v>
      </c>
      <c r="C26" s="23" t="s">
        <v>1000</v>
      </c>
      <c r="D26" s="23" t="s">
        <v>1001</v>
      </c>
    </row>
    <row r="27" customFormat="false" ht="31.5" hidden="false" customHeight="true" outlineLevel="0" collapsed="false">
      <c r="A27" s="24" t="s">
        <v>833</v>
      </c>
      <c r="B27" s="24" t="s">
        <v>1002</v>
      </c>
      <c r="C27" s="24" t="s">
        <v>1003</v>
      </c>
      <c r="D27" s="24" t="s">
        <v>1004</v>
      </c>
    </row>
    <row r="28" customFormat="false" ht="31.5" hidden="false" customHeight="true" outlineLevel="0" collapsed="false">
      <c r="A28" s="23" t="s">
        <v>1005</v>
      </c>
      <c r="B28" s="23" t="s">
        <v>1006</v>
      </c>
      <c r="C28" s="23" t="s">
        <v>1007</v>
      </c>
      <c r="D28" s="23" t="s">
        <v>1008</v>
      </c>
    </row>
    <row r="29" customFormat="false" ht="31.5" hidden="false" customHeight="true" outlineLevel="0" collapsed="false">
      <c r="A29" s="24" t="s">
        <v>1009</v>
      </c>
      <c r="B29" s="24" t="s">
        <v>1010</v>
      </c>
      <c r="C29" s="24" t="s">
        <v>1011</v>
      </c>
      <c r="D29" s="24" t="s">
        <v>1012</v>
      </c>
    </row>
  </sheetData>
  <autoFilter ref="A5:D29"/>
  <mergeCells count="2">
    <mergeCell ref="A1:D1"/>
    <mergeCell ref="A2:D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12"/>
    <col collapsed="false" customWidth="true" hidden="false" outlineLevel="0" max="2" min="2" style="10" width="38"/>
    <col collapsed="false" customWidth="true" hidden="false" outlineLevel="0" max="3" min="3" style="10" width="100"/>
    <col collapsed="false" customWidth="true" hidden="false" outlineLevel="0" max="4" min="4" style="10" width="48"/>
  </cols>
  <sheetData>
    <row r="1" customFormat="false" ht="36" hidden="false" customHeight="true" outlineLevel="0" collapsed="false">
      <c r="A1" s="25" t="s">
        <v>1013</v>
      </c>
      <c r="B1" s="25"/>
      <c r="C1" s="25"/>
      <c r="D1" s="25"/>
    </row>
    <row r="2" customFormat="false" ht="69.75" hidden="false" customHeight="true" outlineLevel="0" collapsed="false">
      <c r="A2" s="26" t="s">
        <v>1014</v>
      </c>
      <c r="B2" s="26"/>
      <c r="C2" s="26"/>
      <c r="D2" s="26"/>
    </row>
    <row r="5" customFormat="false" ht="34.5" hidden="false" customHeight="true" outlineLevel="0" collapsed="false">
      <c r="A5" s="27" t="s">
        <v>307</v>
      </c>
      <c r="B5" s="27" t="s">
        <v>308</v>
      </c>
      <c r="C5" s="27" t="s">
        <v>1015</v>
      </c>
      <c r="D5" s="27" t="s">
        <v>1016</v>
      </c>
    </row>
    <row r="6" customFormat="false" ht="124.5" hidden="false" customHeight="true" outlineLevel="0" collapsed="false">
      <c r="A6" s="20" t="s">
        <v>1017</v>
      </c>
      <c r="B6" s="20" t="s">
        <v>1018</v>
      </c>
      <c r="C6" s="20" t="s">
        <v>1019</v>
      </c>
      <c r="D6" s="20" t="s">
        <v>1020</v>
      </c>
    </row>
    <row r="7" customFormat="false" ht="124.5" hidden="false" customHeight="true" outlineLevel="0" collapsed="false">
      <c r="A7" s="19" t="s">
        <v>1021</v>
      </c>
      <c r="B7" s="19" t="s">
        <v>1022</v>
      </c>
      <c r="C7" s="19" t="s">
        <v>1023</v>
      </c>
      <c r="D7" s="19" t="s">
        <v>1024</v>
      </c>
    </row>
    <row r="8" customFormat="false" ht="124.5" hidden="false" customHeight="true" outlineLevel="0" collapsed="false">
      <c r="A8" s="20" t="s">
        <v>1025</v>
      </c>
      <c r="B8" s="20" t="s">
        <v>1026</v>
      </c>
      <c r="C8" s="20" t="s">
        <v>1027</v>
      </c>
      <c r="D8" s="20" t="s">
        <v>1028</v>
      </c>
    </row>
    <row r="9" customFormat="false" ht="124.5" hidden="false" customHeight="true" outlineLevel="0" collapsed="false">
      <c r="A9" s="19" t="s">
        <v>1029</v>
      </c>
      <c r="B9" s="19" t="s">
        <v>1030</v>
      </c>
      <c r="C9" s="19" t="s">
        <v>1031</v>
      </c>
      <c r="D9" s="19" t="s">
        <v>1028</v>
      </c>
    </row>
    <row r="10" customFormat="false" ht="124.5" hidden="false" customHeight="true" outlineLevel="0" collapsed="false">
      <c r="A10" s="20" t="s">
        <v>1032</v>
      </c>
      <c r="B10" s="20" t="s">
        <v>1033</v>
      </c>
      <c r="C10" s="20" t="s">
        <v>1034</v>
      </c>
      <c r="D10" s="20" t="s">
        <v>1035</v>
      </c>
    </row>
    <row r="11" customFormat="false" ht="124.5" hidden="false" customHeight="true" outlineLevel="0" collapsed="false">
      <c r="A11" s="19" t="s">
        <v>1036</v>
      </c>
      <c r="B11" s="19" t="s">
        <v>1037</v>
      </c>
      <c r="C11" s="19" t="s">
        <v>1038</v>
      </c>
      <c r="D11" s="19" t="s">
        <v>1039</v>
      </c>
    </row>
    <row r="12" customFormat="false" ht="124.5" hidden="false" customHeight="true" outlineLevel="0" collapsed="false">
      <c r="A12" s="20" t="s">
        <v>1040</v>
      </c>
      <c r="B12" s="20" t="s">
        <v>1041</v>
      </c>
      <c r="C12" s="20" t="s">
        <v>1042</v>
      </c>
      <c r="D12" s="20" t="s">
        <v>1043</v>
      </c>
    </row>
    <row r="13" customFormat="false" ht="124.5" hidden="false" customHeight="true" outlineLevel="0" collapsed="false">
      <c r="A13" s="19" t="s">
        <v>1044</v>
      </c>
      <c r="B13" s="19" t="s">
        <v>1045</v>
      </c>
      <c r="C13" s="19" t="s">
        <v>1046</v>
      </c>
      <c r="D13" s="19" t="s">
        <v>1047</v>
      </c>
    </row>
    <row r="14" customFormat="false" ht="124.5" hidden="false" customHeight="true" outlineLevel="0" collapsed="false">
      <c r="A14" s="20" t="s">
        <v>1048</v>
      </c>
      <c r="B14" s="20" t="s">
        <v>1049</v>
      </c>
      <c r="C14" s="20" t="s">
        <v>1050</v>
      </c>
      <c r="D14" s="20" t="s">
        <v>1051</v>
      </c>
    </row>
    <row r="15" customFormat="false" ht="124.5" hidden="false" customHeight="true" outlineLevel="0" collapsed="false">
      <c r="A15" s="19" t="s">
        <v>1052</v>
      </c>
      <c r="B15" s="19" t="s">
        <v>1053</v>
      </c>
      <c r="C15" s="19" t="s">
        <v>1054</v>
      </c>
      <c r="D15" s="19" t="s">
        <v>1055</v>
      </c>
    </row>
    <row r="16" customFormat="false" ht="124.5" hidden="false" customHeight="true" outlineLevel="0" collapsed="false">
      <c r="A16" s="20" t="s">
        <v>1056</v>
      </c>
      <c r="B16" s="20" t="s">
        <v>1057</v>
      </c>
      <c r="C16" s="20" t="s">
        <v>1058</v>
      </c>
      <c r="D16" s="20" t="s">
        <v>1059</v>
      </c>
    </row>
    <row r="17" customFormat="false" ht="124.5" hidden="false" customHeight="true" outlineLevel="0" collapsed="false">
      <c r="A17" s="19" t="s">
        <v>1060</v>
      </c>
      <c r="B17" s="19" t="s">
        <v>1061</v>
      </c>
      <c r="C17" s="19" t="s">
        <v>1062</v>
      </c>
      <c r="D17" s="19" t="s">
        <v>1063</v>
      </c>
    </row>
    <row r="18" customFormat="false" ht="124.5" hidden="false" customHeight="true" outlineLevel="0" collapsed="false">
      <c r="A18" s="20" t="s">
        <v>1064</v>
      </c>
      <c r="B18" s="20" t="s">
        <v>1065</v>
      </c>
      <c r="C18" s="20" t="s">
        <v>1066</v>
      </c>
      <c r="D18" s="20" t="s">
        <v>1067</v>
      </c>
    </row>
    <row r="19" customFormat="false" ht="124.5" hidden="false" customHeight="true" outlineLevel="0" collapsed="false">
      <c r="A19" s="19" t="s">
        <v>1068</v>
      </c>
      <c r="B19" s="19" t="s">
        <v>1069</v>
      </c>
      <c r="C19" s="19" t="s">
        <v>1070</v>
      </c>
      <c r="D19" s="19" t="s">
        <v>1071</v>
      </c>
    </row>
    <row r="20" customFormat="false" ht="124.5" hidden="false" customHeight="true" outlineLevel="0" collapsed="false">
      <c r="A20" s="20" t="s">
        <v>1072</v>
      </c>
      <c r="B20" s="20" t="s">
        <v>1073</v>
      </c>
      <c r="C20" s="20" t="s">
        <v>1074</v>
      </c>
      <c r="D20" s="20" t="s">
        <v>1075</v>
      </c>
    </row>
    <row r="21" customFormat="false" ht="124.5" hidden="false" customHeight="true" outlineLevel="0" collapsed="false">
      <c r="A21" s="19" t="s">
        <v>1076</v>
      </c>
      <c r="B21" s="19" t="s">
        <v>1077</v>
      </c>
      <c r="C21" s="19" t="s">
        <v>1078</v>
      </c>
      <c r="D21" s="19" t="s">
        <v>1079</v>
      </c>
    </row>
    <row r="22" customFormat="false" ht="124.5" hidden="false" customHeight="true" outlineLevel="0" collapsed="false">
      <c r="A22" s="20" t="s">
        <v>1080</v>
      </c>
      <c r="B22" s="20" t="s">
        <v>1081</v>
      </c>
      <c r="C22" s="20" t="s">
        <v>1082</v>
      </c>
      <c r="D22" s="20" t="s">
        <v>1083</v>
      </c>
    </row>
  </sheetData>
  <autoFilter ref="A5:D2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21"/>
    <col collapsed="false" customWidth="true" hidden="false" outlineLevel="0" max="2" min="2" style="13" width="42"/>
    <col collapsed="false" customWidth="true" hidden="false" outlineLevel="0" max="3" min="3" style="13" width="44"/>
    <col collapsed="false" customWidth="true" hidden="false" outlineLevel="0" max="4" min="4" style="13" width="65"/>
    <col collapsed="false" customWidth="true" hidden="false" outlineLevel="0" max="5" min="5" style="13" width="47"/>
    <col collapsed="false" customWidth="true" hidden="false" outlineLevel="0" max="6" min="6" style="13" width="35"/>
    <col collapsed="false" customWidth="true" hidden="false" outlineLevel="0" max="7" min="7" style="13" width="38"/>
    <col collapsed="false" customWidth="true" hidden="false" outlineLevel="0" max="8" min="8" style="13" width="46"/>
    <col collapsed="false" customWidth="true" hidden="false" outlineLevel="0" max="9" min="9" style="13" width="90"/>
    <col collapsed="false" customWidth="true" hidden="false" outlineLevel="0" max="10" min="10" style="13" width="65"/>
    <col collapsed="false" customWidth="true" hidden="false" outlineLevel="0" max="11" min="11" style="13" width="90"/>
    <col collapsed="false" customWidth="true" hidden="false" outlineLevel="0" max="12" min="12" style="13" width="47"/>
    <col collapsed="false" customWidth="true" hidden="false" outlineLevel="0" max="15" min="13" style="13" width="39"/>
    <col collapsed="false" customWidth="false" hidden="false" outlineLevel="0" max="16384" min="16" style="13" width="8.71"/>
  </cols>
  <sheetData>
    <row r="1" customFormat="false" ht="33.75" hidden="false" customHeight="true" outlineLevel="0" collapsed="false">
      <c r="A1" s="28" t="s">
        <v>1084</v>
      </c>
      <c r="B1" s="28"/>
      <c r="C1" s="28"/>
      <c r="D1" s="28"/>
      <c r="E1" s="28"/>
      <c r="F1" s="28"/>
      <c r="G1" s="28"/>
      <c r="H1" s="28"/>
      <c r="I1" s="28"/>
      <c r="J1" s="28"/>
      <c r="K1" s="28"/>
      <c r="L1" s="28"/>
      <c r="M1" s="28"/>
      <c r="N1" s="28"/>
      <c r="O1" s="28"/>
    </row>
    <row r="2" customFormat="false" ht="24.75" hidden="false" customHeight="true" outlineLevel="0" collapsed="false">
      <c r="A2" s="15" t="s">
        <v>1085</v>
      </c>
      <c r="B2" s="15"/>
      <c r="C2" s="15"/>
      <c r="D2" s="15"/>
      <c r="E2" s="15"/>
      <c r="F2" s="15"/>
      <c r="G2" s="15"/>
      <c r="H2" s="15"/>
      <c r="I2" s="15"/>
      <c r="J2" s="15"/>
      <c r="K2" s="15"/>
      <c r="L2" s="15"/>
      <c r="M2" s="15"/>
      <c r="N2" s="15"/>
      <c r="O2" s="15"/>
    </row>
    <row r="3" customFormat="false" ht="24.75" hidden="false" customHeight="true" outlineLevel="0" collapsed="false">
      <c r="A3" s="15"/>
      <c r="B3" s="15"/>
      <c r="C3" s="15"/>
      <c r="D3" s="15"/>
      <c r="E3" s="15"/>
      <c r="F3" s="15"/>
      <c r="G3" s="15"/>
      <c r="H3" s="15"/>
      <c r="I3" s="15"/>
      <c r="J3" s="15"/>
      <c r="K3" s="15"/>
      <c r="L3" s="15"/>
      <c r="M3" s="15"/>
      <c r="N3" s="15"/>
      <c r="O3" s="15"/>
    </row>
    <row r="5" customFormat="false" ht="48" hidden="false" customHeight="true" outlineLevel="0" collapsed="false">
      <c r="A5" s="29" t="s">
        <v>1086</v>
      </c>
      <c r="B5" s="29" t="s">
        <v>233</v>
      </c>
      <c r="C5" s="29" t="s">
        <v>755</v>
      </c>
      <c r="D5" s="29" t="s">
        <v>1087</v>
      </c>
      <c r="E5" s="29" t="s">
        <v>1088</v>
      </c>
      <c r="F5" s="29" t="s">
        <v>1089</v>
      </c>
      <c r="G5" s="29" t="s">
        <v>924</v>
      </c>
      <c r="H5" s="29" t="s">
        <v>1090</v>
      </c>
      <c r="I5" s="29" t="s">
        <v>1091</v>
      </c>
      <c r="J5" s="29" t="s">
        <v>672</v>
      </c>
      <c r="K5" s="29" t="s">
        <v>1092</v>
      </c>
      <c r="L5" s="29" t="s">
        <v>1093</v>
      </c>
      <c r="M5" s="29" t="s">
        <v>1094</v>
      </c>
      <c r="N5" s="29" t="s">
        <v>1095</v>
      </c>
      <c r="O5" s="29" t="s">
        <v>1096</v>
      </c>
    </row>
    <row r="6" customFormat="false" ht="244.5" hidden="false" customHeight="true" outlineLevel="0" collapsed="false">
      <c r="A6" s="17" t="s">
        <v>239</v>
      </c>
      <c r="B6" s="17" t="s">
        <v>1097</v>
      </c>
      <c r="C6" s="17" t="s">
        <v>1098</v>
      </c>
      <c r="D6" s="17" t="s">
        <v>1099</v>
      </c>
      <c r="E6" s="17" t="s">
        <v>1100</v>
      </c>
      <c r="F6" s="17" t="s">
        <v>1101</v>
      </c>
      <c r="G6" s="30" t="s">
        <v>1102</v>
      </c>
      <c r="H6" s="17" t="s">
        <v>1103</v>
      </c>
      <c r="I6" s="17" t="s">
        <v>1104</v>
      </c>
      <c r="J6" s="17" t="s">
        <v>710</v>
      </c>
      <c r="K6" s="17" t="s">
        <v>1105</v>
      </c>
      <c r="L6" s="17" t="s">
        <v>1106</v>
      </c>
      <c r="M6" s="17" t="str">
        <f aca="false">TEXT('Czas budowy'!Y6,"0")&amp;" min bazowo; T="&amp;TEXT('Czas budowy'!V6,"0")&amp;" min; budowa="&amp;TEXT('Czas budowy'!X6,"0")&amp;" min. Kolejka +10%: "&amp;TEXT('Czas budowy'!Y7,"0")&amp;" min (bez czekania)."</f>
        <v>80 min bazowo; T=40 min; budowa=40 min. Kolejka +10%: 90 min (bez czekania).</v>
      </c>
      <c r="N6" s="17" t="str">
        <f aca="false">TEXT('Czas budowy'!Y8,"0")&amp;" min bazowo; T="&amp;TEXT('Czas budowy'!V8,"0")&amp;" min; budowa="&amp;TEXT('Czas budowy'!X8,"0")&amp;" min. Kolejka +10%: "&amp;TEXT('Czas budowy'!Y9,"0")&amp;" min (bez czekania)."</f>
        <v>140 min bazowo; T=70 min; budowa=70 min. Kolejka +10%: 150 min (bez czekania).</v>
      </c>
      <c r="O6" s="17"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18" t="s">
        <v>247</v>
      </c>
      <c r="B7" s="18" t="s">
        <v>1107</v>
      </c>
      <c r="C7" s="18" t="s">
        <v>1098</v>
      </c>
      <c r="D7" s="18" t="s">
        <v>1108</v>
      </c>
      <c r="E7" s="18" t="s">
        <v>1100</v>
      </c>
      <c r="F7" s="18" t="s">
        <v>1101</v>
      </c>
      <c r="G7" s="30" t="s">
        <v>1102</v>
      </c>
      <c r="H7" s="18" t="s">
        <v>1109</v>
      </c>
      <c r="I7" s="18" t="s">
        <v>1110</v>
      </c>
      <c r="J7" s="18" t="s">
        <v>1111</v>
      </c>
      <c r="K7" s="18" t="s">
        <v>1112</v>
      </c>
      <c r="L7" s="18" t="s">
        <v>1113</v>
      </c>
      <c r="M7" s="18" t="str">
        <f aca="false">TEXT('Czas budowy'!Y12,"0")&amp;" min bazowo; T="&amp;TEXT('Czas budowy'!V12,"0")&amp;" min; budowa="&amp;TEXT('Czas budowy'!X12,"0")&amp;" min. Kolejka +10%: "&amp;TEXT('Czas budowy'!Y13,"0")&amp;" min (bez czekania)."</f>
        <v>80 min bazowo; T=40 min; budowa=40 min. Kolejka +10%: 90 min (bez czekania).</v>
      </c>
      <c r="N7" s="18" t="str">
        <f aca="false">TEXT('Czas budowy'!Y14,"0")&amp;" min bazowo; T="&amp;TEXT('Czas budowy'!V14,"0")&amp;" min; budowa="&amp;TEXT('Czas budowy'!X14,"0")&amp;" min. Kolejka +10%: "&amp;TEXT('Czas budowy'!Y15,"0")&amp;" min (bez czekania)."</f>
        <v>140 min bazowo; T=70 min; budowa=70 min. Kolejka +10%: 150 min (bez czekania).</v>
      </c>
      <c r="O7" s="18"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17" t="s">
        <v>252</v>
      </c>
      <c r="B8" s="17" t="s">
        <v>1114</v>
      </c>
      <c r="C8" s="17" t="s">
        <v>1115</v>
      </c>
      <c r="D8" s="17" t="s">
        <v>1116</v>
      </c>
      <c r="E8" s="17" t="s">
        <v>1117</v>
      </c>
      <c r="F8" s="17" t="s">
        <v>1101</v>
      </c>
      <c r="G8" s="30" t="s">
        <v>1102</v>
      </c>
      <c r="H8" s="17" t="s">
        <v>1118</v>
      </c>
      <c r="I8" s="17" t="s">
        <v>1070</v>
      </c>
      <c r="J8" s="17" t="s">
        <v>1111</v>
      </c>
      <c r="K8" s="17" t="s">
        <v>1119</v>
      </c>
      <c r="L8" s="17" t="s">
        <v>1120</v>
      </c>
      <c r="M8" s="17" t="str">
        <f aca="false">TEXT('Czas budowy'!Y18,"0")&amp;" min bazowo; T="&amp;TEXT('Czas budowy'!V18,"0")&amp;" min; budowa="&amp;TEXT('Czas budowy'!X18,"0")&amp;" min. Kolejka +10%: "&amp;TEXT('Czas budowy'!Y19,"0")&amp;" min (bez czekania)."</f>
        <v>10 min bazowo; T=5 min; budowa=5 min. Kolejka +10%: 20 min (bez czekania).</v>
      </c>
      <c r="N8" s="17" t="str">
        <f aca="false">TEXT('Czas budowy'!Y20,"0")&amp;" min bazowo; T="&amp;TEXT('Czas budowy'!V20,"0")&amp;" min; budowa="&amp;TEXT('Czas budowy'!X20,"0")&amp;" min. Kolejka +10%: "&amp;TEXT('Czas budowy'!Y21,"0")&amp;" min (bez czekania)."</f>
        <v>20 min bazowo; T=10 min; budowa=10 min. Kolejka +10%: 20 min (bez czekania).</v>
      </c>
      <c r="O8" s="17"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18" t="s">
        <v>259</v>
      </c>
      <c r="B9" s="18" t="s">
        <v>1121</v>
      </c>
      <c r="C9" s="18" t="s">
        <v>1115</v>
      </c>
      <c r="D9" s="18" t="s">
        <v>1116</v>
      </c>
      <c r="E9" s="18" t="s">
        <v>1122</v>
      </c>
      <c r="F9" s="18" t="s">
        <v>1101</v>
      </c>
      <c r="G9" s="30" t="s">
        <v>1102</v>
      </c>
      <c r="H9" s="18" t="s">
        <v>1118</v>
      </c>
      <c r="I9" s="18" t="s">
        <v>1070</v>
      </c>
      <c r="J9" s="18" t="s">
        <v>1111</v>
      </c>
      <c r="K9" s="18"/>
      <c r="L9" s="18" t="s">
        <v>1123</v>
      </c>
      <c r="M9" s="18" t="str">
        <f aca="false">TEXT('Czas budowy'!Y24,"0")&amp;" min bazowo; T="&amp;TEXT('Czas budowy'!V24,"0")&amp;" min; budowa="&amp;TEXT('Czas budowy'!X24,"0")&amp;" min. Kolejka +10%: "&amp;TEXT('Czas budowy'!Y25,"0")&amp;" min (bez czekania)."</f>
        <v>20 min bazowo; T=10 min; budowa=10 min. Kolejka +10%: 20 min (bez czekania).</v>
      </c>
      <c r="N9" s="18" t="str">
        <f aca="false">TEXT('Czas budowy'!Y26,"0")&amp;" min bazowo; T="&amp;TEXT('Czas budowy'!V26,"0")&amp;" min; budowa="&amp;TEXT('Czas budowy'!X26,"0")&amp;" min. Kolejka +10%: "&amp;TEXT('Czas budowy'!Y27,"0")&amp;" min (bez czekania)."</f>
        <v>30 min bazowo; T=15 min; budowa=15 min. Kolejka +10%: 30 min (bez czekania).</v>
      </c>
      <c r="O9" s="18" t="str">
        <f aca="false">TEXT('Czas budowy'!Y28,"0")&amp;" min bazowo; T="&amp;TEXT('Czas budowy'!V28,"0")&amp;" min; budowa="&amp;TEXT('Czas budowy'!X28,"0")&amp;" min. Kolejka +10%: "&amp;TEXT('Czas budowy'!Y29,"0")&amp;" min (bez czekania)."</f>
        <v>40 min bazowo; T=20 min; budowa=20 min. Kolejka +10%: 50 min (bez czekania).</v>
      </c>
    </row>
    <row r="10" customFormat="false" ht="244.5" hidden="false" customHeight="true" outlineLevel="0" collapsed="false">
      <c r="A10" s="17" t="s">
        <v>269</v>
      </c>
      <c r="B10" s="17" t="s">
        <v>1124</v>
      </c>
      <c r="C10" s="17" t="s">
        <v>1115</v>
      </c>
      <c r="D10" s="17" t="s">
        <v>1116</v>
      </c>
      <c r="E10" s="17" t="s">
        <v>1125</v>
      </c>
      <c r="F10" s="17" t="s">
        <v>1101</v>
      </c>
      <c r="G10" s="30" t="s">
        <v>1102</v>
      </c>
      <c r="H10" s="17" t="s">
        <v>1118</v>
      </c>
      <c r="I10" s="17" t="s">
        <v>1070</v>
      </c>
      <c r="J10" s="17" t="s">
        <v>1111</v>
      </c>
      <c r="K10" s="17"/>
      <c r="L10" s="17" t="s">
        <v>1126</v>
      </c>
      <c r="M10" s="17" t="str">
        <f aca="false">TEXT('Czas budowy'!Y30,"0")&amp;" min bazowo; T="&amp;TEXT('Czas budowy'!V30,"0")&amp;" min; budowa="&amp;TEXT('Czas budowy'!X30,"0")&amp;" min. Kolejka +10%: "&amp;TEXT('Czas budowy'!Y31,"0")&amp;" min (bez czekania)."</f>
        <v>20 min bazowo; T=10 min; budowa=10 min. Kolejka +10%: 20 min (bez czekania).</v>
      </c>
      <c r="N10" s="17" t="str">
        <f aca="false">TEXT('Czas budowy'!Y32,"0")&amp;" min bazowo; T="&amp;TEXT('Czas budowy'!V32,"0")&amp;" min; budowa="&amp;TEXT('Czas budowy'!X32,"0")&amp;" min. Kolejka +10%: "&amp;TEXT('Czas budowy'!Y33,"0")&amp;" min (bez czekania)."</f>
        <v>30 min bazowo; T=15 min; budowa=15 min. Kolejka +10%: 30 min (bez czekania).</v>
      </c>
      <c r="O10" s="17" t="str">
        <f aca="false">TEXT('Czas budowy'!Y34,"0")&amp;" min bazowo; T="&amp;TEXT('Czas budowy'!V34,"0")&amp;" min; budowa="&amp;TEXT('Czas budowy'!X34,"0")&amp;" min. Kolejka +10%: "&amp;TEXT('Czas budowy'!Y35,"0")&amp;" min (bez czekania)."</f>
        <v>40 min bazowo; T=20 min; budowa=20 min. Kolejka +10%: 50 min (bez czekania).</v>
      </c>
    </row>
    <row r="11" customFormat="false" ht="244.5" hidden="false" customHeight="true" outlineLevel="0" collapsed="false">
      <c r="A11" s="18" t="s">
        <v>274</v>
      </c>
      <c r="B11" s="18" t="s">
        <v>1127</v>
      </c>
      <c r="C11" s="18" t="s">
        <v>1115</v>
      </c>
      <c r="D11" s="18" t="s">
        <v>1116</v>
      </c>
      <c r="E11" s="18" t="s">
        <v>1128</v>
      </c>
      <c r="F11" s="18" t="s">
        <v>1101</v>
      </c>
      <c r="G11" s="30" t="s">
        <v>1102</v>
      </c>
      <c r="H11" s="18" t="s">
        <v>1118</v>
      </c>
      <c r="I11" s="18" t="s">
        <v>1070</v>
      </c>
      <c r="J11" s="18" t="s">
        <v>1111</v>
      </c>
      <c r="K11" s="18"/>
      <c r="L11" s="18" t="s">
        <v>1129</v>
      </c>
      <c r="M11" s="18" t="str">
        <f aca="false">TEXT('Czas budowy'!Y36,"0")&amp;" min bazowo; T="&amp;TEXT('Czas budowy'!V36,"0")&amp;" min; budowa="&amp;TEXT('Czas budowy'!X36,"0")&amp;" min. Kolejka +10%: "&amp;TEXT('Czas budowy'!Y37,"0")&amp;" min (bez czekania)."</f>
        <v>20 min bazowo; T=10 min; budowa=10 min. Kolejka +10%: 20 min (bez czekania).</v>
      </c>
      <c r="N11" s="18" t="str">
        <f aca="false">TEXT('Czas budowy'!Y38,"0")&amp;" min bazowo; T="&amp;TEXT('Czas budowy'!V38,"0")&amp;" min; budowa="&amp;TEXT('Czas budowy'!X38,"0")&amp;" min. Kolejka +10%: "&amp;TEXT('Czas budowy'!Y39,"0")&amp;" min (bez czekania)."</f>
        <v>30 min bazowo; T=15 min; budowa=15 min. Kolejka +10%: 30 min (bez czekania).</v>
      </c>
      <c r="O11" s="18" t="str">
        <f aca="false">TEXT('Czas budowy'!Y40,"0")&amp;" min bazowo; T="&amp;TEXT('Czas budowy'!V40,"0")&amp;" min; budowa="&amp;TEXT('Czas budowy'!X40,"0")&amp;" min. Kolejka +10%: "&amp;TEXT('Czas budowy'!Y41,"0")&amp;" min (bez czekania)."</f>
        <v>40 min bazowo; T=20 min; budowa=20 min. Kolejka +10%: 50 min (bez czekania).</v>
      </c>
    </row>
    <row r="12" customFormat="false" ht="244.5" hidden="false" customHeight="true" outlineLevel="0" collapsed="false">
      <c r="A12" s="17" t="s">
        <v>264</v>
      </c>
      <c r="B12" s="17" t="s">
        <v>1130</v>
      </c>
      <c r="C12" s="17" t="s">
        <v>1115</v>
      </c>
      <c r="D12" s="17" t="s">
        <v>1116</v>
      </c>
      <c r="E12" s="17" t="s">
        <v>1131</v>
      </c>
      <c r="F12" s="17" t="s">
        <v>1101</v>
      </c>
      <c r="G12" s="30" t="s">
        <v>1102</v>
      </c>
      <c r="H12" s="17" t="s">
        <v>1118</v>
      </c>
      <c r="I12" s="17" t="s">
        <v>1070</v>
      </c>
      <c r="J12" s="17" t="s">
        <v>1111</v>
      </c>
      <c r="K12" s="17"/>
      <c r="L12" s="17" t="s">
        <v>1132</v>
      </c>
      <c r="M12" s="17" t="str">
        <f aca="false">TEXT('Czas budowy'!Y42,"0")&amp;" min bazowo; T="&amp;TEXT('Czas budowy'!V42,"0")&amp;" min; budowa="&amp;TEXT('Czas budowy'!X42,"0")&amp;" min. Kolejka +10%: "&amp;TEXT('Czas budowy'!Y43,"0")&amp;" min (bez czekania)."</f>
        <v>20 min bazowo; T=10 min; budowa=10 min. Kolejka +10%: 20 min (bez czekania).</v>
      </c>
      <c r="N12" s="17" t="str">
        <f aca="false">TEXT('Czas budowy'!Y44,"0")&amp;" min bazowo; T="&amp;TEXT('Czas budowy'!V44,"0")&amp;" min; budowa="&amp;TEXT('Czas budowy'!X44,"0")&amp;" min. Kolejka +10%: "&amp;TEXT('Czas budowy'!Y45,"0")&amp;" min (bez czekania)."</f>
        <v>30 min bazowo; T=15 min; budowa=15 min. Kolejka +10%: 30 min (bez czekania).</v>
      </c>
      <c r="O12" s="17" t="str">
        <f aca="false">TEXT('Czas budowy'!Y46,"0")&amp;" min bazowo; T="&amp;TEXT('Czas budowy'!V46,"0")&amp;" min; budowa="&amp;TEXT('Czas budowy'!X46,"0")&amp;" min. Kolejka +10%: "&amp;TEXT('Czas budowy'!Y47,"0")&amp;" min (bez czekania)."</f>
        <v>40 min bazowo; T=20 min; budowa=20 min. Kolejka +10%: 50 min (bez czekania).</v>
      </c>
    </row>
    <row r="13" customFormat="false" ht="244.5" hidden="false" customHeight="true" outlineLevel="0" collapsed="false">
      <c r="A13" s="18" t="s">
        <v>278</v>
      </c>
      <c r="B13" s="18" t="s">
        <v>1133</v>
      </c>
      <c r="C13" s="18" t="s">
        <v>1115</v>
      </c>
      <c r="D13" s="18" t="s">
        <v>1134</v>
      </c>
      <c r="E13" s="18" t="s">
        <v>1135</v>
      </c>
      <c r="F13" s="18" t="s">
        <v>1101</v>
      </c>
      <c r="G13" s="30" t="s">
        <v>1102</v>
      </c>
      <c r="H13" s="18" t="s">
        <v>1118</v>
      </c>
      <c r="I13" s="18" t="s">
        <v>1136</v>
      </c>
      <c r="J13" s="18" t="s">
        <v>1111</v>
      </c>
      <c r="K13" s="18" t="s">
        <v>1137</v>
      </c>
      <c r="L13" s="18" t="s">
        <v>1138</v>
      </c>
      <c r="M13" s="18" t="str">
        <f aca="false">TEXT('Czas budowy'!Y48,"0")&amp;" min bazowo; T="&amp;TEXT('Czas budowy'!V48,"0")&amp;" min; budowa="&amp;TEXT('Czas budowy'!X48,"0")&amp;" min. Kolejka +10%: "&amp;TEXT('Czas budowy'!Y49,"0")&amp;" min (bez czekania)."</f>
        <v>50 min bazowo; T=25 min; budowa=25 min. Kolejka +10%: 50 min (bez czekania).</v>
      </c>
      <c r="N13" s="18" t="str">
        <f aca="false">TEXT('Czas budowy'!Y50,"0")&amp;" min bazowo; T="&amp;TEXT('Czas budowy'!V50,"0")&amp;" min; budowa="&amp;TEXT('Czas budowy'!X50,"0")&amp;" min. Kolejka +10%: "&amp;TEXT('Czas budowy'!Y51,"0")&amp;" min (bez czekania)."</f>
        <v>90 min bazowo; T=45 min; budowa=45 min. Kolejka +10%: 90 min (bez czekania).</v>
      </c>
      <c r="O13" s="18"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17" t="s">
        <v>98</v>
      </c>
      <c r="B14" s="17" t="s">
        <v>1139</v>
      </c>
      <c r="C14" s="17" t="s">
        <v>1115</v>
      </c>
      <c r="D14" s="17" t="s">
        <v>1134</v>
      </c>
      <c r="E14" s="17" t="s">
        <v>1135</v>
      </c>
      <c r="F14" s="17" t="s">
        <v>1101</v>
      </c>
      <c r="G14" s="30" t="s">
        <v>1102</v>
      </c>
      <c r="H14" s="17" t="s">
        <v>1118</v>
      </c>
      <c r="I14" s="17" t="s">
        <v>1140</v>
      </c>
      <c r="J14" s="17" t="s">
        <v>1111</v>
      </c>
      <c r="K14" s="17" t="s">
        <v>1141</v>
      </c>
      <c r="L14" s="17" t="s">
        <v>1142</v>
      </c>
      <c r="M14" s="17" t="str">
        <f aca="false">TEXT('Czas budowy'!Y54,"0")&amp;" min bazowo; T="&amp;TEXT('Czas budowy'!V54,"0")&amp;" min; budowa="&amp;TEXT('Czas budowy'!X54,"0")&amp;" min. Kolejka +10%: "&amp;TEXT('Czas budowy'!Y55,"0")&amp;" min (bez czekania)."</f>
        <v>50 min bazowo; T=25 min; budowa=25 min. Kolejka +10%: 50 min (bez czekania).</v>
      </c>
      <c r="N14" s="17" t="str">
        <f aca="false">TEXT('Czas budowy'!Y56,"0")&amp;" min bazowo; T="&amp;TEXT('Czas budowy'!V56,"0")&amp;" min; budowa="&amp;TEXT('Czas budowy'!X56,"0")&amp;" min. Kolejka +10%: "&amp;TEXT('Czas budowy'!Y57,"0")&amp;" min (bez czekania)."</f>
        <v>90 min bazowo; T=45 min; budowa=45 min. Kolejka +10%: 90 min (bez czekania).</v>
      </c>
      <c r="O14" s="17"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18" t="s">
        <v>1143</v>
      </c>
      <c r="B15" s="18" t="s">
        <v>1144</v>
      </c>
      <c r="C15" s="18" t="s">
        <v>1115</v>
      </c>
      <c r="D15" s="18" t="s">
        <v>1134</v>
      </c>
      <c r="E15" s="18" t="s">
        <v>1145</v>
      </c>
      <c r="F15" s="18" t="s">
        <v>1101</v>
      </c>
      <c r="G15" s="30" t="s">
        <v>1102</v>
      </c>
      <c r="H15" s="18" t="s">
        <v>1118</v>
      </c>
      <c r="I15" s="18" t="s">
        <v>1146</v>
      </c>
      <c r="J15" s="18" t="s">
        <v>1111</v>
      </c>
      <c r="K15" s="18" t="s">
        <v>1147</v>
      </c>
      <c r="L15" s="18" t="s">
        <v>1148</v>
      </c>
      <c r="M15" s="18" t="str">
        <f aca="false">TEXT('Czas budowy'!Y60,"0")&amp;" min bazowo; T="&amp;TEXT('Czas budowy'!V60,"0")&amp;" min; budowa="&amp;TEXT('Czas budowy'!X60,"0")&amp;" min. Kolejka +10%: "&amp;TEXT('Czas budowy'!Y61,"0")&amp;" min (bez czekania)."</f>
        <v>60 min bazowo; T=30 min; budowa=30 min. Kolejka +10%: 70 min (bez czekania).</v>
      </c>
      <c r="N15" s="18" t="str">
        <f aca="false">TEXT('Czas budowy'!Y62,"0")&amp;" min bazowo; T="&amp;TEXT('Czas budowy'!V62,"0")&amp;" min; budowa="&amp;TEXT('Czas budowy'!X62,"0")&amp;" min. Kolejka +10%: "&amp;TEXT('Czas budowy'!Y63,"0")&amp;" min (bez czekania)."</f>
        <v>110 min bazowo; T=55 min; budowa=55 min. Kolejka +10%: 120 min (bez czekania).</v>
      </c>
      <c r="O15" s="18"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17" t="s">
        <v>56</v>
      </c>
      <c r="B16" s="17" t="s">
        <v>1149</v>
      </c>
      <c r="C16" s="17" t="s">
        <v>1150</v>
      </c>
      <c r="D16" s="17" t="s">
        <v>1151</v>
      </c>
      <c r="E16" s="17" t="s">
        <v>1082</v>
      </c>
      <c r="F16" s="17" t="s">
        <v>1152</v>
      </c>
      <c r="G16" s="30" t="s">
        <v>1102</v>
      </c>
      <c r="H16" s="17" t="s">
        <v>1153</v>
      </c>
      <c r="I16" s="17" t="s">
        <v>1074</v>
      </c>
      <c r="J16" s="17" t="s">
        <v>1111</v>
      </c>
      <c r="K16" s="17"/>
      <c r="L16" s="17" t="s">
        <v>1154</v>
      </c>
      <c r="M16" s="17" t="str">
        <f aca="false">TEXT('Czas budowy'!Y66,"0")&amp;" min bazowo; T="&amp;TEXT('Czas budowy'!V66,"0")&amp;" min; budowa="&amp;TEXT('Czas budowy'!X66,"0")&amp;" min. Kolejka +10%: "&amp;TEXT('Czas budowy'!Y67,"0")&amp;" min (bez czekania)."</f>
        <v>20 min bazowo; T=5 min; budowa=15 min. Kolejka +10%: 20 min (bez czekania).</v>
      </c>
      <c r="N16" s="17" t="str">
        <f aca="false">TEXT('Czas budowy'!Y68,"0")&amp;" min bazowo; T="&amp;TEXT('Czas budowy'!V68,"0")&amp;" min; budowa="&amp;TEXT('Czas budowy'!X68,"0")&amp;" min. Kolejka +10%: "&amp;TEXT('Czas budowy'!Y69,"0")&amp;" min (bez czekania)."</f>
        <v>35 min bazowo; T=5 min; budowa=30 min. Kolejka +10%: 35 min (bez czekania).</v>
      </c>
      <c r="O16" s="17"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18" t="s">
        <v>62</v>
      </c>
      <c r="B17" s="18" t="s">
        <v>1155</v>
      </c>
      <c r="C17" s="18" t="s">
        <v>1150</v>
      </c>
      <c r="D17" s="18" t="s">
        <v>1156</v>
      </c>
      <c r="E17" s="18" t="s">
        <v>1157</v>
      </c>
      <c r="F17" s="18" t="s">
        <v>1158</v>
      </c>
      <c r="G17" s="30" t="s">
        <v>1102</v>
      </c>
      <c r="H17" s="18" t="s">
        <v>1159</v>
      </c>
      <c r="I17" s="18" t="s">
        <v>1160</v>
      </c>
      <c r="J17" s="18" t="s">
        <v>1111</v>
      </c>
      <c r="K17" s="18" t="s">
        <v>1161</v>
      </c>
      <c r="L17" s="18" t="s">
        <v>1162</v>
      </c>
      <c r="M17" s="18" t="str">
        <f aca="false">TEXT('Czas budowy'!Y72,"0")&amp;" min bazowo; T="&amp;TEXT('Czas budowy'!V72,"0")&amp;" min; budowa="&amp;TEXT('Czas budowy'!X72,"0")&amp;" min. Kolejka +10%: "&amp;TEXT('Czas budowy'!Y73,"0")&amp;" min (bez czekania)."</f>
        <v>200 min bazowo; T=40 min; budowa=160 min. Kolejka +10%: 225 min (bez czekania).</v>
      </c>
      <c r="N17" s="18" t="str">
        <f aca="false">TEXT('Czas budowy'!Y74,"0")&amp;" min bazowo; T="&amp;TEXT('Czas budowy'!V74,"0")&amp;" min; budowa="&amp;TEXT('Czas budowy'!X74,"0")&amp;" min. Kolejka +10%: "&amp;TEXT('Czas budowy'!Y75,"0")&amp;" min (bez czekania)."</f>
        <v>350 min bazowo; T=70 min; budowa=280 min. Kolejka +10%: 375 min (bez czekania).</v>
      </c>
      <c r="O17" s="18"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17" t="s">
        <v>1163</v>
      </c>
      <c r="B18" s="17" t="s">
        <v>1164</v>
      </c>
      <c r="C18" s="17" t="s">
        <v>1165</v>
      </c>
      <c r="D18" s="17" t="s">
        <v>1166</v>
      </c>
      <c r="E18" s="17" t="s">
        <v>1167</v>
      </c>
      <c r="F18" s="17" t="s">
        <v>1168</v>
      </c>
      <c r="G18" s="17" t="s">
        <v>1102</v>
      </c>
      <c r="H18" s="17" t="s">
        <v>1169</v>
      </c>
      <c r="I18" s="17" t="s">
        <v>1170</v>
      </c>
      <c r="J18" s="17" t="s">
        <v>1171</v>
      </c>
      <c r="K18" s="17" t="s">
        <v>1172</v>
      </c>
      <c r="L18" s="17" t="s">
        <v>1173</v>
      </c>
      <c r="M18" s="17" t="s">
        <v>1174</v>
      </c>
      <c r="N18" s="17" t="s">
        <v>1174</v>
      </c>
      <c r="O18" s="17" t="s">
        <v>1174</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4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3"/>
    <col collapsed="false" customWidth="true" hidden="false" outlineLevel="0" max="2" min="2" style="13" width="87"/>
    <col collapsed="false" customWidth="true" hidden="false" outlineLevel="0" max="3" min="3" style="13" width="75"/>
    <col collapsed="false" customWidth="true" hidden="false" outlineLevel="0" max="4" min="4" style="13" width="115"/>
    <col collapsed="false" customWidth="true" hidden="false" outlineLevel="0" max="5" min="5" style="13" width="60"/>
    <col collapsed="false" customWidth="false" hidden="false" outlineLevel="0" max="16384" min="6" style="13" width="8.71"/>
  </cols>
  <sheetData>
    <row r="1" customFormat="false" ht="33.75" hidden="false" customHeight="true" outlineLevel="0" collapsed="false">
      <c r="A1" s="31" t="s">
        <v>1175</v>
      </c>
      <c r="B1" s="31"/>
      <c r="C1" s="31"/>
      <c r="D1" s="31"/>
      <c r="E1" s="31"/>
    </row>
    <row r="2" customFormat="false" ht="24.75" hidden="false" customHeight="true" outlineLevel="0" collapsed="false">
      <c r="A2" s="15" t="s">
        <v>1176</v>
      </c>
      <c r="B2" s="15"/>
      <c r="C2" s="15"/>
      <c r="D2" s="15"/>
      <c r="E2" s="15"/>
    </row>
    <row r="3" customFormat="false" ht="24.75" hidden="false" customHeight="true" outlineLevel="0" collapsed="false">
      <c r="A3" s="15"/>
      <c r="B3" s="15"/>
      <c r="C3" s="15"/>
      <c r="D3" s="15"/>
      <c r="E3" s="15"/>
    </row>
    <row r="5" customFormat="false" ht="48" hidden="false" customHeight="true" outlineLevel="0" collapsed="false">
      <c r="A5" s="16" t="s">
        <v>1177</v>
      </c>
      <c r="B5" s="16" t="s">
        <v>1178</v>
      </c>
      <c r="C5" s="16" t="s">
        <v>1179</v>
      </c>
      <c r="D5" s="16" t="s">
        <v>1180</v>
      </c>
      <c r="E5" s="16" t="s">
        <v>310</v>
      </c>
    </row>
    <row r="6" customFormat="false" ht="109.5" hidden="false" customHeight="true" outlineLevel="0" collapsed="false">
      <c r="A6" s="17" t="s">
        <v>1181</v>
      </c>
      <c r="B6" s="17" t="s">
        <v>1182</v>
      </c>
      <c r="C6" s="17" t="s">
        <v>1183</v>
      </c>
      <c r="D6" s="17" t="s">
        <v>1184</v>
      </c>
      <c r="E6" s="17" t="s">
        <v>1185</v>
      </c>
    </row>
    <row r="7" customFormat="false" ht="109.5" hidden="false" customHeight="true" outlineLevel="0" collapsed="false">
      <c r="A7" s="18" t="s">
        <v>1186</v>
      </c>
      <c r="B7" s="18" t="s">
        <v>1187</v>
      </c>
      <c r="C7" s="18" t="s">
        <v>1188</v>
      </c>
      <c r="D7" s="18" t="s">
        <v>1189</v>
      </c>
      <c r="E7" s="18" t="s">
        <v>1190</v>
      </c>
    </row>
    <row r="8" customFormat="false" ht="109.5" hidden="false" customHeight="true" outlineLevel="0" collapsed="false">
      <c r="A8" s="17" t="s">
        <v>1191</v>
      </c>
      <c r="B8" s="17" t="s">
        <v>1192</v>
      </c>
      <c r="C8" s="17" t="s">
        <v>1193</v>
      </c>
      <c r="D8" s="17" t="s">
        <v>1194</v>
      </c>
      <c r="E8" s="17" t="s">
        <v>1195</v>
      </c>
    </row>
    <row r="9" customFormat="false" ht="109.5" hidden="false" customHeight="true" outlineLevel="0" collapsed="false">
      <c r="A9" s="18" t="s">
        <v>35</v>
      </c>
      <c r="B9" s="18" t="s">
        <v>1196</v>
      </c>
      <c r="C9" s="18" t="s">
        <v>1197</v>
      </c>
      <c r="D9" s="18" t="s">
        <v>1198</v>
      </c>
      <c r="E9" s="18" t="s">
        <v>1199</v>
      </c>
    </row>
    <row r="10" customFormat="false" ht="109.5" hidden="false" customHeight="true" outlineLevel="0" collapsed="false">
      <c r="A10" s="17" t="s">
        <v>1200</v>
      </c>
      <c r="B10" s="17" t="s">
        <v>1201</v>
      </c>
      <c r="C10" s="17" t="s">
        <v>1202</v>
      </c>
      <c r="D10" s="17" t="s">
        <v>1203</v>
      </c>
      <c r="E10" s="17" t="s">
        <v>1204</v>
      </c>
    </row>
    <row r="11" customFormat="false" ht="109.5" hidden="false" customHeight="true" outlineLevel="0" collapsed="false">
      <c r="A11" s="18" t="s">
        <v>1205</v>
      </c>
      <c r="B11" s="18" t="s">
        <v>1206</v>
      </c>
      <c r="C11" s="18" t="s">
        <v>1207</v>
      </c>
      <c r="D11" s="18" t="s">
        <v>1208</v>
      </c>
      <c r="E11" s="18" t="s">
        <v>1209</v>
      </c>
    </row>
    <row r="12" customFormat="false" ht="109.5" hidden="false" customHeight="true" outlineLevel="0" collapsed="false">
      <c r="A12" s="17" t="s">
        <v>1210</v>
      </c>
      <c r="B12" s="17" t="s">
        <v>1211</v>
      </c>
      <c r="C12" s="17" t="s">
        <v>1212</v>
      </c>
      <c r="D12" s="17" t="s">
        <v>1213</v>
      </c>
      <c r="E12" s="17" t="s">
        <v>1214</v>
      </c>
    </row>
    <row r="13" customFormat="false" ht="109.5" hidden="false" customHeight="true" outlineLevel="0" collapsed="false">
      <c r="A13" s="18" t="s">
        <v>1215</v>
      </c>
      <c r="B13" s="18" t="s">
        <v>1216</v>
      </c>
      <c r="C13" s="18" t="s">
        <v>1217</v>
      </c>
      <c r="D13" s="18" t="s">
        <v>1218</v>
      </c>
      <c r="E13" s="18" t="s">
        <v>1219</v>
      </c>
    </row>
    <row r="14" customFormat="false" ht="109.5" hidden="false" customHeight="true" outlineLevel="0" collapsed="false">
      <c r="A14" s="17" t="s">
        <v>660</v>
      </c>
      <c r="B14" s="17" t="s">
        <v>1220</v>
      </c>
      <c r="C14" s="17" t="s">
        <v>1221</v>
      </c>
      <c r="D14" s="17" t="s">
        <v>1222</v>
      </c>
      <c r="E14" s="17" t="s">
        <v>1223</v>
      </c>
    </row>
    <row r="15" customFormat="false" ht="109.5" hidden="false" customHeight="true" outlineLevel="0" collapsed="false">
      <c r="A15" s="18" t="s">
        <v>1224</v>
      </c>
      <c r="B15" s="18" t="s">
        <v>1225</v>
      </c>
      <c r="C15" s="18" t="s">
        <v>1226</v>
      </c>
      <c r="D15" s="18" t="s">
        <v>1227</v>
      </c>
      <c r="E15" s="18" t="s">
        <v>1228</v>
      </c>
    </row>
    <row r="16" customFormat="false" ht="109.5" hidden="false" customHeight="true" outlineLevel="0" collapsed="false">
      <c r="A16" s="17" t="s">
        <v>1229</v>
      </c>
      <c r="B16" s="17" t="s">
        <v>1230</v>
      </c>
      <c r="C16" s="17" t="s">
        <v>1231</v>
      </c>
      <c r="D16" s="17" t="s">
        <v>1232</v>
      </c>
      <c r="E16" s="17" t="s">
        <v>1233</v>
      </c>
    </row>
    <row r="17" customFormat="false" ht="109.5" hidden="false" customHeight="true" outlineLevel="0" collapsed="false">
      <c r="A17" s="18" t="s">
        <v>1234</v>
      </c>
      <c r="B17" s="18" t="s">
        <v>1235</v>
      </c>
      <c r="C17" s="18" t="s">
        <v>1236</v>
      </c>
      <c r="D17" s="18" t="s">
        <v>1237</v>
      </c>
      <c r="E17" s="18" t="s">
        <v>1233</v>
      </c>
    </row>
    <row r="18" customFormat="false" ht="109.5" hidden="false" customHeight="true" outlineLevel="0" collapsed="false">
      <c r="A18" s="17" t="s">
        <v>1238</v>
      </c>
      <c r="B18" s="17" t="s">
        <v>1239</v>
      </c>
      <c r="C18" s="17" t="s">
        <v>1240</v>
      </c>
      <c r="D18" s="17" t="s">
        <v>1241</v>
      </c>
      <c r="E18" s="17" t="s">
        <v>1233</v>
      </c>
    </row>
    <row r="19" customFormat="false" ht="109.5" hidden="false" customHeight="true" outlineLevel="0" collapsed="false">
      <c r="A19" s="18" t="s">
        <v>1242</v>
      </c>
      <c r="B19" s="18" t="s">
        <v>1243</v>
      </c>
      <c r="C19" s="18" t="s">
        <v>1244</v>
      </c>
      <c r="D19" s="18" t="s">
        <v>1245</v>
      </c>
      <c r="E19" s="18" t="s">
        <v>1233</v>
      </c>
    </row>
    <row r="20" customFormat="false" ht="109.5" hidden="false" customHeight="true" outlineLevel="0" collapsed="false">
      <c r="A20" s="17" t="s">
        <v>1246</v>
      </c>
      <c r="B20" s="17" t="s">
        <v>1247</v>
      </c>
      <c r="C20" s="17" t="s">
        <v>1248</v>
      </c>
      <c r="D20" s="17" t="s">
        <v>1249</v>
      </c>
      <c r="E20" s="17" t="s">
        <v>1233</v>
      </c>
    </row>
    <row r="21" customFormat="false" ht="109.5" hidden="false" customHeight="true" outlineLevel="0" collapsed="false">
      <c r="A21" s="18" t="s">
        <v>1250</v>
      </c>
      <c r="B21" s="18" t="s">
        <v>1251</v>
      </c>
      <c r="C21" s="18" t="s">
        <v>1252</v>
      </c>
      <c r="D21" s="18" t="s">
        <v>1253</v>
      </c>
      <c r="E21" s="18" t="s">
        <v>1233</v>
      </c>
    </row>
    <row r="22" customFormat="false" ht="109.5" hidden="false" customHeight="true" outlineLevel="0" collapsed="false">
      <c r="A22" s="17" t="s">
        <v>1254</v>
      </c>
      <c r="B22" s="17" t="s">
        <v>1255</v>
      </c>
      <c r="C22" s="17" t="s">
        <v>1256</v>
      </c>
      <c r="D22" s="17" t="s">
        <v>1257</v>
      </c>
      <c r="E22" s="17" t="s">
        <v>1258</v>
      </c>
    </row>
    <row r="23" customFormat="false" ht="109.5" hidden="false" customHeight="true" outlineLevel="0" collapsed="false">
      <c r="A23" s="18" t="s">
        <v>1259</v>
      </c>
      <c r="B23" s="18" t="s">
        <v>1260</v>
      </c>
      <c r="C23" s="18" t="s">
        <v>1261</v>
      </c>
      <c r="D23" s="18" t="s">
        <v>1262</v>
      </c>
      <c r="E23" s="18" t="s">
        <v>1228</v>
      </c>
    </row>
    <row r="24" customFormat="false" ht="109.5" hidden="false" customHeight="true" outlineLevel="0" collapsed="false">
      <c r="A24" s="17" t="s">
        <v>1263</v>
      </c>
      <c r="B24" s="17" t="s">
        <v>1264</v>
      </c>
      <c r="C24" s="17" t="s">
        <v>1265</v>
      </c>
      <c r="D24" s="17" t="s">
        <v>1266</v>
      </c>
      <c r="E24" s="17" t="s">
        <v>1233</v>
      </c>
    </row>
    <row r="25" customFormat="false" ht="109.5" hidden="false" customHeight="true" outlineLevel="0" collapsed="false">
      <c r="A25" s="18" t="s">
        <v>1267</v>
      </c>
      <c r="B25" s="18" t="s">
        <v>1268</v>
      </c>
      <c r="C25" s="18" t="s">
        <v>1269</v>
      </c>
      <c r="D25" s="18" t="s">
        <v>1070</v>
      </c>
      <c r="E25" s="18" t="s">
        <v>1270</v>
      </c>
    </row>
    <row r="26" customFormat="false" ht="109.5" hidden="false" customHeight="true" outlineLevel="0" collapsed="false">
      <c r="A26" s="17" t="s">
        <v>1271</v>
      </c>
      <c r="B26" s="17" t="s">
        <v>1272</v>
      </c>
      <c r="C26" s="17" t="s">
        <v>1273</v>
      </c>
      <c r="D26" s="17" t="s">
        <v>1274</v>
      </c>
      <c r="E26" s="17" t="s">
        <v>1275</v>
      </c>
    </row>
    <row r="27" customFormat="false" ht="109.5" hidden="false" customHeight="true" outlineLevel="0" collapsed="false">
      <c r="A27" s="18" t="s">
        <v>1276</v>
      </c>
      <c r="B27" s="18" t="s">
        <v>1277</v>
      </c>
      <c r="C27" s="18" t="s">
        <v>1278</v>
      </c>
      <c r="D27" s="18" t="s">
        <v>1279</v>
      </c>
      <c r="E27" s="18" t="s">
        <v>1233</v>
      </c>
    </row>
    <row r="28" customFormat="false" ht="109.5" hidden="false" customHeight="true" outlineLevel="0" collapsed="false">
      <c r="A28" s="17" t="s">
        <v>1280</v>
      </c>
      <c r="B28" s="17" t="s">
        <v>1281</v>
      </c>
      <c r="C28" s="17" t="s">
        <v>1282</v>
      </c>
      <c r="D28" s="17" t="s">
        <v>1283</v>
      </c>
      <c r="E28" s="17" t="s">
        <v>1233</v>
      </c>
    </row>
    <row r="29" customFormat="false" ht="109.5" hidden="false" customHeight="true" outlineLevel="0" collapsed="false">
      <c r="A29" s="18" t="s">
        <v>1284</v>
      </c>
      <c r="B29" s="18" t="s">
        <v>1285</v>
      </c>
      <c r="C29" s="18" t="s">
        <v>1074</v>
      </c>
      <c r="D29" s="18" t="s">
        <v>1286</v>
      </c>
      <c r="E29" s="18" t="s">
        <v>1287</v>
      </c>
    </row>
    <row r="30" customFormat="false" ht="109.5" hidden="false" customHeight="true" outlineLevel="0" collapsed="false">
      <c r="A30" s="17" t="s">
        <v>1288</v>
      </c>
      <c r="B30" s="17" t="s">
        <v>1289</v>
      </c>
      <c r="C30" s="17" t="s">
        <v>1290</v>
      </c>
      <c r="D30" s="17" t="s">
        <v>1291</v>
      </c>
      <c r="E30" s="17" t="s">
        <v>1275</v>
      </c>
    </row>
    <row r="31" customFormat="false" ht="109.5" hidden="false" customHeight="true" outlineLevel="0" collapsed="false">
      <c r="A31" s="18" t="s">
        <v>1292</v>
      </c>
      <c r="B31" s="18" t="s">
        <v>1293</v>
      </c>
      <c r="C31" s="18" t="s">
        <v>1019</v>
      </c>
      <c r="D31" s="18" t="s">
        <v>1023</v>
      </c>
      <c r="E31" s="18" t="s">
        <v>1294</v>
      </c>
    </row>
    <row r="32" customFormat="false" ht="109.5" hidden="false" customHeight="true" outlineLevel="0" collapsed="false">
      <c r="A32" s="17" t="s">
        <v>1295</v>
      </c>
      <c r="B32" s="17" t="s">
        <v>1296</v>
      </c>
      <c r="C32" s="17" t="s">
        <v>1297</v>
      </c>
      <c r="D32" s="17" t="s">
        <v>1298</v>
      </c>
      <c r="E32" s="17" t="s">
        <v>1258</v>
      </c>
    </row>
    <row r="33" customFormat="false" ht="109.5" hidden="false" customHeight="true" outlineLevel="0" collapsed="false">
      <c r="A33" s="18" t="s">
        <v>1299</v>
      </c>
      <c r="B33" s="18" t="s">
        <v>1300</v>
      </c>
      <c r="C33" s="18" t="s">
        <v>1301</v>
      </c>
      <c r="D33" s="18" t="s">
        <v>1302</v>
      </c>
      <c r="E33" s="18" t="s">
        <v>1303</v>
      </c>
    </row>
    <row r="34" customFormat="false" ht="109.5" hidden="false" customHeight="true" outlineLevel="0" collapsed="false">
      <c r="A34" s="17" t="s">
        <v>44</v>
      </c>
      <c r="B34" s="17" t="s">
        <v>1304</v>
      </c>
      <c r="C34" s="17" t="s">
        <v>1066</v>
      </c>
      <c r="D34" s="17" t="s">
        <v>1305</v>
      </c>
      <c r="E34" s="17" t="s">
        <v>1306</v>
      </c>
    </row>
    <row r="35" customFormat="false" ht="109.5" hidden="false" customHeight="true" outlineLevel="0" collapsed="false">
      <c r="A35" s="18" t="s">
        <v>1307</v>
      </c>
      <c r="B35" s="18" t="s">
        <v>1308</v>
      </c>
      <c r="C35" s="18" t="s">
        <v>1309</v>
      </c>
      <c r="D35" s="18" t="s">
        <v>1310</v>
      </c>
      <c r="E35" s="18" t="s">
        <v>1275</v>
      </c>
    </row>
    <row r="36" customFormat="false" ht="109.5" hidden="false" customHeight="true" outlineLevel="0" collapsed="false">
      <c r="A36" s="17" t="s">
        <v>1311</v>
      </c>
      <c r="B36" s="17" t="s">
        <v>1312</v>
      </c>
      <c r="C36" s="17" t="s">
        <v>1313</v>
      </c>
      <c r="D36" s="17" t="s">
        <v>1314</v>
      </c>
      <c r="E36" s="17" t="s">
        <v>1315</v>
      </c>
    </row>
    <row r="37" customFormat="false" ht="109.5" hidden="false" customHeight="true" outlineLevel="0" collapsed="false">
      <c r="A37" s="18" t="s">
        <v>1316</v>
      </c>
      <c r="B37" s="18" t="s">
        <v>1317</v>
      </c>
      <c r="C37" s="18" t="s">
        <v>1318</v>
      </c>
      <c r="D37" s="18" t="s">
        <v>1319</v>
      </c>
      <c r="E37" s="18" t="s">
        <v>1320</v>
      </c>
    </row>
    <row r="38" customFormat="false" ht="144.75" hidden="false" customHeight="true" outlineLevel="0" collapsed="false">
      <c r="A38" s="20" t="s">
        <v>1321</v>
      </c>
      <c r="B38" s="20" t="s">
        <v>1031</v>
      </c>
      <c r="C38" s="20" t="s">
        <v>1322</v>
      </c>
      <c r="D38" s="20" t="s">
        <v>1323</v>
      </c>
      <c r="E38" s="20" t="s">
        <v>1324</v>
      </c>
    </row>
    <row r="39" customFormat="false" ht="63.75" hidden="false" customHeight="true" outlineLevel="0" collapsed="false">
      <c r="A39" s="20" t="s">
        <v>68</v>
      </c>
      <c r="B39" s="20" t="s">
        <v>1325</v>
      </c>
      <c r="C39" s="20" t="s">
        <v>1326</v>
      </c>
      <c r="D39" s="20" t="s">
        <v>1327</v>
      </c>
      <c r="E39" s="20" t="s">
        <v>1328</v>
      </c>
    </row>
    <row r="40" customFormat="false" ht="63.75" hidden="false" customHeight="true" outlineLevel="0" collapsed="false">
      <c r="A40" s="20" t="s">
        <v>1329</v>
      </c>
      <c r="B40" s="20" t="s">
        <v>1330</v>
      </c>
      <c r="C40" s="20" t="s">
        <v>1331</v>
      </c>
      <c r="D40" s="20" t="s">
        <v>1332</v>
      </c>
      <c r="E40" s="20" t="s">
        <v>1328</v>
      </c>
    </row>
  </sheetData>
  <autoFilter ref="A5:E40"/>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5"/>
    <col collapsed="false" customWidth="true" hidden="false" outlineLevel="0" max="3" min="2" style="10" width="28"/>
    <col collapsed="false" customWidth="true" hidden="false" outlineLevel="0" max="4" min="4" style="10" width="17"/>
    <col collapsed="false" customWidth="true" hidden="false" outlineLevel="0" max="5" min="5" style="10" width="22"/>
    <col collapsed="false" customWidth="true" hidden="false" outlineLevel="0" max="6" min="6" style="10" width="40"/>
    <col collapsed="false" customWidth="true" hidden="false" outlineLevel="0" max="7" min="7" style="10" width="14"/>
    <col collapsed="false" customWidth="true" hidden="false" outlineLevel="0" max="8" min="8" style="10" width="55"/>
  </cols>
  <sheetData>
    <row r="1" customFormat="false" ht="31.5" hidden="false" customHeight="true" outlineLevel="0" collapsed="false">
      <c r="A1" s="21" t="s">
        <v>1333</v>
      </c>
      <c r="B1" s="21"/>
      <c r="C1" s="21"/>
      <c r="D1" s="21"/>
      <c r="E1" s="21"/>
      <c r="F1" s="21"/>
      <c r="G1" s="21"/>
      <c r="H1" s="21"/>
    </row>
    <row r="2" customFormat="false" ht="75.75" hidden="false" customHeight="true" outlineLevel="0" collapsed="false">
      <c r="A2" s="2" t="s">
        <v>1334</v>
      </c>
      <c r="B2" s="2"/>
      <c r="C2" s="2"/>
      <c r="D2" s="2"/>
      <c r="E2" s="2"/>
      <c r="F2" s="2"/>
      <c r="G2" s="2"/>
      <c r="H2" s="2"/>
    </row>
    <row r="5" customFormat="false" ht="33.75" hidden="false" customHeight="true" outlineLevel="0" collapsed="false">
      <c r="A5" s="22" t="s">
        <v>307</v>
      </c>
      <c r="B5" s="22" t="s">
        <v>1335</v>
      </c>
      <c r="C5" s="22" t="s">
        <v>333</v>
      </c>
      <c r="D5" s="22" t="s">
        <v>1336</v>
      </c>
      <c r="E5" s="22" t="s">
        <v>1337</v>
      </c>
      <c r="F5" s="22" t="s">
        <v>1338</v>
      </c>
      <c r="G5" s="22" t="s">
        <v>1339</v>
      </c>
      <c r="H5" s="22" t="s">
        <v>71</v>
      </c>
    </row>
    <row r="6" customFormat="false" ht="31.5" hidden="false" customHeight="true" outlineLevel="0" collapsed="false">
      <c r="A6" s="23" t="s">
        <v>1340</v>
      </c>
      <c r="B6" s="23" t="s">
        <v>1341</v>
      </c>
      <c r="C6" s="23" t="s">
        <v>1342</v>
      </c>
      <c r="D6" s="23" t="s">
        <v>1343</v>
      </c>
      <c r="E6" s="23" t="s">
        <v>1344</v>
      </c>
      <c r="F6" s="23" t="s">
        <v>1345</v>
      </c>
      <c r="G6" s="32" t="n">
        <v>6</v>
      </c>
      <c r="H6" s="23" t="s">
        <v>1346</v>
      </c>
    </row>
    <row r="7" customFormat="false" ht="31.5" hidden="false" customHeight="true" outlineLevel="0" collapsed="false">
      <c r="A7" s="24" t="s">
        <v>1347</v>
      </c>
      <c r="B7" s="24" t="s">
        <v>1348</v>
      </c>
      <c r="C7" s="24" t="s">
        <v>1349</v>
      </c>
      <c r="D7" s="24" t="s">
        <v>1343</v>
      </c>
      <c r="E7" s="24" t="s">
        <v>1344</v>
      </c>
      <c r="F7" s="24" t="s">
        <v>1345</v>
      </c>
      <c r="G7" s="33" t="n">
        <v>6</v>
      </c>
      <c r="H7" s="24" t="s">
        <v>1346</v>
      </c>
    </row>
    <row r="8" customFormat="false" ht="31.5" hidden="false" customHeight="true" outlineLevel="0" collapsed="false">
      <c r="A8" s="23" t="s">
        <v>1350</v>
      </c>
      <c r="B8" s="23" t="s">
        <v>1351</v>
      </c>
      <c r="C8" s="23" t="s">
        <v>1352</v>
      </c>
      <c r="D8" s="23" t="s">
        <v>1343</v>
      </c>
      <c r="E8" s="23" t="s">
        <v>1344</v>
      </c>
      <c r="F8" s="23" t="s">
        <v>1345</v>
      </c>
      <c r="G8" s="32" t="n">
        <v>6</v>
      </c>
      <c r="H8" s="23" t="s">
        <v>1346</v>
      </c>
    </row>
    <row r="9" customFormat="false" ht="31.5" hidden="false" customHeight="true" outlineLevel="0" collapsed="false">
      <c r="A9" s="24" t="s">
        <v>1353</v>
      </c>
      <c r="B9" s="24" t="s">
        <v>1354</v>
      </c>
      <c r="C9" s="24" t="s">
        <v>1355</v>
      </c>
      <c r="D9" s="24" t="s">
        <v>1343</v>
      </c>
      <c r="E9" s="24" t="s">
        <v>1344</v>
      </c>
      <c r="F9" s="24" t="s">
        <v>1345</v>
      </c>
      <c r="G9" s="33" t="n">
        <v>6</v>
      </c>
      <c r="H9" s="24" t="s">
        <v>1346</v>
      </c>
    </row>
    <row r="10" customFormat="false" ht="31.5" hidden="false" customHeight="true" outlineLevel="0" collapsed="false">
      <c r="A10" s="23" t="s">
        <v>1356</v>
      </c>
      <c r="B10" s="23" t="s">
        <v>1357</v>
      </c>
      <c r="C10" s="23" t="s">
        <v>1358</v>
      </c>
      <c r="D10" s="23" t="s">
        <v>1343</v>
      </c>
      <c r="E10" s="23" t="s">
        <v>1344</v>
      </c>
      <c r="F10" s="23" t="s">
        <v>1345</v>
      </c>
      <c r="G10" s="32" t="n">
        <v>6</v>
      </c>
      <c r="H10" s="23" t="s">
        <v>1346</v>
      </c>
    </row>
    <row r="11" customFormat="false" ht="31.5" hidden="false" customHeight="true" outlineLevel="0" collapsed="false">
      <c r="A11" s="24" t="s">
        <v>1359</v>
      </c>
      <c r="B11" s="24" t="s">
        <v>1360</v>
      </c>
      <c r="C11" s="24" t="s">
        <v>1361</v>
      </c>
      <c r="D11" s="24" t="s">
        <v>1343</v>
      </c>
      <c r="E11" s="24" t="s">
        <v>1344</v>
      </c>
      <c r="F11" s="24" t="s">
        <v>1345</v>
      </c>
      <c r="G11" s="33" t="n">
        <v>6</v>
      </c>
      <c r="H11" s="24" t="s">
        <v>1346</v>
      </c>
    </row>
    <row r="12" customFormat="false" ht="31.5" hidden="false" customHeight="true" outlineLevel="0" collapsed="false">
      <c r="A12" s="23" t="s">
        <v>1362</v>
      </c>
      <c r="B12" s="23" t="s">
        <v>1363</v>
      </c>
      <c r="C12" s="23" t="s">
        <v>1364</v>
      </c>
      <c r="D12" s="23" t="s">
        <v>1343</v>
      </c>
      <c r="E12" s="23" t="s">
        <v>1344</v>
      </c>
      <c r="F12" s="23" t="s">
        <v>1345</v>
      </c>
      <c r="G12" s="32" t="n">
        <v>6</v>
      </c>
      <c r="H12" s="23" t="s">
        <v>1346</v>
      </c>
    </row>
    <row r="13" customFormat="false" ht="31.5" hidden="false" customHeight="true" outlineLevel="0" collapsed="false">
      <c r="A13" s="24" t="s">
        <v>1365</v>
      </c>
      <c r="B13" s="24" t="s">
        <v>1366</v>
      </c>
      <c r="C13" s="24" t="s">
        <v>1367</v>
      </c>
      <c r="D13" s="24" t="s">
        <v>1343</v>
      </c>
      <c r="E13" s="24" t="s">
        <v>1344</v>
      </c>
      <c r="F13" s="24" t="s">
        <v>1345</v>
      </c>
      <c r="G13" s="33" t="n">
        <v>6</v>
      </c>
      <c r="H13" s="24" t="s">
        <v>1346</v>
      </c>
    </row>
    <row r="14" customFormat="false" ht="31.5" hidden="false" customHeight="true" outlineLevel="0" collapsed="false">
      <c r="A14" s="23" t="s">
        <v>1368</v>
      </c>
      <c r="B14" s="23" t="s">
        <v>1369</v>
      </c>
      <c r="C14" s="23" t="s">
        <v>1370</v>
      </c>
      <c r="D14" s="23" t="s">
        <v>1343</v>
      </c>
      <c r="E14" s="23" t="s">
        <v>1344</v>
      </c>
      <c r="F14" s="23" t="s">
        <v>1345</v>
      </c>
      <c r="G14" s="32" t="n">
        <v>6</v>
      </c>
      <c r="H14" s="23" t="s">
        <v>1346</v>
      </c>
    </row>
    <row r="15" customFormat="false" ht="31.5" hidden="false" customHeight="true" outlineLevel="0" collapsed="false">
      <c r="A15" s="24" t="s">
        <v>1371</v>
      </c>
      <c r="B15" s="24" t="s">
        <v>1372</v>
      </c>
      <c r="C15" s="24" t="s">
        <v>1373</v>
      </c>
      <c r="D15" s="24" t="s">
        <v>1343</v>
      </c>
      <c r="E15" s="24" t="s">
        <v>1344</v>
      </c>
      <c r="F15" s="24" t="s">
        <v>1345</v>
      </c>
      <c r="G15" s="33" t="n">
        <v>6</v>
      </c>
      <c r="H15" s="24" t="s">
        <v>1346</v>
      </c>
    </row>
    <row r="16" customFormat="false" ht="31.5" hidden="false" customHeight="true" outlineLevel="0" collapsed="false">
      <c r="A16" s="23" t="s">
        <v>1374</v>
      </c>
      <c r="B16" s="23" t="s">
        <v>1375</v>
      </c>
      <c r="C16" s="23" t="s">
        <v>1376</v>
      </c>
      <c r="D16" s="23" t="s">
        <v>1377</v>
      </c>
      <c r="E16" s="23" t="s">
        <v>1344</v>
      </c>
      <c r="F16" s="23" t="s">
        <v>1345</v>
      </c>
      <c r="G16" s="32" t="n">
        <v>6</v>
      </c>
      <c r="H16" s="23" t="s">
        <v>1346</v>
      </c>
    </row>
    <row r="17" customFormat="false" ht="31.5" hidden="false" customHeight="true" outlineLevel="0" collapsed="false">
      <c r="A17" s="24" t="s">
        <v>1378</v>
      </c>
      <c r="B17" s="24" t="s">
        <v>1379</v>
      </c>
      <c r="C17" s="24" t="s">
        <v>1380</v>
      </c>
      <c r="D17" s="24" t="s">
        <v>1377</v>
      </c>
      <c r="E17" s="24" t="s">
        <v>1344</v>
      </c>
      <c r="F17" s="24" t="s">
        <v>1345</v>
      </c>
      <c r="G17" s="33" t="n">
        <v>6</v>
      </c>
      <c r="H17" s="24" t="s">
        <v>1346</v>
      </c>
    </row>
    <row r="18" customFormat="false" ht="31.5" hidden="false" customHeight="true" outlineLevel="0" collapsed="false">
      <c r="A18" s="23" t="s">
        <v>1381</v>
      </c>
      <c r="B18" s="23" t="s">
        <v>1382</v>
      </c>
      <c r="C18" s="23" t="s">
        <v>1383</v>
      </c>
      <c r="D18" s="23" t="s">
        <v>1377</v>
      </c>
      <c r="E18" s="23" t="s">
        <v>1344</v>
      </c>
      <c r="F18" s="23" t="s">
        <v>1345</v>
      </c>
      <c r="G18" s="32" t="n">
        <v>6</v>
      </c>
      <c r="H18" s="23" t="s">
        <v>1346</v>
      </c>
    </row>
    <row r="19" customFormat="false" ht="31.5" hidden="false" customHeight="true" outlineLevel="0" collapsed="false">
      <c r="A19" s="24" t="s">
        <v>1384</v>
      </c>
      <c r="B19" s="24" t="s">
        <v>1385</v>
      </c>
      <c r="C19" s="24" t="s">
        <v>1386</v>
      </c>
      <c r="D19" s="24" t="s">
        <v>1377</v>
      </c>
      <c r="E19" s="24" t="s">
        <v>1344</v>
      </c>
      <c r="F19" s="24" t="s">
        <v>1345</v>
      </c>
      <c r="G19" s="33" t="n">
        <v>6</v>
      </c>
      <c r="H19" s="24" t="s">
        <v>1346</v>
      </c>
    </row>
    <row r="20" customFormat="false" ht="31.5" hidden="false" customHeight="true" outlineLevel="0" collapsed="false">
      <c r="A20" s="23" t="s">
        <v>1387</v>
      </c>
      <c r="B20" s="23" t="s">
        <v>1388</v>
      </c>
      <c r="C20" s="23" t="s">
        <v>1389</v>
      </c>
      <c r="D20" s="23" t="s">
        <v>1377</v>
      </c>
      <c r="E20" s="23" t="s">
        <v>1344</v>
      </c>
      <c r="F20" s="23" t="s">
        <v>1345</v>
      </c>
      <c r="G20" s="32" t="n">
        <v>6</v>
      </c>
      <c r="H20" s="23" t="s">
        <v>1346</v>
      </c>
    </row>
    <row r="21" customFormat="false" ht="31.5" hidden="false" customHeight="true" outlineLevel="0" collapsed="false">
      <c r="A21" s="24" t="s">
        <v>1390</v>
      </c>
      <c r="B21" s="24" t="s">
        <v>1391</v>
      </c>
      <c r="C21" s="24" t="s">
        <v>1392</v>
      </c>
      <c r="D21" s="24" t="s">
        <v>1377</v>
      </c>
      <c r="E21" s="24" t="s">
        <v>1344</v>
      </c>
      <c r="F21" s="24" t="s">
        <v>1345</v>
      </c>
      <c r="G21" s="33" t="n">
        <v>6</v>
      </c>
      <c r="H21" s="24" t="s">
        <v>1346</v>
      </c>
    </row>
    <row r="22" customFormat="false" ht="31.5" hidden="false" customHeight="true" outlineLevel="0" collapsed="false">
      <c r="A22" s="23" t="s">
        <v>1393</v>
      </c>
      <c r="B22" s="23" t="s">
        <v>1394</v>
      </c>
      <c r="C22" s="23" t="s">
        <v>1395</v>
      </c>
      <c r="D22" s="23" t="s">
        <v>1377</v>
      </c>
      <c r="E22" s="23" t="s">
        <v>1344</v>
      </c>
      <c r="F22" s="23" t="s">
        <v>1345</v>
      </c>
      <c r="G22" s="32" t="n">
        <v>6</v>
      </c>
      <c r="H22" s="23" t="s">
        <v>1346</v>
      </c>
    </row>
    <row r="23" customFormat="false" ht="31.5" hidden="false" customHeight="true" outlineLevel="0" collapsed="false">
      <c r="A23" s="24" t="s">
        <v>1396</v>
      </c>
      <c r="B23" s="24" t="s">
        <v>1397</v>
      </c>
      <c r="C23" s="24" t="s">
        <v>1398</v>
      </c>
      <c r="D23" s="24" t="s">
        <v>1377</v>
      </c>
      <c r="E23" s="24" t="s">
        <v>1344</v>
      </c>
      <c r="F23" s="24" t="s">
        <v>1345</v>
      </c>
      <c r="G23" s="33" t="n">
        <v>6</v>
      </c>
      <c r="H23" s="24" t="s">
        <v>1346</v>
      </c>
    </row>
    <row r="24" customFormat="false" ht="31.5" hidden="false" customHeight="true" outlineLevel="0" collapsed="false">
      <c r="A24" s="23" t="s">
        <v>1399</v>
      </c>
      <c r="B24" s="23" t="s">
        <v>1400</v>
      </c>
      <c r="C24" s="23" t="s">
        <v>1401</v>
      </c>
      <c r="D24" s="23" t="s">
        <v>1377</v>
      </c>
      <c r="E24" s="23" t="s">
        <v>1344</v>
      </c>
      <c r="F24" s="23" t="s">
        <v>1345</v>
      </c>
      <c r="G24" s="32" t="n">
        <v>6</v>
      </c>
      <c r="H24" s="23" t="s">
        <v>1346</v>
      </c>
    </row>
    <row r="25" customFormat="false" ht="31.5" hidden="false" customHeight="true" outlineLevel="0" collapsed="false">
      <c r="A25" s="24" t="s">
        <v>1402</v>
      </c>
      <c r="B25" s="24" t="s">
        <v>1403</v>
      </c>
      <c r="C25" s="24" t="s">
        <v>1404</v>
      </c>
      <c r="D25" s="24" t="s">
        <v>1377</v>
      </c>
      <c r="E25" s="24" t="s">
        <v>1344</v>
      </c>
      <c r="F25" s="24" t="s">
        <v>1345</v>
      </c>
      <c r="G25" s="33" t="n">
        <v>6</v>
      </c>
      <c r="H25" s="24" t="s">
        <v>1346</v>
      </c>
    </row>
  </sheetData>
  <autoFilter ref="A5:H25"/>
  <mergeCells count="2">
    <mergeCell ref="A1:H1"/>
    <mergeCell ref="A2:H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0" width="12"/>
    <col collapsed="false" customWidth="true" hidden="false" outlineLevel="0" max="3" min="3" style="10" width="14"/>
    <col collapsed="false" customWidth="true" hidden="false" outlineLevel="0" max="4" min="4" style="10" width="18"/>
    <col collapsed="false" customWidth="true" hidden="false" outlineLevel="0" max="5" min="5" style="10" width="19"/>
    <col collapsed="false" customWidth="true" hidden="false" outlineLevel="0" max="6" min="6" style="10" width="22"/>
    <col collapsed="false" customWidth="true" hidden="false" outlineLevel="0" max="7" min="7" style="10" width="20"/>
    <col collapsed="false" customWidth="true" hidden="false" outlineLevel="0" max="8" min="8" style="10" width="14"/>
    <col collapsed="false" customWidth="true" hidden="false" outlineLevel="0" max="9" min="9" style="10" width="12"/>
    <col collapsed="false" customWidth="true" hidden="false" outlineLevel="0" max="10" min="10" style="10" width="37"/>
    <col collapsed="false" customWidth="true" hidden="false" outlineLevel="0" max="11" min="11" style="10" width="65"/>
  </cols>
  <sheetData>
    <row r="1" customFormat="false" ht="31.5" hidden="false" customHeight="true" outlineLevel="0" collapsed="false">
      <c r="A1" s="21" t="s">
        <v>1405</v>
      </c>
      <c r="B1" s="21"/>
      <c r="C1" s="21"/>
      <c r="D1" s="21"/>
      <c r="E1" s="21"/>
      <c r="F1" s="21"/>
      <c r="G1" s="21"/>
      <c r="H1" s="21"/>
      <c r="I1" s="21"/>
      <c r="J1" s="21"/>
      <c r="K1" s="21"/>
    </row>
    <row r="2" customFormat="false" ht="75.75" hidden="false" customHeight="true" outlineLevel="0" collapsed="false">
      <c r="A2" s="2" t="s">
        <v>1406</v>
      </c>
      <c r="B2" s="2"/>
      <c r="C2" s="2"/>
      <c r="D2" s="2"/>
      <c r="E2" s="2"/>
      <c r="F2" s="2"/>
      <c r="G2" s="2"/>
      <c r="H2" s="2"/>
      <c r="I2" s="2"/>
      <c r="J2" s="2"/>
      <c r="K2" s="2"/>
    </row>
    <row r="5" customFormat="false" ht="33.75" hidden="false" customHeight="true" outlineLevel="0" collapsed="false">
      <c r="A5" s="22" t="s">
        <v>1407</v>
      </c>
      <c r="B5" s="22" t="s">
        <v>1408</v>
      </c>
      <c r="C5" s="22" t="s">
        <v>1409</v>
      </c>
      <c r="D5" s="22" t="s">
        <v>1410</v>
      </c>
      <c r="E5" s="22" t="s">
        <v>1411</v>
      </c>
      <c r="F5" s="22" t="s">
        <v>1412</v>
      </c>
      <c r="G5" s="22" t="s">
        <v>1413</v>
      </c>
      <c r="H5" s="22" t="s">
        <v>1414</v>
      </c>
      <c r="I5" s="22" t="s">
        <v>1415</v>
      </c>
      <c r="J5" s="22" t="s">
        <v>1416</v>
      </c>
      <c r="K5" s="22" t="s">
        <v>1417</v>
      </c>
    </row>
    <row r="6" customFormat="false" ht="37.5" hidden="false" customHeight="true" outlineLevel="0" collapsed="false">
      <c r="A6" s="34" t="n">
        <v>1</v>
      </c>
      <c r="B6" s="34" t="n">
        <v>5</v>
      </c>
      <c r="C6" s="34" t="n">
        <v>1</v>
      </c>
      <c r="D6" s="35" t="n">
        <f aca="false">MAX(0,1-(C6-1)*0.25)</f>
        <v>1</v>
      </c>
      <c r="E6" s="23" t="n">
        <f aca="false">A6*B6</f>
        <v>5</v>
      </c>
      <c r="F6" s="36" t="n">
        <f aca="false">B6*D6</f>
        <v>5</v>
      </c>
      <c r="G6" s="23" t="n">
        <f aca="false">ROUNDUP(F6,0)</f>
        <v>5</v>
      </c>
      <c r="H6" s="23" t="n">
        <f aca="false">A6</f>
        <v>1</v>
      </c>
      <c r="I6" s="37" t="n">
        <f aca="false">Parametry!$C$76</f>
        <v>6</v>
      </c>
      <c r="J6" s="23" t="str">
        <f aca="false">IF(D6&gt;0,"MOŻNA KUPIĆ","ZABLOKOWANE — bez opłaty")</f>
        <v>MOŻNA KUPIĆ</v>
      </c>
      <c r="K6" s="23" t="s">
        <v>1418</v>
      </c>
    </row>
    <row r="7" customFormat="false" ht="37.5" hidden="false" customHeight="true" outlineLevel="0" collapsed="false">
      <c r="A7" s="38" t="n">
        <v>1</v>
      </c>
      <c r="B7" s="38" t="n">
        <v>5</v>
      </c>
      <c r="C7" s="38" t="n">
        <v>2</v>
      </c>
      <c r="D7" s="39" t="n">
        <f aca="false">MAX(0,1-(C7-1)*0.25)</f>
        <v>0.75</v>
      </c>
      <c r="E7" s="24" t="n">
        <f aca="false">A7*B7</f>
        <v>5</v>
      </c>
      <c r="F7" s="40" t="n">
        <f aca="false">B7*D7</f>
        <v>3.75</v>
      </c>
      <c r="G7" s="24" t="n">
        <f aca="false">ROUNDUP(F7,0)</f>
        <v>4</v>
      </c>
      <c r="H7" s="24" t="n">
        <f aca="false">A7</f>
        <v>1</v>
      </c>
      <c r="I7" s="41" t="n">
        <f aca="false">Parametry!$C$76</f>
        <v>6</v>
      </c>
      <c r="J7" s="24" t="str">
        <f aca="false">IF(D7&gt;0,"MOŻNA KUPIĆ","ZABLOKOWANE — bez opłaty")</f>
        <v>MOŻNA KUPIĆ</v>
      </c>
      <c r="K7" s="24" t="s">
        <v>1418</v>
      </c>
    </row>
    <row r="8" customFormat="false" ht="37.5" hidden="false" customHeight="true" outlineLevel="0" collapsed="false">
      <c r="A8" s="34" t="n">
        <v>1</v>
      </c>
      <c r="B8" s="34" t="n">
        <v>5</v>
      </c>
      <c r="C8" s="34" t="n">
        <v>3</v>
      </c>
      <c r="D8" s="35" t="n">
        <f aca="false">MAX(0,1-(C8-1)*0.25)</f>
        <v>0.5</v>
      </c>
      <c r="E8" s="23" t="n">
        <f aca="false">A8*B8</f>
        <v>5</v>
      </c>
      <c r="F8" s="36" t="n">
        <f aca="false">B8*D8</f>
        <v>2.5</v>
      </c>
      <c r="G8" s="23" t="n">
        <f aca="false">ROUNDUP(F8,0)</f>
        <v>3</v>
      </c>
      <c r="H8" s="23" t="n">
        <f aca="false">A8</f>
        <v>1</v>
      </c>
      <c r="I8" s="37" t="n">
        <f aca="false">Parametry!$C$76</f>
        <v>6</v>
      </c>
      <c r="J8" s="23" t="str">
        <f aca="false">IF(D8&gt;0,"MOŻNA KUPIĆ","ZABLOKOWANE — bez opłaty")</f>
        <v>MOŻNA KUPIĆ</v>
      </c>
      <c r="K8" s="23" t="s">
        <v>1418</v>
      </c>
    </row>
    <row r="9" customFormat="false" ht="37.5" hidden="false" customHeight="true" outlineLevel="0" collapsed="false">
      <c r="A9" s="38" t="n">
        <v>1</v>
      </c>
      <c r="B9" s="38" t="n">
        <v>5</v>
      </c>
      <c r="C9" s="38" t="n">
        <v>4</v>
      </c>
      <c r="D9" s="39" t="n">
        <f aca="false">MAX(0,1-(C9-1)*0.25)</f>
        <v>0.25</v>
      </c>
      <c r="E9" s="24" t="n">
        <f aca="false">A9*B9</f>
        <v>5</v>
      </c>
      <c r="F9" s="40" t="n">
        <f aca="false">B9*D9</f>
        <v>1.25</v>
      </c>
      <c r="G9" s="24" t="n">
        <f aca="false">ROUNDUP(F9,0)</f>
        <v>2</v>
      </c>
      <c r="H9" s="24" t="n">
        <f aca="false">A9</f>
        <v>1</v>
      </c>
      <c r="I9" s="41" t="n">
        <f aca="false">Parametry!$C$76</f>
        <v>6</v>
      </c>
      <c r="J9" s="24" t="str">
        <f aca="false">IF(D9&gt;0,"MOŻNA KUPIĆ","ZABLOKOWANE — bez opłaty")</f>
        <v>MOŻNA KUPIĆ</v>
      </c>
      <c r="K9" s="24" t="s">
        <v>1418</v>
      </c>
    </row>
    <row r="10" customFormat="false" ht="37.5" hidden="false" customHeight="true" outlineLevel="0" collapsed="false">
      <c r="A10" s="34" t="n">
        <v>1</v>
      </c>
      <c r="B10" s="34" t="n">
        <v>5</v>
      </c>
      <c r="C10" s="34" t="n">
        <v>5</v>
      </c>
      <c r="D10" s="35" t="n">
        <f aca="false">MAX(0,1-(C10-1)*0.25)</f>
        <v>0</v>
      </c>
      <c r="E10" s="23" t="n">
        <f aca="false">A10*B10</f>
        <v>5</v>
      </c>
      <c r="F10" s="36" t="n">
        <f aca="false">B10*D10</f>
        <v>0</v>
      </c>
      <c r="G10" s="23" t="n">
        <f aca="false">ROUNDUP(F10,0)</f>
        <v>0</v>
      </c>
      <c r="H10" s="23" t="n">
        <f aca="false">A10</f>
        <v>1</v>
      </c>
      <c r="I10" s="37" t="n">
        <f aca="false">Parametry!$C$76</f>
        <v>6</v>
      </c>
      <c r="J10" s="23" t="str">
        <f aca="false">IF(D10&gt;0,"MOŻNA KUPIĆ","ZABLOKOWANE — bez opłaty")</f>
        <v>ZABLOKOWANE — bez opłaty</v>
      </c>
      <c r="K10" s="23" t="s">
        <v>1418</v>
      </c>
    </row>
    <row r="11" customFormat="false" ht="37.5" hidden="false" customHeight="true" outlineLevel="0" collapsed="false">
      <c r="A11" s="38" t="n">
        <v>1</v>
      </c>
      <c r="B11" s="38" t="n">
        <v>25</v>
      </c>
      <c r="C11" s="38" t="n">
        <v>1</v>
      </c>
      <c r="D11" s="39" t="n">
        <f aca="false">MAX(0,1-(C11-1)*0.25)</f>
        <v>1</v>
      </c>
      <c r="E11" s="24" t="n">
        <f aca="false">A11*B11</f>
        <v>25</v>
      </c>
      <c r="F11" s="40" t="n">
        <f aca="false">B11*D11</f>
        <v>25</v>
      </c>
      <c r="G11" s="24" t="n">
        <f aca="false">ROUNDUP(F11,0)</f>
        <v>25</v>
      </c>
      <c r="H11" s="24" t="n">
        <f aca="false">A11</f>
        <v>1</v>
      </c>
      <c r="I11" s="41" t="n">
        <f aca="false">Parametry!$C$76</f>
        <v>6</v>
      </c>
      <c r="J11" s="24" t="str">
        <f aca="false">IF(D11&gt;0,"MOŻNA KUPIĆ","ZABLOKOWANE — bez opłaty")</f>
        <v>MOŻNA KUPIĆ</v>
      </c>
      <c r="K11" s="24" t="s">
        <v>1418</v>
      </c>
    </row>
    <row r="12" customFormat="false" ht="37.5" hidden="false" customHeight="true" outlineLevel="0" collapsed="false">
      <c r="A12" s="34" t="n">
        <v>1</v>
      </c>
      <c r="B12" s="34" t="n">
        <v>25</v>
      </c>
      <c r="C12" s="34" t="n">
        <v>2</v>
      </c>
      <c r="D12" s="35" t="n">
        <f aca="false">MAX(0,1-(C12-1)*0.25)</f>
        <v>0.75</v>
      </c>
      <c r="E12" s="23" t="n">
        <f aca="false">A12*B12</f>
        <v>25</v>
      </c>
      <c r="F12" s="36" t="n">
        <f aca="false">B12*D12</f>
        <v>18.75</v>
      </c>
      <c r="G12" s="23" t="n">
        <f aca="false">ROUNDUP(F12,0)</f>
        <v>19</v>
      </c>
      <c r="H12" s="23" t="n">
        <f aca="false">A12</f>
        <v>1</v>
      </c>
      <c r="I12" s="37" t="n">
        <f aca="false">Parametry!$C$76</f>
        <v>6</v>
      </c>
      <c r="J12" s="23" t="str">
        <f aca="false">IF(D12&gt;0,"MOŻNA KUPIĆ","ZABLOKOWANE — bez opłaty")</f>
        <v>MOŻNA KUPIĆ</v>
      </c>
      <c r="K12" s="23" t="s">
        <v>1418</v>
      </c>
    </row>
    <row r="13" customFormat="false" ht="37.5" hidden="false" customHeight="true" outlineLevel="0" collapsed="false">
      <c r="A13" s="38" t="n">
        <v>1</v>
      </c>
      <c r="B13" s="38" t="n">
        <v>25</v>
      </c>
      <c r="C13" s="38" t="n">
        <v>3</v>
      </c>
      <c r="D13" s="39" t="n">
        <f aca="false">MAX(0,1-(C13-1)*0.25)</f>
        <v>0.5</v>
      </c>
      <c r="E13" s="24" t="n">
        <f aca="false">A13*B13</f>
        <v>25</v>
      </c>
      <c r="F13" s="40" t="n">
        <f aca="false">B13*D13</f>
        <v>12.5</v>
      </c>
      <c r="G13" s="24" t="n">
        <f aca="false">ROUNDUP(F13,0)</f>
        <v>13</v>
      </c>
      <c r="H13" s="24" t="n">
        <f aca="false">A13</f>
        <v>1</v>
      </c>
      <c r="I13" s="41" t="n">
        <f aca="false">Parametry!$C$76</f>
        <v>6</v>
      </c>
      <c r="J13" s="24" t="str">
        <f aca="false">IF(D13&gt;0,"MOŻNA KUPIĆ","ZABLOKOWANE — bez opłaty")</f>
        <v>MOŻNA KUPIĆ</v>
      </c>
      <c r="K13" s="24" t="s">
        <v>1418</v>
      </c>
    </row>
    <row r="14" customFormat="false" ht="37.5" hidden="false" customHeight="true" outlineLevel="0" collapsed="false">
      <c r="A14" s="34" t="n">
        <v>1</v>
      </c>
      <c r="B14" s="34" t="n">
        <v>25</v>
      </c>
      <c r="C14" s="34" t="n">
        <v>4</v>
      </c>
      <c r="D14" s="35" t="n">
        <f aca="false">MAX(0,1-(C14-1)*0.25)</f>
        <v>0.25</v>
      </c>
      <c r="E14" s="23" t="n">
        <f aca="false">A14*B14</f>
        <v>25</v>
      </c>
      <c r="F14" s="36" t="n">
        <f aca="false">B14*D14</f>
        <v>6.25</v>
      </c>
      <c r="G14" s="23" t="n">
        <f aca="false">ROUNDUP(F14,0)</f>
        <v>7</v>
      </c>
      <c r="H14" s="23" t="n">
        <f aca="false">A14</f>
        <v>1</v>
      </c>
      <c r="I14" s="37" t="n">
        <f aca="false">Parametry!$C$76</f>
        <v>6</v>
      </c>
      <c r="J14" s="23" t="str">
        <f aca="false">IF(D14&gt;0,"MOŻNA KUPIĆ","ZABLOKOWANE — bez opłaty")</f>
        <v>MOŻNA KUPIĆ</v>
      </c>
      <c r="K14" s="23" t="s">
        <v>1418</v>
      </c>
    </row>
    <row r="15" customFormat="false" ht="37.5" hidden="false" customHeight="true" outlineLevel="0" collapsed="false">
      <c r="A15" s="38" t="n">
        <v>1</v>
      </c>
      <c r="B15" s="38" t="n">
        <v>25</v>
      </c>
      <c r="C15" s="38" t="n">
        <v>5</v>
      </c>
      <c r="D15" s="39" t="n">
        <f aca="false">MAX(0,1-(C15-1)*0.25)</f>
        <v>0</v>
      </c>
      <c r="E15" s="24" t="n">
        <f aca="false">A15*B15</f>
        <v>25</v>
      </c>
      <c r="F15" s="40" t="n">
        <f aca="false">B15*D15</f>
        <v>0</v>
      </c>
      <c r="G15" s="24" t="n">
        <f aca="false">ROUNDUP(F15,0)</f>
        <v>0</v>
      </c>
      <c r="H15" s="24" t="n">
        <f aca="false">A15</f>
        <v>1</v>
      </c>
      <c r="I15" s="41" t="n">
        <f aca="false">Parametry!$C$76</f>
        <v>6</v>
      </c>
      <c r="J15" s="24" t="str">
        <f aca="false">IF(D15&gt;0,"MOŻNA KUPIĆ","ZABLOKOWANE — bez opłaty")</f>
        <v>ZABLOKOWANE — bez opłaty</v>
      </c>
      <c r="K15" s="24" t="s">
        <v>1418</v>
      </c>
    </row>
    <row r="16" customFormat="false" ht="37.5" hidden="false" customHeight="true" outlineLevel="0" collapsed="false">
      <c r="A16" s="34" t="n">
        <v>1</v>
      </c>
      <c r="B16" s="34" t="n">
        <v>50</v>
      </c>
      <c r="C16" s="34" t="n">
        <v>1</v>
      </c>
      <c r="D16" s="35" t="n">
        <f aca="false">MAX(0,1-(C16-1)*0.25)</f>
        <v>1</v>
      </c>
      <c r="E16" s="23" t="n">
        <f aca="false">A16*B16</f>
        <v>50</v>
      </c>
      <c r="F16" s="36" t="n">
        <f aca="false">B16*D16</f>
        <v>50</v>
      </c>
      <c r="G16" s="23" t="n">
        <f aca="false">ROUNDUP(F16,0)</f>
        <v>50</v>
      </c>
      <c r="H16" s="23" t="n">
        <f aca="false">A16</f>
        <v>1</v>
      </c>
      <c r="I16" s="37" t="n">
        <f aca="false">Parametry!$C$76</f>
        <v>6</v>
      </c>
      <c r="J16" s="23" t="str">
        <f aca="false">IF(D16&gt;0,"MOŻNA KUPIĆ","ZABLOKOWANE — bez opłaty")</f>
        <v>MOŻNA KUPIĆ</v>
      </c>
      <c r="K16" s="23" t="s">
        <v>1418</v>
      </c>
    </row>
    <row r="17" customFormat="false" ht="37.5" hidden="false" customHeight="true" outlineLevel="0" collapsed="false">
      <c r="A17" s="38" t="n">
        <v>1</v>
      </c>
      <c r="B17" s="38" t="n">
        <v>50</v>
      </c>
      <c r="C17" s="38" t="n">
        <v>2</v>
      </c>
      <c r="D17" s="39" t="n">
        <f aca="false">MAX(0,1-(C17-1)*0.25)</f>
        <v>0.75</v>
      </c>
      <c r="E17" s="24" t="n">
        <f aca="false">A17*B17</f>
        <v>50</v>
      </c>
      <c r="F17" s="40" t="n">
        <f aca="false">B17*D17</f>
        <v>37.5</v>
      </c>
      <c r="G17" s="24" t="n">
        <f aca="false">ROUNDUP(F17,0)</f>
        <v>38</v>
      </c>
      <c r="H17" s="24" t="n">
        <f aca="false">A17</f>
        <v>1</v>
      </c>
      <c r="I17" s="41" t="n">
        <f aca="false">Parametry!$C$76</f>
        <v>6</v>
      </c>
      <c r="J17" s="24" t="str">
        <f aca="false">IF(D17&gt;0,"MOŻNA KUPIĆ","ZABLOKOWANE — bez opłaty")</f>
        <v>MOŻNA KUPIĆ</v>
      </c>
      <c r="K17" s="24" t="s">
        <v>1418</v>
      </c>
    </row>
    <row r="18" customFormat="false" ht="37.5" hidden="false" customHeight="true" outlineLevel="0" collapsed="false">
      <c r="A18" s="34" t="n">
        <v>1</v>
      </c>
      <c r="B18" s="34" t="n">
        <v>50</v>
      </c>
      <c r="C18" s="34" t="n">
        <v>3</v>
      </c>
      <c r="D18" s="35" t="n">
        <f aca="false">MAX(0,1-(C18-1)*0.25)</f>
        <v>0.5</v>
      </c>
      <c r="E18" s="23" t="n">
        <f aca="false">A18*B18</f>
        <v>50</v>
      </c>
      <c r="F18" s="36" t="n">
        <f aca="false">B18*D18</f>
        <v>25</v>
      </c>
      <c r="G18" s="23" t="n">
        <f aca="false">ROUNDUP(F18,0)</f>
        <v>25</v>
      </c>
      <c r="H18" s="23" t="n">
        <f aca="false">A18</f>
        <v>1</v>
      </c>
      <c r="I18" s="37" t="n">
        <f aca="false">Parametry!$C$76</f>
        <v>6</v>
      </c>
      <c r="J18" s="23" t="str">
        <f aca="false">IF(D18&gt;0,"MOŻNA KUPIĆ","ZABLOKOWANE — bez opłaty")</f>
        <v>MOŻNA KUPIĆ</v>
      </c>
      <c r="K18" s="23" t="s">
        <v>1418</v>
      </c>
    </row>
    <row r="19" customFormat="false" ht="37.5" hidden="false" customHeight="true" outlineLevel="0" collapsed="false">
      <c r="A19" s="38" t="n">
        <v>1</v>
      </c>
      <c r="B19" s="38" t="n">
        <v>50</v>
      </c>
      <c r="C19" s="38" t="n">
        <v>4</v>
      </c>
      <c r="D19" s="39" t="n">
        <f aca="false">MAX(0,1-(C19-1)*0.25)</f>
        <v>0.25</v>
      </c>
      <c r="E19" s="24" t="n">
        <f aca="false">A19*B19</f>
        <v>50</v>
      </c>
      <c r="F19" s="40" t="n">
        <f aca="false">B19*D19</f>
        <v>12.5</v>
      </c>
      <c r="G19" s="24" t="n">
        <f aca="false">ROUNDUP(F19,0)</f>
        <v>13</v>
      </c>
      <c r="H19" s="24" t="n">
        <f aca="false">A19</f>
        <v>1</v>
      </c>
      <c r="I19" s="41" t="n">
        <f aca="false">Parametry!$C$76</f>
        <v>6</v>
      </c>
      <c r="J19" s="24" t="str">
        <f aca="false">IF(D19&gt;0,"MOŻNA KUPIĆ","ZABLOKOWANE — bez opłaty")</f>
        <v>MOŻNA KUPIĆ</v>
      </c>
      <c r="K19" s="24" t="s">
        <v>1418</v>
      </c>
    </row>
    <row r="20" customFormat="false" ht="37.5" hidden="false" customHeight="true" outlineLevel="0" collapsed="false">
      <c r="A20" s="34" t="n">
        <v>1</v>
      </c>
      <c r="B20" s="34" t="n">
        <v>50</v>
      </c>
      <c r="C20" s="34" t="n">
        <v>5</v>
      </c>
      <c r="D20" s="35" t="n">
        <f aca="false">MAX(0,1-(C20-1)*0.25)</f>
        <v>0</v>
      </c>
      <c r="E20" s="23" t="n">
        <f aca="false">A20*B20</f>
        <v>50</v>
      </c>
      <c r="F20" s="36" t="n">
        <f aca="false">B20*D20</f>
        <v>0</v>
      </c>
      <c r="G20" s="23" t="n">
        <f aca="false">ROUNDUP(F20,0)</f>
        <v>0</v>
      </c>
      <c r="H20" s="23" t="n">
        <f aca="false">A20</f>
        <v>1</v>
      </c>
      <c r="I20" s="37" t="n">
        <f aca="false">Parametry!$C$76</f>
        <v>6</v>
      </c>
      <c r="J20" s="23" t="str">
        <f aca="false">IF(D20&gt;0,"MOŻNA KUPIĆ","ZABLOKOWANE — bez opłaty")</f>
        <v>ZABLOKOWANE — bez opłaty</v>
      </c>
      <c r="K20" s="23" t="s">
        <v>1418</v>
      </c>
    </row>
    <row r="21" customFormat="false" ht="37.5" hidden="false" customHeight="true" outlineLevel="0" collapsed="false">
      <c r="A21" s="38" t="n">
        <v>1</v>
      </c>
      <c r="B21" s="38" t="n">
        <v>100</v>
      </c>
      <c r="C21" s="38" t="n">
        <v>1</v>
      </c>
      <c r="D21" s="39" t="n">
        <f aca="false">MAX(0,1-(C21-1)*0.25)</f>
        <v>1</v>
      </c>
      <c r="E21" s="24" t="n">
        <f aca="false">A21*B21</f>
        <v>100</v>
      </c>
      <c r="F21" s="40" t="n">
        <f aca="false">B21*D21</f>
        <v>100</v>
      </c>
      <c r="G21" s="24" t="n">
        <f aca="false">ROUNDUP(F21,0)</f>
        <v>100</v>
      </c>
      <c r="H21" s="24" t="n">
        <f aca="false">A21</f>
        <v>1</v>
      </c>
      <c r="I21" s="41" t="n">
        <f aca="false">Parametry!$C$76</f>
        <v>6</v>
      </c>
      <c r="J21" s="24" t="str">
        <f aca="false">IF(D21&gt;0,"MOŻNA KUPIĆ","ZABLOKOWANE — bez opłaty")</f>
        <v>MOŻNA KUPIĆ</v>
      </c>
      <c r="K21" s="24" t="s">
        <v>1418</v>
      </c>
    </row>
    <row r="22" customFormat="false" ht="37.5" hidden="false" customHeight="true" outlineLevel="0" collapsed="false">
      <c r="A22" s="34" t="n">
        <v>1</v>
      </c>
      <c r="B22" s="34" t="n">
        <v>100</v>
      </c>
      <c r="C22" s="34" t="n">
        <v>2</v>
      </c>
      <c r="D22" s="35" t="n">
        <f aca="false">MAX(0,1-(C22-1)*0.25)</f>
        <v>0.75</v>
      </c>
      <c r="E22" s="23" t="n">
        <f aca="false">A22*B22</f>
        <v>100</v>
      </c>
      <c r="F22" s="36" t="n">
        <f aca="false">B22*D22</f>
        <v>75</v>
      </c>
      <c r="G22" s="23" t="n">
        <f aca="false">ROUNDUP(F22,0)</f>
        <v>75</v>
      </c>
      <c r="H22" s="23" t="n">
        <f aca="false">A22</f>
        <v>1</v>
      </c>
      <c r="I22" s="37" t="n">
        <f aca="false">Parametry!$C$76</f>
        <v>6</v>
      </c>
      <c r="J22" s="23" t="str">
        <f aca="false">IF(D22&gt;0,"MOŻNA KUPIĆ","ZABLOKOWANE — bez opłaty")</f>
        <v>MOŻNA KUPIĆ</v>
      </c>
      <c r="K22" s="23" t="s">
        <v>1418</v>
      </c>
    </row>
    <row r="23" customFormat="false" ht="37.5" hidden="false" customHeight="true" outlineLevel="0" collapsed="false">
      <c r="A23" s="38" t="n">
        <v>1</v>
      </c>
      <c r="B23" s="38" t="n">
        <v>100</v>
      </c>
      <c r="C23" s="38" t="n">
        <v>3</v>
      </c>
      <c r="D23" s="39" t="n">
        <f aca="false">MAX(0,1-(C23-1)*0.25)</f>
        <v>0.5</v>
      </c>
      <c r="E23" s="24" t="n">
        <f aca="false">A23*B23</f>
        <v>100</v>
      </c>
      <c r="F23" s="40" t="n">
        <f aca="false">B23*D23</f>
        <v>50</v>
      </c>
      <c r="G23" s="24" t="n">
        <f aca="false">ROUNDUP(F23,0)</f>
        <v>50</v>
      </c>
      <c r="H23" s="24" t="n">
        <f aca="false">A23</f>
        <v>1</v>
      </c>
      <c r="I23" s="41" t="n">
        <f aca="false">Parametry!$C$76</f>
        <v>6</v>
      </c>
      <c r="J23" s="24" t="str">
        <f aca="false">IF(D23&gt;0,"MOŻNA KUPIĆ","ZABLOKOWANE — bez opłaty")</f>
        <v>MOŻNA KUPIĆ</v>
      </c>
      <c r="K23" s="24" t="s">
        <v>1418</v>
      </c>
    </row>
    <row r="24" customFormat="false" ht="37.5" hidden="false" customHeight="true" outlineLevel="0" collapsed="false">
      <c r="A24" s="34" t="n">
        <v>1</v>
      </c>
      <c r="B24" s="34" t="n">
        <v>100</v>
      </c>
      <c r="C24" s="34" t="n">
        <v>4</v>
      </c>
      <c r="D24" s="35" t="n">
        <f aca="false">MAX(0,1-(C24-1)*0.25)</f>
        <v>0.25</v>
      </c>
      <c r="E24" s="23" t="n">
        <f aca="false">A24*B24</f>
        <v>100</v>
      </c>
      <c r="F24" s="36" t="n">
        <f aca="false">B24*D24</f>
        <v>25</v>
      </c>
      <c r="G24" s="23" t="n">
        <f aca="false">ROUNDUP(F24,0)</f>
        <v>25</v>
      </c>
      <c r="H24" s="23" t="n">
        <f aca="false">A24</f>
        <v>1</v>
      </c>
      <c r="I24" s="37" t="n">
        <f aca="false">Parametry!$C$76</f>
        <v>6</v>
      </c>
      <c r="J24" s="23" t="str">
        <f aca="false">IF(D24&gt;0,"MOŻNA KUPIĆ","ZABLOKOWANE — bez opłaty")</f>
        <v>MOŻNA KUPIĆ</v>
      </c>
      <c r="K24" s="23" t="s">
        <v>1418</v>
      </c>
    </row>
    <row r="25" customFormat="false" ht="37.5" hidden="false" customHeight="true" outlineLevel="0" collapsed="false">
      <c r="A25" s="38" t="n">
        <v>1</v>
      </c>
      <c r="B25" s="38" t="n">
        <v>100</v>
      </c>
      <c r="C25" s="38" t="n">
        <v>5</v>
      </c>
      <c r="D25" s="39" t="n">
        <f aca="false">MAX(0,1-(C25-1)*0.25)</f>
        <v>0</v>
      </c>
      <c r="E25" s="24" t="n">
        <f aca="false">A25*B25</f>
        <v>100</v>
      </c>
      <c r="F25" s="40" t="n">
        <f aca="false">B25*D25</f>
        <v>0</v>
      </c>
      <c r="G25" s="24" t="n">
        <f aca="false">ROUNDUP(F25,0)</f>
        <v>0</v>
      </c>
      <c r="H25" s="24" t="n">
        <f aca="false">A25</f>
        <v>1</v>
      </c>
      <c r="I25" s="41" t="n">
        <f aca="false">Parametry!$C$76</f>
        <v>6</v>
      </c>
      <c r="J25" s="24" t="str">
        <f aca="false">IF(D25&gt;0,"MOŻNA KUPIĆ","ZABLOKOWANE — bez opłaty")</f>
        <v>ZABLOKOWANE — bez opłaty</v>
      </c>
      <c r="K25" s="24" t="s">
        <v>1418</v>
      </c>
    </row>
    <row r="26" customFormat="false" ht="37.5" hidden="false" customHeight="true" outlineLevel="0" collapsed="false">
      <c r="A26" s="34" t="n">
        <v>2</v>
      </c>
      <c r="B26" s="34" t="n">
        <v>5</v>
      </c>
      <c r="C26" s="34" t="n">
        <v>1</v>
      </c>
      <c r="D26" s="35" t="n">
        <f aca="false">MAX(0,1-(C26-1)*0.25)</f>
        <v>1</v>
      </c>
      <c r="E26" s="23" t="n">
        <f aca="false">A26*B26</f>
        <v>10</v>
      </c>
      <c r="F26" s="36" t="n">
        <f aca="false">B26*D26</f>
        <v>5</v>
      </c>
      <c r="G26" s="23" t="n">
        <f aca="false">ROUNDUP(F26,0)</f>
        <v>5</v>
      </c>
      <c r="H26" s="23" t="n">
        <f aca="false">A26</f>
        <v>2</v>
      </c>
      <c r="I26" s="37" t="n">
        <f aca="false">Parametry!$C$76</f>
        <v>6</v>
      </c>
      <c r="J26" s="23" t="str">
        <f aca="false">IF(D26&gt;0,"MOŻNA KUPIĆ","ZABLOKOWANE — bez opłaty")</f>
        <v>MOŻNA KUPIĆ</v>
      </c>
      <c r="K26" s="23" t="s">
        <v>1418</v>
      </c>
    </row>
    <row r="27" customFormat="false" ht="37.5" hidden="false" customHeight="true" outlineLevel="0" collapsed="false">
      <c r="A27" s="38" t="n">
        <v>2</v>
      </c>
      <c r="B27" s="38" t="n">
        <v>5</v>
      </c>
      <c r="C27" s="38" t="n">
        <v>2</v>
      </c>
      <c r="D27" s="39" t="n">
        <f aca="false">MAX(0,1-(C27-1)*0.25)</f>
        <v>0.75</v>
      </c>
      <c r="E27" s="24" t="n">
        <f aca="false">A27*B27</f>
        <v>10</v>
      </c>
      <c r="F27" s="40" t="n">
        <f aca="false">B27*D27</f>
        <v>3.75</v>
      </c>
      <c r="G27" s="24" t="n">
        <f aca="false">ROUNDUP(F27,0)</f>
        <v>4</v>
      </c>
      <c r="H27" s="24" t="n">
        <f aca="false">A27</f>
        <v>2</v>
      </c>
      <c r="I27" s="41" t="n">
        <f aca="false">Parametry!$C$76</f>
        <v>6</v>
      </c>
      <c r="J27" s="24" t="str">
        <f aca="false">IF(D27&gt;0,"MOŻNA KUPIĆ","ZABLOKOWANE — bez opłaty")</f>
        <v>MOŻNA KUPIĆ</v>
      </c>
      <c r="K27" s="24" t="s">
        <v>1418</v>
      </c>
    </row>
    <row r="28" customFormat="false" ht="37.5" hidden="false" customHeight="true" outlineLevel="0" collapsed="false">
      <c r="A28" s="34" t="n">
        <v>2</v>
      </c>
      <c r="B28" s="34" t="n">
        <v>5</v>
      </c>
      <c r="C28" s="34" t="n">
        <v>3</v>
      </c>
      <c r="D28" s="35" t="n">
        <f aca="false">MAX(0,1-(C28-1)*0.25)</f>
        <v>0.5</v>
      </c>
      <c r="E28" s="23" t="n">
        <f aca="false">A28*B28</f>
        <v>10</v>
      </c>
      <c r="F28" s="36" t="n">
        <f aca="false">B28*D28</f>
        <v>2.5</v>
      </c>
      <c r="G28" s="23" t="n">
        <f aca="false">ROUNDUP(F28,0)</f>
        <v>3</v>
      </c>
      <c r="H28" s="23" t="n">
        <f aca="false">A28</f>
        <v>2</v>
      </c>
      <c r="I28" s="37" t="n">
        <f aca="false">Parametry!$C$76</f>
        <v>6</v>
      </c>
      <c r="J28" s="23" t="str">
        <f aca="false">IF(D28&gt;0,"MOŻNA KUPIĆ","ZABLOKOWANE — bez opłaty")</f>
        <v>MOŻNA KUPIĆ</v>
      </c>
      <c r="K28" s="23" t="s">
        <v>1418</v>
      </c>
    </row>
    <row r="29" customFormat="false" ht="37.5" hidden="false" customHeight="true" outlineLevel="0" collapsed="false">
      <c r="A29" s="38" t="n">
        <v>2</v>
      </c>
      <c r="B29" s="38" t="n">
        <v>5</v>
      </c>
      <c r="C29" s="38" t="n">
        <v>4</v>
      </c>
      <c r="D29" s="39" t="n">
        <f aca="false">MAX(0,1-(C29-1)*0.25)</f>
        <v>0.25</v>
      </c>
      <c r="E29" s="24" t="n">
        <f aca="false">A29*B29</f>
        <v>10</v>
      </c>
      <c r="F29" s="40" t="n">
        <f aca="false">B29*D29</f>
        <v>1.25</v>
      </c>
      <c r="G29" s="24" t="n">
        <f aca="false">ROUNDUP(F29,0)</f>
        <v>2</v>
      </c>
      <c r="H29" s="24" t="n">
        <f aca="false">A29</f>
        <v>2</v>
      </c>
      <c r="I29" s="41" t="n">
        <f aca="false">Parametry!$C$76</f>
        <v>6</v>
      </c>
      <c r="J29" s="24" t="str">
        <f aca="false">IF(D29&gt;0,"MOŻNA KUPIĆ","ZABLOKOWANE — bez opłaty")</f>
        <v>MOŻNA KUPIĆ</v>
      </c>
      <c r="K29" s="24" t="s">
        <v>1418</v>
      </c>
    </row>
    <row r="30" customFormat="false" ht="37.5" hidden="false" customHeight="true" outlineLevel="0" collapsed="false">
      <c r="A30" s="34" t="n">
        <v>2</v>
      </c>
      <c r="B30" s="34" t="n">
        <v>5</v>
      </c>
      <c r="C30" s="34" t="n">
        <v>5</v>
      </c>
      <c r="D30" s="35" t="n">
        <f aca="false">MAX(0,1-(C30-1)*0.25)</f>
        <v>0</v>
      </c>
      <c r="E30" s="23" t="n">
        <f aca="false">A30*B30</f>
        <v>10</v>
      </c>
      <c r="F30" s="36" t="n">
        <f aca="false">B30*D30</f>
        <v>0</v>
      </c>
      <c r="G30" s="23" t="n">
        <f aca="false">ROUNDUP(F30,0)</f>
        <v>0</v>
      </c>
      <c r="H30" s="23" t="n">
        <f aca="false">A30</f>
        <v>2</v>
      </c>
      <c r="I30" s="37" t="n">
        <f aca="false">Parametry!$C$76</f>
        <v>6</v>
      </c>
      <c r="J30" s="23" t="str">
        <f aca="false">IF(D30&gt;0,"MOŻNA KUPIĆ","ZABLOKOWANE — bez opłaty")</f>
        <v>ZABLOKOWANE — bez opłaty</v>
      </c>
      <c r="K30" s="23" t="s">
        <v>1418</v>
      </c>
    </row>
    <row r="31" customFormat="false" ht="37.5" hidden="false" customHeight="true" outlineLevel="0" collapsed="false">
      <c r="A31" s="38" t="n">
        <v>2</v>
      </c>
      <c r="B31" s="38" t="n">
        <v>25</v>
      </c>
      <c r="C31" s="38" t="n">
        <v>1</v>
      </c>
      <c r="D31" s="39" t="n">
        <f aca="false">MAX(0,1-(C31-1)*0.25)</f>
        <v>1</v>
      </c>
      <c r="E31" s="24" t="n">
        <f aca="false">A31*B31</f>
        <v>50</v>
      </c>
      <c r="F31" s="40" t="n">
        <f aca="false">B31*D31</f>
        <v>25</v>
      </c>
      <c r="G31" s="24" t="n">
        <f aca="false">ROUNDUP(F31,0)</f>
        <v>25</v>
      </c>
      <c r="H31" s="24" t="n">
        <f aca="false">A31</f>
        <v>2</v>
      </c>
      <c r="I31" s="41" t="n">
        <f aca="false">Parametry!$C$76</f>
        <v>6</v>
      </c>
      <c r="J31" s="24" t="str">
        <f aca="false">IF(D31&gt;0,"MOŻNA KUPIĆ","ZABLOKOWANE — bez opłaty")</f>
        <v>MOŻNA KUPIĆ</v>
      </c>
      <c r="K31" s="24" t="s">
        <v>1418</v>
      </c>
    </row>
    <row r="32" customFormat="false" ht="37.5" hidden="false" customHeight="true" outlineLevel="0" collapsed="false">
      <c r="A32" s="34" t="n">
        <v>2</v>
      </c>
      <c r="B32" s="34" t="n">
        <v>25</v>
      </c>
      <c r="C32" s="34" t="n">
        <v>2</v>
      </c>
      <c r="D32" s="35" t="n">
        <f aca="false">MAX(0,1-(C32-1)*0.25)</f>
        <v>0.75</v>
      </c>
      <c r="E32" s="23" t="n">
        <f aca="false">A32*B32</f>
        <v>50</v>
      </c>
      <c r="F32" s="36" t="n">
        <f aca="false">B32*D32</f>
        <v>18.75</v>
      </c>
      <c r="G32" s="23" t="n">
        <f aca="false">ROUNDUP(F32,0)</f>
        <v>19</v>
      </c>
      <c r="H32" s="23" t="n">
        <f aca="false">A32</f>
        <v>2</v>
      </c>
      <c r="I32" s="37" t="n">
        <f aca="false">Parametry!$C$76</f>
        <v>6</v>
      </c>
      <c r="J32" s="23" t="str">
        <f aca="false">IF(D32&gt;0,"MOŻNA KUPIĆ","ZABLOKOWANE — bez opłaty")</f>
        <v>MOŻNA KUPIĆ</v>
      </c>
      <c r="K32" s="23" t="s">
        <v>1418</v>
      </c>
    </row>
    <row r="33" customFormat="false" ht="37.5" hidden="false" customHeight="true" outlineLevel="0" collapsed="false">
      <c r="A33" s="38" t="n">
        <v>2</v>
      </c>
      <c r="B33" s="38" t="n">
        <v>25</v>
      </c>
      <c r="C33" s="38" t="n">
        <v>3</v>
      </c>
      <c r="D33" s="39" t="n">
        <f aca="false">MAX(0,1-(C33-1)*0.25)</f>
        <v>0.5</v>
      </c>
      <c r="E33" s="24" t="n">
        <f aca="false">A33*B33</f>
        <v>50</v>
      </c>
      <c r="F33" s="40" t="n">
        <f aca="false">B33*D33</f>
        <v>12.5</v>
      </c>
      <c r="G33" s="24" t="n">
        <f aca="false">ROUNDUP(F33,0)</f>
        <v>13</v>
      </c>
      <c r="H33" s="24" t="n">
        <f aca="false">A33</f>
        <v>2</v>
      </c>
      <c r="I33" s="41" t="n">
        <f aca="false">Parametry!$C$76</f>
        <v>6</v>
      </c>
      <c r="J33" s="24" t="str">
        <f aca="false">IF(D33&gt;0,"MOŻNA KUPIĆ","ZABLOKOWANE — bez opłaty")</f>
        <v>MOŻNA KUPIĆ</v>
      </c>
      <c r="K33" s="24" t="s">
        <v>1418</v>
      </c>
    </row>
    <row r="34" customFormat="false" ht="37.5" hidden="false" customHeight="true" outlineLevel="0" collapsed="false">
      <c r="A34" s="34" t="n">
        <v>2</v>
      </c>
      <c r="B34" s="34" t="n">
        <v>25</v>
      </c>
      <c r="C34" s="34" t="n">
        <v>4</v>
      </c>
      <c r="D34" s="35" t="n">
        <f aca="false">MAX(0,1-(C34-1)*0.25)</f>
        <v>0.25</v>
      </c>
      <c r="E34" s="23" t="n">
        <f aca="false">A34*B34</f>
        <v>50</v>
      </c>
      <c r="F34" s="36" t="n">
        <f aca="false">B34*D34</f>
        <v>6.25</v>
      </c>
      <c r="G34" s="23" t="n">
        <f aca="false">ROUNDUP(F34,0)</f>
        <v>7</v>
      </c>
      <c r="H34" s="23" t="n">
        <f aca="false">A34</f>
        <v>2</v>
      </c>
      <c r="I34" s="37" t="n">
        <f aca="false">Parametry!$C$76</f>
        <v>6</v>
      </c>
      <c r="J34" s="23" t="str">
        <f aca="false">IF(D34&gt;0,"MOŻNA KUPIĆ","ZABLOKOWANE — bez opłaty")</f>
        <v>MOŻNA KUPIĆ</v>
      </c>
      <c r="K34" s="23" t="s">
        <v>1418</v>
      </c>
    </row>
    <row r="35" customFormat="false" ht="37.5" hidden="false" customHeight="true" outlineLevel="0" collapsed="false">
      <c r="A35" s="38" t="n">
        <v>2</v>
      </c>
      <c r="B35" s="38" t="n">
        <v>25</v>
      </c>
      <c r="C35" s="38" t="n">
        <v>5</v>
      </c>
      <c r="D35" s="39" t="n">
        <f aca="false">MAX(0,1-(C35-1)*0.25)</f>
        <v>0</v>
      </c>
      <c r="E35" s="24" t="n">
        <f aca="false">A35*B35</f>
        <v>50</v>
      </c>
      <c r="F35" s="40" t="n">
        <f aca="false">B35*D35</f>
        <v>0</v>
      </c>
      <c r="G35" s="24" t="n">
        <f aca="false">ROUNDUP(F35,0)</f>
        <v>0</v>
      </c>
      <c r="H35" s="24" t="n">
        <f aca="false">A35</f>
        <v>2</v>
      </c>
      <c r="I35" s="41" t="n">
        <f aca="false">Parametry!$C$76</f>
        <v>6</v>
      </c>
      <c r="J35" s="24" t="str">
        <f aca="false">IF(D35&gt;0,"MOŻNA KUPIĆ","ZABLOKOWANE — bez opłaty")</f>
        <v>ZABLOKOWANE — bez opłaty</v>
      </c>
      <c r="K35" s="24" t="s">
        <v>1418</v>
      </c>
    </row>
    <row r="36" customFormat="false" ht="37.5" hidden="false" customHeight="true" outlineLevel="0" collapsed="false">
      <c r="A36" s="34" t="n">
        <v>2</v>
      </c>
      <c r="B36" s="34" t="n">
        <v>50</v>
      </c>
      <c r="C36" s="34" t="n">
        <v>1</v>
      </c>
      <c r="D36" s="35" t="n">
        <f aca="false">MAX(0,1-(C36-1)*0.25)</f>
        <v>1</v>
      </c>
      <c r="E36" s="23" t="n">
        <f aca="false">A36*B36</f>
        <v>100</v>
      </c>
      <c r="F36" s="36" t="n">
        <f aca="false">B36*D36</f>
        <v>50</v>
      </c>
      <c r="G36" s="23" t="n">
        <f aca="false">ROUNDUP(F36,0)</f>
        <v>50</v>
      </c>
      <c r="H36" s="23" t="n">
        <f aca="false">A36</f>
        <v>2</v>
      </c>
      <c r="I36" s="37" t="n">
        <f aca="false">Parametry!$C$76</f>
        <v>6</v>
      </c>
      <c r="J36" s="23" t="str">
        <f aca="false">IF(D36&gt;0,"MOŻNA KUPIĆ","ZABLOKOWANE — bez opłaty")</f>
        <v>MOŻNA KUPIĆ</v>
      </c>
      <c r="K36" s="23" t="s">
        <v>1418</v>
      </c>
    </row>
    <row r="37" customFormat="false" ht="37.5" hidden="false" customHeight="true" outlineLevel="0" collapsed="false">
      <c r="A37" s="38" t="n">
        <v>2</v>
      </c>
      <c r="B37" s="38" t="n">
        <v>50</v>
      </c>
      <c r="C37" s="38" t="n">
        <v>2</v>
      </c>
      <c r="D37" s="39" t="n">
        <f aca="false">MAX(0,1-(C37-1)*0.25)</f>
        <v>0.75</v>
      </c>
      <c r="E37" s="24" t="n">
        <f aca="false">A37*B37</f>
        <v>100</v>
      </c>
      <c r="F37" s="40" t="n">
        <f aca="false">B37*D37</f>
        <v>37.5</v>
      </c>
      <c r="G37" s="24" t="n">
        <f aca="false">ROUNDUP(F37,0)</f>
        <v>38</v>
      </c>
      <c r="H37" s="24" t="n">
        <f aca="false">A37</f>
        <v>2</v>
      </c>
      <c r="I37" s="41" t="n">
        <f aca="false">Parametry!$C$76</f>
        <v>6</v>
      </c>
      <c r="J37" s="24" t="str">
        <f aca="false">IF(D37&gt;0,"MOŻNA KUPIĆ","ZABLOKOWANE — bez opłaty")</f>
        <v>MOŻNA KUPIĆ</v>
      </c>
      <c r="K37" s="24" t="s">
        <v>1418</v>
      </c>
    </row>
    <row r="38" customFormat="false" ht="37.5" hidden="false" customHeight="true" outlineLevel="0" collapsed="false">
      <c r="A38" s="34" t="n">
        <v>2</v>
      </c>
      <c r="B38" s="34" t="n">
        <v>50</v>
      </c>
      <c r="C38" s="34" t="n">
        <v>3</v>
      </c>
      <c r="D38" s="35" t="n">
        <f aca="false">MAX(0,1-(C38-1)*0.25)</f>
        <v>0.5</v>
      </c>
      <c r="E38" s="23" t="n">
        <f aca="false">A38*B38</f>
        <v>100</v>
      </c>
      <c r="F38" s="36" t="n">
        <f aca="false">B38*D38</f>
        <v>25</v>
      </c>
      <c r="G38" s="23" t="n">
        <f aca="false">ROUNDUP(F38,0)</f>
        <v>25</v>
      </c>
      <c r="H38" s="23" t="n">
        <f aca="false">A38</f>
        <v>2</v>
      </c>
      <c r="I38" s="37" t="n">
        <f aca="false">Parametry!$C$76</f>
        <v>6</v>
      </c>
      <c r="J38" s="23" t="str">
        <f aca="false">IF(D38&gt;0,"MOŻNA KUPIĆ","ZABLOKOWANE — bez opłaty")</f>
        <v>MOŻNA KUPIĆ</v>
      </c>
      <c r="K38" s="23" t="s">
        <v>1418</v>
      </c>
    </row>
    <row r="39" customFormat="false" ht="37.5" hidden="false" customHeight="true" outlineLevel="0" collapsed="false">
      <c r="A39" s="38" t="n">
        <v>2</v>
      </c>
      <c r="B39" s="38" t="n">
        <v>50</v>
      </c>
      <c r="C39" s="38" t="n">
        <v>4</v>
      </c>
      <c r="D39" s="39" t="n">
        <f aca="false">MAX(0,1-(C39-1)*0.25)</f>
        <v>0.25</v>
      </c>
      <c r="E39" s="24" t="n">
        <f aca="false">A39*B39</f>
        <v>100</v>
      </c>
      <c r="F39" s="40" t="n">
        <f aca="false">B39*D39</f>
        <v>12.5</v>
      </c>
      <c r="G39" s="24" t="n">
        <f aca="false">ROUNDUP(F39,0)</f>
        <v>13</v>
      </c>
      <c r="H39" s="24" t="n">
        <f aca="false">A39</f>
        <v>2</v>
      </c>
      <c r="I39" s="41" t="n">
        <f aca="false">Parametry!$C$76</f>
        <v>6</v>
      </c>
      <c r="J39" s="24" t="str">
        <f aca="false">IF(D39&gt;0,"MOŻNA KUPIĆ","ZABLOKOWANE — bez opłaty")</f>
        <v>MOŻNA KUPIĆ</v>
      </c>
      <c r="K39" s="24" t="s">
        <v>1418</v>
      </c>
    </row>
    <row r="40" customFormat="false" ht="37.5" hidden="false" customHeight="true" outlineLevel="0" collapsed="false">
      <c r="A40" s="34" t="n">
        <v>2</v>
      </c>
      <c r="B40" s="34" t="n">
        <v>50</v>
      </c>
      <c r="C40" s="34" t="n">
        <v>5</v>
      </c>
      <c r="D40" s="35" t="n">
        <f aca="false">MAX(0,1-(C40-1)*0.25)</f>
        <v>0</v>
      </c>
      <c r="E40" s="23" t="n">
        <f aca="false">A40*B40</f>
        <v>100</v>
      </c>
      <c r="F40" s="36" t="n">
        <f aca="false">B40*D40</f>
        <v>0</v>
      </c>
      <c r="G40" s="23" t="n">
        <f aca="false">ROUNDUP(F40,0)</f>
        <v>0</v>
      </c>
      <c r="H40" s="23" t="n">
        <f aca="false">A40</f>
        <v>2</v>
      </c>
      <c r="I40" s="37" t="n">
        <f aca="false">Parametry!$C$76</f>
        <v>6</v>
      </c>
      <c r="J40" s="23" t="str">
        <f aca="false">IF(D40&gt;0,"MOŻNA KUPIĆ","ZABLOKOWANE — bez opłaty")</f>
        <v>ZABLOKOWANE — bez opłaty</v>
      </c>
      <c r="K40" s="23" t="s">
        <v>1418</v>
      </c>
    </row>
    <row r="41" customFormat="false" ht="37.5" hidden="false" customHeight="true" outlineLevel="0" collapsed="false">
      <c r="A41" s="38" t="n">
        <v>2</v>
      </c>
      <c r="B41" s="38" t="n">
        <v>100</v>
      </c>
      <c r="C41" s="38" t="n">
        <v>1</v>
      </c>
      <c r="D41" s="39" t="n">
        <f aca="false">MAX(0,1-(C41-1)*0.25)</f>
        <v>1</v>
      </c>
      <c r="E41" s="24" t="n">
        <f aca="false">A41*B41</f>
        <v>200</v>
      </c>
      <c r="F41" s="40" t="n">
        <f aca="false">B41*D41</f>
        <v>100</v>
      </c>
      <c r="G41" s="24" t="n">
        <f aca="false">ROUNDUP(F41,0)</f>
        <v>100</v>
      </c>
      <c r="H41" s="24" t="n">
        <f aca="false">A41</f>
        <v>2</v>
      </c>
      <c r="I41" s="41" t="n">
        <f aca="false">Parametry!$C$76</f>
        <v>6</v>
      </c>
      <c r="J41" s="24" t="str">
        <f aca="false">IF(D41&gt;0,"MOŻNA KUPIĆ","ZABLOKOWANE — bez opłaty")</f>
        <v>MOŻNA KUPIĆ</v>
      </c>
      <c r="K41" s="24" t="s">
        <v>1418</v>
      </c>
    </row>
    <row r="42" customFormat="false" ht="37.5" hidden="false" customHeight="true" outlineLevel="0" collapsed="false">
      <c r="A42" s="34" t="n">
        <v>2</v>
      </c>
      <c r="B42" s="34" t="n">
        <v>100</v>
      </c>
      <c r="C42" s="34" t="n">
        <v>2</v>
      </c>
      <c r="D42" s="35" t="n">
        <f aca="false">MAX(0,1-(C42-1)*0.25)</f>
        <v>0.75</v>
      </c>
      <c r="E42" s="23" t="n">
        <f aca="false">A42*B42</f>
        <v>200</v>
      </c>
      <c r="F42" s="36" t="n">
        <f aca="false">B42*D42</f>
        <v>75</v>
      </c>
      <c r="G42" s="23" t="n">
        <f aca="false">ROUNDUP(F42,0)</f>
        <v>75</v>
      </c>
      <c r="H42" s="23" t="n">
        <f aca="false">A42</f>
        <v>2</v>
      </c>
      <c r="I42" s="37" t="n">
        <f aca="false">Parametry!$C$76</f>
        <v>6</v>
      </c>
      <c r="J42" s="23" t="str">
        <f aca="false">IF(D42&gt;0,"MOŻNA KUPIĆ","ZABLOKOWANE — bez opłaty")</f>
        <v>MOŻNA KUPIĆ</v>
      </c>
      <c r="K42" s="23" t="s">
        <v>1418</v>
      </c>
    </row>
    <row r="43" customFormat="false" ht="37.5" hidden="false" customHeight="true" outlineLevel="0" collapsed="false">
      <c r="A43" s="38" t="n">
        <v>2</v>
      </c>
      <c r="B43" s="38" t="n">
        <v>100</v>
      </c>
      <c r="C43" s="38" t="n">
        <v>3</v>
      </c>
      <c r="D43" s="39" t="n">
        <f aca="false">MAX(0,1-(C43-1)*0.25)</f>
        <v>0.5</v>
      </c>
      <c r="E43" s="24" t="n">
        <f aca="false">A43*B43</f>
        <v>200</v>
      </c>
      <c r="F43" s="40" t="n">
        <f aca="false">B43*D43</f>
        <v>50</v>
      </c>
      <c r="G43" s="24" t="n">
        <f aca="false">ROUNDUP(F43,0)</f>
        <v>50</v>
      </c>
      <c r="H43" s="24" t="n">
        <f aca="false">A43</f>
        <v>2</v>
      </c>
      <c r="I43" s="41" t="n">
        <f aca="false">Parametry!$C$76</f>
        <v>6</v>
      </c>
      <c r="J43" s="24" t="str">
        <f aca="false">IF(D43&gt;0,"MOŻNA KUPIĆ","ZABLOKOWANE — bez opłaty")</f>
        <v>MOŻNA KUPIĆ</v>
      </c>
      <c r="K43" s="24" t="s">
        <v>1418</v>
      </c>
    </row>
    <row r="44" customFormat="false" ht="37.5" hidden="false" customHeight="true" outlineLevel="0" collapsed="false">
      <c r="A44" s="34" t="n">
        <v>2</v>
      </c>
      <c r="B44" s="34" t="n">
        <v>100</v>
      </c>
      <c r="C44" s="34" t="n">
        <v>4</v>
      </c>
      <c r="D44" s="35" t="n">
        <f aca="false">MAX(0,1-(C44-1)*0.25)</f>
        <v>0.25</v>
      </c>
      <c r="E44" s="23" t="n">
        <f aca="false">A44*B44</f>
        <v>200</v>
      </c>
      <c r="F44" s="36" t="n">
        <f aca="false">B44*D44</f>
        <v>25</v>
      </c>
      <c r="G44" s="23" t="n">
        <f aca="false">ROUNDUP(F44,0)</f>
        <v>25</v>
      </c>
      <c r="H44" s="23" t="n">
        <f aca="false">A44</f>
        <v>2</v>
      </c>
      <c r="I44" s="37" t="n">
        <f aca="false">Parametry!$C$76</f>
        <v>6</v>
      </c>
      <c r="J44" s="23" t="str">
        <f aca="false">IF(D44&gt;0,"MOŻNA KUPIĆ","ZABLOKOWANE — bez opłaty")</f>
        <v>MOŻNA KUPIĆ</v>
      </c>
      <c r="K44" s="23" t="s">
        <v>1418</v>
      </c>
    </row>
    <row r="45" customFormat="false" ht="37.5" hidden="false" customHeight="true" outlineLevel="0" collapsed="false">
      <c r="A45" s="38" t="n">
        <v>2</v>
      </c>
      <c r="B45" s="38" t="n">
        <v>100</v>
      </c>
      <c r="C45" s="38" t="n">
        <v>5</v>
      </c>
      <c r="D45" s="39" t="n">
        <f aca="false">MAX(0,1-(C45-1)*0.25)</f>
        <v>0</v>
      </c>
      <c r="E45" s="24" t="n">
        <f aca="false">A45*B45</f>
        <v>200</v>
      </c>
      <c r="F45" s="40" t="n">
        <f aca="false">B45*D45</f>
        <v>0</v>
      </c>
      <c r="G45" s="24" t="n">
        <f aca="false">ROUNDUP(F45,0)</f>
        <v>0</v>
      </c>
      <c r="H45" s="24" t="n">
        <f aca="false">A45</f>
        <v>2</v>
      </c>
      <c r="I45" s="41" t="n">
        <f aca="false">Parametry!$C$76</f>
        <v>6</v>
      </c>
      <c r="J45" s="24" t="str">
        <f aca="false">IF(D45&gt;0,"MOŻNA KUPIĆ","ZABLOKOWANE — bez opłaty")</f>
        <v>ZABLOKOWANE — bez opłaty</v>
      </c>
      <c r="K45" s="24" t="s">
        <v>1418</v>
      </c>
    </row>
    <row r="46" customFormat="false" ht="37.5" hidden="false" customHeight="true" outlineLevel="0" collapsed="false">
      <c r="A46" s="34" t="n">
        <v>3</v>
      </c>
      <c r="B46" s="34" t="n">
        <v>5</v>
      </c>
      <c r="C46" s="34" t="n">
        <v>1</v>
      </c>
      <c r="D46" s="35" t="n">
        <f aca="false">MAX(0,1-(C46-1)*0.25)</f>
        <v>1</v>
      </c>
      <c r="E46" s="23" t="n">
        <f aca="false">A46*B46</f>
        <v>15</v>
      </c>
      <c r="F46" s="36" t="n">
        <f aca="false">B46*D46</f>
        <v>5</v>
      </c>
      <c r="G46" s="23" t="n">
        <f aca="false">ROUNDUP(F46,0)</f>
        <v>5</v>
      </c>
      <c r="H46" s="23" t="n">
        <f aca="false">A46</f>
        <v>3</v>
      </c>
      <c r="I46" s="37" t="n">
        <f aca="false">Parametry!$C$76</f>
        <v>6</v>
      </c>
      <c r="J46" s="23" t="str">
        <f aca="false">IF(D46&gt;0,"MOŻNA KUPIĆ","ZABLOKOWANE — bez opłaty")</f>
        <v>MOŻNA KUPIĆ</v>
      </c>
      <c r="K46" s="23" t="s">
        <v>1418</v>
      </c>
    </row>
    <row r="47" customFormat="false" ht="37.5" hidden="false" customHeight="true" outlineLevel="0" collapsed="false">
      <c r="A47" s="38" t="n">
        <v>3</v>
      </c>
      <c r="B47" s="38" t="n">
        <v>5</v>
      </c>
      <c r="C47" s="38" t="n">
        <v>2</v>
      </c>
      <c r="D47" s="39" t="n">
        <f aca="false">MAX(0,1-(C47-1)*0.25)</f>
        <v>0.75</v>
      </c>
      <c r="E47" s="24" t="n">
        <f aca="false">A47*B47</f>
        <v>15</v>
      </c>
      <c r="F47" s="40" t="n">
        <f aca="false">B47*D47</f>
        <v>3.75</v>
      </c>
      <c r="G47" s="24" t="n">
        <f aca="false">ROUNDUP(F47,0)</f>
        <v>4</v>
      </c>
      <c r="H47" s="24" t="n">
        <f aca="false">A47</f>
        <v>3</v>
      </c>
      <c r="I47" s="41" t="n">
        <f aca="false">Parametry!$C$76</f>
        <v>6</v>
      </c>
      <c r="J47" s="24" t="str">
        <f aca="false">IF(D47&gt;0,"MOŻNA KUPIĆ","ZABLOKOWANE — bez opłaty")</f>
        <v>MOŻNA KUPIĆ</v>
      </c>
      <c r="K47" s="24" t="s">
        <v>1418</v>
      </c>
    </row>
    <row r="48" customFormat="false" ht="37.5" hidden="false" customHeight="true" outlineLevel="0" collapsed="false">
      <c r="A48" s="34" t="n">
        <v>3</v>
      </c>
      <c r="B48" s="34" t="n">
        <v>5</v>
      </c>
      <c r="C48" s="34" t="n">
        <v>3</v>
      </c>
      <c r="D48" s="35" t="n">
        <f aca="false">MAX(0,1-(C48-1)*0.25)</f>
        <v>0.5</v>
      </c>
      <c r="E48" s="23" t="n">
        <f aca="false">A48*B48</f>
        <v>15</v>
      </c>
      <c r="F48" s="36" t="n">
        <f aca="false">B48*D48</f>
        <v>2.5</v>
      </c>
      <c r="G48" s="23" t="n">
        <f aca="false">ROUNDUP(F48,0)</f>
        <v>3</v>
      </c>
      <c r="H48" s="23" t="n">
        <f aca="false">A48</f>
        <v>3</v>
      </c>
      <c r="I48" s="37" t="n">
        <f aca="false">Parametry!$C$76</f>
        <v>6</v>
      </c>
      <c r="J48" s="23" t="str">
        <f aca="false">IF(D48&gt;0,"MOŻNA KUPIĆ","ZABLOKOWANE — bez opłaty")</f>
        <v>MOŻNA KUPIĆ</v>
      </c>
      <c r="K48" s="23" t="s">
        <v>1418</v>
      </c>
    </row>
    <row r="49" customFormat="false" ht="37.5" hidden="false" customHeight="true" outlineLevel="0" collapsed="false">
      <c r="A49" s="38" t="n">
        <v>3</v>
      </c>
      <c r="B49" s="38" t="n">
        <v>5</v>
      </c>
      <c r="C49" s="38" t="n">
        <v>4</v>
      </c>
      <c r="D49" s="39" t="n">
        <f aca="false">MAX(0,1-(C49-1)*0.25)</f>
        <v>0.25</v>
      </c>
      <c r="E49" s="24" t="n">
        <f aca="false">A49*B49</f>
        <v>15</v>
      </c>
      <c r="F49" s="40" t="n">
        <f aca="false">B49*D49</f>
        <v>1.25</v>
      </c>
      <c r="G49" s="24" t="n">
        <f aca="false">ROUNDUP(F49,0)</f>
        <v>2</v>
      </c>
      <c r="H49" s="24" t="n">
        <f aca="false">A49</f>
        <v>3</v>
      </c>
      <c r="I49" s="41" t="n">
        <f aca="false">Parametry!$C$76</f>
        <v>6</v>
      </c>
      <c r="J49" s="24" t="str">
        <f aca="false">IF(D49&gt;0,"MOŻNA KUPIĆ","ZABLOKOWANE — bez opłaty")</f>
        <v>MOŻNA KUPIĆ</v>
      </c>
      <c r="K49" s="24" t="s">
        <v>1418</v>
      </c>
    </row>
    <row r="50" customFormat="false" ht="37.5" hidden="false" customHeight="true" outlineLevel="0" collapsed="false">
      <c r="A50" s="34" t="n">
        <v>3</v>
      </c>
      <c r="B50" s="34" t="n">
        <v>5</v>
      </c>
      <c r="C50" s="34" t="n">
        <v>5</v>
      </c>
      <c r="D50" s="35" t="n">
        <f aca="false">MAX(0,1-(C50-1)*0.25)</f>
        <v>0</v>
      </c>
      <c r="E50" s="23" t="n">
        <f aca="false">A50*B50</f>
        <v>15</v>
      </c>
      <c r="F50" s="36" t="n">
        <f aca="false">B50*D50</f>
        <v>0</v>
      </c>
      <c r="G50" s="23" t="n">
        <f aca="false">ROUNDUP(F50,0)</f>
        <v>0</v>
      </c>
      <c r="H50" s="23" t="n">
        <f aca="false">A50</f>
        <v>3</v>
      </c>
      <c r="I50" s="37" t="n">
        <f aca="false">Parametry!$C$76</f>
        <v>6</v>
      </c>
      <c r="J50" s="23" t="str">
        <f aca="false">IF(D50&gt;0,"MOŻNA KUPIĆ","ZABLOKOWANE — bez opłaty")</f>
        <v>ZABLOKOWANE — bez opłaty</v>
      </c>
      <c r="K50" s="23" t="s">
        <v>1418</v>
      </c>
    </row>
    <row r="51" customFormat="false" ht="37.5" hidden="false" customHeight="true" outlineLevel="0" collapsed="false">
      <c r="A51" s="38" t="n">
        <v>3</v>
      </c>
      <c r="B51" s="38" t="n">
        <v>25</v>
      </c>
      <c r="C51" s="38" t="n">
        <v>1</v>
      </c>
      <c r="D51" s="39" t="n">
        <f aca="false">MAX(0,1-(C51-1)*0.25)</f>
        <v>1</v>
      </c>
      <c r="E51" s="24" t="n">
        <f aca="false">A51*B51</f>
        <v>75</v>
      </c>
      <c r="F51" s="40" t="n">
        <f aca="false">B51*D51</f>
        <v>25</v>
      </c>
      <c r="G51" s="24" t="n">
        <f aca="false">ROUNDUP(F51,0)</f>
        <v>25</v>
      </c>
      <c r="H51" s="24" t="n">
        <f aca="false">A51</f>
        <v>3</v>
      </c>
      <c r="I51" s="41" t="n">
        <f aca="false">Parametry!$C$76</f>
        <v>6</v>
      </c>
      <c r="J51" s="24" t="str">
        <f aca="false">IF(D51&gt;0,"MOŻNA KUPIĆ","ZABLOKOWANE — bez opłaty")</f>
        <v>MOŻNA KUPIĆ</v>
      </c>
      <c r="K51" s="24" t="s">
        <v>1418</v>
      </c>
    </row>
    <row r="52" customFormat="false" ht="37.5" hidden="false" customHeight="true" outlineLevel="0" collapsed="false">
      <c r="A52" s="34" t="n">
        <v>3</v>
      </c>
      <c r="B52" s="34" t="n">
        <v>25</v>
      </c>
      <c r="C52" s="34" t="n">
        <v>2</v>
      </c>
      <c r="D52" s="35" t="n">
        <f aca="false">MAX(0,1-(C52-1)*0.25)</f>
        <v>0.75</v>
      </c>
      <c r="E52" s="23" t="n">
        <f aca="false">A52*B52</f>
        <v>75</v>
      </c>
      <c r="F52" s="36" t="n">
        <f aca="false">B52*D52</f>
        <v>18.75</v>
      </c>
      <c r="G52" s="23" t="n">
        <f aca="false">ROUNDUP(F52,0)</f>
        <v>19</v>
      </c>
      <c r="H52" s="23" t="n">
        <f aca="false">A52</f>
        <v>3</v>
      </c>
      <c r="I52" s="37" t="n">
        <f aca="false">Parametry!$C$76</f>
        <v>6</v>
      </c>
      <c r="J52" s="23" t="str">
        <f aca="false">IF(D52&gt;0,"MOŻNA KUPIĆ","ZABLOKOWANE — bez opłaty")</f>
        <v>MOŻNA KUPIĆ</v>
      </c>
      <c r="K52" s="23" t="s">
        <v>1418</v>
      </c>
    </row>
    <row r="53" customFormat="false" ht="37.5" hidden="false" customHeight="true" outlineLevel="0" collapsed="false">
      <c r="A53" s="38" t="n">
        <v>3</v>
      </c>
      <c r="B53" s="38" t="n">
        <v>25</v>
      </c>
      <c r="C53" s="38" t="n">
        <v>3</v>
      </c>
      <c r="D53" s="39" t="n">
        <f aca="false">MAX(0,1-(C53-1)*0.25)</f>
        <v>0.5</v>
      </c>
      <c r="E53" s="24" t="n">
        <f aca="false">A53*B53</f>
        <v>75</v>
      </c>
      <c r="F53" s="40" t="n">
        <f aca="false">B53*D53</f>
        <v>12.5</v>
      </c>
      <c r="G53" s="24" t="n">
        <f aca="false">ROUNDUP(F53,0)</f>
        <v>13</v>
      </c>
      <c r="H53" s="24" t="n">
        <f aca="false">A53</f>
        <v>3</v>
      </c>
      <c r="I53" s="41" t="n">
        <f aca="false">Parametry!$C$76</f>
        <v>6</v>
      </c>
      <c r="J53" s="24" t="str">
        <f aca="false">IF(D53&gt;0,"MOŻNA KUPIĆ","ZABLOKOWANE — bez opłaty")</f>
        <v>MOŻNA KUPIĆ</v>
      </c>
      <c r="K53" s="24" t="s">
        <v>1418</v>
      </c>
    </row>
    <row r="54" customFormat="false" ht="37.5" hidden="false" customHeight="true" outlineLevel="0" collapsed="false">
      <c r="A54" s="34" t="n">
        <v>3</v>
      </c>
      <c r="B54" s="34" t="n">
        <v>25</v>
      </c>
      <c r="C54" s="34" t="n">
        <v>4</v>
      </c>
      <c r="D54" s="35" t="n">
        <f aca="false">MAX(0,1-(C54-1)*0.25)</f>
        <v>0.25</v>
      </c>
      <c r="E54" s="23" t="n">
        <f aca="false">A54*B54</f>
        <v>75</v>
      </c>
      <c r="F54" s="36" t="n">
        <f aca="false">B54*D54</f>
        <v>6.25</v>
      </c>
      <c r="G54" s="23" t="n">
        <f aca="false">ROUNDUP(F54,0)</f>
        <v>7</v>
      </c>
      <c r="H54" s="23" t="n">
        <f aca="false">A54</f>
        <v>3</v>
      </c>
      <c r="I54" s="37" t="n">
        <f aca="false">Parametry!$C$76</f>
        <v>6</v>
      </c>
      <c r="J54" s="23" t="str">
        <f aca="false">IF(D54&gt;0,"MOŻNA KUPIĆ","ZABLOKOWANE — bez opłaty")</f>
        <v>MOŻNA KUPIĆ</v>
      </c>
      <c r="K54" s="23" t="s">
        <v>1418</v>
      </c>
    </row>
    <row r="55" customFormat="false" ht="37.5" hidden="false" customHeight="true" outlineLevel="0" collapsed="false">
      <c r="A55" s="38" t="n">
        <v>3</v>
      </c>
      <c r="B55" s="38" t="n">
        <v>25</v>
      </c>
      <c r="C55" s="38" t="n">
        <v>5</v>
      </c>
      <c r="D55" s="39" t="n">
        <f aca="false">MAX(0,1-(C55-1)*0.25)</f>
        <v>0</v>
      </c>
      <c r="E55" s="24" t="n">
        <f aca="false">A55*B55</f>
        <v>75</v>
      </c>
      <c r="F55" s="40" t="n">
        <f aca="false">B55*D55</f>
        <v>0</v>
      </c>
      <c r="G55" s="24" t="n">
        <f aca="false">ROUNDUP(F55,0)</f>
        <v>0</v>
      </c>
      <c r="H55" s="24" t="n">
        <f aca="false">A55</f>
        <v>3</v>
      </c>
      <c r="I55" s="41" t="n">
        <f aca="false">Parametry!$C$76</f>
        <v>6</v>
      </c>
      <c r="J55" s="24" t="str">
        <f aca="false">IF(D55&gt;0,"MOŻNA KUPIĆ","ZABLOKOWANE — bez opłaty")</f>
        <v>ZABLOKOWANE — bez opłaty</v>
      </c>
      <c r="K55" s="24" t="s">
        <v>1418</v>
      </c>
    </row>
    <row r="56" customFormat="false" ht="37.5" hidden="false" customHeight="true" outlineLevel="0" collapsed="false">
      <c r="A56" s="34" t="n">
        <v>3</v>
      </c>
      <c r="B56" s="34" t="n">
        <v>50</v>
      </c>
      <c r="C56" s="34" t="n">
        <v>1</v>
      </c>
      <c r="D56" s="35" t="n">
        <f aca="false">MAX(0,1-(C56-1)*0.25)</f>
        <v>1</v>
      </c>
      <c r="E56" s="23" t="n">
        <f aca="false">A56*B56</f>
        <v>150</v>
      </c>
      <c r="F56" s="36" t="n">
        <f aca="false">B56*D56</f>
        <v>50</v>
      </c>
      <c r="G56" s="23" t="n">
        <f aca="false">ROUNDUP(F56,0)</f>
        <v>50</v>
      </c>
      <c r="H56" s="23" t="n">
        <f aca="false">A56</f>
        <v>3</v>
      </c>
      <c r="I56" s="37" t="n">
        <f aca="false">Parametry!$C$76</f>
        <v>6</v>
      </c>
      <c r="J56" s="23" t="str">
        <f aca="false">IF(D56&gt;0,"MOŻNA KUPIĆ","ZABLOKOWANE — bez opłaty")</f>
        <v>MOŻNA KUPIĆ</v>
      </c>
      <c r="K56" s="23" t="s">
        <v>1418</v>
      </c>
    </row>
    <row r="57" customFormat="false" ht="37.5" hidden="false" customHeight="true" outlineLevel="0" collapsed="false">
      <c r="A57" s="38" t="n">
        <v>3</v>
      </c>
      <c r="B57" s="38" t="n">
        <v>50</v>
      </c>
      <c r="C57" s="38" t="n">
        <v>2</v>
      </c>
      <c r="D57" s="39" t="n">
        <f aca="false">MAX(0,1-(C57-1)*0.25)</f>
        <v>0.75</v>
      </c>
      <c r="E57" s="24" t="n">
        <f aca="false">A57*B57</f>
        <v>150</v>
      </c>
      <c r="F57" s="40" t="n">
        <f aca="false">B57*D57</f>
        <v>37.5</v>
      </c>
      <c r="G57" s="24" t="n">
        <f aca="false">ROUNDUP(F57,0)</f>
        <v>38</v>
      </c>
      <c r="H57" s="24" t="n">
        <f aca="false">A57</f>
        <v>3</v>
      </c>
      <c r="I57" s="41" t="n">
        <f aca="false">Parametry!$C$76</f>
        <v>6</v>
      </c>
      <c r="J57" s="24" t="str">
        <f aca="false">IF(D57&gt;0,"MOŻNA KUPIĆ","ZABLOKOWANE — bez opłaty")</f>
        <v>MOŻNA KUPIĆ</v>
      </c>
      <c r="K57" s="24" t="s">
        <v>1418</v>
      </c>
    </row>
    <row r="58" customFormat="false" ht="37.5" hidden="false" customHeight="true" outlineLevel="0" collapsed="false">
      <c r="A58" s="34" t="n">
        <v>3</v>
      </c>
      <c r="B58" s="34" t="n">
        <v>50</v>
      </c>
      <c r="C58" s="34" t="n">
        <v>3</v>
      </c>
      <c r="D58" s="35" t="n">
        <f aca="false">MAX(0,1-(C58-1)*0.25)</f>
        <v>0.5</v>
      </c>
      <c r="E58" s="23" t="n">
        <f aca="false">A58*B58</f>
        <v>150</v>
      </c>
      <c r="F58" s="36" t="n">
        <f aca="false">B58*D58</f>
        <v>25</v>
      </c>
      <c r="G58" s="23" t="n">
        <f aca="false">ROUNDUP(F58,0)</f>
        <v>25</v>
      </c>
      <c r="H58" s="23" t="n">
        <f aca="false">A58</f>
        <v>3</v>
      </c>
      <c r="I58" s="37" t="n">
        <f aca="false">Parametry!$C$76</f>
        <v>6</v>
      </c>
      <c r="J58" s="23" t="str">
        <f aca="false">IF(D58&gt;0,"MOŻNA KUPIĆ","ZABLOKOWANE — bez opłaty")</f>
        <v>MOŻNA KUPIĆ</v>
      </c>
      <c r="K58" s="23" t="s">
        <v>1418</v>
      </c>
    </row>
    <row r="59" customFormat="false" ht="37.5" hidden="false" customHeight="true" outlineLevel="0" collapsed="false">
      <c r="A59" s="38" t="n">
        <v>3</v>
      </c>
      <c r="B59" s="38" t="n">
        <v>50</v>
      </c>
      <c r="C59" s="38" t="n">
        <v>4</v>
      </c>
      <c r="D59" s="39" t="n">
        <f aca="false">MAX(0,1-(C59-1)*0.25)</f>
        <v>0.25</v>
      </c>
      <c r="E59" s="24" t="n">
        <f aca="false">A59*B59</f>
        <v>150</v>
      </c>
      <c r="F59" s="40" t="n">
        <f aca="false">B59*D59</f>
        <v>12.5</v>
      </c>
      <c r="G59" s="24" t="n">
        <f aca="false">ROUNDUP(F59,0)</f>
        <v>13</v>
      </c>
      <c r="H59" s="24" t="n">
        <f aca="false">A59</f>
        <v>3</v>
      </c>
      <c r="I59" s="41" t="n">
        <f aca="false">Parametry!$C$76</f>
        <v>6</v>
      </c>
      <c r="J59" s="24" t="str">
        <f aca="false">IF(D59&gt;0,"MOŻNA KUPIĆ","ZABLOKOWANE — bez opłaty")</f>
        <v>MOŻNA KUPIĆ</v>
      </c>
      <c r="K59" s="24" t="s">
        <v>1418</v>
      </c>
    </row>
    <row r="60" customFormat="false" ht="37.5" hidden="false" customHeight="true" outlineLevel="0" collapsed="false">
      <c r="A60" s="34" t="n">
        <v>3</v>
      </c>
      <c r="B60" s="34" t="n">
        <v>50</v>
      </c>
      <c r="C60" s="34" t="n">
        <v>5</v>
      </c>
      <c r="D60" s="35" t="n">
        <f aca="false">MAX(0,1-(C60-1)*0.25)</f>
        <v>0</v>
      </c>
      <c r="E60" s="23" t="n">
        <f aca="false">A60*B60</f>
        <v>150</v>
      </c>
      <c r="F60" s="36" t="n">
        <f aca="false">B60*D60</f>
        <v>0</v>
      </c>
      <c r="G60" s="23" t="n">
        <f aca="false">ROUNDUP(F60,0)</f>
        <v>0</v>
      </c>
      <c r="H60" s="23" t="n">
        <f aca="false">A60</f>
        <v>3</v>
      </c>
      <c r="I60" s="37" t="n">
        <f aca="false">Parametry!$C$76</f>
        <v>6</v>
      </c>
      <c r="J60" s="23" t="str">
        <f aca="false">IF(D60&gt;0,"MOŻNA KUPIĆ","ZABLOKOWANE — bez opłaty")</f>
        <v>ZABLOKOWANE — bez opłaty</v>
      </c>
      <c r="K60" s="23" t="s">
        <v>1418</v>
      </c>
    </row>
    <row r="61" customFormat="false" ht="37.5" hidden="false" customHeight="true" outlineLevel="0" collapsed="false">
      <c r="A61" s="38" t="n">
        <v>3</v>
      </c>
      <c r="B61" s="38" t="n">
        <v>100</v>
      </c>
      <c r="C61" s="38" t="n">
        <v>1</v>
      </c>
      <c r="D61" s="39" t="n">
        <f aca="false">MAX(0,1-(C61-1)*0.25)</f>
        <v>1</v>
      </c>
      <c r="E61" s="24" t="n">
        <f aca="false">A61*B61</f>
        <v>300</v>
      </c>
      <c r="F61" s="40" t="n">
        <f aca="false">B61*D61</f>
        <v>100</v>
      </c>
      <c r="G61" s="24" t="n">
        <f aca="false">ROUNDUP(F61,0)</f>
        <v>100</v>
      </c>
      <c r="H61" s="24" t="n">
        <f aca="false">A61</f>
        <v>3</v>
      </c>
      <c r="I61" s="41" t="n">
        <f aca="false">Parametry!$C$76</f>
        <v>6</v>
      </c>
      <c r="J61" s="24" t="str">
        <f aca="false">IF(D61&gt;0,"MOŻNA KUPIĆ","ZABLOKOWANE — bez opłaty")</f>
        <v>MOŻNA KUPIĆ</v>
      </c>
      <c r="K61" s="24" t="s">
        <v>1418</v>
      </c>
    </row>
    <row r="62" customFormat="false" ht="37.5" hidden="false" customHeight="true" outlineLevel="0" collapsed="false">
      <c r="A62" s="34" t="n">
        <v>3</v>
      </c>
      <c r="B62" s="34" t="n">
        <v>100</v>
      </c>
      <c r="C62" s="34" t="n">
        <v>2</v>
      </c>
      <c r="D62" s="35" t="n">
        <f aca="false">MAX(0,1-(C62-1)*0.25)</f>
        <v>0.75</v>
      </c>
      <c r="E62" s="23" t="n">
        <f aca="false">A62*B62</f>
        <v>300</v>
      </c>
      <c r="F62" s="36" t="n">
        <f aca="false">B62*D62</f>
        <v>75</v>
      </c>
      <c r="G62" s="23" t="n">
        <f aca="false">ROUNDUP(F62,0)</f>
        <v>75</v>
      </c>
      <c r="H62" s="23" t="n">
        <f aca="false">A62</f>
        <v>3</v>
      </c>
      <c r="I62" s="37" t="n">
        <f aca="false">Parametry!$C$76</f>
        <v>6</v>
      </c>
      <c r="J62" s="23" t="str">
        <f aca="false">IF(D62&gt;0,"MOŻNA KUPIĆ","ZABLOKOWANE — bez opłaty")</f>
        <v>MOŻNA KUPIĆ</v>
      </c>
      <c r="K62" s="23" t="s">
        <v>1418</v>
      </c>
    </row>
    <row r="63" customFormat="false" ht="37.5" hidden="false" customHeight="true" outlineLevel="0" collapsed="false">
      <c r="A63" s="38" t="n">
        <v>3</v>
      </c>
      <c r="B63" s="38" t="n">
        <v>100</v>
      </c>
      <c r="C63" s="38" t="n">
        <v>3</v>
      </c>
      <c r="D63" s="39" t="n">
        <f aca="false">MAX(0,1-(C63-1)*0.25)</f>
        <v>0.5</v>
      </c>
      <c r="E63" s="24" t="n">
        <f aca="false">A63*B63</f>
        <v>300</v>
      </c>
      <c r="F63" s="40" t="n">
        <f aca="false">B63*D63</f>
        <v>50</v>
      </c>
      <c r="G63" s="24" t="n">
        <f aca="false">ROUNDUP(F63,0)</f>
        <v>50</v>
      </c>
      <c r="H63" s="24" t="n">
        <f aca="false">A63</f>
        <v>3</v>
      </c>
      <c r="I63" s="41" t="n">
        <f aca="false">Parametry!$C$76</f>
        <v>6</v>
      </c>
      <c r="J63" s="24" t="str">
        <f aca="false">IF(D63&gt;0,"MOŻNA KUPIĆ","ZABLOKOWANE — bez opłaty")</f>
        <v>MOŻNA KUPIĆ</v>
      </c>
      <c r="K63" s="24" t="s">
        <v>1418</v>
      </c>
    </row>
    <row r="64" customFormat="false" ht="37.5" hidden="false" customHeight="true" outlineLevel="0" collapsed="false">
      <c r="A64" s="34" t="n">
        <v>3</v>
      </c>
      <c r="B64" s="34" t="n">
        <v>100</v>
      </c>
      <c r="C64" s="34" t="n">
        <v>4</v>
      </c>
      <c r="D64" s="35" t="n">
        <f aca="false">MAX(0,1-(C64-1)*0.25)</f>
        <v>0.25</v>
      </c>
      <c r="E64" s="23" t="n">
        <f aca="false">A64*B64</f>
        <v>300</v>
      </c>
      <c r="F64" s="36" t="n">
        <f aca="false">B64*D64</f>
        <v>25</v>
      </c>
      <c r="G64" s="23" t="n">
        <f aca="false">ROUNDUP(F64,0)</f>
        <v>25</v>
      </c>
      <c r="H64" s="23" t="n">
        <f aca="false">A64</f>
        <v>3</v>
      </c>
      <c r="I64" s="37" t="n">
        <f aca="false">Parametry!$C$76</f>
        <v>6</v>
      </c>
      <c r="J64" s="23" t="str">
        <f aca="false">IF(D64&gt;0,"MOŻNA KUPIĆ","ZABLOKOWANE — bez opłaty")</f>
        <v>MOŻNA KUPIĆ</v>
      </c>
      <c r="K64" s="23" t="s">
        <v>1418</v>
      </c>
    </row>
    <row r="65" customFormat="false" ht="37.5" hidden="false" customHeight="true" outlineLevel="0" collapsed="false">
      <c r="A65" s="38" t="n">
        <v>3</v>
      </c>
      <c r="B65" s="38" t="n">
        <v>100</v>
      </c>
      <c r="C65" s="38" t="n">
        <v>5</v>
      </c>
      <c r="D65" s="39" t="n">
        <f aca="false">MAX(0,1-(C65-1)*0.25)</f>
        <v>0</v>
      </c>
      <c r="E65" s="24" t="n">
        <f aca="false">A65*B65</f>
        <v>300</v>
      </c>
      <c r="F65" s="40" t="n">
        <f aca="false">B65*D65</f>
        <v>0</v>
      </c>
      <c r="G65" s="24" t="n">
        <f aca="false">ROUNDUP(F65,0)</f>
        <v>0</v>
      </c>
      <c r="H65" s="24" t="n">
        <f aca="false">A65</f>
        <v>3</v>
      </c>
      <c r="I65" s="41" t="n">
        <f aca="false">Parametry!$C$76</f>
        <v>6</v>
      </c>
      <c r="J65" s="24" t="str">
        <f aca="false">IF(D65&gt;0,"MOŻNA KUPIĆ","ZABLOKOWANE — bez opłaty")</f>
        <v>ZABLOKOWANE — bez opłaty</v>
      </c>
      <c r="K65" s="24" t="s">
        <v>1418</v>
      </c>
    </row>
    <row r="66" customFormat="false" ht="37.5" hidden="false" customHeight="true" outlineLevel="0" collapsed="false">
      <c r="A66" s="34" t="n">
        <v>5</v>
      </c>
      <c r="B66" s="34" t="n">
        <v>5</v>
      </c>
      <c r="C66" s="34" t="n">
        <v>1</v>
      </c>
      <c r="D66" s="35" t="n">
        <f aca="false">MAX(0,1-(C66-1)*0.25)</f>
        <v>1</v>
      </c>
      <c r="E66" s="23" t="n">
        <f aca="false">A66*B66</f>
        <v>25</v>
      </c>
      <c r="F66" s="36" t="n">
        <f aca="false">B66*D66</f>
        <v>5</v>
      </c>
      <c r="G66" s="23" t="n">
        <f aca="false">ROUNDUP(F66,0)</f>
        <v>5</v>
      </c>
      <c r="H66" s="23" t="n">
        <f aca="false">A66</f>
        <v>5</v>
      </c>
      <c r="I66" s="37" t="n">
        <f aca="false">Parametry!$C$76</f>
        <v>6</v>
      </c>
      <c r="J66" s="23" t="str">
        <f aca="false">IF(D66&gt;0,"MOŻNA KUPIĆ","ZABLOKOWANE — bez opłaty")</f>
        <v>MOŻNA KUPIĆ</v>
      </c>
      <c r="K66" s="23" t="s">
        <v>1418</v>
      </c>
    </row>
    <row r="67" customFormat="false" ht="37.5" hidden="false" customHeight="true" outlineLevel="0" collapsed="false">
      <c r="A67" s="38" t="n">
        <v>5</v>
      </c>
      <c r="B67" s="38" t="n">
        <v>5</v>
      </c>
      <c r="C67" s="38" t="n">
        <v>2</v>
      </c>
      <c r="D67" s="39" t="n">
        <f aca="false">MAX(0,1-(C67-1)*0.25)</f>
        <v>0.75</v>
      </c>
      <c r="E67" s="24" t="n">
        <f aca="false">A67*B67</f>
        <v>25</v>
      </c>
      <c r="F67" s="40" t="n">
        <f aca="false">B67*D67</f>
        <v>3.75</v>
      </c>
      <c r="G67" s="24" t="n">
        <f aca="false">ROUNDUP(F67,0)</f>
        <v>4</v>
      </c>
      <c r="H67" s="24" t="n">
        <f aca="false">A67</f>
        <v>5</v>
      </c>
      <c r="I67" s="41" t="n">
        <f aca="false">Parametry!$C$76</f>
        <v>6</v>
      </c>
      <c r="J67" s="24" t="str">
        <f aca="false">IF(D67&gt;0,"MOŻNA KUPIĆ","ZABLOKOWANE — bez opłaty")</f>
        <v>MOŻNA KUPIĆ</v>
      </c>
      <c r="K67" s="24" t="s">
        <v>1418</v>
      </c>
    </row>
    <row r="68" customFormat="false" ht="37.5" hidden="false" customHeight="true" outlineLevel="0" collapsed="false">
      <c r="A68" s="34" t="n">
        <v>5</v>
      </c>
      <c r="B68" s="34" t="n">
        <v>5</v>
      </c>
      <c r="C68" s="34" t="n">
        <v>3</v>
      </c>
      <c r="D68" s="35" t="n">
        <f aca="false">MAX(0,1-(C68-1)*0.25)</f>
        <v>0.5</v>
      </c>
      <c r="E68" s="23" t="n">
        <f aca="false">A68*B68</f>
        <v>25</v>
      </c>
      <c r="F68" s="36" t="n">
        <f aca="false">B68*D68</f>
        <v>2.5</v>
      </c>
      <c r="G68" s="23" t="n">
        <f aca="false">ROUNDUP(F68,0)</f>
        <v>3</v>
      </c>
      <c r="H68" s="23" t="n">
        <f aca="false">A68</f>
        <v>5</v>
      </c>
      <c r="I68" s="37" t="n">
        <f aca="false">Parametry!$C$76</f>
        <v>6</v>
      </c>
      <c r="J68" s="23" t="str">
        <f aca="false">IF(D68&gt;0,"MOŻNA KUPIĆ","ZABLOKOWANE — bez opłaty")</f>
        <v>MOŻNA KUPIĆ</v>
      </c>
      <c r="K68" s="23" t="s">
        <v>1418</v>
      </c>
    </row>
    <row r="69" customFormat="false" ht="37.5" hidden="false" customHeight="true" outlineLevel="0" collapsed="false">
      <c r="A69" s="38" t="n">
        <v>5</v>
      </c>
      <c r="B69" s="38" t="n">
        <v>5</v>
      </c>
      <c r="C69" s="38" t="n">
        <v>4</v>
      </c>
      <c r="D69" s="39" t="n">
        <f aca="false">MAX(0,1-(C69-1)*0.25)</f>
        <v>0.25</v>
      </c>
      <c r="E69" s="24" t="n">
        <f aca="false">A69*B69</f>
        <v>25</v>
      </c>
      <c r="F69" s="40" t="n">
        <f aca="false">B69*D69</f>
        <v>1.25</v>
      </c>
      <c r="G69" s="24" t="n">
        <f aca="false">ROUNDUP(F69,0)</f>
        <v>2</v>
      </c>
      <c r="H69" s="24" t="n">
        <f aca="false">A69</f>
        <v>5</v>
      </c>
      <c r="I69" s="41" t="n">
        <f aca="false">Parametry!$C$76</f>
        <v>6</v>
      </c>
      <c r="J69" s="24" t="str">
        <f aca="false">IF(D69&gt;0,"MOŻNA KUPIĆ","ZABLOKOWANE — bez opłaty")</f>
        <v>MOŻNA KUPIĆ</v>
      </c>
      <c r="K69" s="24" t="s">
        <v>1418</v>
      </c>
    </row>
    <row r="70" customFormat="false" ht="37.5" hidden="false" customHeight="true" outlineLevel="0" collapsed="false">
      <c r="A70" s="34" t="n">
        <v>5</v>
      </c>
      <c r="B70" s="34" t="n">
        <v>5</v>
      </c>
      <c r="C70" s="34" t="n">
        <v>5</v>
      </c>
      <c r="D70" s="35" t="n">
        <f aca="false">MAX(0,1-(C70-1)*0.25)</f>
        <v>0</v>
      </c>
      <c r="E70" s="23" t="n">
        <f aca="false">A70*B70</f>
        <v>25</v>
      </c>
      <c r="F70" s="36" t="n">
        <f aca="false">B70*D70</f>
        <v>0</v>
      </c>
      <c r="G70" s="23" t="n">
        <f aca="false">ROUNDUP(F70,0)</f>
        <v>0</v>
      </c>
      <c r="H70" s="23" t="n">
        <f aca="false">A70</f>
        <v>5</v>
      </c>
      <c r="I70" s="37" t="n">
        <f aca="false">Parametry!$C$76</f>
        <v>6</v>
      </c>
      <c r="J70" s="23" t="str">
        <f aca="false">IF(D70&gt;0,"MOŻNA KUPIĆ","ZABLOKOWANE — bez opłaty")</f>
        <v>ZABLOKOWANE — bez opłaty</v>
      </c>
      <c r="K70" s="23" t="s">
        <v>1418</v>
      </c>
    </row>
    <row r="71" customFormat="false" ht="37.5" hidden="false" customHeight="true" outlineLevel="0" collapsed="false">
      <c r="A71" s="38" t="n">
        <v>5</v>
      </c>
      <c r="B71" s="38" t="n">
        <v>25</v>
      </c>
      <c r="C71" s="38" t="n">
        <v>1</v>
      </c>
      <c r="D71" s="39" t="n">
        <f aca="false">MAX(0,1-(C71-1)*0.25)</f>
        <v>1</v>
      </c>
      <c r="E71" s="24" t="n">
        <f aca="false">A71*B71</f>
        <v>125</v>
      </c>
      <c r="F71" s="40" t="n">
        <f aca="false">B71*D71</f>
        <v>25</v>
      </c>
      <c r="G71" s="24" t="n">
        <f aca="false">ROUNDUP(F71,0)</f>
        <v>25</v>
      </c>
      <c r="H71" s="24" t="n">
        <f aca="false">A71</f>
        <v>5</v>
      </c>
      <c r="I71" s="41" t="n">
        <f aca="false">Parametry!$C$76</f>
        <v>6</v>
      </c>
      <c r="J71" s="24" t="str">
        <f aca="false">IF(D71&gt;0,"MOŻNA KUPIĆ","ZABLOKOWANE — bez opłaty")</f>
        <v>MOŻNA KUPIĆ</v>
      </c>
      <c r="K71" s="24" t="s">
        <v>1418</v>
      </c>
    </row>
    <row r="72" customFormat="false" ht="37.5" hidden="false" customHeight="true" outlineLevel="0" collapsed="false">
      <c r="A72" s="34" t="n">
        <v>5</v>
      </c>
      <c r="B72" s="34" t="n">
        <v>25</v>
      </c>
      <c r="C72" s="34" t="n">
        <v>2</v>
      </c>
      <c r="D72" s="35" t="n">
        <f aca="false">MAX(0,1-(C72-1)*0.25)</f>
        <v>0.75</v>
      </c>
      <c r="E72" s="23" t="n">
        <f aca="false">A72*B72</f>
        <v>125</v>
      </c>
      <c r="F72" s="36" t="n">
        <f aca="false">B72*D72</f>
        <v>18.75</v>
      </c>
      <c r="G72" s="23" t="n">
        <f aca="false">ROUNDUP(F72,0)</f>
        <v>19</v>
      </c>
      <c r="H72" s="23" t="n">
        <f aca="false">A72</f>
        <v>5</v>
      </c>
      <c r="I72" s="37" t="n">
        <f aca="false">Parametry!$C$76</f>
        <v>6</v>
      </c>
      <c r="J72" s="23" t="str">
        <f aca="false">IF(D72&gt;0,"MOŻNA KUPIĆ","ZABLOKOWANE — bez opłaty")</f>
        <v>MOŻNA KUPIĆ</v>
      </c>
      <c r="K72" s="23" t="s">
        <v>1418</v>
      </c>
    </row>
    <row r="73" customFormat="false" ht="37.5" hidden="false" customHeight="true" outlineLevel="0" collapsed="false">
      <c r="A73" s="38" t="n">
        <v>5</v>
      </c>
      <c r="B73" s="38" t="n">
        <v>25</v>
      </c>
      <c r="C73" s="38" t="n">
        <v>3</v>
      </c>
      <c r="D73" s="39" t="n">
        <f aca="false">MAX(0,1-(C73-1)*0.25)</f>
        <v>0.5</v>
      </c>
      <c r="E73" s="24" t="n">
        <f aca="false">A73*B73</f>
        <v>125</v>
      </c>
      <c r="F73" s="40" t="n">
        <f aca="false">B73*D73</f>
        <v>12.5</v>
      </c>
      <c r="G73" s="24" t="n">
        <f aca="false">ROUNDUP(F73,0)</f>
        <v>13</v>
      </c>
      <c r="H73" s="24" t="n">
        <f aca="false">A73</f>
        <v>5</v>
      </c>
      <c r="I73" s="41" t="n">
        <f aca="false">Parametry!$C$76</f>
        <v>6</v>
      </c>
      <c r="J73" s="24" t="str">
        <f aca="false">IF(D73&gt;0,"MOŻNA KUPIĆ","ZABLOKOWANE — bez opłaty")</f>
        <v>MOŻNA KUPIĆ</v>
      </c>
      <c r="K73" s="24" t="s">
        <v>1418</v>
      </c>
    </row>
    <row r="74" customFormat="false" ht="37.5" hidden="false" customHeight="true" outlineLevel="0" collapsed="false">
      <c r="A74" s="34" t="n">
        <v>5</v>
      </c>
      <c r="B74" s="34" t="n">
        <v>25</v>
      </c>
      <c r="C74" s="34" t="n">
        <v>4</v>
      </c>
      <c r="D74" s="35" t="n">
        <f aca="false">MAX(0,1-(C74-1)*0.25)</f>
        <v>0.25</v>
      </c>
      <c r="E74" s="23" t="n">
        <f aca="false">A74*B74</f>
        <v>125</v>
      </c>
      <c r="F74" s="36" t="n">
        <f aca="false">B74*D74</f>
        <v>6.25</v>
      </c>
      <c r="G74" s="23" t="n">
        <f aca="false">ROUNDUP(F74,0)</f>
        <v>7</v>
      </c>
      <c r="H74" s="23" t="n">
        <f aca="false">A74</f>
        <v>5</v>
      </c>
      <c r="I74" s="37" t="n">
        <f aca="false">Parametry!$C$76</f>
        <v>6</v>
      </c>
      <c r="J74" s="23" t="str">
        <f aca="false">IF(D74&gt;0,"MOŻNA KUPIĆ","ZABLOKOWANE — bez opłaty")</f>
        <v>MOŻNA KUPIĆ</v>
      </c>
      <c r="K74" s="23" t="s">
        <v>1418</v>
      </c>
    </row>
    <row r="75" customFormat="false" ht="37.5" hidden="false" customHeight="true" outlineLevel="0" collapsed="false">
      <c r="A75" s="38" t="n">
        <v>5</v>
      </c>
      <c r="B75" s="38" t="n">
        <v>25</v>
      </c>
      <c r="C75" s="38" t="n">
        <v>5</v>
      </c>
      <c r="D75" s="39" t="n">
        <f aca="false">MAX(0,1-(C75-1)*0.25)</f>
        <v>0</v>
      </c>
      <c r="E75" s="24" t="n">
        <f aca="false">A75*B75</f>
        <v>125</v>
      </c>
      <c r="F75" s="40" t="n">
        <f aca="false">B75*D75</f>
        <v>0</v>
      </c>
      <c r="G75" s="24" t="n">
        <f aca="false">ROUNDUP(F75,0)</f>
        <v>0</v>
      </c>
      <c r="H75" s="24" t="n">
        <f aca="false">A75</f>
        <v>5</v>
      </c>
      <c r="I75" s="41" t="n">
        <f aca="false">Parametry!$C$76</f>
        <v>6</v>
      </c>
      <c r="J75" s="24" t="str">
        <f aca="false">IF(D75&gt;0,"MOŻNA KUPIĆ","ZABLOKOWANE — bez opłaty")</f>
        <v>ZABLOKOWANE — bez opłaty</v>
      </c>
      <c r="K75" s="24" t="s">
        <v>1418</v>
      </c>
    </row>
    <row r="76" customFormat="false" ht="37.5" hidden="false" customHeight="true" outlineLevel="0" collapsed="false">
      <c r="A76" s="34" t="n">
        <v>5</v>
      </c>
      <c r="B76" s="34" t="n">
        <v>50</v>
      </c>
      <c r="C76" s="34" t="n">
        <v>1</v>
      </c>
      <c r="D76" s="35" t="n">
        <f aca="false">MAX(0,1-(C76-1)*0.25)</f>
        <v>1</v>
      </c>
      <c r="E76" s="23" t="n">
        <f aca="false">A76*B76</f>
        <v>250</v>
      </c>
      <c r="F76" s="36" t="n">
        <f aca="false">B76*D76</f>
        <v>50</v>
      </c>
      <c r="G76" s="23" t="n">
        <f aca="false">ROUNDUP(F76,0)</f>
        <v>50</v>
      </c>
      <c r="H76" s="23" t="n">
        <f aca="false">A76</f>
        <v>5</v>
      </c>
      <c r="I76" s="37" t="n">
        <f aca="false">Parametry!$C$76</f>
        <v>6</v>
      </c>
      <c r="J76" s="23" t="str">
        <f aca="false">IF(D76&gt;0,"MOŻNA KUPIĆ","ZABLOKOWANE — bez opłaty")</f>
        <v>MOŻNA KUPIĆ</v>
      </c>
      <c r="K76" s="23" t="s">
        <v>1418</v>
      </c>
    </row>
    <row r="77" customFormat="false" ht="37.5" hidden="false" customHeight="true" outlineLevel="0" collapsed="false">
      <c r="A77" s="38" t="n">
        <v>5</v>
      </c>
      <c r="B77" s="38" t="n">
        <v>50</v>
      </c>
      <c r="C77" s="38" t="n">
        <v>2</v>
      </c>
      <c r="D77" s="39" t="n">
        <f aca="false">MAX(0,1-(C77-1)*0.25)</f>
        <v>0.75</v>
      </c>
      <c r="E77" s="24" t="n">
        <f aca="false">A77*B77</f>
        <v>250</v>
      </c>
      <c r="F77" s="40" t="n">
        <f aca="false">B77*D77</f>
        <v>37.5</v>
      </c>
      <c r="G77" s="24" t="n">
        <f aca="false">ROUNDUP(F77,0)</f>
        <v>38</v>
      </c>
      <c r="H77" s="24" t="n">
        <f aca="false">A77</f>
        <v>5</v>
      </c>
      <c r="I77" s="41" t="n">
        <f aca="false">Parametry!$C$76</f>
        <v>6</v>
      </c>
      <c r="J77" s="24" t="str">
        <f aca="false">IF(D77&gt;0,"MOŻNA KUPIĆ","ZABLOKOWANE — bez opłaty")</f>
        <v>MOŻNA KUPIĆ</v>
      </c>
      <c r="K77" s="24" t="s">
        <v>1418</v>
      </c>
    </row>
    <row r="78" customFormat="false" ht="37.5" hidden="false" customHeight="true" outlineLevel="0" collapsed="false">
      <c r="A78" s="34" t="n">
        <v>5</v>
      </c>
      <c r="B78" s="34" t="n">
        <v>50</v>
      </c>
      <c r="C78" s="34" t="n">
        <v>3</v>
      </c>
      <c r="D78" s="35" t="n">
        <f aca="false">MAX(0,1-(C78-1)*0.25)</f>
        <v>0.5</v>
      </c>
      <c r="E78" s="23" t="n">
        <f aca="false">A78*B78</f>
        <v>250</v>
      </c>
      <c r="F78" s="36" t="n">
        <f aca="false">B78*D78</f>
        <v>25</v>
      </c>
      <c r="G78" s="23" t="n">
        <f aca="false">ROUNDUP(F78,0)</f>
        <v>25</v>
      </c>
      <c r="H78" s="23" t="n">
        <f aca="false">A78</f>
        <v>5</v>
      </c>
      <c r="I78" s="37" t="n">
        <f aca="false">Parametry!$C$76</f>
        <v>6</v>
      </c>
      <c r="J78" s="23" t="str">
        <f aca="false">IF(D78&gt;0,"MOŻNA KUPIĆ","ZABLOKOWANE — bez opłaty")</f>
        <v>MOŻNA KUPIĆ</v>
      </c>
      <c r="K78" s="23" t="s">
        <v>1418</v>
      </c>
    </row>
    <row r="79" customFormat="false" ht="37.5" hidden="false" customHeight="true" outlineLevel="0" collapsed="false">
      <c r="A79" s="38" t="n">
        <v>5</v>
      </c>
      <c r="B79" s="38" t="n">
        <v>50</v>
      </c>
      <c r="C79" s="38" t="n">
        <v>4</v>
      </c>
      <c r="D79" s="39" t="n">
        <f aca="false">MAX(0,1-(C79-1)*0.25)</f>
        <v>0.25</v>
      </c>
      <c r="E79" s="24" t="n">
        <f aca="false">A79*B79</f>
        <v>250</v>
      </c>
      <c r="F79" s="40" t="n">
        <f aca="false">B79*D79</f>
        <v>12.5</v>
      </c>
      <c r="G79" s="24" t="n">
        <f aca="false">ROUNDUP(F79,0)</f>
        <v>13</v>
      </c>
      <c r="H79" s="24" t="n">
        <f aca="false">A79</f>
        <v>5</v>
      </c>
      <c r="I79" s="41" t="n">
        <f aca="false">Parametry!$C$76</f>
        <v>6</v>
      </c>
      <c r="J79" s="24" t="str">
        <f aca="false">IF(D79&gt;0,"MOŻNA KUPIĆ","ZABLOKOWANE — bez opłaty")</f>
        <v>MOŻNA KUPIĆ</v>
      </c>
      <c r="K79" s="24" t="s">
        <v>1418</v>
      </c>
    </row>
    <row r="80" customFormat="false" ht="37.5" hidden="false" customHeight="true" outlineLevel="0" collapsed="false">
      <c r="A80" s="34" t="n">
        <v>5</v>
      </c>
      <c r="B80" s="34" t="n">
        <v>50</v>
      </c>
      <c r="C80" s="34" t="n">
        <v>5</v>
      </c>
      <c r="D80" s="35" t="n">
        <f aca="false">MAX(0,1-(C80-1)*0.25)</f>
        <v>0</v>
      </c>
      <c r="E80" s="23" t="n">
        <f aca="false">A80*B80</f>
        <v>250</v>
      </c>
      <c r="F80" s="36" t="n">
        <f aca="false">B80*D80</f>
        <v>0</v>
      </c>
      <c r="G80" s="23" t="n">
        <f aca="false">ROUNDUP(F80,0)</f>
        <v>0</v>
      </c>
      <c r="H80" s="23" t="n">
        <f aca="false">A80</f>
        <v>5</v>
      </c>
      <c r="I80" s="37" t="n">
        <f aca="false">Parametry!$C$76</f>
        <v>6</v>
      </c>
      <c r="J80" s="23" t="str">
        <f aca="false">IF(D80&gt;0,"MOŻNA KUPIĆ","ZABLOKOWANE — bez opłaty")</f>
        <v>ZABLOKOWANE — bez opłaty</v>
      </c>
      <c r="K80" s="23" t="s">
        <v>1418</v>
      </c>
    </row>
    <row r="81" customFormat="false" ht="37.5" hidden="false" customHeight="true" outlineLevel="0" collapsed="false">
      <c r="A81" s="38" t="n">
        <v>5</v>
      </c>
      <c r="B81" s="38" t="n">
        <v>100</v>
      </c>
      <c r="C81" s="38" t="n">
        <v>1</v>
      </c>
      <c r="D81" s="39" t="n">
        <f aca="false">MAX(0,1-(C81-1)*0.25)</f>
        <v>1</v>
      </c>
      <c r="E81" s="24" t="n">
        <f aca="false">A81*B81</f>
        <v>500</v>
      </c>
      <c r="F81" s="40" t="n">
        <f aca="false">B81*D81</f>
        <v>100</v>
      </c>
      <c r="G81" s="24" t="n">
        <f aca="false">ROUNDUP(F81,0)</f>
        <v>100</v>
      </c>
      <c r="H81" s="24" t="n">
        <f aca="false">A81</f>
        <v>5</v>
      </c>
      <c r="I81" s="41" t="n">
        <f aca="false">Parametry!$C$76</f>
        <v>6</v>
      </c>
      <c r="J81" s="24" t="str">
        <f aca="false">IF(D81&gt;0,"MOŻNA KUPIĆ","ZABLOKOWANE — bez opłaty")</f>
        <v>MOŻNA KUPIĆ</v>
      </c>
      <c r="K81" s="24" t="s">
        <v>1418</v>
      </c>
    </row>
    <row r="82" customFormat="false" ht="37.5" hidden="false" customHeight="true" outlineLevel="0" collapsed="false">
      <c r="A82" s="34" t="n">
        <v>5</v>
      </c>
      <c r="B82" s="34" t="n">
        <v>100</v>
      </c>
      <c r="C82" s="34" t="n">
        <v>2</v>
      </c>
      <c r="D82" s="35" t="n">
        <f aca="false">MAX(0,1-(C82-1)*0.25)</f>
        <v>0.75</v>
      </c>
      <c r="E82" s="23" t="n">
        <f aca="false">A82*B82</f>
        <v>500</v>
      </c>
      <c r="F82" s="36" t="n">
        <f aca="false">B82*D82</f>
        <v>75</v>
      </c>
      <c r="G82" s="23" t="n">
        <f aca="false">ROUNDUP(F82,0)</f>
        <v>75</v>
      </c>
      <c r="H82" s="23" t="n">
        <f aca="false">A82</f>
        <v>5</v>
      </c>
      <c r="I82" s="37" t="n">
        <f aca="false">Parametry!$C$76</f>
        <v>6</v>
      </c>
      <c r="J82" s="23" t="str">
        <f aca="false">IF(D82&gt;0,"MOŻNA KUPIĆ","ZABLOKOWANE — bez opłaty")</f>
        <v>MOŻNA KUPIĆ</v>
      </c>
      <c r="K82" s="23" t="s">
        <v>1418</v>
      </c>
    </row>
    <row r="83" customFormat="false" ht="37.5" hidden="false" customHeight="true" outlineLevel="0" collapsed="false">
      <c r="A83" s="38" t="n">
        <v>5</v>
      </c>
      <c r="B83" s="38" t="n">
        <v>100</v>
      </c>
      <c r="C83" s="38" t="n">
        <v>3</v>
      </c>
      <c r="D83" s="39" t="n">
        <f aca="false">MAX(0,1-(C83-1)*0.25)</f>
        <v>0.5</v>
      </c>
      <c r="E83" s="24" t="n">
        <f aca="false">A83*B83</f>
        <v>500</v>
      </c>
      <c r="F83" s="40" t="n">
        <f aca="false">B83*D83</f>
        <v>50</v>
      </c>
      <c r="G83" s="24" t="n">
        <f aca="false">ROUNDUP(F83,0)</f>
        <v>50</v>
      </c>
      <c r="H83" s="24" t="n">
        <f aca="false">A83</f>
        <v>5</v>
      </c>
      <c r="I83" s="41" t="n">
        <f aca="false">Parametry!$C$76</f>
        <v>6</v>
      </c>
      <c r="J83" s="24" t="str">
        <f aca="false">IF(D83&gt;0,"MOŻNA KUPIĆ","ZABLOKOWANE — bez opłaty")</f>
        <v>MOŻNA KUPIĆ</v>
      </c>
      <c r="K83" s="24" t="s">
        <v>1418</v>
      </c>
    </row>
    <row r="84" customFormat="false" ht="37.5" hidden="false" customHeight="true" outlineLevel="0" collapsed="false">
      <c r="A84" s="34" t="n">
        <v>5</v>
      </c>
      <c r="B84" s="34" t="n">
        <v>100</v>
      </c>
      <c r="C84" s="34" t="n">
        <v>4</v>
      </c>
      <c r="D84" s="35" t="n">
        <f aca="false">MAX(0,1-(C84-1)*0.25)</f>
        <v>0.25</v>
      </c>
      <c r="E84" s="23" t="n">
        <f aca="false">A84*B84</f>
        <v>500</v>
      </c>
      <c r="F84" s="36" t="n">
        <f aca="false">B84*D84</f>
        <v>25</v>
      </c>
      <c r="G84" s="23" t="n">
        <f aca="false">ROUNDUP(F84,0)</f>
        <v>25</v>
      </c>
      <c r="H84" s="23" t="n">
        <f aca="false">A84</f>
        <v>5</v>
      </c>
      <c r="I84" s="37" t="n">
        <f aca="false">Parametry!$C$76</f>
        <v>6</v>
      </c>
      <c r="J84" s="23" t="str">
        <f aca="false">IF(D84&gt;0,"MOŻNA KUPIĆ","ZABLOKOWANE — bez opłaty")</f>
        <v>MOŻNA KUPIĆ</v>
      </c>
      <c r="K84" s="23" t="s">
        <v>1418</v>
      </c>
    </row>
    <row r="85" customFormat="false" ht="37.5" hidden="false" customHeight="true" outlineLevel="0" collapsed="false">
      <c r="A85" s="38" t="n">
        <v>5</v>
      </c>
      <c r="B85" s="38" t="n">
        <v>100</v>
      </c>
      <c r="C85" s="38" t="n">
        <v>5</v>
      </c>
      <c r="D85" s="39" t="n">
        <f aca="false">MAX(0,1-(C85-1)*0.25)</f>
        <v>0</v>
      </c>
      <c r="E85" s="24" t="n">
        <f aca="false">A85*B85</f>
        <v>500</v>
      </c>
      <c r="F85" s="40" t="n">
        <f aca="false">B85*D85</f>
        <v>0</v>
      </c>
      <c r="G85" s="24" t="n">
        <f aca="false">ROUNDUP(F85,0)</f>
        <v>0</v>
      </c>
      <c r="H85" s="24" t="n">
        <f aca="false">A85</f>
        <v>5</v>
      </c>
      <c r="I85" s="41" t="n">
        <f aca="false">Parametry!$C$76</f>
        <v>6</v>
      </c>
      <c r="J85" s="24" t="str">
        <f aca="false">IF(D85&gt;0,"MOŻNA KUPIĆ","ZABLOKOWANE — bez opłaty")</f>
        <v>ZABLOKOWANE — bez opłaty</v>
      </c>
      <c r="K85" s="24" t="s">
        <v>1418</v>
      </c>
    </row>
    <row r="86" customFormat="false" ht="37.5" hidden="false" customHeight="true" outlineLevel="0" collapsed="false">
      <c r="A86" s="34" t="n">
        <v>10</v>
      </c>
      <c r="B86" s="34" t="n">
        <v>5</v>
      </c>
      <c r="C86" s="34" t="n">
        <v>1</v>
      </c>
      <c r="D86" s="35" t="n">
        <f aca="false">MAX(0,1-(C86-1)*0.25)</f>
        <v>1</v>
      </c>
      <c r="E86" s="23" t="n">
        <f aca="false">A86*B86</f>
        <v>50</v>
      </c>
      <c r="F86" s="36" t="n">
        <f aca="false">B86*D86</f>
        <v>5</v>
      </c>
      <c r="G86" s="23" t="n">
        <f aca="false">ROUNDUP(F86,0)</f>
        <v>5</v>
      </c>
      <c r="H86" s="23" t="n">
        <f aca="false">A86</f>
        <v>10</v>
      </c>
      <c r="I86" s="37" t="n">
        <f aca="false">Parametry!$C$76</f>
        <v>6</v>
      </c>
      <c r="J86" s="23" t="str">
        <f aca="false">IF(D86&gt;0,"MOŻNA KUPIĆ","ZABLOKOWANE — bez opłaty")</f>
        <v>MOŻNA KUPIĆ</v>
      </c>
      <c r="K86" s="23" t="s">
        <v>1418</v>
      </c>
    </row>
    <row r="87" customFormat="false" ht="37.5" hidden="false" customHeight="true" outlineLevel="0" collapsed="false">
      <c r="A87" s="38" t="n">
        <v>10</v>
      </c>
      <c r="B87" s="38" t="n">
        <v>5</v>
      </c>
      <c r="C87" s="38" t="n">
        <v>2</v>
      </c>
      <c r="D87" s="39" t="n">
        <f aca="false">MAX(0,1-(C87-1)*0.25)</f>
        <v>0.75</v>
      </c>
      <c r="E87" s="24" t="n">
        <f aca="false">A87*B87</f>
        <v>50</v>
      </c>
      <c r="F87" s="40" t="n">
        <f aca="false">B87*D87</f>
        <v>3.75</v>
      </c>
      <c r="G87" s="24" t="n">
        <f aca="false">ROUNDUP(F87,0)</f>
        <v>4</v>
      </c>
      <c r="H87" s="24" t="n">
        <f aca="false">A87</f>
        <v>10</v>
      </c>
      <c r="I87" s="41" t="n">
        <f aca="false">Parametry!$C$76</f>
        <v>6</v>
      </c>
      <c r="J87" s="24" t="str">
        <f aca="false">IF(D87&gt;0,"MOŻNA KUPIĆ","ZABLOKOWANE — bez opłaty")</f>
        <v>MOŻNA KUPIĆ</v>
      </c>
      <c r="K87" s="24" t="s">
        <v>1418</v>
      </c>
    </row>
    <row r="88" customFormat="false" ht="37.5" hidden="false" customHeight="true" outlineLevel="0" collapsed="false">
      <c r="A88" s="34" t="n">
        <v>10</v>
      </c>
      <c r="B88" s="34" t="n">
        <v>5</v>
      </c>
      <c r="C88" s="34" t="n">
        <v>3</v>
      </c>
      <c r="D88" s="35" t="n">
        <f aca="false">MAX(0,1-(C88-1)*0.25)</f>
        <v>0.5</v>
      </c>
      <c r="E88" s="23" t="n">
        <f aca="false">A88*B88</f>
        <v>50</v>
      </c>
      <c r="F88" s="36" t="n">
        <f aca="false">B88*D88</f>
        <v>2.5</v>
      </c>
      <c r="G88" s="23" t="n">
        <f aca="false">ROUNDUP(F88,0)</f>
        <v>3</v>
      </c>
      <c r="H88" s="23" t="n">
        <f aca="false">A88</f>
        <v>10</v>
      </c>
      <c r="I88" s="37" t="n">
        <f aca="false">Parametry!$C$76</f>
        <v>6</v>
      </c>
      <c r="J88" s="23" t="str">
        <f aca="false">IF(D88&gt;0,"MOŻNA KUPIĆ","ZABLOKOWANE — bez opłaty")</f>
        <v>MOŻNA KUPIĆ</v>
      </c>
      <c r="K88" s="23" t="s">
        <v>1418</v>
      </c>
    </row>
    <row r="89" customFormat="false" ht="37.5" hidden="false" customHeight="true" outlineLevel="0" collapsed="false">
      <c r="A89" s="38" t="n">
        <v>10</v>
      </c>
      <c r="B89" s="38" t="n">
        <v>5</v>
      </c>
      <c r="C89" s="38" t="n">
        <v>4</v>
      </c>
      <c r="D89" s="39" t="n">
        <f aca="false">MAX(0,1-(C89-1)*0.25)</f>
        <v>0.25</v>
      </c>
      <c r="E89" s="24" t="n">
        <f aca="false">A89*B89</f>
        <v>50</v>
      </c>
      <c r="F89" s="40" t="n">
        <f aca="false">B89*D89</f>
        <v>1.25</v>
      </c>
      <c r="G89" s="24" t="n">
        <f aca="false">ROUNDUP(F89,0)</f>
        <v>2</v>
      </c>
      <c r="H89" s="24" t="n">
        <f aca="false">A89</f>
        <v>10</v>
      </c>
      <c r="I89" s="41" t="n">
        <f aca="false">Parametry!$C$76</f>
        <v>6</v>
      </c>
      <c r="J89" s="24" t="str">
        <f aca="false">IF(D89&gt;0,"MOŻNA KUPIĆ","ZABLOKOWANE — bez opłaty")</f>
        <v>MOŻNA KUPIĆ</v>
      </c>
      <c r="K89" s="24" t="s">
        <v>1418</v>
      </c>
    </row>
    <row r="90" customFormat="false" ht="37.5" hidden="false" customHeight="true" outlineLevel="0" collapsed="false">
      <c r="A90" s="34" t="n">
        <v>10</v>
      </c>
      <c r="B90" s="34" t="n">
        <v>5</v>
      </c>
      <c r="C90" s="34" t="n">
        <v>5</v>
      </c>
      <c r="D90" s="35" t="n">
        <f aca="false">MAX(0,1-(C90-1)*0.25)</f>
        <v>0</v>
      </c>
      <c r="E90" s="23" t="n">
        <f aca="false">A90*B90</f>
        <v>50</v>
      </c>
      <c r="F90" s="36" t="n">
        <f aca="false">B90*D90</f>
        <v>0</v>
      </c>
      <c r="G90" s="23" t="n">
        <f aca="false">ROUNDUP(F90,0)</f>
        <v>0</v>
      </c>
      <c r="H90" s="23" t="n">
        <f aca="false">A90</f>
        <v>10</v>
      </c>
      <c r="I90" s="37" t="n">
        <f aca="false">Parametry!$C$76</f>
        <v>6</v>
      </c>
      <c r="J90" s="23" t="str">
        <f aca="false">IF(D90&gt;0,"MOŻNA KUPIĆ","ZABLOKOWANE — bez opłaty")</f>
        <v>ZABLOKOWANE — bez opłaty</v>
      </c>
      <c r="K90" s="23" t="s">
        <v>1418</v>
      </c>
    </row>
    <row r="91" customFormat="false" ht="37.5" hidden="false" customHeight="true" outlineLevel="0" collapsed="false">
      <c r="A91" s="38" t="n">
        <v>10</v>
      </c>
      <c r="B91" s="38" t="n">
        <v>25</v>
      </c>
      <c r="C91" s="38" t="n">
        <v>1</v>
      </c>
      <c r="D91" s="39" t="n">
        <f aca="false">MAX(0,1-(C91-1)*0.25)</f>
        <v>1</v>
      </c>
      <c r="E91" s="24" t="n">
        <f aca="false">A91*B91</f>
        <v>250</v>
      </c>
      <c r="F91" s="40" t="n">
        <f aca="false">B91*D91</f>
        <v>25</v>
      </c>
      <c r="G91" s="24" t="n">
        <f aca="false">ROUNDUP(F91,0)</f>
        <v>25</v>
      </c>
      <c r="H91" s="24" t="n">
        <f aca="false">A91</f>
        <v>10</v>
      </c>
      <c r="I91" s="41" t="n">
        <f aca="false">Parametry!$C$76</f>
        <v>6</v>
      </c>
      <c r="J91" s="24" t="str">
        <f aca="false">IF(D91&gt;0,"MOŻNA KUPIĆ","ZABLOKOWANE — bez opłaty")</f>
        <v>MOŻNA KUPIĆ</v>
      </c>
      <c r="K91" s="24" t="s">
        <v>1418</v>
      </c>
    </row>
    <row r="92" customFormat="false" ht="37.5" hidden="false" customHeight="true" outlineLevel="0" collapsed="false">
      <c r="A92" s="34" t="n">
        <v>10</v>
      </c>
      <c r="B92" s="34" t="n">
        <v>25</v>
      </c>
      <c r="C92" s="34" t="n">
        <v>2</v>
      </c>
      <c r="D92" s="35" t="n">
        <f aca="false">MAX(0,1-(C92-1)*0.25)</f>
        <v>0.75</v>
      </c>
      <c r="E92" s="23" t="n">
        <f aca="false">A92*B92</f>
        <v>250</v>
      </c>
      <c r="F92" s="36" t="n">
        <f aca="false">B92*D92</f>
        <v>18.75</v>
      </c>
      <c r="G92" s="23" t="n">
        <f aca="false">ROUNDUP(F92,0)</f>
        <v>19</v>
      </c>
      <c r="H92" s="23" t="n">
        <f aca="false">A92</f>
        <v>10</v>
      </c>
      <c r="I92" s="37" t="n">
        <f aca="false">Parametry!$C$76</f>
        <v>6</v>
      </c>
      <c r="J92" s="23" t="str">
        <f aca="false">IF(D92&gt;0,"MOŻNA KUPIĆ","ZABLOKOWANE — bez opłaty")</f>
        <v>MOŻNA KUPIĆ</v>
      </c>
      <c r="K92" s="23" t="s">
        <v>1418</v>
      </c>
    </row>
    <row r="93" customFormat="false" ht="37.5" hidden="false" customHeight="true" outlineLevel="0" collapsed="false">
      <c r="A93" s="38" t="n">
        <v>10</v>
      </c>
      <c r="B93" s="38" t="n">
        <v>25</v>
      </c>
      <c r="C93" s="38" t="n">
        <v>3</v>
      </c>
      <c r="D93" s="39" t="n">
        <f aca="false">MAX(0,1-(C93-1)*0.25)</f>
        <v>0.5</v>
      </c>
      <c r="E93" s="24" t="n">
        <f aca="false">A93*B93</f>
        <v>250</v>
      </c>
      <c r="F93" s="40" t="n">
        <f aca="false">B93*D93</f>
        <v>12.5</v>
      </c>
      <c r="G93" s="24" t="n">
        <f aca="false">ROUNDUP(F93,0)</f>
        <v>13</v>
      </c>
      <c r="H93" s="24" t="n">
        <f aca="false">A93</f>
        <v>10</v>
      </c>
      <c r="I93" s="41" t="n">
        <f aca="false">Parametry!$C$76</f>
        <v>6</v>
      </c>
      <c r="J93" s="24" t="str">
        <f aca="false">IF(D93&gt;0,"MOŻNA KUPIĆ","ZABLOKOWANE — bez opłaty")</f>
        <v>MOŻNA KUPIĆ</v>
      </c>
      <c r="K93" s="24" t="s">
        <v>1418</v>
      </c>
    </row>
    <row r="94" customFormat="false" ht="37.5" hidden="false" customHeight="true" outlineLevel="0" collapsed="false">
      <c r="A94" s="34" t="n">
        <v>10</v>
      </c>
      <c r="B94" s="34" t="n">
        <v>25</v>
      </c>
      <c r="C94" s="34" t="n">
        <v>4</v>
      </c>
      <c r="D94" s="35" t="n">
        <f aca="false">MAX(0,1-(C94-1)*0.25)</f>
        <v>0.25</v>
      </c>
      <c r="E94" s="23" t="n">
        <f aca="false">A94*B94</f>
        <v>250</v>
      </c>
      <c r="F94" s="36" t="n">
        <f aca="false">B94*D94</f>
        <v>6.25</v>
      </c>
      <c r="G94" s="23" t="n">
        <f aca="false">ROUNDUP(F94,0)</f>
        <v>7</v>
      </c>
      <c r="H94" s="23" t="n">
        <f aca="false">A94</f>
        <v>10</v>
      </c>
      <c r="I94" s="37" t="n">
        <f aca="false">Parametry!$C$76</f>
        <v>6</v>
      </c>
      <c r="J94" s="23" t="str">
        <f aca="false">IF(D94&gt;0,"MOŻNA KUPIĆ","ZABLOKOWANE — bez opłaty")</f>
        <v>MOŻNA KUPIĆ</v>
      </c>
      <c r="K94" s="23" t="s">
        <v>1418</v>
      </c>
    </row>
    <row r="95" customFormat="false" ht="37.5" hidden="false" customHeight="true" outlineLevel="0" collapsed="false">
      <c r="A95" s="38" t="n">
        <v>10</v>
      </c>
      <c r="B95" s="38" t="n">
        <v>25</v>
      </c>
      <c r="C95" s="38" t="n">
        <v>5</v>
      </c>
      <c r="D95" s="39" t="n">
        <f aca="false">MAX(0,1-(C95-1)*0.25)</f>
        <v>0</v>
      </c>
      <c r="E95" s="24" t="n">
        <f aca="false">A95*B95</f>
        <v>250</v>
      </c>
      <c r="F95" s="40" t="n">
        <f aca="false">B95*D95</f>
        <v>0</v>
      </c>
      <c r="G95" s="24" t="n">
        <f aca="false">ROUNDUP(F95,0)</f>
        <v>0</v>
      </c>
      <c r="H95" s="24" t="n">
        <f aca="false">A95</f>
        <v>10</v>
      </c>
      <c r="I95" s="41" t="n">
        <f aca="false">Parametry!$C$76</f>
        <v>6</v>
      </c>
      <c r="J95" s="24" t="str">
        <f aca="false">IF(D95&gt;0,"MOŻNA KUPIĆ","ZABLOKOWANE — bez opłaty")</f>
        <v>ZABLOKOWANE — bez opłaty</v>
      </c>
      <c r="K95" s="24" t="s">
        <v>1418</v>
      </c>
    </row>
    <row r="96" customFormat="false" ht="37.5" hidden="false" customHeight="true" outlineLevel="0" collapsed="false">
      <c r="A96" s="34" t="n">
        <v>10</v>
      </c>
      <c r="B96" s="34" t="n">
        <v>50</v>
      </c>
      <c r="C96" s="34" t="n">
        <v>1</v>
      </c>
      <c r="D96" s="35" t="n">
        <f aca="false">MAX(0,1-(C96-1)*0.25)</f>
        <v>1</v>
      </c>
      <c r="E96" s="23" t="n">
        <f aca="false">A96*B96</f>
        <v>500</v>
      </c>
      <c r="F96" s="36" t="n">
        <f aca="false">B96*D96</f>
        <v>50</v>
      </c>
      <c r="G96" s="23" t="n">
        <f aca="false">ROUNDUP(F96,0)</f>
        <v>50</v>
      </c>
      <c r="H96" s="23" t="n">
        <f aca="false">A96</f>
        <v>10</v>
      </c>
      <c r="I96" s="37" t="n">
        <f aca="false">Parametry!$C$76</f>
        <v>6</v>
      </c>
      <c r="J96" s="23" t="str">
        <f aca="false">IF(D96&gt;0,"MOŻNA KUPIĆ","ZABLOKOWANE — bez opłaty")</f>
        <v>MOŻNA KUPIĆ</v>
      </c>
      <c r="K96" s="23" t="s">
        <v>1418</v>
      </c>
    </row>
    <row r="97" customFormat="false" ht="37.5" hidden="false" customHeight="true" outlineLevel="0" collapsed="false">
      <c r="A97" s="38" t="n">
        <v>10</v>
      </c>
      <c r="B97" s="38" t="n">
        <v>50</v>
      </c>
      <c r="C97" s="38" t="n">
        <v>2</v>
      </c>
      <c r="D97" s="39" t="n">
        <f aca="false">MAX(0,1-(C97-1)*0.25)</f>
        <v>0.75</v>
      </c>
      <c r="E97" s="24" t="n">
        <f aca="false">A97*B97</f>
        <v>500</v>
      </c>
      <c r="F97" s="40" t="n">
        <f aca="false">B97*D97</f>
        <v>37.5</v>
      </c>
      <c r="G97" s="24" t="n">
        <f aca="false">ROUNDUP(F97,0)</f>
        <v>38</v>
      </c>
      <c r="H97" s="24" t="n">
        <f aca="false">A97</f>
        <v>10</v>
      </c>
      <c r="I97" s="41" t="n">
        <f aca="false">Parametry!$C$76</f>
        <v>6</v>
      </c>
      <c r="J97" s="24" t="str">
        <f aca="false">IF(D97&gt;0,"MOŻNA KUPIĆ","ZABLOKOWANE — bez opłaty")</f>
        <v>MOŻNA KUPIĆ</v>
      </c>
      <c r="K97" s="24" t="s">
        <v>1418</v>
      </c>
    </row>
    <row r="98" customFormat="false" ht="37.5" hidden="false" customHeight="true" outlineLevel="0" collapsed="false">
      <c r="A98" s="34" t="n">
        <v>10</v>
      </c>
      <c r="B98" s="34" t="n">
        <v>50</v>
      </c>
      <c r="C98" s="34" t="n">
        <v>3</v>
      </c>
      <c r="D98" s="35" t="n">
        <f aca="false">MAX(0,1-(C98-1)*0.25)</f>
        <v>0.5</v>
      </c>
      <c r="E98" s="23" t="n">
        <f aca="false">A98*B98</f>
        <v>500</v>
      </c>
      <c r="F98" s="36" t="n">
        <f aca="false">B98*D98</f>
        <v>25</v>
      </c>
      <c r="G98" s="23" t="n">
        <f aca="false">ROUNDUP(F98,0)</f>
        <v>25</v>
      </c>
      <c r="H98" s="23" t="n">
        <f aca="false">A98</f>
        <v>10</v>
      </c>
      <c r="I98" s="37" t="n">
        <f aca="false">Parametry!$C$76</f>
        <v>6</v>
      </c>
      <c r="J98" s="23" t="str">
        <f aca="false">IF(D98&gt;0,"MOŻNA KUPIĆ","ZABLOKOWANE — bez opłaty")</f>
        <v>MOŻNA KUPIĆ</v>
      </c>
      <c r="K98" s="23" t="s">
        <v>1418</v>
      </c>
    </row>
    <row r="99" customFormat="false" ht="37.5" hidden="false" customHeight="true" outlineLevel="0" collapsed="false">
      <c r="A99" s="38" t="n">
        <v>10</v>
      </c>
      <c r="B99" s="38" t="n">
        <v>50</v>
      </c>
      <c r="C99" s="38" t="n">
        <v>4</v>
      </c>
      <c r="D99" s="39" t="n">
        <f aca="false">MAX(0,1-(C99-1)*0.25)</f>
        <v>0.25</v>
      </c>
      <c r="E99" s="24" t="n">
        <f aca="false">A99*B99</f>
        <v>500</v>
      </c>
      <c r="F99" s="40" t="n">
        <f aca="false">B99*D99</f>
        <v>12.5</v>
      </c>
      <c r="G99" s="24" t="n">
        <f aca="false">ROUNDUP(F99,0)</f>
        <v>13</v>
      </c>
      <c r="H99" s="24" t="n">
        <f aca="false">A99</f>
        <v>10</v>
      </c>
      <c r="I99" s="41" t="n">
        <f aca="false">Parametry!$C$76</f>
        <v>6</v>
      </c>
      <c r="J99" s="24" t="str">
        <f aca="false">IF(D99&gt;0,"MOŻNA KUPIĆ","ZABLOKOWANE — bez opłaty")</f>
        <v>MOŻNA KUPIĆ</v>
      </c>
      <c r="K99" s="24" t="s">
        <v>1418</v>
      </c>
    </row>
    <row r="100" customFormat="false" ht="37.5" hidden="false" customHeight="true" outlineLevel="0" collapsed="false">
      <c r="A100" s="34" t="n">
        <v>10</v>
      </c>
      <c r="B100" s="34" t="n">
        <v>50</v>
      </c>
      <c r="C100" s="34" t="n">
        <v>5</v>
      </c>
      <c r="D100" s="35" t="n">
        <f aca="false">MAX(0,1-(C100-1)*0.25)</f>
        <v>0</v>
      </c>
      <c r="E100" s="23" t="n">
        <f aca="false">A100*B100</f>
        <v>500</v>
      </c>
      <c r="F100" s="36" t="n">
        <f aca="false">B100*D100</f>
        <v>0</v>
      </c>
      <c r="G100" s="23" t="n">
        <f aca="false">ROUNDUP(F100,0)</f>
        <v>0</v>
      </c>
      <c r="H100" s="23" t="n">
        <f aca="false">A100</f>
        <v>10</v>
      </c>
      <c r="I100" s="37" t="n">
        <f aca="false">Parametry!$C$76</f>
        <v>6</v>
      </c>
      <c r="J100" s="23" t="str">
        <f aca="false">IF(D100&gt;0,"MOŻNA KUPIĆ","ZABLOKOWANE — bez opłaty")</f>
        <v>ZABLOKOWANE — bez opłaty</v>
      </c>
      <c r="K100" s="23" t="s">
        <v>1418</v>
      </c>
    </row>
    <row r="101" customFormat="false" ht="37.5" hidden="false" customHeight="true" outlineLevel="0" collapsed="false">
      <c r="A101" s="38" t="n">
        <v>10</v>
      </c>
      <c r="B101" s="38" t="n">
        <v>100</v>
      </c>
      <c r="C101" s="38" t="n">
        <v>1</v>
      </c>
      <c r="D101" s="39" t="n">
        <f aca="false">MAX(0,1-(C101-1)*0.25)</f>
        <v>1</v>
      </c>
      <c r="E101" s="24" t="n">
        <f aca="false">A101*B101</f>
        <v>1000</v>
      </c>
      <c r="F101" s="40" t="n">
        <f aca="false">B101*D101</f>
        <v>100</v>
      </c>
      <c r="G101" s="24" t="n">
        <f aca="false">ROUNDUP(F101,0)</f>
        <v>100</v>
      </c>
      <c r="H101" s="24" t="n">
        <f aca="false">A101</f>
        <v>10</v>
      </c>
      <c r="I101" s="41" t="n">
        <f aca="false">Parametry!$C$76</f>
        <v>6</v>
      </c>
      <c r="J101" s="24" t="str">
        <f aca="false">IF(D101&gt;0,"MOŻNA KUPIĆ","ZABLOKOWANE — bez opłaty")</f>
        <v>MOŻNA KUPIĆ</v>
      </c>
      <c r="K101" s="24" t="s">
        <v>1418</v>
      </c>
    </row>
    <row r="102" customFormat="false" ht="37.5" hidden="false" customHeight="true" outlineLevel="0" collapsed="false">
      <c r="A102" s="34" t="n">
        <v>10</v>
      </c>
      <c r="B102" s="34" t="n">
        <v>100</v>
      </c>
      <c r="C102" s="34" t="n">
        <v>2</v>
      </c>
      <c r="D102" s="35" t="n">
        <f aca="false">MAX(0,1-(C102-1)*0.25)</f>
        <v>0.75</v>
      </c>
      <c r="E102" s="23" t="n">
        <f aca="false">A102*B102</f>
        <v>1000</v>
      </c>
      <c r="F102" s="36" t="n">
        <f aca="false">B102*D102</f>
        <v>75</v>
      </c>
      <c r="G102" s="23" t="n">
        <f aca="false">ROUNDUP(F102,0)</f>
        <v>75</v>
      </c>
      <c r="H102" s="23" t="n">
        <f aca="false">A102</f>
        <v>10</v>
      </c>
      <c r="I102" s="37" t="n">
        <f aca="false">Parametry!$C$76</f>
        <v>6</v>
      </c>
      <c r="J102" s="23" t="str">
        <f aca="false">IF(D102&gt;0,"MOŻNA KUPIĆ","ZABLOKOWANE — bez opłaty")</f>
        <v>MOŻNA KUPIĆ</v>
      </c>
      <c r="K102" s="23" t="s">
        <v>1418</v>
      </c>
    </row>
    <row r="103" customFormat="false" ht="37.5" hidden="false" customHeight="true" outlineLevel="0" collapsed="false">
      <c r="A103" s="38" t="n">
        <v>10</v>
      </c>
      <c r="B103" s="38" t="n">
        <v>100</v>
      </c>
      <c r="C103" s="38" t="n">
        <v>3</v>
      </c>
      <c r="D103" s="39" t="n">
        <f aca="false">MAX(0,1-(C103-1)*0.25)</f>
        <v>0.5</v>
      </c>
      <c r="E103" s="24" t="n">
        <f aca="false">A103*B103</f>
        <v>1000</v>
      </c>
      <c r="F103" s="40" t="n">
        <f aca="false">B103*D103</f>
        <v>50</v>
      </c>
      <c r="G103" s="24" t="n">
        <f aca="false">ROUNDUP(F103,0)</f>
        <v>50</v>
      </c>
      <c r="H103" s="24" t="n">
        <f aca="false">A103</f>
        <v>10</v>
      </c>
      <c r="I103" s="41" t="n">
        <f aca="false">Parametry!$C$76</f>
        <v>6</v>
      </c>
      <c r="J103" s="24" t="str">
        <f aca="false">IF(D103&gt;0,"MOŻNA KUPIĆ","ZABLOKOWANE — bez opłaty")</f>
        <v>MOŻNA KUPIĆ</v>
      </c>
      <c r="K103" s="24" t="s">
        <v>1418</v>
      </c>
    </row>
    <row r="104" customFormat="false" ht="37.5" hidden="false" customHeight="true" outlineLevel="0" collapsed="false">
      <c r="A104" s="34" t="n">
        <v>10</v>
      </c>
      <c r="B104" s="34" t="n">
        <v>100</v>
      </c>
      <c r="C104" s="34" t="n">
        <v>4</v>
      </c>
      <c r="D104" s="35" t="n">
        <f aca="false">MAX(0,1-(C104-1)*0.25)</f>
        <v>0.25</v>
      </c>
      <c r="E104" s="23" t="n">
        <f aca="false">A104*B104</f>
        <v>1000</v>
      </c>
      <c r="F104" s="36" t="n">
        <f aca="false">B104*D104</f>
        <v>25</v>
      </c>
      <c r="G104" s="23" t="n">
        <f aca="false">ROUNDUP(F104,0)</f>
        <v>25</v>
      </c>
      <c r="H104" s="23" t="n">
        <f aca="false">A104</f>
        <v>10</v>
      </c>
      <c r="I104" s="37" t="n">
        <f aca="false">Parametry!$C$76</f>
        <v>6</v>
      </c>
      <c r="J104" s="23" t="str">
        <f aca="false">IF(D104&gt;0,"MOŻNA KUPIĆ","ZABLOKOWANE — bez opłaty")</f>
        <v>MOŻNA KUPIĆ</v>
      </c>
      <c r="K104" s="23" t="s">
        <v>1418</v>
      </c>
    </row>
    <row r="105" customFormat="false" ht="37.5" hidden="false" customHeight="true" outlineLevel="0" collapsed="false">
      <c r="A105" s="38" t="n">
        <v>10</v>
      </c>
      <c r="B105" s="38" t="n">
        <v>100</v>
      </c>
      <c r="C105" s="38" t="n">
        <v>5</v>
      </c>
      <c r="D105" s="39" t="n">
        <f aca="false">MAX(0,1-(C105-1)*0.25)</f>
        <v>0</v>
      </c>
      <c r="E105" s="24" t="n">
        <f aca="false">A105*B105</f>
        <v>1000</v>
      </c>
      <c r="F105" s="40" t="n">
        <f aca="false">B105*D105</f>
        <v>0</v>
      </c>
      <c r="G105" s="24" t="n">
        <f aca="false">ROUNDUP(F105,0)</f>
        <v>0</v>
      </c>
      <c r="H105" s="24" t="n">
        <f aca="false">A105</f>
        <v>10</v>
      </c>
      <c r="I105" s="41" t="n">
        <f aca="false">Parametry!$C$76</f>
        <v>6</v>
      </c>
      <c r="J105" s="24" t="str">
        <f aca="false">IF(D105&gt;0,"MOŻNA KUPIĆ","ZABLOKOWANE — bez opłaty")</f>
        <v>ZABLOKOWANE — bez opłaty</v>
      </c>
      <c r="K105" s="24" t="s">
        <v>1418</v>
      </c>
    </row>
  </sheetData>
  <autoFilter ref="A5:K105"/>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18"/>
    <col collapsed="false" customWidth="true" hidden="false" outlineLevel="0" max="2" min="2" style="10" width="20"/>
    <col collapsed="false" customWidth="true" hidden="false" outlineLevel="0" max="3" min="3" style="10" width="16"/>
    <col collapsed="false" customWidth="true" hidden="false" outlineLevel="0" max="4" min="4" style="10" width="25"/>
    <col collapsed="false" customWidth="true" hidden="false" outlineLevel="0" max="5" min="5" style="10" width="21"/>
    <col collapsed="false" customWidth="true" hidden="false" outlineLevel="0" max="6" min="6" style="10" width="20"/>
    <col collapsed="false" customWidth="true" hidden="false" outlineLevel="0" max="7" min="7" style="10" width="22"/>
    <col collapsed="false" customWidth="true" hidden="false" outlineLevel="0" max="8" min="8" style="10" width="19"/>
    <col collapsed="false" customWidth="true" hidden="false" outlineLevel="0" max="9" min="9" style="10" width="21"/>
    <col collapsed="false" customWidth="true" hidden="false" outlineLevel="0" max="10" min="10" style="10" width="23"/>
    <col collapsed="false" customWidth="true" hidden="false" outlineLevel="0" max="11" min="11" style="10" width="80"/>
  </cols>
  <sheetData>
    <row r="1" customFormat="false" ht="31.5" hidden="false" customHeight="true" outlineLevel="0" collapsed="false">
      <c r="A1" s="21" t="s">
        <v>1419</v>
      </c>
      <c r="B1" s="21"/>
      <c r="C1" s="21"/>
      <c r="D1" s="21"/>
      <c r="E1" s="21"/>
      <c r="F1" s="21"/>
      <c r="G1" s="21"/>
      <c r="H1" s="21"/>
      <c r="I1" s="21"/>
      <c r="J1" s="21"/>
      <c r="K1" s="21"/>
    </row>
    <row r="2" customFormat="false" ht="75.75" hidden="false" customHeight="true" outlineLevel="0" collapsed="false">
      <c r="A2" s="2" t="s">
        <v>1420</v>
      </c>
      <c r="B2" s="2"/>
      <c r="C2" s="2"/>
      <c r="D2" s="2"/>
      <c r="E2" s="2"/>
      <c r="F2" s="2"/>
      <c r="G2" s="2"/>
      <c r="H2" s="2"/>
      <c r="I2" s="2"/>
      <c r="J2" s="2"/>
      <c r="K2" s="2"/>
    </row>
    <row r="5" customFormat="false" ht="33.75" hidden="false" customHeight="true" outlineLevel="0" collapsed="false">
      <c r="A5" s="22" t="s">
        <v>1421</v>
      </c>
      <c r="B5" s="22" t="s">
        <v>1422</v>
      </c>
      <c r="C5" s="22" t="s">
        <v>1423</v>
      </c>
      <c r="D5" s="22" t="s">
        <v>1424</v>
      </c>
      <c r="E5" s="22" t="s">
        <v>1425</v>
      </c>
      <c r="F5" s="22" t="s">
        <v>1426</v>
      </c>
      <c r="G5" s="22" t="s">
        <v>1427</v>
      </c>
      <c r="H5" s="22" t="s">
        <v>1428</v>
      </c>
      <c r="I5" s="22" t="s">
        <v>1429</v>
      </c>
      <c r="J5" s="22" t="s">
        <v>1430</v>
      </c>
      <c r="K5" s="22" t="s">
        <v>1431</v>
      </c>
    </row>
    <row r="6" customFormat="false" ht="33.75" hidden="false" customHeight="true" outlineLevel="0" collapsed="false">
      <c r="A6" s="23" t="n">
        <v>0</v>
      </c>
      <c r="B6" s="23" t="n">
        <v>0</v>
      </c>
      <c r="C6" s="37" t="n">
        <f aca="false">Parametry!$C$70</f>
        <v>100</v>
      </c>
      <c r="D6" s="23" t="n">
        <f aca="false">IF(A6=0,0,Parametry!$C$68*C6)</f>
        <v>0</v>
      </c>
      <c r="E6" s="23" t="n">
        <f aca="false">A6*Parametry!$C$68*C6</f>
        <v>0</v>
      </c>
      <c r="F6" s="35" t="n">
        <f aca="false">A6*Parametry!$C$71</f>
        <v>0</v>
      </c>
      <c r="G6" s="42" t="n">
        <f aca="false">1+F6</f>
        <v>1</v>
      </c>
      <c r="H6" s="35" t="n">
        <f aca="false">MAX(0,A6-2)*Parametry!$C$72</f>
        <v>0</v>
      </c>
      <c r="I6" s="42" t="n">
        <f aca="false">1+H6</f>
        <v>1</v>
      </c>
      <c r="J6" s="43" t="n">
        <f aca="false">300/G6</f>
        <v>300</v>
      </c>
      <c r="K6" s="23" t="s">
        <v>1432</v>
      </c>
    </row>
    <row r="7" customFormat="false" ht="33.75" hidden="false" customHeight="true" outlineLevel="0" collapsed="false">
      <c r="A7" s="24" t="n">
        <v>1</v>
      </c>
      <c r="B7" s="24" t="n">
        <v>100</v>
      </c>
      <c r="C7" s="41" t="n">
        <f aca="false">Parametry!$C$70</f>
        <v>100</v>
      </c>
      <c r="D7" s="24" t="n">
        <f aca="false">IF(A7=0,0,Parametry!$C$68*C7)</f>
        <v>10000</v>
      </c>
      <c r="E7" s="24" t="n">
        <f aca="false">A7*Parametry!$C$68*C7</f>
        <v>10000</v>
      </c>
      <c r="F7" s="39" t="n">
        <f aca="false">A7*Parametry!$C$71</f>
        <v>0.1</v>
      </c>
      <c r="G7" s="44" t="n">
        <f aca="false">1+F7</f>
        <v>1.1</v>
      </c>
      <c r="H7" s="39" t="n">
        <f aca="false">MAX(0,A7-2)*Parametry!$C$72</f>
        <v>0</v>
      </c>
      <c r="I7" s="44" t="n">
        <f aca="false">1+H7</f>
        <v>1</v>
      </c>
      <c r="J7" s="45" t="n">
        <f aca="false">300/G7</f>
        <v>272.727272727273</v>
      </c>
      <c r="K7" s="24" t="s">
        <v>1432</v>
      </c>
    </row>
    <row r="8" customFormat="false" ht="33.75" hidden="false" customHeight="true" outlineLevel="0" collapsed="false">
      <c r="A8" s="23" t="n">
        <v>2</v>
      </c>
      <c r="B8" s="23" t="n">
        <v>100</v>
      </c>
      <c r="C8" s="37" t="n">
        <f aca="false">Parametry!$C$70</f>
        <v>100</v>
      </c>
      <c r="D8" s="23" t="n">
        <f aca="false">IF(A8=0,0,Parametry!$C$68*C8)</f>
        <v>10000</v>
      </c>
      <c r="E8" s="23" t="n">
        <f aca="false">A8*Parametry!$C$68*C8</f>
        <v>20000</v>
      </c>
      <c r="F8" s="35" t="n">
        <f aca="false">A8*Parametry!$C$71</f>
        <v>0.2</v>
      </c>
      <c r="G8" s="42" t="n">
        <f aca="false">1+F8</f>
        <v>1.2</v>
      </c>
      <c r="H8" s="35" t="n">
        <f aca="false">MAX(0,A8-2)*Parametry!$C$72</f>
        <v>0</v>
      </c>
      <c r="I8" s="42" t="n">
        <f aca="false">1+H8</f>
        <v>1</v>
      </c>
      <c r="J8" s="43" t="n">
        <f aca="false">300/G8</f>
        <v>250</v>
      </c>
      <c r="K8" s="23" t="s">
        <v>1432</v>
      </c>
    </row>
    <row r="9" customFormat="false" ht="33.75" hidden="false" customHeight="true" outlineLevel="0" collapsed="false">
      <c r="A9" s="24" t="n">
        <v>3</v>
      </c>
      <c r="B9" s="24" t="n">
        <v>100</v>
      </c>
      <c r="C9" s="41" t="n">
        <f aca="false">Parametry!$C$70</f>
        <v>100</v>
      </c>
      <c r="D9" s="24" t="n">
        <f aca="false">IF(A9=0,0,Parametry!$C$68*C9)</f>
        <v>10000</v>
      </c>
      <c r="E9" s="24" t="n">
        <f aca="false">A9*Parametry!$C$68*C9</f>
        <v>30000</v>
      </c>
      <c r="F9" s="39" t="n">
        <f aca="false">A9*Parametry!$C$71</f>
        <v>0.3</v>
      </c>
      <c r="G9" s="44" t="n">
        <f aca="false">1+F9</f>
        <v>1.3</v>
      </c>
      <c r="H9" s="39" t="n">
        <f aca="false">MAX(0,A9-2)*Parametry!$C$72</f>
        <v>0.1</v>
      </c>
      <c r="I9" s="44" t="n">
        <f aca="false">1+H9</f>
        <v>1.1</v>
      </c>
      <c r="J9" s="45" t="n">
        <f aca="false">300/G9</f>
        <v>230.769230769231</v>
      </c>
      <c r="K9" s="24" t="s">
        <v>1432</v>
      </c>
    </row>
    <row r="10" customFormat="false" ht="33.75" hidden="false" customHeight="true" outlineLevel="0" collapsed="false">
      <c r="A10" s="23" t="n">
        <v>4</v>
      </c>
      <c r="B10" s="23" t="n">
        <v>100</v>
      </c>
      <c r="C10" s="37" t="n">
        <f aca="false">Parametry!$C$70</f>
        <v>100</v>
      </c>
      <c r="D10" s="23" t="n">
        <f aca="false">IF(A10=0,0,Parametry!$C$68*C10)</f>
        <v>10000</v>
      </c>
      <c r="E10" s="23" t="n">
        <f aca="false">A10*Parametry!$C$68*C10</f>
        <v>40000</v>
      </c>
      <c r="F10" s="35" t="n">
        <f aca="false">A10*Parametry!$C$71</f>
        <v>0.4</v>
      </c>
      <c r="G10" s="42" t="n">
        <f aca="false">1+F10</f>
        <v>1.4</v>
      </c>
      <c r="H10" s="35" t="n">
        <f aca="false">MAX(0,A10-2)*Parametry!$C$72</f>
        <v>0.2</v>
      </c>
      <c r="I10" s="42" t="n">
        <f aca="false">1+H10</f>
        <v>1.2</v>
      </c>
      <c r="J10" s="43" t="n">
        <f aca="false">300/G10</f>
        <v>214.285714285714</v>
      </c>
      <c r="K10" s="23" t="s">
        <v>1432</v>
      </c>
    </row>
    <row r="11" customFormat="false" ht="33.75" hidden="false" customHeight="true" outlineLevel="0" collapsed="false">
      <c r="A11" s="24" t="n">
        <v>5</v>
      </c>
      <c r="B11" s="24" t="n">
        <v>100</v>
      </c>
      <c r="C11" s="41" t="n">
        <f aca="false">Parametry!$C$70</f>
        <v>100</v>
      </c>
      <c r="D11" s="24" t="n">
        <f aca="false">IF(A11=0,0,Parametry!$C$68*C11)</f>
        <v>10000</v>
      </c>
      <c r="E11" s="24" t="n">
        <f aca="false">A11*Parametry!$C$68*C11</f>
        <v>50000</v>
      </c>
      <c r="F11" s="39" t="n">
        <f aca="false">A11*Parametry!$C$71</f>
        <v>0.5</v>
      </c>
      <c r="G11" s="44" t="n">
        <f aca="false">1+F11</f>
        <v>1.5</v>
      </c>
      <c r="H11" s="39" t="n">
        <f aca="false">MAX(0,A11-2)*Parametry!$C$72</f>
        <v>0.3</v>
      </c>
      <c r="I11" s="44" t="n">
        <f aca="false">1+H11</f>
        <v>1.3</v>
      </c>
      <c r="J11" s="45" t="n">
        <f aca="false">300/G11</f>
        <v>200</v>
      </c>
      <c r="K11" s="24" t="s">
        <v>1432</v>
      </c>
    </row>
  </sheetData>
  <autoFilter ref="A5:K11"/>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0" width="14"/>
    <col collapsed="false" customWidth="true" hidden="false" outlineLevel="0" max="5" min="3" style="10" width="18"/>
    <col collapsed="false" customWidth="true" hidden="false" outlineLevel="0" max="6" min="6" style="10" width="22"/>
    <col collapsed="false" customWidth="true" hidden="false" outlineLevel="0" max="8" min="7" style="10" width="23"/>
    <col collapsed="false" customWidth="true" hidden="false" outlineLevel="0" max="9" min="9" style="10" width="20"/>
    <col collapsed="false" customWidth="true" hidden="false" outlineLevel="0" max="10" min="10" style="10" width="18"/>
    <col collapsed="false" customWidth="true" hidden="false" outlineLevel="0" max="12" min="11" style="10" width="20"/>
    <col collapsed="false" customWidth="true" hidden="false" outlineLevel="0" max="13" min="13" style="10" width="78"/>
  </cols>
  <sheetData>
    <row r="1" customFormat="false" ht="31.5" hidden="false" customHeight="true" outlineLevel="0" collapsed="false">
      <c r="A1" s="21" t="s">
        <v>1433</v>
      </c>
      <c r="B1" s="21"/>
      <c r="C1" s="21"/>
      <c r="D1" s="21"/>
      <c r="E1" s="21"/>
      <c r="F1" s="21"/>
      <c r="G1" s="21"/>
      <c r="H1" s="21"/>
      <c r="I1" s="21"/>
      <c r="J1" s="21"/>
      <c r="K1" s="21"/>
      <c r="L1" s="21"/>
      <c r="M1" s="21"/>
    </row>
    <row r="2" customFormat="false" ht="75.75" hidden="false" customHeight="true" outlineLevel="0" collapsed="false">
      <c r="A2" s="2" t="s">
        <v>1434</v>
      </c>
      <c r="B2" s="2"/>
      <c r="C2" s="2"/>
      <c r="D2" s="2"/>
      <c r="E2" s="2"/>
      <c r="F2" s="2"/>
      <c r="G2" s="2"/>
      <c r="H2" s="2"/>
      <c r="I2" s="2"/>
      <c r="J2" s="2"/>
      <c r="K2" s="2"/>
      <c r="L2" s="2"/>
      <c r="M2" s="2"/>
    </row>
    <row r="5" customFormat="false" ht="33.75" hidden="false" customHeight="true" outlineLevel="0" collapsed="false">
      <c r="A5" s="22" t="s">
        <v>1435</v>
      </c>
      <c r="B5" s="22" t="s">
        <v>1436</v>
      </c>
      <c r="C5" s="22" t="s">
        <v>1437</v>
      </c>
      <c r="D5" s="22" t="s">
        <v>1438</v>
      </c>
      <c r="E5" s="22" t="s">
        <v>1439</v>
      </c>
      <c r="F5" s="22" t="s">
        <v>1427</v>
      </c>
      <c r="G5" s="22" t="s">
        <v>1440</v>
      </c>
      <c r="H5" s="22" t="s">
        <v>1441</v>
      </c>
      <c r="I5" s="22" t="s">
        <v>1442</v>
      </c>
      <c r="J5" s="22" t="s">
        <v>561</v>
      </c>
      <c r="K5" s="22" t="s">
        <v>1443</v>
      </c>
      <c r="L5" s="22" t="s">
        <v>1444</v>
      </c>
      <c r="M5" s="22" t="s">
        <v>1445</v>
      </c>
    </row>
    <row r="6" customFormat="false" ht="33.75" hidden="false" customHeight="true" outlineLevel="0" collapsed="false">
      <c r="A6" s="23" t="n">
        <v>1</v>
      </c>
      <c r="B6" s="23" t="n">
        <v>0</v>
      </c>
      <c r="C6" s="23" t="n">
        <f aca="false">ROUNDDOWN(Parametry!$C$9*Parametry!$C$10^(A6-1),0)</f>
        <v>60</v>
      </c>
      <c r="D6" s="23" t="n">
        <f aca="false">1+Parametry!$C$72*MAX(0,B6-2)</f>
        <v>1</v>
      </c>
      <c r="E6" s="23" t="n">
        <f aca="false">ROUNDDOWN(C6*D6,0)</f>
        <v>60</v>
      </c>
      <c r="F6" s="23" t="n">
        <f aca="false">1+Parametry!$C$71*B6</f>
        <v>1</v>
      </c>
      <c r="G6" s="36" t="n">
        <f aca="false">300/F6</f>
        <v>300</v>
      </c>
      <c r="H6" s="36" t="n">
        <f aca="false">G6/0.5</f>
        <v>600</v>
      </c>
      <c r="I6" s="23" t="n">
        <v>100</v>
      </c>
      <c r="J6" s="23" t="n">
        <f aca="false">ROUNDUP(I6/E6,0)</f>
        <v>2</v>
      </c>
      <c r="K6" s="36" t="n">
        <f aca="false">J6*G6</f>
        <v>600</v>
      </c>
      <c r="L6" s="23" t="n">
        <f aca="false">J6*Parametry!$C$43</f>
        <v>20</v>
      </c>
      <c r="M6" s="23" t="s">
        <v>1446</v>
      </c>
    </row>
    <row r="7" customFormat="false" ht="33.75" hidden="false" customHeight="true" outlineLevel="0" collapsed="false">
      <c r="A7" s="24" t="n">
        <v>1</v>
      </c>
      <c r="B7" s="24" t="n">
        <v>1</v>
      </c>
      <c r="C7" s="24" t="n">
        <f aca="false">ROUNDDOWN(Parametry!$C$9*Parametry!$C$10^(A7-1),0)</f>
        <v>60</v>
      </c>
      <c r="D7" s="24" t="n">
        <f aca="false">1+Parametry!$C$72*MAX(0,B7-2)</f>
        <v>1</v>
      </c>
      <c r="E7" s="24" t="n">
        <f aca="false">ROUNDDOWN(C7*D7,0)</f>
        <v>60</v>
      </c>
      <c r="F7" s="24" t="n">
        <f aca="false">1+Parametry!$C$71*B7</f>
        <v>1.1</v>
      </c>
      <c r="G7" s="40" t="n">
        <f aca="false">300/F7</f>
        <v>272.727272727273</v>
      </c>
      <c r="H7" s="40" t="n">
        <f aca="false">G7/0.5</f>
        <v>545.454545454545</v>
      </c>
      <c r="I7" s="24" t="n">
        <v>100</v>
      </c>
      <c r="J7" s="24" t="n">
        <f aca="false">ROUNDUP(I7/E7,0)</f>
        <v>2</v>
      </c>
      <c r="K7" s="40" t="n">
        <f aca="false">J7*G7</f>
        <v>545.454545454545</v>
      </c>
      <c r="L7" s="24" t="n">
        <f aca="false">J7*Parametry!$C$43</f>
        <v>20</v>
      </c>
      <c r="M7" s="24" t="s">
        <v>1446</v>
      </c>
    </row>
    <row r="8" customFormat="false" ht="33.75" hidden="false" customHeight="true" outlineLevel="0" collapsed="false">
      <c r="A8" s="23" t="n">
        <v>1</v>
      </c>
      <c r="B8" s="23" t="n">
        <v>2</v>
      </c>
      <c r="C8" s="23" t="n">
        <f aca="false">ROUNDDOWN(Parametry!$C$9*Parametry!$C$10^(A8-1),0)</f>
        <v>60</v>
      </c>
      <c r="D8" s="23" t="n">
        <f aca="false">1+Parametry!$C$72*MAX(0,B8-2)</f>
        <v>1</v>
      </c>
      <c r="E8" s="23" t="n">
        <f aca="false">ROUNDDOWN(C8*D8,0)</f>
        <v>60</v>
      </c>
      <c r="F8" s="23" t="n">
        <f aca="false">1+Parametry!$C$71*B8</f>
        <v>1.2</v>
      </c>
      <c r="G8" s="36" t="n">
        <f aca="false">300/F8</f>
        <v>250</v>
      </c>
      <c r="H8" s="36" t="n">
        <f aca="false">G8/0.5</f>
        <v>500</v>
      </c>
      <c r="I8" s="23" t="n">
        <v>100</v>
      </c>
      <c r="J8" s="23" t="n">
        <f aca="false">ROUNDUP(I8/E8,0)</f>
        <v>2</v>
      </c>
      <c r="K8" s="36" t="n">
        <f aca="false">J8*G8</f>
        <v>500</v>
      </c>
      <c r="L8" s="23" t="n">
        <f aca="false">J8*Parametry!$C$43</f>
        <v>20</v>
      </c>
      <c r="M8" s="23" t="s">
        <v>1446</v>
      </c>
    </row>
    <row r="9" customFormat="false" ht="33.75" hidden="false" customHeight="true" outlineLevel="0" collapsed="false">
      <c r="A9" s="24" t="n">
        <v>1</v>
      </c>
      <c r="B9" s="24" t="n">
        <v>3</v>
      </c>
      <c r="C9" s="24" t="n">
        <f aca="false">ROUNDDOWN(Parametry!$C$9*Parametry!$C$10^(A9-1),0)</f>
        <v>60</v>
      </c>
      <c r="D9" s="24" t="n">
        <f aca="false">1+Parametry!$C$72*MAX(0,B9-2)</f>
        <v>1.1</v>
      </c>
      <c r="E9" s="24" t="n">
        <f aca="false">ROUNDDOWN(C9*D9,0)</f>
        <v>66</v>
      </c>
      <c r="F9" s="24" t="n">
        <f aca="false">1+Parametry!$C$71*B9</f>
        <v>1.3</v>
      </c>
      <c r="G9" s="40" t="n">
        <f aca="false">300/F9</f>
        <v>230.769230769231</v>
      </c>
      <c r="H9" s="40" t="n">
        <f aca="false">G9/0.5</f>
        <v>461.538461538462</v>
      </c>
      <c r="I9" s="24" t="n">
        <v>100</v>
      </c>
      <c r="J9" s="24" t="n">
        <f aca="false">ROUNDUP(I9/E9,0)</f>
        <v>2</v>
      </c>
      <c r="K9" s="40" t="n">
        <f aca="false">J9*G9</f>
        <v>461.538461538462</v>
      </c>
      <c r="L9" s="24" t="n">
        <f aca="false">J9*Parametry!$C$43</f>
        <v>20</v>
      </c>
      <c r="M9" s="24" t="s">
        <v>1446</v>
      </c>
    </row>
    <row r="10" customFormat="false" ht="33.75" hidden="false" customHeight="true" outlineLevel="0" collapsed="false">
      <c r="A10" s="23" t="n">
        <v>1</v>
      </c>
      <c r="B10" s="23" t="n">
        <v>4</v>
      </c>
      <c r="C10" s="23" t="n">
        <f aca="false">ROUNDDOWN(Parametry!$C$9*Parametry!$C$10^(A10-1),0)</f>
        <v>60</v>
      </c>
      <c r="D10" s="23" t="n">
        <f aca="false">1+Parametry!$C$72*MAX(0,B10-2)</f>
        <v>1.2</v>
      </c>
      <c r="E10" s="23" t="n">
        <f aca="false">ROUNDDOWN(C10*D10,0)</f>
        <v>72</v>
      </c>
      <c r="F10" s="23" t="n">
        <f aca="false">1+Parametry!$C$71*B10</f>
        <v>1.4</v>
      </c>
      <c r="G10" s="36" t="n">
        <f aca="false">300/F10</f>
        <v>214.285714285714</v>
      </c>
      <c r="H10" s="36" t="n">
        <f aca="false">G10/0.5</f>
        <v>428.571428571429</v>
      </c>
      <c r="I10" s="23" t="n">
        <v>100</v>
      </c>
      <c r="J10" s="23" t="n">
        <f aca="false">ROUNDUP(I10/E10,0)</f>
        <v>2</v>
      </c>
      <c r="K10" s="36" t="n">
        <f aca="false">J10*G10</f>
        <v>428.571428571429</v>
      </c>
      <c r="L10" s="23" t="n">
        <f aca="false">J10*Parametry!$C$43</f>
        <v>20</v>
      </c>
      <c r="M10" s="23" t="s">
        <v>1446</v>
      </c>
    </row>
    <row r="11" customFormat="false" ht="33.75" hidden="false" customHeight="true" outlineLevel="0" collapsed="false">
      <c r="A11" s="24" t="n">
        <v>1</v>
      </c>
      <c r="B11" s="24" t="n">
        <v>5</v>
      </c>
      <c r="C11" s="24" t="n">
        <f aca="false">ROUNDDOWN(Parametry!$C$9*Parametry!$C$10^(A11-1),0)</f>
        <v>60</v>
      </c>
      <c r="D11" s="24" t="n">
        <f aca="false">1+Parametry!$C$72*MAX(0,B11-2)</f>
        <v>1.3</v>
      </c>
      <c r="E11" s="24" t="n">
        <f aca="false">ROUNDDOWN(C11*D11,0)</f>
        <v>78</v>
      </c>
      <c r="F11" s="24" t="n">
        <f aca="false">1+Parametry!$C$71*B11</f>
        <v>1.5</v>
      </c>
      <c r="G11" s="40" t="n">
        <f aca="false">300/F11</f>
        <v>200</v>
      </c>
      <c r="H11" s="40" t="n">
        <f aca="false">G11/0.5</f>
        <v>400</v>
      </c>
      <c r="I11" s="24" t="n">
        <v>100</v>
      </c>
      <c r="J11" s="24" t="n">
        <f aca="false">ROUNDUP(I11/E11,0)</f>
        <v>2</v>
      </c>
      <c r="K11" s="40" t="n">
        <f aca="false">J11*G11</f>
        <v>400</v>
      </c>
      <c r="L11" s="24" t="n">
        <f aca="false">J11*Parametry!$C$43</f>
        <v>20</v>
      </c>
      <c r="M11" s="24" t="s">
        <v>1446</v>
      </c>
    </row>
    <row r="12" customFormat="false" ht="33.75" hidden="false" customHeight="true" outlineLevel="0" collapsed="false">
      <c r="A12" s="23" t="n">
        <v>2</v>
      </c>
      <c r="B12" s="23" t="n">
        <v>0</v>
      </c>
      <c r="C12" s="23" t="n">
        <f aca="false">ROUNDDOWN(Parametry!$C$9*Parametry!$C$10^(A12-1),0)</f>
        <v>66</v>
      </c>
      <c r="D12" s="23" t="n">
        <f aca="false">1+Parametry!$C$72*MAX(0,B12-2)</f>
        <v>1</v>
      </c>
      <c r="E12" s="23" t="n">
        <f aca="false">ROUNDDOWN(C12*D12,0)</f>
        <v>66</v>
      </c>
      <c r="F12" s="23" t="n">
        <f aca="false">1+Parametry!$C$71*B12</f>
        <v>1</v>
      </c>
      <c r="G12" s="36" t="n">
        <f aca="false">300/F12</f>
        <v>300</v>
      </c>
      <c r="H12" s="36" t="n">
        <f aca="false">G12/0.5</f>
        <v>600</v>
      </c>
      <c r="I12" s="23" t="n">
        <v>100</v>
      </c>
      <c r="J12" s="23" t="n">
        <f aca="false">ROUNDUP(I12/E12,0)</f>
        <v>2</v>
      </c>
      <c r="K12" s="36" t="n">
        <f aca="false">J12*G12</f>
        <v>600</v>
      </c>
      <c r="L12" s="23" t="n">
        <f aca="false">J12*Parametry!$C$43</f>
        <v>20</v>
      </c>
      <c r="M12" s="23" t="s">
        <v>1446</v>
      </c>
    </row>
    <row r="13" customFormat="false" ht="33.75" hidden="false" customHeight="true" outlineLevel="0" collapsed="false">
      <c r="A13" s="24" t="n">
        <v>2</v>
      </c>
      <c r="B13" s="24" t="n">
        <v>1</v>
      </c>
      <c r="C13" s="24" t="n">
        <f aca="false">ROUNDDOWN(Parametry!$C$9*Parametry!$C$10^(A13-1),0)</f>
        <v>66</v>
      </c>
      <c r="D13" s="24" t="n">
        <f aca="false">1+Parametry!$C$72*MAX(0,B13-2)</f>
        <v>1</v>
      </c>
      <c r="E13" s="24" t="n">
        <f aca="false">ROUNDDOWN(C13*D13,0)</f>
        <v>66</v>
      </c>
      <c r="F13" s="24" t="n">
        <f aca="false">1+Parametry!$C$71*B13</f>
        <v>1.1</v>
      </c>
      <c r="G13" s="40" t="n">
        <f aca="false">300/F13</f>
        <v>272.727272727273</v>
      </c>
      <c r="H13" s="40" t="n">
        <f aca="false">G13/0.5</f>
        <v>545.454545454545</v>
      </c>
      <c r="I13" s="24" t="n">
        <v>100</v>
      </c>
      <c r="J13" s="24" t="n">
        <f aca="false">ROUNDUP(I13/E13,0)</f>
        <v>2</v>
      </c>
      <c r="K13" s="40" t="n">
        <f aca="false">J13*G13</f>
        <v>545.454545454545</v>
      </c>
      <c r="L13" s="24" t="n">
        <f aca="false">J13*Parametry!$C$43</f>
        <v>20</v>
      </c>
      <c r="M13" s="24" t="s">
        <v>1446</v>
      </c>
    </row>
    <row r="14" customFormat="false" ht="33.75" hidden="false" customHeight="true" outlineLevel="0" collapsed="false">
      <c r="A14" s="23" t="n">
        <v>2</v>
      </c>
      <c r="B14" s="23" t="n">
        <v>2</v>
      </c>
      <c r="C14" s="23" t="n">
        <f aca="false">ROUNDDOWN(Parametry!$C$9*Parametry!$C$10^(A14-1),0)</f>
        <v>66</v>
      </c>
      <c r="D14" s="23" t="n">
        <f aca="false">1+Parametry!$C$72*MAX(0,B14-2)</f>
        <v>1</v>
      </c>
      <c r="E14" s="23" t="n">
        <f aca="false">ROUNDDOWN(C14*D14,0)</f>
        <v>66</v>
      </c>
      <c r="F14" s="23" t="n">
        <f aca="false">1+Parametry!$C$71*B14</f>
        <v>1.2</v>
      </c>
      <c r="G14" s="36" t="n">
        <f aca="false">300/F14</f>
        <v>250</v>
      </c>
      <c r="H14" s="36" t="n">
        <f aca="false">G14/0.5</f>
        <v>500</v>
      </c>
      <c r="I14" s="23" t="n">
        <v>100</v>
      </c>
      <c r="J14" s="23" t="n">
        <f aca="false">ROUNDUP(I14/E14,0)</f>
        <v>2</v>
      </c>
      <c r="K14" s="36" t="n">
        <f aca="false">J14*G14</f>
        <v>500</v>
      </c>
      <c r="L14" s="23" t="n">
        <f aca="false">J14*Parametry!$C$43</f>
        <v>20</v>
      </c>
      <c r="M14" s="23" t="s">
        <v>1446</v>
      </c>
    </row>
    <row r="15" customFormat="false" ht="33.75" hidden="false" customHeight="true" outlineLevel="0" collapsed="false">
      <c r="A15" s="24" t="n">
        <v>2</v>
      </c>
      <c r="B15" s="24" t="n">
        <v>3</v>
      </c>
      <c r="C15" s="24" t="n">
        <f aca="false">ROUNDDOWN(Parametry!$C$9*Parametry!$C$10^(A15-1),0)</f>
        <v>66</v>
      </c>
      <c r="D15" s="24" t="n">
        <f aca="false">1+Parametry!$C$72*MAX(0,B15-2)</f>
        <v>1.1</v>
      </c>
      <c r="E15" s="24" t="n">
        <f aca="false">ROUNDDOWN(C15*D15,0)</f>
        <v>72</v>
      </c>
      <c r="F15" s="24" t="n">
        <f aca="false">1+Parametry!$C$71*B15</f>
        <v>1.3</v>
      </c>
      <c r="G15" s="40" t="n">
        <f aca="false">300/F15</f>
        <v>230.769230769231</v>
      </c>
      <c r="H15" s="40" t="n">
        <f aca="false">G15/0.5</f>
        <v>461.538461538462</v>
      </c>
      <c r="I15" s="24" t="n">
        <v>100</v>
      </c>
      <c r="J15" s="24" t="n">
        <f aca="false">ROUNDUP(I15/E15,0)</f>
        <v>2</v>
      </c>
      <c r="K15" s="40" t="n">
        <f aca="false">J15*G15</f>
        <v>461.538461538462</v>
      </c>
      <c r="L15" s="24" t="n">
        <f aca="false">J15*Parametry!$C$43</f>
        <v>20</v>
      </c>
      <c r="M15" s="24" t="s">
        <v>1446</v>
      </c>
    </row>
    <row r="16" customFormat="false" ht="33.75" hidden="false" customHeight="true" outlineLevel="0" collapsed="false">
      <c r="A16" s="23" t="n">
        <v>2</v>
      </c>
      <c r="B16" s="23" t="n">
        <v>4</v>
      </c>
      <c r="C16" s="23" t="n">
        <f aca="false">ROUNDDOWN(Parametry!$C$9*Parametry!$C$10^(A16-1),0)</f>
        <v>66</v>
      </c>
      <c r="D16" s="23" t="n">
        <f aca="false">1+Parametry!$C$72*MAX(0,B16-2)</f>
        <v>1.2</v>
      </c>
      <c r="E16" s="23" t="n">
        <f aca="false">ROUNDDOWN(C16*D16,0)</f>
        <v>79</v>
      </c>
      <c r="F16" s="23" t="n">
        <f aca="false">1+Parametry!$C$71*B16</f>
        <v>1.4</v>
      </c>
      <c r="G16" s="36" t="n">
        <f aca="false">300/F16</f>
        <v>214.285714285714</v>
      </c>
      <c r="H16" s="36" t="n">
        <f aca="false">G16/0.5</f>
        <v>428.571428571429</v>
      </c>
      <c r="I16" s="23" t="n">
        <v>100</v>
      </c>
      <c r="J16" s="23" t="n">
        <f aca="false">ROUNDUP(I16/E16,0)</f>
        <v>2</v>
      </c>
      <c r="K16" s="36" t="n">
        <f aca="false">J16*G16</f>
        <v>428.571428571429</v>
      </c>
      <c r="L16" s="23" t="n">
        <f aca="false">J16*Parametry!$C$43</f>
        <v>20</v>
      </c>
      <c r="M16" s="23" t="s">
        <v>1446</v>
      </c>
    </row>
    <row r="17" customFormat="false" ht="33.75" hidden="false" customHeight="true" outlineLevel="0" collapsed="false">
      <c r="A17" s="24" t="n">
        <v>2</v>
      </c>
      <c r="B17" s="24" t="n">
        <v>5</v>
      </c>
      <c r="C17" s="24" t="n">
        <f aca="false">ROUNDDOWN(Parametry!$C$9*Parametry!$C$10^(A17-1),0)</f>
        <v>66</v>
      </c>
      <c r="D17" s="24" t="n">
        <f aca="false">1+Parametry!$C$72*MAX(0,B17-2)</f>
        <v>1.3</v>
      </c>
      <c r="E17" s="24" t="n">
        <f aca="false">ROUNDDOWN(C17*D17,0)</f>
        <v>85</v>
      </c>
      <c r="F17" s="24" t="n">
        <f aca="false">1+Parametry!$C$71*B17</f>
        <v>1.5</v>
      </c>
      <c r="G17" s="40" t="n">
        <f aca="false">300/F17</f>
        <v>200</v>
      </c>
      <c r="H17" s="40" t="n">
        <f aca="false">G17/0.5</f>
        <v>400</v>
      </c>
      <c r="I17" s="24" t="n">
        <v>100</v>
      </c>
      <c r="J17" s="24" t="n">
        <f aca="false">ROUNDUP(I17/E17,0)</f>
        <v>2</v>
      </c>
      <c r="K17" s="40" t="n">
        <f aca="false">J17*G17</f>
        <v>400</v>
      </c>
      <c r="L17" s="24" t="n">
        <f aca="false">J17*Parametry!$C$43</f>
        <v>20</v>
      </c>
      <c r="M17" s="24" t="s">
        <v>1446</v>
      </c>
    </row>
    <row r="18" customFormat="false" ht="33.75" hidden="false" customHeight="true" outlineLevel="0" collapsed="false">
      <c r="A18" s="23" t="n">
        <v>3</v>
      </c>
      <c r="B18" s="23" t="n">
        <v>0</v>
      </c>
      <c r="C18" s="23" t="n">
        <f aca="false">ROUNDDOWN(Parametry!$C$9*Parametry!$C$10^(A18-1),0)</f>
        <v>72</v>
      </c>
      <c r="D18" s="23" t="n">
        <f aca="false">1+Parametry!$C$72*MAX(0,B18-2)</f>
        <v>1</v>
      </c>
      <c r="E18" s="23" t="n">
        <f aca="false">ROUNDDOWN(C18*D18,0)</f>
        <v>72</v>
      </c>
      <c r="F18" s="23" t="n">
        <f aca="false">1+Parametry!$C$71*B18</f>
        <v>1</v>
      </c>
      <c r="G18" s="36" t="n">
        <f aca="false">300/F18</f>
        <v>300</v>
      </c>
      <c r="H18" s="36" t="n">
        <f aca="false">G18/0.5</f>
        <v>600</v>
      </c>
      <c r="I18" s="23" t="n">
        <v>100</v>
      </c>
      <c r="J18" s="23" t="n">
        <f aca="false">ROUNDUP(I18/E18,0)</f>
        <v>2</v>
      </c>
      <c r="K18" s="36" t="n">
        <f aca="false">J18*G18</f>
        <v>600</v>
      </c>
      <c r="L18" s="23" t="n">
        <f aca="false">J18*Parametry!$C$43</f>
        <v>20</v>
      </c>
      <c r="M18" s="23" t="s">
        <v>1446</v>
      </c>
    </row>
    <row r="19" customFormat="false" ht="33.75" hidden="false" customHeight="true" outlineLevel="0" collapsed="false">
      <c r="A19" s="24" t="n">
        <v>3</v>
      </c>
      <c r="B19" s="24" t="n">
        <v>1</v>
      </c>
      <c r="C19" s="24" t="n">
        <f aca="false">ROUNDDOWN(Parametry!$C$9*Parametry!$C$10^(A19-1),0)</f>
        <v>72</v>
      </c>
      <c r="D19" s="24" t="n">
        <f aca="false">1+Parametry!$C$72*MAX(0,B19-2)</f>
        <v>1</v>
      </c>
      <c r="E19" s="24" t="n">
        <f aca="false">ROUNDDOWN(C19*D19,0)</f>
        <v>72</v>
      </c>
      <c r="F19" s="24" t="n">
        <f aca="false">1+Parametry!$C$71*B19</f>
        <v>1.1</v>
      </c>
      <c r="G19" s="40" t="n">
        <f aca="false">300/F19</f>
        <v>272.727272727273</v>
      </c>
      <c r="H19" s="40" t="n">
        <f aca="false">G19/0.5</f>
        <v>545.454545454545</v>
      </c>
      <c r="I19" s="24" t="n">
        <v>100</v>
      </c>
      <c r="J19" s="24" t="n">
        <f aca="false">ROUNDUP(I19/E19,0)</f>
        <v>2</v>
      </c>
      <c r="K19" s="40" t="n">
        <f aca="false">J19*G19</f>
        <v>545.454545454545</v>
      </c>
      <c r="L19" s="24" t="n">
        <f aca="false">J19*Parametry!$C$43</f>
        <v>20</v>
      </c>
      <c r="M19" s="24" t="s">
        <v>1446</v>
      </c>
    </row>
    <row r="20" customFormat="false" ht="33.75" hidden="false" customHeight="true" outlineLevel="0" collapsed="false">
      <c r="A20" s="23" t="n">
        <v>3</v>
      </c>
      <c r="B20" s="23" t="n">
        <v>2</v>
      </c>
      <c r="C20" s="23" t="n">
        <f aca="false">ROUNDDOWN(Parametry!$C$9*Parametry!$C$10^(A20-1),0)</f>
        <v>72</v>
      </c>
      <c r="D20" s="23" t="n">
        <f aca="false">1+Parametry!$C$72*MAX(0,B20-2)</f>
        <v>1</v>
      </c>
      <c r="E20" s="23" t="n">
        <f aca="false">ROUNDDOWN(C20*D20,0)</f>
        <v>72</v>
      </c>
      <c r="F20" s="23" t="n">
        <f aca="false">1+Parametry!$C$71*B20</f>
        <v>1.2</v>
      </c>
      <c r="G20" s="36" t="n">
        <f aca="false">300/F20</f>
        <v>250</v>
      </c>
      <c r="H20" s="36" t="n">
        <f aca="false">G20/0.5</f>
        <v>500</v>
      </c>
      <c r="I20" s="23" t="n">
        <v>100</v>
      </c>
      <c r="J20" s="23" t="n">
        <f aca="false">ROUNDUP(I20/E20,0)</f>
        <v>2</v>
      </c>
      <c r="K20" s="36" t="n">
        <f aca="false">J20*G20</f>
        <v>500</v>
      </c>
      <c r="L20" s="23" t="n">
        <f aca="false">J20*Parametry!$C$43</f>
        <v>20</v>
      </c>
      <c r="M20" s="23" t="s">
        <v>1446</v>
      </c>
    </row>
    <row r="21" customFormat="false" ht="33.75" hidden="false" customHeight="true" outlineLevel="0" collapsed="false">
      <c r="A21" s="24" t="n">
        <v>3</v>
      </c>
      <c r="B21" s="24" t="n">
        <v>3</v>
      </c>
      <c r="C21" s="24" t="n">
        <f aca="false">ROUNDDOWN(Parametry!$C$9*Parametry!$C$10^(A21-1),0)</f>
        <v>72</v>
      </c>
      <c r="D21" s="24" t="n">
        <f aca="false">1+Parametry!$C$72*MAX(0,B21-2)</f>
        <v>1.1</v>
      </c>
      <c r="E21" s="24" t="n">
        <f aca="false">ROUNDDOWN(C21*D21,0)</f>
        <v>79</v>
      </c>
      <c r="F21" s="24" t="n">
        <f aca="false">1+Parametry!$C$71*B21</f>
        <v>1.3</v>
      </c>
      <c r="G21" s="40" t="n">
        <f aca="false">300/F21</f>
        <v>230.769230769231</v>
      </c>
      <c r="H21" s="40" t="n">
        <f aca="false">G21/0.5</f>
        <v>461.538461538462</v>
      </c>
      <c r="I21" s="24" t="n">
        <v>100</v>
      </c>
      <c r="J21" s="24" t="n">
        <f aca="false">ROUNDUP(I21/E21,0)</f>
        <v>2</v>
      </c>
      <c r="K21" s="40" t="n">
        <f aca="false">J21*G21</f>
        <v>461.538461538462</v>
      </c>
      <c r="L21" s="24" t="n">
        <f aca="false">J21*Parametry!$C$43</f>
        <v>20</v>
      </c>
      <c r="M21" s="24" t="s">
        <v>1446</v>
      </c>
    </row>
    <row r="22" customFormat="false" ht="33.75" hidden="false" customHeight="true" outlineLevel="0" collapsed="false">
      <c r="A22" s="23" t="n">
        <v>3</v>
      </c>
      <c r="B22" s="23" t="n">
        <v>4</v>
      </c>
      <c r="C22" s="23" t="n">
        <f aca="false">ROUNDDOWN(Parametry!$C$9*Parametry!$C$10^(A22-1),0)</f>
        <v>72</v>
      </c>
      <c r="D22" s="23" t="n">
        <f aca="false">1+Parametry!$C$72*MAX(0,B22-2)</f>
        <v>1.2</v>
      </c>
      <c r="E22" s="23" t="n">
        <f aca="false">ROUNDDOWN(C22*D22,0)</f>
        <v>86</v>
      </c>
      <c r="F22" s="23" t="n">
        <f aca="false">1+Parametry!$C$71*B22</f>
        <v>1.4</v>
      </c>
      <c r="G22" s="36" t="n">
        <f aca="false">300/F22</f>
        <v>214.285714285714</v>
      </c>
      <c r="H22" s="36" t="n">
        <f aca="false">G22/0.5</f>
        <v>428.571428571429</v>
      </c>
      <c r="I22" s="23" t="n">
        <v>100</v>
      </c>
      <c r="J22" s="23" t="n">
        <f aca="false">ROUNDUP(I22/E22,0)</f>
        <v>2</v>
      </c>
      <c r="K22" s="36" t="n">
        <f aca="false">J22*G22</f>
        <v>428.571428571429</v>
      </c>
      <c r="L22" s="23" t="n">
        <f aca="false">J22*Parametry!$C$43</f>
        <v>20</v>
      </c>
      <c r="M22" s="23" t="s">
        <v>1446</v>
      </c>
    </row>
    <row r="23" customFormat="false" ht="33.75" hidden="false" customHeight="true" outlineLevel="0" collapsed="false">
      <c r="A23" s="24" t="n">
        <v>3</v>
      </c>
      <c r="B23" s="24" t="n">
        <v>5</v>
      </c>
      <c r="C23" s="24" t="n">
        <f aca="false">ROUNDDOWN(Parametry!$C$9*Parametry!$C$10^(A23-1),0)</f>
        <v>72</v>
      </c>
      <c r="D23" s="24" t="n">
        <f aca="false">1+Parametry!$C$72*MAX(0,B23-2)</f>
        <v>1.3</v>
      </c>
      <c r="E23" s="24" t="n">
        <f aca="false">ROUNDDOWN(C23*D23,0)</f>
        <v>93</v>
      </c>
      <c r="F23" s="24" t="n">
        <f aca="false">1+Parametry!$C$71*B23</f>
        <v>1.5</v>
      </c>
      <c r="G23" s="40" t="n">
        <f aca="false">300/F23</f>
        <v>200</v>
      </c>
      <c r="H23" s="40" t="n">
        <f aca="false">G23/0.5</f>
        <v>400</v>
      </c>
      <c r="I23" s="24" t="n">
        <v>100</v>
      </c>
      <c r="J23" s="24" t="n">
        <f aca="false">ROUNDUP(I23/E23,0)</f>
        <v>2</v>
      </c>
      <c r="K23" s="40" t="n">
        <f aca="false">J23*G23</f>
        <v>400</v>
      </c>
      <c r="L23" s="24" t="n">
        <f aca="false">J23*Parametry!$C$43</f>
        <v>20</v>
      </c>
      <c r="M23" s="24" t="s">
        <v>1446</v>
      </c>
    </row>
    <row r="24" customFormat="false" ht="33.75" hidden="false" customHeight="true" outlineLevel="0" collapsed="false">
      <c r="A24" s="23" t="n">
        <v>4</v>
      </c>
      <c r="B24" s="23" t="n">
        <v>0</v>
      </c>
      <c r="C24" s="23" t="n">
        <f aca="false">ROUNDDOWN(Parametry!$C$9*Parametry!$C$10^(A24-1),0)</f>
        <v>79</v>
      </c>
      <c r="D24" s="23" t="n">
        <f aca="false">1+Parametry!$C$72*MAX(0,B24-2)</f>
        <v>1</v>
      </c>
      <c r="E24" s="23" t="n">
        <f aca="false">ROUNDDOWN(C24*D24,0)</f>
        <v>79</v>
      </c>
      <c r="F24" s="23" t="n">
        <f aca="false">1+Parametry!$C$71*B24</f>
        <v>1</v>
      </c>
      <c r="G24" s="36" t="n">
        <f aca="false">300/F24</f>
        <v>300</v>
      </c>
      <c r="H24" s="36" t="n">
        <f aca="false">G24/0.5</f>
        <v>600</v>
      </c>
      <c r="I24" s="23" t="n">
        <v>100</v>
      </c>
      <c r="J24" s="23" t="n">
        <f aca="false">ROUNDUP(I24/E24,0)</f>
        <v>2</v>
      </c>
      <c r="K24" s="36" t="n">
        <f aca="false">J24*G24</f>
        <v>600</v>
      </c>
      <c r="L24" s="23" t="n">
        <f aca="false">J24*Parametry!$C$43</f>
        <v>20</v>
      </c>
      <c r="M24" s="23" t="s">
        <v>1446</v>
      </c>
    </row>
    <row r="25" customFormat="false" ht="33.75" hidden="false" customHeight="true" outlineLevel="0" collapsed="false">
      <c r="A25" s="24" t="n">
        <v>4</v>
      </c>
      <c r="B25" s="24" t="n">
        <v>1</v>
      </c>
      <c r="C25" s="24" t="n">
        <f aca="false">ROUNDDOWN(Parametry!$C$9*Parametry!$C$10^(A25-1),0)</f>
        <v>79</v>
      </c>
      <c r="D25" s="24" t="n">
        <f aca="false">1+Parametry!$C$72*MAX(0,B25-2)</f>
        <v>1</v>
      </c>
      <c r="E25" s="24" t="n">
        <f aca="false">ROUNDDOWN(C25*D25,0)</f>
        <v>79</v>
      </c>
      <c r="F25" s="24" t="n">
        <f aca="false">1+Parametry!$C$71*B25</f>
        <v>1.1</v>
      </c>
      <c r="G25" s="40" t="n">
        <f aca="false">300/F25</f>
        <v>272.727272727273</v>
      </c>
      <c r="H25" s="40" t="n">
        <f aca="false">G25/0.5</f>
        <v>545.454545454545</v>
      </c>
      <c r="I25" s="24" t="n">
        <v>100</v>
      </c>
      <c r="J25" s="24" t="n">
        <f aca="false">ROUNDUP(I25/E25,0)</f>
        <v>2</v>
      </c>
      <c r="K25" s="40" t="n">
        <f aca="false">J25*G25</f>
        <v>545.454545454545</v>
      </c>
      <c r="L25" s="24" t="n">
        <f aca="false">J25*Parametry!$C$43</f>
        <v>20</v>
      </c>
      <c r="M25" s="24" t="s">
        <v>1446</v>
      </c>
    </row>
    <row r="26" customFormat="false" ht="33.75" hidden="false" customHeight="true" outlineLevel="0" collapsed="false">
      <c r="A26" s="23" t="n">
        <v>4</v>
      </c>
      <c r="B26" s="23" t="n">
        <v>2</v>
      </c>
      <c r="C26" s="23" t="n">
        <f aca="false">ROUNDDOWN(Parametry!$C$9*Parametry!$C$10^(A26-1),0)</f>
        <v>79</v>
      </c>
      <c r="D26" s="23" t="n">
        <f aca="false">1+Parametry!$C$72*MAX(0,B26-2)</f>
        <v>1</v>
      </c>
      <c r="E26" s="23" t="n">
        <f aca="false">ROUNDDOWN(C26*D26,0)</f>
        <v>79</v>
      </c>
      <c r="F26" s="23" t="n">
        <f aca="false">1+Parametry!$C$71*B26</f>
        <v>1.2</v>
      </c>
      <c r="G26" s="36" t="n">
        <f aca="false">300/F26</f>
        <v>250</v>
      </c>
      <c r="H26" s="36" t="n">
        <f aca="false">G26/0.5</f>
        <v>500</v>
      </c>
      <c r="I26" s="23" t="n">
        <v>100</v>
      </c>
      <c r="J26" s="23" t="n">
        <f aca="false">ROUNDUP(I26/E26,0)</f>
        <v>2</v>
      </c>
      <c r="K26" s="36" t="n">
        <f aca="false">J26*G26</f>
        <v>500</v>
      </c>
      <c r="L26" s="23" t="n">
        <f aca="false">J26*Parametry!$C$43</f>
        <v>20</v>
      </c>
      <c r="M26" s="23" t="s">
        <v>1446</v>
      </c>
    </row>
    <row r="27" customFormat="false" ht="33.75" hidden="false" customHeight="true" outlineLevel="0" collapsed="false">
      <c r="A27" s="24" t="n">
        <v>4</v>
      </c>
      <c r="B27" s="24" t="n">
        <v>3</v>
      </c>
      <c r="C27" s="24" t="n">
        <f aca="false">ROUNDDOWN(Parametry!$C$9*Parametry!$C$10^(A27-1),0)</f>
        <v>79</v>
      </c>
      <c r="D27" s="24" t="n">
        <f aca="false">1+Parametry!$C$72*MAX(0,B27-2)</f>
        <v>1.1</v>
      </c>
      <c r="E27" s="24" t="n">
        <f aca="false">ROUNDDOWN(C27*D27,0)</f>
        <v>86</v>
      </c>
      <c r="F27" s="24" t="n">
        <f aca="false">1+Parametry!$C$71*B27</f>
        <v>1.3</v>
      </c>
      <c r="G27" s="40" t="n">
        <f aca="false">300/F27</f>
        <v>230.769230769231</v>
      </c>
      <c r="H27" s="40" t="n">
        <f aca="false">G27/0.5</f>
        <v>461.538461538462</v>
      </c>
      <c r="I27" s="24" t="n">
        <v>100</v>
      </c>
      <c r="J27" s="24" t="n">
        <f aca="false">ROUNDUP(I27/E27,0)</f>
        <v>2</v>
      </c>
      <c r="K27" s="40" t="n">
        <f aca="false">J27*G27</f>
        <v>461.538461538462</v>
      </c>
      <c r="L27" s="24" t="n">
        <f aca="false">J27*Parametry!$C$43</f>
        <v>20</v>
      </c>
      <c r="M27" s="24" t="s">
        <v>1446</v>
      </c>
    </row>
    <row r="28" customFormat="false" ht="33.75" hidden="false" customHeight="true" outlineLevel="0" collapsed="false">
      <c r="A28" s="23" t="n">
        <v>4</v>
      </c>
      <c r="B28" s="23" t="n">
        <v>4</v>
      </c>
      <c r="C28" s="23" t="n">
        <f aca="false">ROUNDDOWN(Parametry!$C$9*Parametry!$C$10^(A28-1),0)</f>
        <v>79</v>
      </c>
      <c r="D28" s="23" t="n">
        <f aca="false">1+Parametry!$C$72*MAX(0,B28-2)</f>
        <v>1.2</v>
      </c>
      <c r="E28" s="23" t="n">
        <f aca="false">ROUNDDOWN(C28*D28,0)</f>
        <v>94</v>
      </c>
      <c r="F28" s="23" t="n">
        <f aca="false">1+Parametry!$C$71*B28</f>
        <v>1.4</v>
      </c>
      <c r="G28" s="36" t="n">
        <f aca="false">300/F28</f>
        <v>214.285714285714</v>
      </c>
      <c r="H28" s="36" t="n">
        <f aca="false">G28/0.5</f>
        <v>428.571428571429</v>
      </c>
      <c r="I28" s="23" t="n">
        <v>100</v>
      </c>
      <c r="J28" s="23" t="n">
        <f aca="false">ROUNDUP(I28/E28,0)</f>
        <v>2</v>
      </c>
      <c r="K28" s="36" t="n">
        <f aca="false">J28*G28</f>
        <v>428.571428571429</v>
      </c>
      <c r="L28" s="23" t="n">
        <f aca="false">J28*Parametry!$C$43</f>
        <v>20</v>
      </c>
      <c r="M28" s="23" t="s">
        <v>1446</v>
      </c>
    </row>
    <row r="29" customFormat="false" ht="33.75" hidden="false" customHeight="true" outlineLevel="0" collapsed="false">
      <c r="A29" s="24" t="n">
        <v>4</v>
      </c>
      <c r="B29" s="24" t="n">
        <v>5</v>
      </c>
      <c r="C29" s="24" t="n">
        <f aca="false">ROUNDDOWN(Parametry!$C$9*Parametry!$C$10^(A29-1),0)</f>
        <v>79</v>
      </c>
      <c r="D29" s="24" t="n">
        <f aca="false">1+Parametry!$C$72*MAX(0,B29-2)</f>
        <v>1.3</v>
      </c>
      <c r="E29" s="24" t="n">
        <f aca="false">ROUNDDOWN(C29*D29,0)</f>
        <v>102</v>
      </c>
      <c r="F29" s="24" t="n">
        <f aca="false">1+Parametry!$C$71*B29</f>
        <v>1.5</v>
      </c>
      <c r="G29" s="40" t="n">
        <f aca="false">300/F29</f>
        <v>200</v>
      </c>
      <c r="H29" s="40" t="n">
        <f aca="false">G29/0.5</f>
        <v>400</v>
      </c>
      <c r="I29" s="24" t="n">
        <v>100</v>
      </c>
      <c r="J29" s="24" t="n">
        <f aca="false">ROUNDUP(I29/E29,0)</f>
        <v>1</v>
      </c>
      <c r="K29" s="40" t="n">
        <f aca="false">J29*G29</f>
        <v>200</v>
      </c>
      <c r="L29" s="24" t="n">
        <f aca="false">J29*Parametry!$C$43</f>
        <v>10</v>
      </c>
      <c r="M29" s="24" t="s">
        <v>1446</v>
      </c>
    </row>
  </sheetData>
  <autoFilter ref="A5:M29"/>
  <mergeCells count="2">
    <mergeCell ref="A1:M1"/>
    <mergeCell ref="A2:M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30"/>
    <col collapsed="false" customWidth="true" hidden="false" outlineLevel="0" max="2" min="2" style="10" width="57"/>
    <col collapsed="false" customWidth="true" hidden="false" outlineLevel="0" max="3" min="3" style="10" width="46"/>
    <col collapsed="false" customWidth="true" hidden="false" outlineLevel="0" max="5" min="4" style="10" width="50"/>
    <col collapsed="false" customWidth="true" hidden="false" outlineLevel="0" max="6" min="6" style="10" width="65"/>
  </cols>
  <sheetData>
    <row r="1" customFormat="false" ht="31.5" hidden="false" customHeight="true" outlineLevel="0" collapsed="false">
      <c r="A1" s="21" t="s">
        <v>1447</v>
      </c>
      <c r="B1" s="21"/>
      <c r="C1" s="21"/>
      <c r="D1" s="21"/>
      <c r="E1" s="21"/>
      <c r="F1" s="21"/>
    </row>
    <row r="2" customFormat="false" ht="75.75" hidden="false" customHeight="true" outlineLevel="0" collapsed="false">
      <c r="A2" s="2" t="s">
        <v>1448</v>
      </c>
      <c r="B2" s="2"/>
      <c r="C2" s="2"/>
      <c r="D2" s="2"/>
      <c r="E2" s="2"/>
      <c r="F2" s="2"/>
    </row>
    <row r="5" customFormat="false" ht="33.75" hidden="false" customHeight="true" outlineLevel="0" collapsed="false">
      <c r="A5" s="22" t="s">
        <v>1449</v>
      </c>
      <c r="B5" s="22" t="s">
        <v>1450</v>
      </c>
      <c r="C5" s="22" t="s">
        <v>1451</v>
      </c>
      <c r="D5" s="22" t="s">
        <v>1452</v>
      </c>
      <c r="E5" s="22" t="s">
        <v>1453</v>
      </c>
      <c r="F5" s="22" t="s">
        <v>1454</v>
      </c>
    </row>
    <row r="6" customFormat="false" ht="31.5" hidden="false" customHeight="true" outlineLevel="0" collapsed="false">
      <c r="A6" s="23" t="s">
        <v>35</v>
      </c>
      <c r="B6" s="23" t="s">
        <v>1455</v>
      </c>
      <c r="C6" s="23" t="s">
        <v>1456</v>
      </c>
      <c r="D6" s="23" t="s">
        <v>1457</v>
      </c>
      <c r="E6" s="23" t="s">
        <v>1458</v>
      </c>
      <c r="F6" s="23" t="s">
        <v>1459</v>
      </c>
    </row>
    <row r="7" customFormat="false" ht="31.5" hidden="false" customHeight="true" outlineLevel="0" collapsed="false">
      <c r="A7" s="24" t="s">
        <v>1460</v>
      </c>
      <c r="B7" s="24" t="s">
        <v>1455</v>
      </c>
      <c r="C7" s="24" t="s">
        <v>1461</v>
      </c>
      <c r="D7" s="24" t="s">
        <v>1462</v>
      </c>
      <c r="E7" s="24" t="s">
        <v>1463</v>
      </c>
      <c r="F7" s="24" t="s">
        <v>1464</v>
      </c>
    </row>
    <row r="8" customFormat="false" ht="31.5" hidden="false" customHeight="true" outlineLevel="0" collapsed="false">
      <c r="A8" s="23" t="s">
        <v>1465</v>
      </c>
      <c r="B8" s="23" t="s">
        <v>1466</v>
      </c>
      <c r="C8" s="23" t="s">
        <v>1467</v>
      </c>
      <c r="D8" s="23" t="s">
        <v>1468</v>
      </c>
      <c r="E8" s="23" t="s">
        <v>1469</v>
      </c>
      <c r="F8" s="23" t="s">
        <v>1464</v>
      </c>
    </row>
    <row r="9" customFormat="false" ht="31.5" hidden="false" customHeight="true" outlineLevel="0" collapsed="false">
      <c r="A9" s="24" t="s">
        <v>1470</v>
      </c>
      <c r="B9" s="24" t="s">
        <v>1471</v>
      </c>
      <c r="C9" s="24" t="s">
        <v>1472</v>
      </c>
      <c r="D9" s="24" t="s">
        <v>1473</v>
      </c>
      <c r="E9" s="24" t="s">
        <v>1469</v>
      </c>
      <c r="F9" s="24" t="s">
        <v>1464</v>
      </c>
    </row>
    <row r="10" customFormat="false" ht="31.5" hidden="false" customHeight="true" outlineLevel="0" collapsed="false">
      <c r="A10" s="23" t="s">
        <v>47</v>
      </c>
      <c r="B10" s="23" t="s">
        <v>1474</v>
      </c>
      <c r="C10" s="23" t="s">
        <v>1475</v>
      </c>
      <c r="D10" s="23" t="s">
        <v>1476</v>
      </c>
      <c r="E10" s="23" t="s">
        <v>1477</v>
      </c>
      <c r="F10" s="23" t="s">
        <v>1464</v>
      </c>
    </row>
    <row r="11" customFormat="false" ht="31.5" hidden="false" customHeight="true" outlineLevel="0" collapsed="false">
      <c r="A11" s="24" t="s">
        <v>1276</v>
      </c>
      <c r="B11" s="24" t="s">
        <v>1478</v>
      </c>
      <c r="C11" s="24" t="s">
        <v>387</v>
      </c>
      <c r="D11" s="24" t="s">
        <v>1479</v>
      </c>
      <c r="E11" s="24" t="s">
        <v>1480</v>
      </c>
      <c r="F11" s="24" t="s">
        <v>1464</v>
      </c>
    </row>
    <row r="12" customFormat="false" ht="31.5" hidden="false" customHeight="true" outlineLevel="0" collapsed="false">
      <c r="A12" s="23" t="s">
        <v>1481</v>
      </c>
      <c r="B12" s="23" t="s">
        <v>1482</v>
      </c>
      <c r="C12" s="23" t="s">
        <v>1483</v>
      </c>
      <c r="D12" s="23" t="s">
        <v>1484</v>
      </c>
      <c r="E12" s="23" t="s">
        <v>1485</v>
      </c>
      <c r="F12" s="23" t="s">
        <v>1486</v>
      </c>
    </row>
    <row r="13" customFormat="false" ht="31.5" hidden="false" customHeight="true" outlineLevel="0" collapsed="false">
      <c r="A13" s="24" t="s">
        <v>1487</v>
      </c>
      <c r="B13" s="24" t="s">
        <v>1488</v>
      </c>
      <c r="C13" s="24" t="s">
        <v>1489</v>
      </c>
      <c r="D13" s="24" t="s">
        <v>1490</v>
      </c>
      <c r="E13" s="24" t="s">
        <v>1491</v>
      </c>
      <c r="F13" s="24" t="s">
        <v>1492</v>
      </c>
    </row>
    <row r="14" customFormat="false" ht="31.5" hidden="false" customHeight="true" outlineLevel="0" collapsed="false">
      <c r="A14" s="23" t="s">
        <v>1284</v>
      </c>
      <c r="B14" s="23" t="s">
        <v>1493</v>
      </c>
      <c r="C14" s="23" t="s">
        <v>1489</v>
      </c>
      <c r="D14" s="23" t="s">
        <v>1494</v>
      </c>
      <c r="E14" s="23" t="s">
        <v>1495</v>
      </c>
      <c r="F14" s="23" t="s">
        <v>1464</v>
      </c>
    </row>
    <row r="15" customFormat="false" ht="31.5" hidden="false" customHeight="true" outlineLevel="0" collapsed="false">
      <c r="A15" s="24" t="s">
        <v>1496</v>
      </c>
      <c r="B15" s="24" t="s">
        <v>1497</v>
      </c>
      <c r="C15" s="24" t="s">
        <v>1498</v>
      </c>
      <c r="D15" s="24" t="s">
        <v>1499</v>
      </c>
      <c r="E15" s="24" t="s">
        <v>1491</v>
      </c>
      <c r="F15" s="24" t="s">
        <v>1464</v>
      </c>
    </row>
    <row r="16" customFormat="false" ht="31.5" hidden="false" customHeight="true" outlineLevel="0" collapsed="false">
      <c r="A16" s="23" t="s">
        <v>1500</v>
      </c>
      <c r="B16" s="23" t="s">
        <v>1501</v>
      </c>
      <c r="C16" s="23" t="s">
        <v>1502</v>
      </c>
      <c r="D16" s="23" t="s">
        <v>1503</v>
      </c>
      <c r="E16" s="23" t="s">
        <v>1504</v>
      </c>
      <c r="F16" s="23" t="s">
        <v>1464</v>
      </c>
    </row>
    <row r="17" customFormat="false" ht="31.5" hidden="false" customHeight="true" outlineLevel="0" collapsed="false">
      <c r="A17" s="24" t="s">
        <v>1505</v>
      </c>
      <c r="B17" s="24" t="s">
        <v>1506</v>
      </c>
      <c r="C17" s="24" t="s">
        <v>387</v>
      </c>
      <c r="D17" s="24" t="s">
        <v>1507</v>
      </c>
      <c r="E17" s="24" t="s">
        <v>1508</v>
      </c>
      <c r="F17" s="24" t="s">
        <v>1509</v>
      </c>
    </row>
    <row r="18" customFormat="false" ht="31.5" hidden="false" customHeight="true" outlineLevel="0" collapsed="false">
      <c r="A18" s="23" t="s">
        <v>1510</v>
      </c>
      <c r="B18" s="23" t="s">
        <v>1511</v>
      </c>
      <c r="C18" s="23" t="s">
        <v>1512</v>
      </c>
      <c r="D18" s="23" t="s">
        <v>1513</v>
      </c>
      <c r="E18" s="23" t="s">
        <v>1495</v>
      </c>
      <c r="F18" s="23" t="s">
        <v>1464</v>
      </c>
    </row>
    <row r="19" customFormat="false" ht="31.5" hidden="false" customHeight="true" outlineLevel="0" collapsed="false">
      <c r="A19" s="24" t="s">
        <v>1514</v>
      </c>
      <c r="B19" s="24" t="s">
        <v>1515</v>
      </c>
      <c r="C19" s="24" t="s">
        <v>1516</v>
      </c>
      <c r="D19" s="24" t="s">
        <v>1517</v>
      </c>
      <c r="E19" s="24" t="s">
        <v>1518</v>
      </c>
      <c r="F19" s="24" t="s">
        <v>1519</v>
      </c>
    </row>
    <row r="20" customFormat="false" ht="31.5" hidden="false" customHeight="true" outlineLevel="0" collapsed="false">
      <c r="A20" s="23" t="s">
        <v>1520</v>
      </c>
      <c r="B20" s="23" t="s">
        <v>1521</v>
      </c>
      <c r="C20" s="23" t="s">
        <v>1522</v>
      </c>
      <c r="D20" s="23" t="s">
        <v>1523</v>
      </c>
      <c r="E20" s="23" t="s">
        <v>1524</v>
      </c>
      <c r="F20" s="23" t="s">
        <v>1464</v>
      </c>
    </row>
    <row r="21" customFormat="false" ht="31.5" hidden="false" customHeight="true" outlineLevel="0" collapsed="false">
      <c r="A21" s="24" t="s">
        <v>1525</v>
      </c>
      <c r="B21" s="24" t="s">
        <v>1526</v>
      </c>
      <c r="C21" s="24" t="s">
        <v>1522</v>
      </c>
      <c r="D21" s="24" t="s">
        <v>1523</v>
      </c>
      <c r="E21" s="24" t="s">
        <v>1527</v>
      </c>
      <c r="F21" s="24" t="s">
        <v>1464</v>
      </c>
    </row>
    <row r="22" customFormat="false" ht="31.5" hidden="false" customHeight="true" outlineLevel="0" collapsed="false">
      <c r="A22" s="23" t="s">
        <v>1528</v>
      </c>
      <c r="B22" s="23" t="s">
        <v>1529</v>
      </c>
      <c r="C22" s="23" t="s">
        <v>1530</v>
      </c>
      <c r="D22" s="23" t="s">
        <v>1531</v>
      </c>
      <c r="E22" s="23" t="s">
        <v>1532</v>
      </c>
      <c r="F22" s="23" t="s">
        <v>1464</v>
      </c>
    </row>
    <row r="23" customFormat="false" ht="31.5" hidden="false" customHeight="true" outlineLevel="0" collapsed="false">
      <c r="A23" s="24" t="s">
        <v>1533</v>
      </c>
      <c r="B23" s="24" t="s">
        <v>1534</v>
      </c>
      <c r="C23" s="24" t="s">
        <v>1535</v>
      </c>
      <c r="D23" s="24" t="s">
        <v>1536</v>
      </c>
      <c r="E23" s="24" t="s">
        <v>1537</v>
      </c>
      <c r="F23" s="24" t="s">
        <v>1538</v>
      </c>
    </row>
    <row r="24" customFormat="false" ht="31.5" hidden="false" customHeight="true" outlineLevel="0" collapsed="false">
      <c r="A24" s="23" t="s">
        <v>1539</v>
      </c>
      <c r="B24" s="23" t="s">
        <v>1540</v>
      </c>
      <c r="C24" s="23" t="s">
        <v>1541</v>
      </c>
      <c r="D24" s="23" t="s">
        <v>1542</v>
      </c>
      <c r="E24" s="23" t="s">
        <v>1543</v>
      </c>
      <c r="F24" s="23" t="s">
        <v>1453</v>
      </c>
    </row>
  </sheetData>
  <autoFilter ref="A5:F24"/>
  <mergeCells count="2">
    <mergeCell ref="A1:F1"/>
    <mergeCell ref="A2:F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54"/>
    <col collapsed="false" customWidth="true" hidden="false" outlineLevel="0" max="3" min="2" style="10" width="25"/>
    <col collapsed="false" customWidth="true" hidden="false" outlineLevel="0" max="4" min="4" style="10" width="17"/>
    <col collapsed="false" customWidth="true" hidden="false" outlineLevel="0" max="5" min="5" style="10" width="85"/>
  </cols>
  <sheetData>
    <row r="1" customFormat="false" ht="31.5" hidden="false" customHeight="true" outlineLevel="0" collapsed="false">
      <c r="A1" s="21" t="s">
        <v>1544</v>
      </c>
      <c r="B1" s="21"/>
      <c r="C1" s="21"/>
      <c r="D1" s="21"/>
      <c r="E1" s="21"/>
    </row>
    <row r="2" customFormat="false" ht="75.75" hidden="false" customHeight="true" outlineLevel="0" collapsed="false">
      <c r="A2" s="2" t="s">
        <v>1545</v>
      </c>
      <c r="B2" s="2"/>
      <c r="C2" s="2"/>
      <c r="D2" s="2"/>
      <c r="E2" s="2"/>
    </row>
    <row r="5" customFormat="false" ht="33.75" hidden="false" customHeight="true" outlineLevel="0" collapsed="false">
      <c r="A5" s="22" t="s">
        <v>1546</v>
      </c>
      <c r="B5" s="22" t="s">
        <v>1547</v>
      </c>
      <c r="C5" s="22" t="s">
        <v>1548</v>
      </c>
      <c r="D5" s="22" t="s">
        <v>1549</v>
      </c>
      <c r="E5" s="22" t="s">
        <v>1417</v>
      </c>
    </row>
    <row r="6" customFormat="false" ht="27.75" hidden="false" customHeight="true" outlineLevel="0" collapsed="false">
      <c r="A6" s="23" t="s">
        <v>1550</v>
      </c>
      <c r="B6" s="37" t="n">
        <f aca="false">Parametry!C6</f>
        <v>12</v>
      </c>
      <c r="C6" s="23" t="n">
        <v>12</v>
      </c>
      <c r="D6" s="46" t="b">
        <f aca="false">B6=C6</f>
        <v>1</v>
      </c>
      <c r="E6" s="23"/>
    </row>
    <row r="7" customFormat="false" ht="27.75" hidden="false" customHeight="true" outlineLevel="0" collapsed="false">
      <c r="A7" s="24" t="s">
        <v>1551</v>
      </c>
      <c r="B7" s="41" t="n">
        <f aca="false">Parametry!C8</f>
        <v>12</v>
      </c>
      <c r="C7" s="24" t="n">
        <v>12</v>
      </c>
      <c r="D7" s="47" t="b">
        <f aca="false">B7=C7</f>
        <v>1</v>
      </c>
      <c r="E7" s="24"/>
    </row>
    <row r="8" customFormat="false" ht="27.75" hidden="false" customHeight="true" outlineLevel="0" collapsed="false">
      <c r="A8" s="23" t="s">
        <v>1552</v>
      </c>
      <c r="B8" s="37" t="n">
        <f aca="false">Parametry!C27</f>
        <v>1</v>
      </c>
      <c r="C8" s="23" t="n">
        <v>1</v>
      </c>
      <c r="D8" s="46" t="b">
        <f aca="false">B8=C8</f>
        <v>1</v>
      </c>
      <c r="E8" s="23" t="s">
        <v>1553</v>
      </c>
    </row>
    <row r="9" customFormat="false" ht="27.75" hidden="false" customHeight="true" outlineLevel="0" collapsed="false">
      <c r="A9" s="24" t="s">
        <v>1554</v>
      </c>
      <c r="B9" s="41" t="n">
        <f aca="false">Parametry!$C$81</f>
        <v>500</v>
      </c>
      <c r="C9" s="24" t="n">
        <v>500</v>
      </c>
      <c r="D9" s="47" t="b">
        <f aca="false">B9=C9</f>
        <v>1</v>
      </c>
      <c r="E9" s="24"/>
    </row>
    <row r="10" customFormat="false" ht="27.75" hidden="false" customHeight="true" outlineLevel="0" collapsed="false">
      <c r="A10" s="23" t="s">
        <v>1555</v>
      </c>
      <c r="B10" s="23" t="n">
        <f aca="false">COUNTA(Atrakcje!A6:A25)</f>
        <v>20</v>
      </c>
      <c r="C10" s="23" t="n">
        <v>20</v>
      </c>
      <c r="D10" s="46" t="b">
        <f aca="false">B10=C10</f>
        <v>1</v>
      </c>
      <c r="E10" s="23"/>
    </row>
    <row r="11" customFormat="false" ht="27.75" hidden="false" customHeight="true" outlineLevel="0" collapsed="false">
      <c r="A11" s="24" t="s">
        <v>1556</v>
      </c>
      <c r="B11" s="41" t="n">
        <f aca="false">Parametry!$C$80</f>
        <v>5</v>
      </c>
      <c r="C11" s="24" t="n">
        <v>5</v>
      </c>
      <c r="D11" s="47" t="b">
        <f aca="false">B11=C11</f>
        <v>1</v>
      </c>
      <c r="E11" s="24"/>
    </row>
    <row r="12" customFormat="false" ht="27.75" hidden="false" customHeight="true" outlineLevel="0" collapsed="false">
      <c r="A12" s="23" t="s">
        <v>1557</v>
      </c>
      <c r="B12" s="37" t="n">
        <f aca="false">Parametry!$C$78</f>
        <v>24</v>
      </c>
      <c r="C12" s="23" t="n">
        <v>24</v>
      </c>
      <c r="D12" s="46" t="b">
        <f aca="false">B12=C12</f>
        <v>1</v>
      </c>
      <c r="E12" s="23"/>
    </row>
    <row r="13" customFormat="false" ht="27.75" hidden="false" customHeight="true" outlineLevel="0" collapsed="false">
      <c r="A13" s="24" t="s">
        <v>1558</v>
      </c>
      <c r="B13" s="41" t="n">
        <f aca="false">Parametry!$C$77</f>
        <v>24</v>
      </c>
      <c r="C13" s="24" t="n">
        <v>24</v>
      </c>
      <c r="D13" s="47" t="b">
        <f aca="false">B13=C13</f>
        <v>1</v>
      </c>
      <c r="E13" s="24"/>
    </row>
    <row r="14" customFormat="false" ht="27.75" hidden="false" customHeight="true" outlineLevel="0" collapsed="false">
      <c r="A14" s="23" t="s">
        <v>1559</v>
      </c>
      <c r="B14" s="37" t="n">
        <f aca="false">Parametry!$C$76</f>
        <v>6</v>
      </c>
      <c r="C14" s="23" t="n">
        <v>6</v>
      </c>
      <c r="D14" s="46" t="b">
        <f aca="false">B14=C14</f>
        <v>1</v>
      </c>
      <c r="E14" s="23"/>
    </row>
    <row r="15" customFormat="false" ht="27.75" hidden="false" customHeight="true" outlineLevel="0" collapsed="false">
      <c r="A15" s="24" t="s">
        <v>1560</v>
      </c>
      <c r="B15" s="44" t="n">
        <f aca="false">Sciezki!G6</f>
        <v>1</v>
      </c>
      <c r="C15" s="24" t="n">
        <v>1</v>
      </c>
      <c r="D15" s="47" t="b">
        <f aca="false">B15=C15</f>
        <v>1</v>
      </c>
      <c r="E15" s="24"/>
    </row>
    <row r="16" customFormat="false" ht="27.75" hidden="false" customHeight="true" outlineLevel="0" collapsed="false">
      <c r="A16" s="23" t="s">
        <v>1561</v>
      </c>
      <c r="B16" s="42" t="n">
        <f aca="false">Sciezki!I6</f>
        <v>1</v>
      </c>
      <c r="C16" s="23" t="n">
        <v>1</v>
      </c>
      <c r="D16" s="46" t="b">
        <f aca="false">B16=C16</f>
        <v>1</v>
      </c>
      <c r="E16" s="23"/>
    </row>
    <row r="17" customFormat="false" ht="27.75" hidden="false" customHeight="true" outlineLevel="0" collapsed="false">
      <c r="A17" s="24" t="s">
        <v>1562</v>
      </c>
      <c r="B17" s="24" t="n">
        <f aca="false">Sciezki!E6</f>
        <v>0</v>
      </c>
      <c r="C17" s="24" t="n">
        <v>0</v>
      </c>
      <c r="D17" s="47" t="b">
        <f aca="false">B17=C17</f>
        <v>1</v>
      </c>
      <c r="E17" s="24"/>
    </row>
    <row r="18" customFormat="false" ht="27.75" hidden="false" customHeight="true" outlineLevel="0" collapsed="false">
      <c r="A18" s="23" t="s">
        <v>1563</v>
      </c>
      <c r="B18" s="42" t="n">
        <f aca="false">Sciezki!G7</f>
        <v>1.1</v>
      </c>
      <c r="C18" s="23" t="n">
        <v>1.1</v>
      </c>
      <c r="D18" s="46" t="b">
        <f aca="false">B18=C18</f>
        <v>1</v>
      </c>
      <c r="E18" s="23"/>
    </row>
    <row r="19" customFormat="false" ht="27.75" hidden="false" customHeight="true" outlineLevel="0" collapsed="false">
      <c r="A19" s="24" t="s">
        <v>1564</v>
      </c>
      <c r="B19" s="44" t="n">
        <f aca="false">Sciezki!I7</f>
        <v>1</v>
      </c>
      <c r="C19" s="24" t="n">
        <v>1</v>
      </c>
      <c r="D19" s="47" t="b">
        <f aca="false">B19=C19</f>
        <v>1</v>
      </c>
      <c r="E19" s="24"/>
    </row>
    <row r="20" customFormat="false" ht="27.75" hidden="false" customHeight="true" outlineLevel="0" collapsed="false">
      <c r="A20" s="23" t="s">
        <v>1565</v>
      </c>
      <c r="B20" s="23" t="n">
        <f aca="false">Sciezki!E7</f>
        <v>10000</v>
      </c>
      <c r="C20" s="23" t="n">
        <v>10000</v>
      </c>
      <c r="D20" s="46" t="b">
        <f aca="false">B20=C20</f>
        <v>1</v>
      </c>
      <c r="E20" s="23"/>
    </row>
    <row r="21" customFormat="false" ht="27.75" hidden="false" customHeight="true" outlineLevel="0" collapsed="false">
      <c r="A21" s="24" t="s">
        <v>1566</v>
      </c>
      <c r="B21" s="44" t="n">
        <f aca="false">Sciezki!G8</f>
        <v>1.2</v>
      </c>
      <c r="C21" s="24" t="n">
        <v>1.2</v>
      </c>
      <c r="D21" s="47" t="b">
        <f aca="false">B21=C21</f>
        <v>1</v>
      </c>
      <c r="E21" s="24"/>
    </row>
    <row r="22" customFormat="false" ht="27.75" hidden="false" customHeight="true" outlineLevel="0" collapsed="false">
      <c r="A22" s="23" t="s">
        <v>1567</v>
      </c>
      <c r="B22" s="42" t="n">
        <f aca="false">Sciezki!I8</f>
        <v>1</v>
      </c>
      <c r="C22" s="23" t="n">
        <v>1</v>
      </c>
      <c r="D22" s="46" t="b">
        <f aca="false">B22=C22</f>
        <v>1</v>
      </c>
      <c r="E22" s="23"/>
    </row>
    <row r="23" customFormat="false" ht="27.75" hidden="false" customHeight="true" outlineLevel="0" collapsed="false">
      <c r="A23" s="24" t="s">
        <v>1568</v>
      </c>
      <c r="B23" s="24" t="n">
        <f aca="false">Sciezki!E8</f>
        <v>20000</v>
      </c>
      <c r="C23" s="24" t="n">
        <v>20000</v>
      </c>
      <c r="D23" s="47" t="b">
        <f aca="false">B23=C23</f>
        <v>1</v>
      </c>
      <c r="E23" s="24"/>
    </row>
    <row r="24" customFormat="false" ht="27.75" hidden="false" customHeight="true" outlineLevel="0" collapsed="false">
      <c r="A24" s="23" t="s">
        <v>1569</v>
      </c>
      <c r="B24" s="42" t="n">
        <f aca="false">Sciezki!G9</f>
        <v>1.3</v>
      </c>
      <c r="C24" s="23" t="n">
        <v>1.3</v>
      </c>
      <c r="D24" s="46" t="b">
        <f aca="false">B24=C24</f>
        <v>1</v>
      </c>
      <c r="E24" s="23"/>
    </row>
    <row r="25" customFormat="false" ht="27.75" hidden="false" customHeight="true" outlineLevel="0" collapsed="false">
      <c r="A25" s="24" t="s">
        <v>1570</v>
      </c>
      <c r="B25" s="44" t="n">
        <f aca="false">Sciezki!I9</f>
        <v>1.1</v>
      </c>
      <c r="C25" s="24" t="n">
        <v>1.1</v>
      </c>
      <c r="D25" s="47" t="b">
        <f aca="false">B25=C25</f>
        <v>1</v>
      </c>
      <c r="E25" s="24"/>
    </row>
    <row r="26" customFormat="false" ht="27.75" hidden="false" customHeight="true" outlineLevel="0" collapsed="false">
      <c r="A26" s="23" t="s">
        <v>1571</v>
      </c>
      <c r="B26" s="23" t="n">
        <f aca="false">Sciezki!E9</f>
        <v>30000</v>
      </c>
      <c r="C26" s="23" t="n">
        <v>30000</v>
      </c>
      <c r="D26" s="46" t="b">
        <f aca="false">B26=C26</f>
        <v>1</v>
      </c>
      <c r="E26" s="23"/>
    </row>
    <row r="27" customFormat="false" ht="27.75" hidden="false" customHeight="true" outlineLevel="0" collapsed="false">
      <c r="A27" s="24" t="s">
        <v>1572</v>
      </c>
      <c r="B27" s="44" t="n">
        <f aca="false">Sciezki!G10</f>
        <v>1.4</v>
      </c>
      <c r="C27" s="24" t="n">
        <v>1.4</v>
      </c>
      <c r="D27" s="47" t="b">
        <f aca="false">B27=C27</f>
        <v>1</v>
      </c>
      <c r="E27" s="24"/>
    </row>
    <row r="28" customFormat="false" ht="27.75" hidden="false" customHeight="true" outlineLevel="0" collapsed="false">
      <c r="A28" s="23" t="s">
        <v>1573</v>
      </c>
      <c r="B28" s="42" t="n">
        <f aca="false">Sciezki!I10</f>
        <v>1.2</v>
      </c>
      <c r="C28" s="23" t="n">
        <v>1.2</v>
      </c>
      <c r="D28" s="46" t="b">
        <f aca="false">B28=C28</f>
        <v>1</v>
      </c>
      <c r="E28" s="23"/>
    </row>
    <row r="29" customFormat="false" ht="27.75" hidden="false" customHeight="true" outlineLevel="0" collapsed="false">
      <c r="A29" s="24" t="s">
        <v>1574</v>
      </c>
      <c r="B29" s="24" t="n">
        <f aca="false">Sciezki!E10</f>
        <v>40000</v>
      </c>
      <c r="C29" s="24" t="n">
        <v>40000</v>
      </c>
      <c r="D29" s="47" t="b">
        <f aca="false">B29=C29</f>
        <v>1</v>
      </c>
      <c r="E29" s="24"/>
    </row>
    <row r="30" customFormat="false" ht="27.75" hidden="false" customHeight="true" outlineLevel="0" collapsed="false">
      <c r="A30" s="23" t="s">
        <v>1575</v>
      </c>
      <c r="B30" s="42" t="n">
        <f aca="false">Sciezki!G11</f>
        <v>1.5</v>
      </c>
      <c r="C30" s="23" t="n">
        <v>1.5</v>
      </c>
      <c r="D30" s="46" t="b">
        <f aca="false">B30=C30</f>
        <v>1</v>
      </c>
      <c r="E30" s="23"/>
    </row>
    <row r="31" customFormat="false" ht="27.75" hidden="false" customHeight="true" outlineLevel="0" collapsed="false">
      <c r="A31" s="24" t="s">
        <v>1576</v>
      </c>
      <c r="B31" s="44" t="n">
        <f aca="false">Sciezki!I11</f>
        <v>1.3</v>
      </c>
      <c r="C31" s="24" t="n">
        <v>1.3</v>
      </c>
      <c r="D31" s="47" t="b">
        <f aca="false">B31=C31</f>
        <v>1</v>
      </c>
      <c r="E31" s="24"/>
    </row>
    <row r="32" customFormat="false" ht="27.75" hidden="false" customHeight="true" outlineLevel="0" collapsed="false">
      <c r="A32" s="23" t="s">
        <v>1577</v>
      </c>
      <c r="B32" s="23" t="n">
        <f aca="false">Sciezki!E11</f>
        <v>50000</v>
      </c>
      <c r="C32" s="23" t="n">
        <v>50000</v>
      </c>
      <c r="D32" s="46" t="b">
        <f aca="false">B32=C32</f>
        <v>1</v>
      </c>
      <c r="E32" s="23"/>
    </row>
    <row r="33" customFormat="false" ht="27.75" hidden="false" customHeight="true" outlineLevel="0" collapsed="false">
      <c r="A33" s="24" t="s">
        <v>1578</v>
      </c>
      <c r="B33" s="24" t="n">
        <f aca="false">Sciezki!E11</f>
        <v>50000</v>
      </c>
      <c r="C33" s="24" t="n">
        <v>50000</v>
      </c>
      <c r="D33" s="47" t="b">
        <f aca="false">B33=C33</f>
        <v>1</v>
      </c>
      <c r="E33" s="24"/>
    </row>
    <row r="34" customFormat="false" ht="27.75" hidden="false" customHeight="true" outlineLevel="0" collapsed="false">
      <c r="A34" s="23" t="s">
        <v>1579</v>
      </c>
      <c r="B34" s="23" t="n">
        <f aca="false">ROUND(Sciezki!J7,6)</f>
        <v>272.727273</v>
      </c>
      <c r="C34" s="23" t="n">
        <v>272.727273</v>
      </c>
      <c r="D34" s="46" t="b">
        <f aca="false">B34=C34</f>
        <v>1</v>
      </c>
      <c r="E34" s="23"/>
    </row>
    <row r="35" customFormat="false" ht="27.75" hidden="false" customHeight="true" outlineLevel="0" collapsed="false">
      <c r="A35" s="24" t="s">
        <v>1580</v>
      </c>
      <c r="B35" s="24" t="n">
        <f aca="false">'Atrakcje - kalkulator'!E6</f>
        <v>5</v>
      </c>
      <c r="C35" s="24" t="n">
        <v>5</v>
      </c>
      <c r="D35" s="47" t="b">
        <f aca="false">B35=C35</f>
        <v>1</v>
      </c>
      <c r="E35" s="24"/>
    </row>
    <row r="36" customFormat="false" ht="27.75" hidden="false" customHeight="true" outlineLevel="0" collapsed="false">
      <c r="A36" s="23" t="s">
        <v>1581</v>
      </c>
      <c r="B36" s="36" t="n">
        <f aca="false">'Atrakcje - kalkulator'!F6</f>
        <v>5</v>
      </c>
      <c r="C36" s="23" t="n">
        <v>5</v>
      </c>
      <c r="D36" s="46" t="b">
        <f aca="false">B36=C36</f>
        <v>1</v>
      </c>
      <c r="E36" s="23"/>
    </row>
    <row r="37" customFormat="false" ht="27.75" hidden="false" customHeight="true" outlineLevel="0" collapsed="false">
      <c r="A37" s="24" t="s">
        <v>1582</v>
      </c>
      <c r="B37" s="24" t="n">
        <f aca="false">'Atrakcje - kalkulator'!E7</f>
        <v>5</v>
      </c>
      <c r="C37" s="24" t="n">
        <v>5</v>
      </c>
      <c r="D37" s="47" t="b">
        <f aca="false">B37=C37</f>
        <v>1</v>
      </c>
      <c r="E37" s="24"/>
    </row>
    <row r="38" customFormat="false" ht="27.75" hidden="false" customHeight="true" outlineLevel="0" collapsed="false">
      <c r="A38" s="23" t="s">
        <v>1583</v>
      </c>
      <c r="B38" s="36" t="n">
        <f aca="false">'Atrakcje - kalkulator'!F7</f>
        <v>3.75</v>
      </c>
      <c r="C38" s="23" t="n">
        <v>3.75</v>
      </c>
      <c r="D38" s="46" t="b">
        <f aca="false">B38=C38</f>
        <v>1</v>
      </c>
      <c r="E38" s="23"/>
    </row>
    <row r="39" customFormat="false" ht="27.75" hidden="false" customHeight="true" outlineLevel="0" collapsed="false">
      <c r="A39" s="24" t="s">
        <v>1584</v>
      </c>
      <c r="B39" s="24" t="n">
        <f aca="false">'Atrakcje - kalkulator'!E8</f>
        <v>5</v>
      </c>
      <c r="C39" s="24" t="n">
        <v>5</v>
      </c>
      <c r="D39" s="47" t="b">
        <f aca="false">B39=C39</f>
        <v>1</v>
      </c>
      <c r="E39" s="24"/>
    </row>
    <row r="40" customFormat="false" ht="27.75" hidden="false" customHeight="true" outlineLevel="0" collapsed="false">
      <c r="A40" s="23" t="s">
        <v>1585</v>
      </c>
      <c r="B40" s="36" t="n">
        <f aca="false">'Atrakcje - kalkulator'!F8</f>
        <v>2.5</v>
      </c>
      <c r="C40" s="23" t="n">
        <v>2.5</v>
      </c>
      <c r="D40" s="46" t="b">
        <f aca="false">B40=C40</f>
        <v>1</v>
      </c>
      <c r="E40" s="23"/>
    </row>
    <row r="41" customFormat="false" ht="27.75" hidden="false" customHeight="true" outlineLevel="0" collapsed="false">
      <c r="A41" s="24" t="s">
        <v>1586</v>
      </c>
      <c r="B41" s="24" t="n">
        <f aca="false">'Atrakcje - kalkulator'!E9</f>
        <v>5</v>
      </c>
      <c r="C41" s="24" t="n">
        <v>5</v>
      </c>
      <c r="D41" s="47" t="b">
        <f aca="false">B41=C41</f>
        <v>1</v>
      </c>
      <c r="E41" s="24"/>
    </row>
    <row r="42" customFormat="false" ht="27.75" hidden="false" customHeight="true" outlineLevel="0" collapsed="false">
      <c r="A42" s="23" t="s">
        <v>1587</v>
      </c>
      <c r="B42" s="36" t="n">
        <f aca="false">'Atrakcje - kalkulator'!F9</f>
        <v>1.25</v>
      </c>
      <c r="C42" s="23" t="n">
        <v>1.25</v>
      </c>
      <c r="D42" s="46" t="b">
        <f aca="false">B42=C42</f>
        <v>1</v>
      </c>
      <c r="E42" s="23"/>
    </row>
    <row r="43" customFormat="false" ht="27.75" hidden="false" customHeight="true" outlineLevel="0" collapsed="false">
      <c r="A43" s="24" t="s">
        <v>1588</v>
      </c>
      <c r="B43" s="24" t="n">
        <f aca="false">'Atrakcje - kalkulator'!E10</f>
        <v>5</v>
      </c>
      <c r="C43" s="24" t="n">
        <v>5</v>
      </c>
      <c r="D43" s="47" t="b">
        <f aca="false">B43=C43</f>
        <v>1</v>
      </c>
      <c r="E43" s="24"/>
    </row>
    <row r="44" customFormat="false" ht="27.75" hidden="false" customHeight="true" outlineLevel="0" collapsed="false">
      <c r="A44" s="23" t="s">
        <v>1589</v>
      </c>
      <c r="B44" s="36" t="n">
        <f aca="false">'Atrakcje - kalkulator'!F10</f>
        <v>0</v>
      </c>
      <c r="C44" s="23" t="n">
        <v>0</v>
      </c>
      <c r="D44" s="46" t="b">
        <f aca="false">B44=C44</f>
        <v>1</v>
      </c>
      <c r="E44" s="23"/>
    </row>
    <row r="45" customFormat="false" ht="27.75" hidden="false" customHeight="true" outlineLevel="0" collapsed="false">
      <c r="A45" s="24" t="s">
        <v>1590</v>
      </c>
      <c r="B45" s="24" t="n">
        <f aca="false">'Atrakcje - kalkulator'!E11</f>
        <v>25</v>
      </c>
      <c r="C45" s="24" t="n">
        <v>25</v>
      </c>
      <c r="D45" s="47" t="b">
        <f aca="false">B45=C45</f>
        <v>1</v>
      </c>
      <c r="E45" s="24"/>
    </row>
    <row r="46" customFormat="false" ht="27.75" hidden="false" customHeight="true" outlineLevel="0" collapsed="false">
      <c r="A46" s="23" t="s">
        <v>1591</v>
      </c>
      <c r="B46" s="36" t="n">
        <f aca="false">'Atrakcje - kalkulator'!F11</f>
        <v>25</v>
      </c>
      <c r="C46" s="23" t="n">
        <v>25</v>
      </c>
      <c r="D46" s="46" t="b">
        <f aca="false">B46=C46</f>
        <v>1</v>
      </c>
      <c r="E46" s="23"/>
    </row>
    <row r="47" customFormat="false" ht="27.75" hidden="false" customHeight="true" outlineLevel="0" collapsed="false">
      <c r="A47" s="24" t="s">
        <v>1592</v>
      </c>
      <c r="B47" s="24" t="n">
        <f aca="false">'Atrakcje - kalkulator'!E12</f>
        <v>25</v>
      </c>
      <c r="C47" s="24" t="n">
        <v>25</v>
      </c>
      <c r="D47" s="47" t="b">
        <f aca="false">B47=C47</f>
        <v>1</v>
      </c>
      <c r="E47" s="24"/>
    </row>
    <row r="48" customFormat="false" ht="27.75" hidden="false" customHeight="true" outlineLevel="0" collapsed="false">
      <c r="A48" s="23" t="s">
        <v>1593</v>
      </c>
      <c r="B48" s="36" t="n">
        <f aca="false">'Atrakcje - kalkulator'!F12</f>
        <v>18.75</v>
      </c>
      <c r="C48" s="23" t="n">
        <v>18.75</v>
      </c>
      <c r="D48" s="46" t="b">
        <f aca="false">B48=C48</f>
        <v>1</v>
      </c>
      <c r="E48" s="23"/>
    </row>
    <row r="49" customFormat="false" ht="27.75" hidden="false" customHeight="true" outlineLevel="0" collapsed="false">
      <c r="A49" s="24" t="s">
        <v>1594</v>
      </c>
      <c r="B49" s="24" t="n">
        <f aca="false">'Atrakcje - kalkulator'!E13</f>
        <v>25</v>
      </c>
      <c r="C49" s="24" t="n">
        <v>25</v>
      </c>
      <c r="D49" s="47" t="b">
        <f aca="false">B49=C49</f>
        <v>1</v>
      </c>
      <c r="E49" s="24"/>
    </row>
    <row r="50" customFormat="false" ht="27.75" hidden="false" customHeight="true" outlineLevel="0" collapsed="false">
      <c r="A50" s="23" t="s">
        <v>1595</v>
      </c>
      <c r="B50" s="36" t="n">
        <f aca="false">'Atrakcje - kalkulator'!F13</f>
        <v>12.5</v>
      </c>
      <c r="C50" s="23" t="n">
        <v>12.5</v>
      </c>
      <c r="D50" s="46" t="b">
        <f aca="false">B50=C50</f>
        <v>1</v>
      </c>
      <c r="E50" s="23"/>
    </row>
    <row r="51" customFormat="false" ht="27.75" hidden="false" customHeight="true" outlineLevel="0" collapsed="false">
      <c r="A51" s="24" t="s">
        <v>1596</v>
      </c>
      <c r="B51" s="24" t="n">
        <f aca="false">'Atrakcje - kalkulator'!E14</f>
        <v>25</v>
      </c>
      <c r="C51" s="24" t="n">
        <v>25</v>
      </c>
      <c r="D51" s="47" t="b">
        <f aca="false">B51=C51</f>
        <v>1</v>
      </c>
      <c r="E51" s="24"/>
    </row>
    <row r="52" customFormat="false" ht="27.75" hidden="false" customHeight="true" outlineLevel="0" collapsed="false">
      <c r="A52" s="23" t="s">
        <v>1597</v>
      </c>
      <c r="B52" s="36" t="n">
        <f aca="false">'Atrakcje - kalkulator'!F14</f>
        <v>6.25</v>
      </c>
      <c r="C52" s="23" t="n">
        <v>6.25</v>
      </c>
      <c r="D52" s="46" t="b">
        <f aca="false">B52=C52</f>
        <v>1</v>
      </c>
      <c r="E52" s="23"/>
    </row>
    <row r="53" customFormat="false" ht="27.75" hidden="false" customHeight="true" outlineLevel="0" collapsed="false">
      <c r="A53" s="24" t="s">
        <v>1598</v>
      </c>
      <c r="B53" s="24" t="n">
        <f aca="false">'Atrakcje - kalkulator'!E15</f>
        <v>25</v>
      </c>
      <c r="C53" s="24" t="n">
        <v>25</v>
      </c>
      <c r="D53" s="47" t="b">
        <f aca="false">B53=C53</f>
        <v>1</v>
      </c>
      <c r="E53" s="24"/>
    </row>
    <row r="54" customFormat="false" ht="27.75" hidden="false" customHeight="true" outlineLevel="0" collapsed="false">
      <c r="A54" s="23" t="s">
        <v>1599</v>
      </c>
      <c r="B54" s="36" t="n">
        <f aca="false">'Atrakcje - kalkulator'!F15</f>
        <v>0</v>
      </c>
      <c r="C54" s="23" t="n">
        <v>0</v>
      </c>
      <c r="D54" s="46" t="b">
        <f aca="false">B54=C54</f>
        <v>1</v>
      </c>
      <c r="E54" s="23"/>
    </row>
    <row r="55" customFormat="false" ht="27.75" hidden="false" customHeight="true" outlineLevel="0" collapsed="false">
      <c r="A55" s="24" t="s">
        <v>1600</v>
      </c>
      <c r="B55" s="24" t="n">
        <f aca="false">'Atrakcje - kalkulator'!E16</f>
        <v>50</v>
      </c>
      <c r="C55" s="24" t="n">
        <v>50</v>
      </c>
      <c r="D55" s="47" t="b">
        <f aca="false">B55=C55</f>
        <v>1</v>
      </c>
      <c r="E55" s="24"/>
    </row>
    <row r="56" customFormat="false" ht="27.75" hidden="false" customHeight="true" outlineLevel="0" collapsed="false">
      <c r="A56" s="23" t="s">
        <v>1601</v>
      </c>
      <c r="B56" s="36" t="n">
        <f aca="false">'Atrakcje - kalkulator'!F16</f>
        <v>50</v>
      </c>
      <c r="C56" s="23" t="n">
        <v>50</v>
      </c>
      <c r="D56" s="46" t="b">
        <f aca="false">B56=C56</f>
        <v>1</v>
      </c>
      <c r="E56" s="23"/>
    </row>
    <row r="57" customFormat="false" ht="27.75" hidden="false" customHeight="true" outlineLevel="0" collapsed="false">
      <c r="A57" s="24" t="s">
        <v>1602</v>
      </c>
      <c r="B57" s="24" t="n">
        <f aca="false">'Atrakcje - kalkulator'!E17</f>
        <v>50</v>
      </c>
      <c r="C57" s="24" t="n">
        <v>50</v>
      </c>
      <c r="D57" s="47" t="b">
        <f aca="false">B57=C57</f>
        <v>1</v>
      </c>
      <c r="E57" s="24"/>
    </row>
    <row r="58" customFormat="false" ht="27.75" hidden="false" customHeight="true" outlineLevel="0" collapsed="false">
      <c r="A58" s="23" t="s">
        <v>1603</v>
      </c>
      <c r="B58" s="36" t="n">
        <f aca="false">'Atrakcje - kalkulator'!F17</f>
        <v>37.5</v>
      </c>
      <c r="C58" s="23" t="n">
        <v>37.5</v>
      </c>
      <c r="D58" s="46" t="b">
        <f aca="false">B58=C58</f>
        <v>1</v>
      </c>
      <c r="E58" s="23"/>
    </row>
    <row r="59" customFormat="false" ht="27.75" hidden="false" customHeight="true" outlineLevel="0" collapsed="false">
      <c r="A59" s="24" t="s">
        <v>1604</v>
      </c>
      <c r="B59" s="24" t="n">
        <f aca="false">'Atrakcje - kalkulator'!E18</f>
        <v>50</v>
      </c>
      <c r="C59" s="24" t="n">
        <v>50</v>
      </c>
      <c r="D59" s="47" t="b">
        <f aca="false">B59=C59</f>
        <v>1</v>
      </c>
      <c r="E59" s="24"/>
    </row>
    <row r="60" customFormat="false" ht="27.75" hidden="false" customHeight="true" outlineLevel="0" collapsed="false">
      <c r="A60" s="23" t="s">
        <v>1605</v>
      </c>
      <c r="B60" s="36" t="n">
        <f aca="false">'Atrakcje - kalkulator'!F18</f>
        <v>25</v>
      </c>
      <c r="C60" s="23" t="n">
        <v>25</v>
      </c>
      <c r="D60" s="46" t="b">
        <f aca="false">B60=C60</f>
        <v>1</v>
      </c>
      <c r="E60" s="23"/>
    </row>
    <row r="61" customFormat="false" ht="27.75" hidden="false" customHeight="true" outlineLevel="0" collapsed="false">
      <c r="A61" s="24" t="s">
        <v>1606</v>
      </c>
      <c r="B61" s="24" t="n">
        <f aca="false">'Atrakcje - kalkulator'!E19</f>
        <v>50</v>
      </c>
      <c r="C61" s="24" t="n">
        <v>50</v>
      </c>
      <c r="D61" s="47" t="b">
        <f aca="false">B61=C61</f>
        <v>1</v>
      </c>
      <c r="E61" s="24"/>
    </row>
    <row r="62" customFormat="false" ht="27.75" hidden="false" customHeight="true" outlineLevel="0" collapsed="false">
      <c r="A62" s="23" t="s">
        <v>1607</v>
      </c>
      <c r="B62" s="36" t="n">
        <f aca="false">'Atrakcje - kalkulator'!F19</f>
        <v>12.5</v>
      </c>
      <c r="C62" s="23" t="n">
        <v>12.5</v>
      </c>
      <c r="D62" s="46" t="b">
        <f aca="false">B62=C62</f>
        <v>1</v>
      </c>
      <c r="E62" s="23"/>
    </row>
    <row r="63" customFormat="false" ht="27.75" hidden="false" customHeight="true" outlineLevel="0" collapsed="false">
      <c r="A63" s="24" t="s">
        <v>1608</v>
      </c>
      <c r="B63" s="24" t="n">
        <f aca="false">'Atrakcje - kalkulator'!E20</f>
        <v>50</v>
      </c>
      <c r="C63" s="24" t="n">
        <v>50</v>
      </c>
      <c r="D63" s="47" t="b">
        <f aca="false">B63=C63</f>
        <v>1</v>
      </c>
      <c r="E63" s="24"/>
    </row>
    <row r="64" customFormat="false" ht="27.75" hidden="false" customHeight="true" outlineLevel="0" collapsed="false">
      <c r="A64" s="23" t="s">
        <v>1609</v>
      </c>
      <c r="B64" s="36" t="n">
        <f aca="false">'Atrakcje - kalkulator'!F20</f>
        <v>0</v>
      </c>
      <c r="C64" s="23" t="n">
        <v>0</v>
      </c>
      <c r="D64" s="46" t="b">
        <f aca="false">B64=C64</f>
        <v>1</v>
      </c>
      <c r="E64" s="23"/>
    </row>
    <row r="65" customFormat="false" ht="27.75" hidden="false" customHeight="true" outlineLevel="0" collapsed="false">
      <c r="A65" s="24" t="s">
        <v>1610</v>
      </c>
      <c r="B65" s="24" t="n">
        <f aca="false">'Atrakcje - kalkulator'!E21</f>
        <v>100</v>
      </c>
      <c r="C65" s="24" t="n">
        <v>100</v>
      </c>
      <c r="D65" s="47" t="b">
        <f aca="false">B65=C65</f>
        <v>1</v>
      </c>
      <c r="E65" s="24"/>
    </row>
    <row r="66" customFormat="false" ht="27.75" hidden="false" customHeight="true" outlineLevel="0" collapsed="false">
      <c r="A66" s="23" t="s">
        <v>1611</v>
      </c>
      <c r="B66" s="36" t="n">
        <f aca="false">'Atrakcje - kalkulator'!F21</f>
        <v>100</v>
      </c>
      <c r="C66" s="23" t="n">
        <v>100</v>
      </c>
      <c r="D66" s="46" t="b">
        <f aca="false">B66=C66</f>
        <v>1</v>
      </c>
      <c r="E66" s="23"/>
    </row>
    <row r="67" customFormat="false" ht="27.75" hidden="false" customHeight="true" outlineLevel="0" collapsed="false">
      <c r="A67" s="24" t="s">
        <v>1612</v>
      </c>
      <c r="B67" s="24" t="n">
        <f aca="false">'Atrakcje - kalkulator'!E22</f>
        <v>100</v>
      </c>
      <c r="C67" s="24" t="n">
        <v>100</v>
      </c>
      <c r="D67" s="47" t="b">
        <f aca="false">B67=C67</f>
        <v>1</v>
      </c>
      <c r="E67" s="24"/>
    </row>
    <row r="68" customFormat="false" ht="27.75" hidden="false" customHeight="true" outlineLevel="0" collapsed="false">
      <c r="A68" s="23" t="s">
        <v>1613</v>
      </c>
      <c r="B68" s="36" t="n">
        <f aca="false">'Atrakcje - kalkulator'!F22</f>
        <v>75</v>
      </c>
      <c r="C68" s="23" t="n">
        <v>75</v>
      </c>
      <c r="D68" s="46" t="b">
        <f aca="false">B68=C68</f>
        <v>1</v>
      </c>
      <c r="E68" s="23"/>
    </row>
    <row r="69" customFormat="false" ht="27.75" hidden="false" customHeight="true" outlineLevel="0" collapsed="false">
      <c r="A69" s="24" t="s">
        <v>1614</v>
      </c>
      <c r="B69" s="24" t="n">
        <f aca="false">'Atrakcje - kalkulator'!E23</f>
        <v>100</v>
      </c>
      <c r="C69" s="24" t="n">
        <v>100</v>
      </c>
      <c r="D69" s="47" t="b">
        <f aca="false">B69=C69</f>
        <v>1</v>
      </c>
      <c r="E69" s="24"/>
    </row>
    <row r="70" customFormat="false" ht="27.75" hidden="false" customHeight="true" outlineLevel="0" collapsed="false">
      <c r="A70" s="23" t="s">
        <v>1615</v>
      </c>
      <c r="B70" s="36" t="n">
        <f aca="false">'Atrakcje - kalkulator'!F23</f>
        <v>50</v>
      </c>
      <c r="C70" s="23" t="n">
        <v>50</v>
      </c>
      <c r="D70" s="46" t="b">
        <f aca="false">B70=C70</f>
        <v>1</v>
      </c>
      <c r="E70" s="23"/>
    </row>
    <row r="71" customFormat="false" ht="27.75" hidden="false" customHeight="true" outlineLevel="0" collapsed="false">
      <c r="A71" s="24" t="s">
        <v>1616</v>
      </c>
      <c r="B71" s="24" t="n">
        <f aca="false">'Atrakcje - kalkulator'!E24</f>
        <v>100</v>
      </c>
      <c r="C71" s="24" t="n">
        <v>100</v>
      </c>
      <c r="D71" s="47" t="b">
        <f aca="false">B71=C71</f>
        <v>1</v>
      </c>
      <c r="E71" s="24"/>
    </row>
    <row r="72" customFormat="false" ht="27.75" hidden="false" customHeight="true" outlineLevel="0" collapsed="false">
      <c r="A72" s="23" t="s">
        <v>1617</v>
      </c>
      <c r="B72" s="36" t="n">
        <f aca="false">'Atrakcje - kalkulator'!F24</f>
        <v>25</v>
      </c>
      <c r="C72" s="23" t="n">
        <v>25</v>
      </c>
      <c r="D72" s="46" t="b">
        <f aca="false">B72=C72</f>
        <v>1</v>
      </c>
      <c r="E72" s="23"/>
    </row>
    <row r="73" customFormat="false" ht="27.75" hidden="false" customHeight="true" outlineLevel="0" collapsed="false">
      <c r="A73" s="24" t="s">
        <v>1618</v>
      </c>
      <c r="B73" s="24" t="n">
        <f aca="false">'Atrakcje - kalkulator'!E25</f>
        <v>100</v>
      </c>
      <c r="C73" s="24" t="n">
        <v>100</v>
      </c>
      <c r="D73" s="47" t="b">
        <f aca="false">B73=C73</f>
        <v>1</v>
      </c>
      <c r="E73" s="24"/>
    </row>
    <row r="74" customFormat="false" ht="27.75" hidden="false" customHeight="true" outlineLevel="0" collapsed="false">
      <c r="A74" s="23" t="s">
        <v>1619</v>
      </c>
      <c r="B74" s="36" t="n">
        <f aca="false">'Atrakcje - kalkulator'!F25</f>
        <v>0</v>
      </c>
      <c r="C74" s="23" t="n">
        <v>0</v>
      </c>
      <c r="D74" s="46" t="b">
        <f aca="false">B74=C74</f>
        <v>1</v>
      </c>
      <c r="E74" s="23"/>
    </row>
    <row r="75" customFormat="false" ht="27.75" hidden="false" customHeight="true" outlineLevel="0" collapsed="false">
      <c r="A75" s="24" t="s">
        <v>1620</v>
      </c>
      <c r="B75" s="24" t="n">
        <f aca="false">'Atrakcje - kalkulator'!E26</f>
        <v>10</v>
      </c>
      <c r="C75" s="24" t="n">
        <v>10</v>
      </c>
      <c r="D75" s="47" t="b">
        <f aca="false">B75=C75</f>
        <v>1</v>
      </c>
      <c r="E75" s="24"/>
    </row>
    <row r="76" customFormat="false" ht="27.75" hidden="false" customHeight="true" outlineLevel="0" collapsed="false">
      <c r="A76" s="23" t="s">
        <v>1621</v>
      </c>
      <c r="B76" s="36" t="n">
        <f aca="false">'Atrakcje - kalkulator'!F26</f>
        <v>5</v>
      </c>
      <c r="C76" s="23" t="n">
        <v>5</v>
      </c>
      <c r="D76" s="46" t="b">
        <f aca="false">B76=C76</f>
        <v>1</v>
      </c>
      <c r="E76" s="23"/>
    </row>
    <row r="77" customFormat="false" ht="27.75" hidden="false" customHeight="true" outlineLevel="0" collapsed="false">
      <c r="A77" s="24" t="s">
        <v>1622</v>
      </c>
      <c r="B77" s="24" t="n">
        <f aca="false">'Atrakcje - kalkulator'!E27</f>
        <v>10</v>
      </c>
      <c r="C77" s="24" t="n">
        <v>10</v>
      </c>
      <c r="D77" s="47" t="b">
        <f aca="false">B77=C77</f>
        <v>1</v>
      </c>
      <c r="E77" s="24"/>
    </row>
    <row r="78" customFormat="false" ht="27.75" hidden="false" customHeight="true" outlineLevel="0" collapsed="false">
      <c r="A78" s="23" t="s">
        <v>1623</v>
      </c>
      <c r="B78" s="36" t="n">
        <f aca="false">'Atrakcje - kalkulator'!F27</f>
        <v>3.75</v>
      </c>
      <c r="C78" s="23" t="n">
        <v>3.75</v>
      </c>
      <c r="D78" s="46" t="b">
        <f aca="false">B78=C78</f>
        <v>1</v>
      </c>
      <c r="E78" s="23"/>
    </row>
    <row r="79" customFormat="false" ht="27.75" hidden="false" customHeight="true" outlineLevel="0" collapsed="false">
      <c r="A79" s="24" t="s">
        <v>1624</v>
      </c>
      <c r="B79" s="24" t="n">
        <f aca="false">'Atrakcje - kalkulator'!E28</f>
        <v>10</v>
      </c>
      <c r="C79" s="24" t="n">
        <v>10</v>
      </c>
      <c r="D79" s="47" t="b">
        <f aca="false">B79=C79</f>
        <v>1</v>
      </c>
      <c r="E79" s="24"/>
    </row>
    <row r="80" customFormat="false" ht="27.75" hidden="false" customHeight="true" outlineLevel="0" collapsed="false">
      <c r="A80" s="23" t="s">
        <v>1625</v>
      </c>
      <c r="B80" s="36" t="n">
        <f aca="false">'Atrakcje - kalkulator'!F28</f>
        <v>2.5</v>
      </c>
      <c r="C80" s="23" t="n">
        <v>2.5</v>
      </c>
      <c r="D80" s="46" t="b">
        <f aca="false">B80=C80</f>
        <v>1</v>
      </c>
      <c r="E80" s="23"/>
    </row>
    <row r="81" customFormat="false" ht="27.75" hidden="false" customHeight="true" outlineLevel="0" collapsed="false">
      <c r="A81" s="24" t="s">
        <v>1626</v>
      </c>
      <c r="B81" s="24" t="n">
        <f aca="false">'Atrakcje - kalkulator'!E29</f>
        <v>10</v>
      </c>
      <c r="C81" s="24" t="n">
        <v>10</v>
      </c>
      <c r="D81" s="47" t="b">
        <f aca="false">B81=C81</f>
        <v>1</v>
      </c>
      <c r="E81" s="24"/>
    </row>
    <row r="82" customFormat="false" ht="27.75" hidden="false" customHeight="true" outlineLevel="0" collapsed="false">
      <c r="A82" s="23" t="s">
        <v>1627</v>
      </c>
      <c r="B82" s="36" t="n">
        <f aca="false">'Atrakcje - kalkulator'!F29</f>
        <v>1.25</v>
      </c>
      <c r="C82" s="23" t="n">
        <v>1.25</v>
      </c>
      <c r="D82" s="46" t="b">
        <f aca="false">B82=C82</f>
        <v>1</v>
      </c>
      <c r="E82" s="23"/>
    </row>
    <row r="83" customFormat="false" ht="27.75" hidden="false" customHeight="true" outlineLevel="0" collapsed="false">
      <c r="A83" s="24" t="s">
        <v>1628</v>
      </c>
      <c r="B83" s="24" t="n">
        <f aca="false">'Atrakcje - kalkulator'!E30</f>
        <v>10</v>
      </c>
      <c r="C83" s="24" t="n">
        <v>10</v>
      </c>
      <c r="D83" s="47" t="b">
        <f aca="false">B83=C83</f>
        <v>1</v>
      </c>
      <c r="E83" s="24"/>
    </row>
    <row r="84" customFormat="false" ht="27.75" hidden="false" customHeight="true" outlineLevel="0" collapsed="false">
      <c r="A84" s="23" t="s">
        <v>1629</v>
      </c>
      <c r="B84" s="36" t="n">
        <f aca="false">'Atrakcje - kalkulator'!F30</f>
        <v>0</v>
      </c>
      <c r="C84" s="23" t="n">
        <v>0</v>
      </c>
      <c r="D84" s="46" t="b">
        <f aca="false">B84=C84</f>
        <v>1</v>
      </c>
      <c r="E84" s="23"/>
    </row>
    <row r="85" customFormat="false" ht="27.75" hidden="false" customHeight="true" outlineLevel="0" collapsed="false">
      <c r="A85" s="24" t="s">
        <v>1630</v>
      </c>
      <c r="B85" s="24" t="n">
        <f aca="false">'Atrakcje - kalkulator'!E31</f>
        <v>50</v>
      </c>
      <c r="C85" s="24" t="n">
        <v>50</v>
      </c>
      <c r="D85" s="47" t="b">
        <f aca="false">B85=C85</f>
        <v>1</v>
      </c>
      <c r="E85" s="24"/>
    </row>
    <row r="86" customFormat="false" ht="27.75" hidden="false" customHeight="true" outlineLevel="0" collapsed="false">
      <c r="A86" s="23" t="s">
        <v>1631</v>
      </c>
      <c r="B86" s="36" t="n">
        <f aca="false">'Atrakcje - kalkulator'!F31</f>
        <v>25</v>
      </c>
      <c r="C86" s="23" t="n">
        <v>25</v>
      </c>
      <c r="D86" s="46" t="b">
        <f aca="false">B86=C86</f>
        <v>1</v>
      </c>
      <c r="E86" s="23"/>
    </row>
    <row r="87" customFormat="false" ht="27.75" hidden="false" customHeight="true" outlineLevel="0" collapsed="false">
      <c r="A87" s="24" t="s">
        <v>1632</v>
      </c>
      <c r="B87" s="24" t="n">
        <f aca="false">'Atrakcje - kalkulator'!E32</f>
        <v>50</v>
      </c>
      <c r="C87" s="24" t="n">
        <v>50</v>
      </c>
      <c r="D87" s="47" t="b">
        <f aca="false">B87=C87</f>
        <v>1</v>
      </c>
      <c r="E87" s="24"/>
    </row>
    <row r="88" customFormat="false" ht="27.75" hidden="false" customHeight="true" outlineLevel="0" collapsed="false">
      <c r="A88" s="23" t="s">
        <v>1633</v>
      </c>
      <c r="B88" s="36" t="n">
        <f aca="false">'Atrakcje - kalkulator'!F32</f>
        <v>18.75</v>
      </c>
      <c r="C88" s="23" t="n">
        <v>18.75</v>
      </c>
      <c r="D88" s="46" t="b">
        <f aca="false">B88=C88</f>
        <v>1</v>
      </c>
      <c r="E88" s="23"/>
    </row>
    <row r="89" customFormat="false" ht="27.75" hidden="false" customHeight="true" outlineLevel="0" collapsed="false">
      <c r="A89" s="24" t="s">
        <v>1634</v>
      </c>
      <c r="B89" s="24" t="n">
        <f aca="false">'Atrakcje - kalkulator'!E33</f>
        <v>50</v>
      </c>
      <c r="C89" s="24" t="n">
        <v>50</v>
      </c>
      <c r="D89" s="47" t="b">
        <f aca="false">B89=C89</f>
        <v>1</v>
      </c>
      <c r="E89" s="24"/>
    </row>
    <row r="90" customFormat="false" ht="27.75" hidden="false" customHeight="true" outlineLevel="0" collapsed="false">
      <c r="A90" s="23" t="s">
        <v>1635</v>
      </c>
      <c r="B90" s="36" t="n">
        <f aca="false">'Atrakcje - kalkulator'!F33</f>
        <v>12.5</v>
      </c>
      <c r="C90" s="23" t="n">
        <v>12.5</v>
      </c>
      <c r="D90" s="46" t="b">
        <f aca="false">B90=C90</f>
        <v>1</v>
      </c>
      <c r="E90" s="23"/>
    </row>
    <row r="91" customFormat="false" ht="27.75" hidden="false" customHeight="true" outlineLevel="0" collapsed="false">
      <c r="A91" s="24" t="s">
        <v>1636</v>
      </c>
      <c r="B91" s="24" t="n">
        <f aca="false">'Atrakcje - kalkulator'!E34</f>
        <v>50</v>
      </c>
      <c r="C91" s="24" t="n">
        <v>50</v>
      </c>
      <c r="D91" s="47" t="b">
        <f aca="false">B91=C91</f>
        <v>1</v>
      </c>
      <c r="E91" s="24"/>
    </row>
    <row r="92" customFormat="false" ht="27.75" hidden="false" customHeight="true" outlineLevel="0" collapsed="false">
      <c r="A92" s="23" t="s">
        <v>1637</v>
      </c>
      <c r="B92" s="36" t="n">
        <f aca="false">'Atrakcje - kalkulator'!F34</f>
        <v>6.25</v>
      </c>
      <c r="C92" s="23" t="n">
        <v>6.25</v>
      </c>
      <c r="D92" s="46" t="b">
        <f aca="false">B92=C92</f>
        <v>1</v>
      </c>
      <c r="E92" s="23"/>
    </row>
    <row r="93" customFormat="false" ht="27.75" hidden="false" customHeight="true" outlineLevel="0" collapsed="false">
      <c r="A93" s="24" t="s">
        <v>1638</v>
      </c>
      <c r="B93" s="24" t="n">
        <f aca="false">'Atrakcje - kalkulator'!E35</f>
        <v>50</v>
      </c>
      <c r="C93" s="24" t="n">
        <v>50</v>
      </c>
      <c r="D93" s="47" t="b">
        <f aca="false">B93=C93</f>
        <v>1</v>
      </c>
      <c r="E93" s="24"/>
    </row>
    <row r="94" customFormat="false" ht="27.75" hidden="false" customHeight="true" outlineLevel="0" collapsed="false">
      <c r="A94" s="23" t="s">
        <v>1639</v>
      </c>
      <c r="B94" s="36" t="n">
        <f aca="false">'Atrakcje - kalkulator'!F35</f>
        <v>0</v>
      </c>
      <c r="C94" s="23" t="n">
        <v>0</v>
      </c>
      <c r="D94" s="46" t="b">
        <f aca="false">B94=C94</f>
        <v>1</v>
      </c>
      <c r="E94" s="23"/>
    </row>
    <row r="95" customFormat="false" ht="27.75" hidden="false" customHeight="true" outlineLevel="0" collapsed="false">
      <c r="A95" s="24" t="s">
        <v>1640</v>
      </c>
      <c r="B95" s="24" t="n">
        <f aca="false">'Atrakcje - kalkulator'!E36</f>
        <v>100</v>
      </c>
      <c r="C95" s="24" t="n">
        <v>100</v>
      </c>
      <c r="D95" s="47" t="b">
        <f aca="false">B95=C95</f>
        <v>1</v>
      </c>
      <c r="E95" s="24"/>
    </row>
    <row r="96" customFormat="false" ht="27.75" hidden="false" customHeight="true" outlineLevel="0" collapsed="false">
      <c r="A96" s="23" t="s">
        <v>1641</v>
      </c>
      <c r="B96" s="36" t="n">
        <f aca="false">'Atrakcje - kalkulator'!F36</f>
        <v>50</v>
      </c>
      <c r="C96" s="23" t="n">
        <v>50</v>
      </c>
      <c r="D96" s="46" t="b">
        <f aca="false">B96=C96</f>
        <v>1</v>
      </c>
      <c r="E96" s="23"/>
    </row>
    <row r="97" customFormat="false" ht="27.75" hidden="false" customHeight="true" outlineLevel="0" collapsed="false">
      <c r="A97" s="24" t="s">
        <v>1642</v>
      </c>
      <c r="B97" s="24" t="n">
        <f aca="false">'Atrakcje - kalkulator'!E37</f>
        <v>100</v>
      </c>
      <c r="C97" s="24" t="n">
        <v>100</v>
      </c>
      <c r="D97" s="47" t="b">
        <f aca="false">B97=C97</f>
        <v>1</v>
      </c>
      <c r="E97" s="24"/>
    </row>
    <row r="98" customFormat="false" ht="27.75" hidden="false" customHeight="true" outlineLevel="0" collapsed="false">
      <c r="A98" s="23" t="s">
        <v>1643</v>
      </c>
      <c r="B98" s="36" t="n">
        <f aca="false">'Atrakcje - kalkulator'!F37</f>
        <v>37.5</v>
      </c>
      <c r="C98" s="23" t="n">
        <v>37.5</v>
      </c>
      <c r="D98" s="46" t="b">
        <f aca="false">B98=C98</f>
        <v>1</v>
      </c>
      <c r="E98" s="23"/>
    </row>
    <row r="99" customFormat="false" ht="27.75" hidden="false" customHeight="true" outlineLevel="0" collapsed="false">
      <c r="A99" s="24" t="s">
        <v>1644</v>
      </c>
      <c r="B99" s="24" t="n">
        <f aca="false">'Atrakcje - kalkulator'!E38</f>
        <v>100</v>
      </c>
      <c r="C99" s="24" t="n">
        <v>100</v>
      </c>
      <c r="D99" s="47" t="b">
        <f aca="false">B99=C99</f>
        <v>1</v>
      </c>
      <c r="E99" s="24"/>
    </row>
    <row r="100" customFormat="false" ht="27.75" hidden="false" customHeight="true" outlineLevel="0" collapsed="false">
      <c r="A100" s="23" t="s">
        <v>1645</v>
      </c>
      <c r="B100" s="36" t="n">
        <f aca="false">'Atrakcje - kalkulator'!F38</f>
        <v>25</v>
      </c>
      <c r="C100" s="23" t="n">
        <v>25</v>
      </c>
      <c r="D100" s="46" t="b">
        <f aca="false">B100=C100</f>
        <v>1</v>
      </c>
      <c r="E100" s="23"/>
    </row>
    <row r="101" customFormat="false" ht="27.75" hidden="false" customHeight="true" outlineLevel="0" collapsed="false">
      <c r="A101" s="24" t="s">
        <v>1646</v>
      </c>
      <c r="B101" s="24" t="n">
        <f aca="false">'Atrakcje - kalkulator'!E39</f>
        <v>100</v>
      </c>
      <c r="C101" s="24" t="n">
        <v>100</v>
      </c>
      <c r="D101" s="47" t="b">
        <f aca="false">B101=C101</f>
        <v>1</v>
      </c>
      <c r="E101" s="24"/>
    </row>
    <row r="102" customFormat="false" ht="27.75" hidden="false" customHeight="true" outlineLevel="0" collapsed="false">
      <c r="A102" s="23" t="s">
        <v>1647</v>
      </c>
      <c r="B102" s="36" t="n">
        <f aca="false">'Atrakcje - kalkulator'!F39</f>
        <v>12.5</v>
      </c>
      <c r="C102" s="23" t="n">
        <v>12.5</v>
      </c>
      <c r="D102" s="46" t="b">
        <f aca="false">B102=C102</f>
        <v>1</v>
      </c>
      <c r="E102" s="23"/>
    </row>
    <row r="103" customFormat="false" ht="27.75" hidden="false" customHeight="true" outlineLevel="0" collapsed="false">
      <c r="A103" s="24" t="s">
        <v>1648</v>
      </c>
      <c r="B103" s="24" t="n">
        <f aca="false">'Atrakcje - kalkulator'!E40</f>
        <v>100</v>
      </c>
      <c r="C103" s="24" t="n">
        <v>100</v>
      </c>
      <c r="D103" s="47" t="b">
        <f aca="false">B103=C103</f>
        <v>1</v>
      </c>
      <c r="E103" s="24"/>
    </row>
    <row r="104" customFormat="false" ht="27.75" hidden="false" customHeight="true" outlineLevel="0" collapsed="false">
      <c r="A104" s="23" t="s">
        <v>1649</v>
      </c>
      <c r="B104" s="36" t="n">
        <f aca="false">'Atrakcje - kalkulator'!F40</f>
        <v>0</v>
      </c>
      <c r="C104" s="23" t="n">
        <v>0</v>
      </c>
      <c r="D104" s="46" t="b">
        <f aca="false">B104=C104</f>
        <v>1</v>
      </c>
      <c r="E104" s="23"/>
    </row>
    <row r="105" customFormat="false" ht="27.75" hidden="false" customHeight="true" outlineLevel="0" collapsed="false">
      <c r="A105" s="24" t="s">
        <v>1650</v>
      </c>
      <c r="B105" s="24" t="n">
        <f aca="false">'Atrakcje - kalkulator'!E41</f>
        <v>200</v>
      </c>
      <c r="C105" s="24" t="n">
        <v>200</v>
      </c>
      <c r="D105" s="47" t="b">
        <f aca="false">B105=C105</f>
        <v>1</v>
      </c>
      <c r="E105" s="24"/>
    </row>
    <row r="106" customFormat="false" ht="27.75" hidden="false" customHeight="true" outlineLevel="0" collapsed="false">
      <c r="A106" s="23" t="s">
        <v>1651</v>
      </c>
      <c r="B106" s="36" t="n">
        <f aca="false">'Atrakcje - kalkulator'!F41</f>
        <v>100</v>
      </c>
      <c r="C106" s="23" t="n">
        <v>100</v>
      </c>
      <c r="D106" s="46" t="b">
        <f aca="false">B106=C106</f>
        <v>1</v>
      </c>
      <c r="E106" s="23"/>
    </row>
    <row r="107" customFormat="false" ht="27.75" hidden="false" customHeight="true" outlineLevel="0" collapsed="false">
      <c r="A107" s="24" t="s">
        <v>1652</v>
      </c>
      <c r="B107" s="24" t="n">
        <f aca="false">'Atrakcje - kalkulator'!E42</f>
        <v>200</v>
      </c>
      <c r="C107" s="24" t="n">
        <v>200</v>
      </c>
      <c r="D107" s="47" t="b">
        <f aca="false">B107=C107</f>
        <v>1</v>
      </c>
      <c r="E107" s="24"/>
    </row>
    <row r="108" customFormat="false" ht="27.75" hidden="false" customHeight="true" outlineLevel="0" collapsed="false">
      <c r="A108" s="23" t="s">
        <v>1653</v>
      </c>
      <c r="B108" s="36" t="n">
        <f aca="false">'Atrakcje - kalkulator'!F42</f>
        <v>75</v>
      </c>
      <c r="C108" s="23" t="n">
        <v>75</v>
      </c>
      <c r="D108" s="46" t="b">
        <f aca="false">B108=C108</f>
        <v>1</v>
      </c>
      <c r="E108" s="23"/>
    </row>
    <row r="109" customFormat="false" ht="27.75" hidden="false" customHeight="true" outlineLevel="0" collapsed="false">
      <c r="A109" s="24" t="s">
        <v>1654</v>
      </c>
      <c r="B109" s="24" t="n">
        <f aca="false">'Atrakcje - kalkulator'!E43</f>
        <v>200</v>
      </c>
      <c r="C109" s="24" t="n">
        <v>200</v>
      </c>
      <c r="D109" s="47" t="b">
        <f aca="false">B109=C109</f>
        <v>1</v>
      </c>
      <c r="E109" s="24"/>
    </row>
    <row r="110" customFormat="false" ht="27.75" hidden="false" customHeight="true" outlineLevel="0" collapsed="false">
      <c r="A110" s="23" t="s">
        <v>1655</v>
      </c>
      <c r="B110" s="36" t="n">
        <f aca="false">'Atrakcje - kalkulator'!F43</f>
        <v>50</v>
      </c>
      <c r="C110" s="23" t="n">
        <v>50</v>
      </c>
      <c r="D110" s="46" t="b">
        <f aca="false">B110=C110</f>
        <v>1</v>
      </c>
      <c r="E110" s="23"/>
    </row>
    <row r="111" customFormat="false" ht="27.75" hidden="false" customHeight="true" outlineLevel="0" collapsed="false">
      <c r="A111" s="24" t="s">
        <v>1656</v>
      </c>
      <c r="B111" s="24" t="n">
        <f aca="false">'Atrakcje - kalkulator'!E44</f>
        <v>200</v>
      </c>
      <c r="C111" s="24" t="n">
        <v>200</v>
      </c>
      <c r="D111" s="47" t="b">
        <f aca="false">B111=C111</f>
        <v>1</v>
      </c>
      <c r="E111" s="24"/>
    </row>
    <row r="112" customFormat="false" ht="27.75" hidden="false" customHeight="true" outlineLevel="0" collapsed="false">
      <c r="A112" s="23" t="s">
        <v>1657</v>
      </c>
      <c r="B112" s="36" t="n">
        <f aca="false">'Atrakcje - kalkulator'!F44</f>
        <v>25</v>
      </c>
      <c r="C112" s="23" t="n">
        <v>25</v>
      </c>
      <c r="D112" s="46" t="b">
        <f aca="false">B112=C112</f>
        <v>1</v>
      </c>
      <c r="E112" s="23"/>
    </row>
    <row r="113" customFormat="false" ht="27.75" hidden="false" customHeight="true" outlineLevel="0" collapsed="false">
      <c r="A113" s="24" t="s">
        <v>1658</v>
      </c>
      <c r="B113" s="24" t="n">
        <f aca="false">'Atrakcje - kalkulator'!E45</f>
        <v>200</v>
      </c>
      <c r="C113" s="24" t="n">
        <v>200</v>
      </c>
      <c r="D113" s="47" t="b">
        <f aca="false">B113=C113</f>
        <v>1</v>
      </c>
      <c r="E113" s="24"/>
    </row>
    <row r="114" customFormat="false" ht="27.75" hidden="false" customHeight="true" outlineLevel="0" collapsed="false">
      <c r="A114" s="23" t="s">
        <v>1659</v>
      </c>
      <c r="B114" s="36" t="n">
        <f aca="false">'Atrakcje - kalkulator'!F45</f>
        <v>0</v>
      </c>
      <c r="C114" s="23" t="n">
        <v>0</v>
      </c>
      <c r="D114" s="46" t="b">
        <f aca="false">B114=C114</f>
        <v>1</v>
      </c>
      <c r="E114" s="23"/>
    </row>
    <row r="115" customFormat="false" ht="27.75" hidden="false" customHeight="true" outlineLevel="0" collapsed="false">
      <c r="A115" s="24" t="s">
        <v>1660</v>
      </c>
      <c r="B115" s="24" t="n">
        <f aca="false">'Atrakcje - kalkulator'!E46</f>
        <v>15</v>
      </c>
      <c r="C115" s="24" t="n">
        <v>15</v>
      </c>
      <c r="D115" s="47" t="b">
        <f aca="false">B115=C115</f>
        <v>1</v>
      </c>
      <c r="E115" s="24"/>
    </row>
    <row r="116" customFormat="false" ht="27.75" hidden="false" customHeight="true" outlineLevel="0" collapsed="false">
      <c r="A116" s="23" t="s">
        <v>1661</v>
      </c>
      <c r="B116" s="36" t="n">
        <f aca="false">'Atrakcje - kalkulator'!F46</f>
        <v>5</v>
      </c>
      <c r="C116" s="23" t="n">
        <v>5</v>
      </c>
      <c r="D116" s="46" t="b">
        <f aca="false">B116=C116</f>
        <v>1</v>
      </c>
      <c r="E116" s="23"/>
    </row>
    <row r="117" customFormat="false" ht="27.75" hidden="false" customHeight="true" outlineLevel="0" collapsed="false">
      <c r="A117" s="24" t="s">
        <v>1662</v>
      </c>
      <c r="B117" s="24" t="n">
        <f aca="false">'Atrakcje - kalkulator'!E47</f>
        <v>15</v>
      </c>
      <c r="C117" s="24" t="n">
        <v>15</v>
      </c>
      <c r="D117" s="47" t="b">
        <f aca="false">B117=C117</f>
        <v>1</v>
      </c>
      <c r="E117" s="24"/>
    </row>
    <row r="118" customFormat="false" ht="27.75" hidden="false" customHeight="true" outlineLevel="0" collapsed="false">
      <c r="A118" s="23" t="s">
        <v>1663</v>
      </c>
      <c r="B118" s="36" t="n">
        <f aca="false">'Atrakcje - kalkulator'!F47</f>
        <v>3.75</v>
      </c>
      <c r="C118" s="23" t="n">
        <v>3.75</v>
      </c>
      <c r="D118" s="46" t="b">
        <f aca="false">B118=C118</f>
        <v>1</v>
      </c>
      <c r="E118" s="23"/>
    </row>
    <row r="119" customFormat="false" ht="27.75" hidden="false" customHeight="true" outlineLevel="0" collapsed="false">
      <c r="A119" s="24" t="s">
        <v>1664</v>
      </c>
      <c r="B119" s="24" t="n">
        <f aca="false">'Atrakcje - kalkulator'!E48</f>
        <v>15</v>
      </c>
      <c r="C119" s="24" t="n">
        <v>15</v>
      </c>
      <c r="D119" s="47" t="b">
        <f aca="false">B119=C119</f>
        <v>1</v>
      </c>
      <c r="E119" s="24"/>
    </row>
    <row r="120" customFormat="false" ht="27.75" hidden="false" customHeight="true" outlineLevel="0" collapsed="false">
      <c r="A120" s="23" t="s">
        <v>1665</v>
      </c>
      <c r="B120" s="36" t="n">
        <f aca="false">'Atrakcje - kalkulator'!F48</f>
        <v>2.5</v>
      </c>
      <c r="C120" s="23" t="n">
        <v>2.5</v>
      </c>
      <c r="D120" s="46" t="b">
        <f aca="false">B120=C120</f>
        <v>1</v>
      </c>
      <c r="E120" s="23"/>
    </row>
    <row r="121" customFormat="false" ht="27.75" hidden="false" customHeight="true" outlineLevel="0" collapsed="false">
      <c r="A121" s="24" t="s">
        <v>1666</v>
      </c>
      <c r="B121" s="24" t="n">
        <f aca="false">'Atrakcje - kalkulator'!E49</f>
        <v>15</v>
      </c>
      <c r="C121" s="24" t="n">
        <v>15</v>
      </c>
      <c r="D121" s="47" t="b">
        <f aca="false">B121=C121</f>
        <v>1</v>
      </c>
      <c r="E121" s="24"/>
    </row>
    <row r="122" customFormat="false" ht="27.75" hidden="false" customHeight="true" outlineLevel="0" collapsed="false">
      <c r="A122" s="23" t="s">
        <v>1667</v>
      </c>
      <c r="B122" s="36" t="n">
        <f aca="false">'Atrakcje - kalkulator'!F49</f>
        <v>1.25</v>
      </c>
      <c r="C122" s="23" t="n">
        <v>1.25</v>
      </c>
      <c r="D122" s="46" t="b">
        <f aca="false">B122=C122</f>
        <v>1</v>
      </c>
      <c r="E122" s="23"/>
    </row>
    <row r="123" customFormat="false" ht="27.75" hidden="false" customHeight="true" outlineLevel="0" collapsed="false">
      <c r="A123" s="24" t="s">
        <v>1668</v>
      </c>
      <c r="B123" s="24" t="n">
        <f aca="false">'Atrakcje - kalkulator'!E50</f>
        <v>15</v>
      </c>
      <c r="C123" s="24" t="n">
        <v>15</v>
      </c>
      <c r="D123" s="47" t="b">
        <f aca="false">B123=C123</f>
        <v>1</v>
      </c>
      <c r="E123" s="24"/>
    </row>
    <row r="124" customFormat="false" ht="27.75" hidden="false" customHeight="true" outlineLevel="0" collapsed="false">
      <c r="A124" s="23" t="s">
        <v>1669</v>
      </c>
      <c r="B124" s="36" t="n">
        <f aca="false">'Atrakcje - kalkulator'!F50</f>
        <v>0</v>
      </c>
      <c r="C124" s="23" t="n">
        <v>0</v>
      </c>
      <c r="D124" s="46" t="b">
        <f aca="false">B124=C124</f>
        <v>1</v>
      </c>
      <c r="E124" s="23"/>
    </row>
    <row r="125" customFormat="false" ht="27.75" hidden="false" customHeight="true" outlineLevel="0" collapsed="false">
      <c r="A125" s="24" t="s">
        <v>1670</v>
      </c>
      <c r="B125" s="24" t="n">
        <f aca="false">'Atrakcje - kalkulator'!E51</f>
        <v>75</v>
      </c>
      <c r="C125" s="24" t="n">
        <v>75</v>
      </c>
      <c r="D125" s="47" t="b">
        <f aca="false">B125=C125</f>
        <v>1</v>
      </c>
      <c r="E125" s="24"/>
    </row>
    <row r="126" customFormat="false" ht="27.75" hidden="false" customHeight="true" outlineLevel="0" collapsed="false">
      <c r="A126" s="23" t="s">
        <v>1671</v>
      </c>
      <c r="B126" s="36" t="n">
        <f aca="false">'Atrakcje - kalkulator'!F51</f>
        <v>25</v>
      </c>
      <c r="C126" s="23" t="n">
        <v>25</v>
      </c>
      <c r="D126" s="46" t="b">
        <f aca="false">B126=C126</f>
        <v>1</v>
      </c>
      <c r="E126" s="23"/>
    </row>
    <row r="127" customFormat="false" ht="27.75" hidden="false" customHeight="true" outlineLevel="0" collapsed="false">
      <c r="A127" s="24" t="s">
        <v>1672</v>
      </c>
      <c r="B127" s="24" t="n">
        <f aca="false">'Atrakcje - kalkulator'!E52</f>
        <v>75</v>
      </c>
      <c r="C127" s="24" t="n">
        <v>75</v>
      </c>
      <c r="D127" s="47" t="b">
        <f aca="false">B127=C127</f>
        <v>1</v>
      </c>
      <c r="E127" s="24"/>
    </row>
    <row r="128" customFormat="false" ht="27.75" hidden="false" customHeight="true" outlineLevel="0" collapsed="false">
      <c r="A128" s="23" t="s">
        <v>1673</v>
      </c>
      <c r="B128" s="36" t="n">
        <f aca="false">'Atrakcje - kalkulator'!F52</f>
        <v>18.75</v>
      </c>
      <c r="C128" s="23" t="n">
        <v>18.75</v>
      </c>
      <c r="D128" s="46" t="b">
        <f aca="false">B128=C128</f>
        <v>1</v>
      </c>
      <c r="E128" s="23"/>
    </row>
    <row r="129" customFormat="false" ht="27.75" hidden="false" customHeight="true" outlineLevel="0" collapsed="false">
      <c r="A129" s="24" t="s">
        <v>1674</v>
      </c>
      <c r="B129" s="24" t="n">
        <f aca="false">'Atrakcje - kalkulator'!E53</f>
        <v>75</v>
      </c>
      <c r="C129" s="24" t="n">
        <v>75</v>
      </c>
      <c r="D129" s="47" t="b">
        <f aca="false">B129=C129</f>
        <v>1</v>
      </c>
      <c r="E129" s="24"/>
    </row>
    <row r="130" customFormat="false" ht="27.75" hidden="false" customHeight="true" outlineLevel="0" collapsed="false">
      <c r="A130" s="23" t="s">
        <v>1675</v>
      </c>
      <c r="B130" s="36" t="n">
        <f aca="false">'Atrakcje - kalkulator'!F53</f>
        <v>12.5</v>
      </c>
      <c r="C130" s="23" t="n">
        <v>12.5</v>
      </c>
      <c r="D130" s="46" t="b">
        <f aca="false">B130=C130</f>
        <v>1</v>
      </c>
      <c r="E130" s="23"/>
    </row>
    <row r="131" customFormat="false" ht="27.75" hidden="false" customHeight="true" outlineLevel="0" collapsed="false">
      <c r="A131" s="24" t="s">
        <v>1676</v>
      </c>
      <c r="B131" s="24" t="n">
        <f aca="false">'Atrakcje - kalkulator'!E54</f>
        <v>75</v>
      </c>
      <c r="C131" s="24" t="n">
        <v>75</v>
      </c>
      <c r="D131" s="47" t="b">
        <f aca="false">B131=C131</f>
        <v>1</v>
      </c>
      <c r="E131" s="24"/>
    </row>
    <row r="132" customFormat="false" ht="27.75" hidden="false" customHeight="true" outlineLevel="0" collapsed="false">
      <c r="A132" s="23" t="s">
        <v>1677</v>
      </c>
      <c r="B132" s="36" t="n">
        <f aca="false">'Atrakcje - kalkulator'!F54</f>
        <v>6.25</v>
      </c>
      <c r="C132" s="23" t="n">
        <v>6.25</v>
      </c>
      <c r="D132" s="46" t="b">
        <f aca="false">B132=C132</f>
        <v>1</v>
      </c>
      <c r="E132" s="23"/>
    </row>
    <row r="133" customFormat="false" ht="27.75" hidden="false" customHeight="true" outlineLevel="0" collapsed="false">
      <c r="A133" s="24" t="s">
        <v>1678</v>
      </c>
      <c r="B133" s="24" t="n">
        <f aca="false">'Atrakcje - kalkulator'!E55</f>
        <v>75</v>
      </c>
      <c r="C133" s="24" t="n">
        <v>75</v>
      </c>
      <c r="D133" s="47" t="b">
        <f aca="false">B133=C133</f>
        <v>1</v>
      </c>
      <c r="E133" s="24"/>
    </row>
    <row r="134" customFormat="false" ht="27.75" hidden="false" customHeight="true" outlineLevel="0" collapsed="false">
      <c r="A134" s="23" t="s">
        <v>1679</v>
      </c>
      <c r="B134" s="36" t="n">
        <f aca="false">'Atrakcje - kalkulator'!F55</f>
        <v>0</v>
      </c>
      <c r="C134" s="23" t="n">
        <v>0</v>
      </c>
      <c r="D134" s="46" t="b">
        <f aca="false">B134=C134</f>
        <v>1</v>
      </c>
      <c r="E134" s="23"/>
    </row>
    <row r="135" customFormat="false" ht="27.75" hidden="false" customHeight="true" outlineLevel="0" collapsed="false">
      <c r="A135" s="24" t="s">
        <v>1680</v>
      </c>
      <c r="B135" s="24" t="n">
        <f aca="false">'Atrakcje - kalkulator'!E56</f>
        <v>150</v>
      </c>
      <c r="C135" s="24" t="n">
        <v>150</v>
      </c>
      <c r="D135" s="47" t="b">
        <f aca="false">B135=C135</f>
        <v>1</v>
      </c>
      <c r="E135" s="24"/>
    </row>
    <row r="136" customFormat="false" ht="27.75" hidden="false" customHeight="true" outlineLevel="0" collapsed="false">
      <c r="A136" s="23" t="s">
        <v>1681</v>
      </c>
      <c r="B136" s="36" t="n">
        <f aca="false">'Atrakcje - kalkulator'!F56</f>
        <v>50</v>
      </c>
      <c r="C136" s="23" t="n">
        <v>50</v>
      </c>
      <c r="D136" s="46" t="b">
        <f aca="false">B136=C136</f>
        <v>1</v>
      </c>
      <c r="E136" s="23"/>
    </row>
    <row r="137" customFormat="false" ht="27.75" hidden="false" customHeight="true" outlineLevel="0" collapsed="false">
      <c r="A137" s="24" t="s">
        <v>1682</v>
      </c>
      <c r="B137" s="24" t="n">
        <f aca="false">'Atrakcje - kalkulator'!E57</f>
        <v>150</v>
      </c>
      <c r="C137" s="24" t="n">
        <v>150</v>
      </c>
      <c r="D137" s="47" t="b">
        <f aca="false">B137=C137</f>
        <v>1</v>
      </c>
      <c r="E137" s="24"/>
    </row>
    <row r="138" customFormat="false" ht="27.75" hidden="false" customHeight="true" outlineLevel="0" collapsed="false">
      <c r="A138" s="23" t="s">
        <v>1683</v>
      </c>
      <c r="B138" s="36" t="n">
        <f aca="false">'Atrakcje - kalkulator'!F57</f>
        <v>37.5</v>
      </c>
      <c r="C138" s="23" t="n">
        <v>37.5</v>
      </c>
      <c r="D138" s="46" t="b">
        <f aca="false">B138=C138</f>
        <v>1</v>
      </c>
      <c r="E138" s="23"/>
    </row>
    <row r="139" customFormat="false" ht="27.75" hidden="false" customHeight="true" outlineLevel="0" collapsed="false">
      <c r="A139" s="24" t="s">
        <v>1684</v>
      </c>
      <c r="B139" s="24" t="n">
        <f aca="false">'Atrakcje - kalkulator'!E58</f>
        <v>150</v>
      </c>
      <c r="C139" s="24" t="n">
        <v>150</v>
      </c>
      <c r="D139" s="47" t="b">
        <f aca="false">B139=C139</f>
        <v>1</v>
      </c>
      <c r="E139" s="24"/>
    </row>
    <row r="140" customFormat="false" ht="27.75" hidden="false" customHeight="true" outlineLevel="0" collapsed="false">
      <c r="A140" s="23" t="s">
        <v>1685</v>
      </c>
      <c r="B140" s="36" t="n">
        <f aca="false">'Atrakcje - kalkulator'!F58</f>
        <v>25</v>
      </c>
      <c r="C140" s="23" t="n">
        <v>25</v>
      </c>
      <c r="D140" s="46" t="b">
        <f aca="false">B140=C140</f>
        <v>1</v>
      </c>
      <c r="E140" s="23"/>
    </row>
    <row r="141" customFormat="false" ht="27.75" hidden="false" customHeight="true" outlineLevel="0" collapsed="false">
      <c r="A141" s="24" t="s">
        <v>1686</v>
      </c>
      <c r="B141" s="24" t="n">
        <f aca="false">'Atrakcje - kalkulator'!E59</f>
        <v>150</v>
      </c>
      <c r="C141" s="24" t="n">
        <v>150</v>
      </c>
      <c r="D141" s="47" t="b">
        <f aca="false">B141=C141</f>
        <v>1</v>
      </c>
      <c r="E141" s="24"/>
    </row>
    <row r="142" customFormat="false" ht="27.75" hidden="false" customHeight="true" outlineLevel="0" collapsed="false">
      <c r="A142" s="23" t="s">
        <v>1687</v>
      </c>
      <c r="B142" s="36" t="n">
        <f aca="false">'Atrakcje - kalkulator'!F59</f>
        <v>12.5</v>
      </c>
      <c r="C142" s="23" t="n">
        <v>12.5</v>
      </c>
      <c r="D142" s="46" t="b">
        <f aca="false">B142=C142</f>
        <v>1</v>
      </c>
      <c r="E142" s="23"/>
    </row>
    <row r="143" customFormat="false" ht="27.75" hidden="false" customHeight="true" outlineLevel="0" collapsed="false">
      <c r="A143" s="24" t="s">
        <v>1688</v>
      </c>
      <c r="B143" s="24" t="n">
        <f aca="false">'Atrakcje - kalkulator'!E60</f>
        <v>150</v>
      </c>
      <c r="C143" s="24" t="n">
        <v>150</v>
      </c>
      <c r="D143" s="47" t="b">
        <f aca="false">B143=C143</f>
        <v>1</v>
      </c>
      <c r="E143" s="24"/>
    </row>
    <row r="144" customFormat="false" ht="27.75" hidden="false" customHeight="true" outlineLevel="0" collapsed="false">
      <c r="A144" s="23" t="s">
        <v>1689</v>
      </c>
      <c r="B144" s="36" t="n">
        <f aca="false">'Atrakcje - kalkulator'!F60</f>
        <v>0</v>
      </c>
      <c r="C144" s="23" t="n">
        <v>0</v>
      </c>
      <c r="D144" s="46" t="b">
        <f aca="false">B144=C144</f>
        <v>1</v>
      </c>
      <c r="E144" s="23"/>
    </row>
    <row r="145" customFormat="false" ht="27.75" hidden="false" customHeight="true" outlineLevel="0" collapsed="false">
      <c r="A145" s="24" t="s">
        <v>1690</v>
      </c>
      <c r="B145" s="24" t="n">
        <f aca="false">'Atrakcje - kalkulator'!E61</f>
        <v>300</v>
      </c>
      <c r="C145" s="24" t="n">
        <v>300</v>
      </c>
      <c r="D145" s="47" t="b">
        <f aca="false">B145=C145</f>
        <v>1</v>
      </c>
      <c r="E145" s="24"/>
    </row>
    <row r="146" customFormat="false" ht="27.75" hidden="false" customHeight="true" outlineLevel="0" collapsed="false">
      <c r="A146" s="23" t="s">
        <v>1691</v>
      </c>
      <c r="B146" s="36" t="n">
        <f aca="false">'Atrakcje - kalkulator'!F61</f>
        <v>100</v>
      </c>
      <c r="C146" s="23" t="n">
        <v>100</v>
      </c>
      <c r="D146" s="46" t="b">
        <f aca="false">B146=C146</f>
        <v>1</v>
      </c>
      <c r="E146" s="23"/>
    </row>
    <row r="147" customFormat="false" ht="27.75" hidden="false" customHeight="true" outlineLevel="0" collapsed="false">
      <c r="A147" s="24" t="s">
        <v>1692</v>
      </c>
      <c r="B147" s="24" t="n">
        <f aca="false">'Atrakcje - kalkulator'!E62</f>
        <v>300</v>
      </c>
      <c r="C147" s="24" t="n">
        <v>300</v>
      </c>
      <c r="D147" s="47" t="b">
        <f aca="false">B147=C147</f>
        <v>1</v>
      </c>
      <c r="E147" s="24"/>
    </row>
    <row r="148" customFormat="false" ht="27.75" hidden="false" customHeight="true" outlineLevel="0" collapsed="false">
      <c r="A148" s="23" t="s">
        <v>1693</v>
      </c>
      <c r="B148" s="36" t="n">
        <f aca="false">'Atrakcje - kalkulator'!F62</f>
        <v>75</v>
      </c>
      <c r="C148" s="23" t="n">
        <v>75</v>
      </c>
      <c r="D148" s="46" t="b">
        <f aca="false">B148=C148</f>
        <v>1</v>
      </c>
      <c r="E148" s="23"/>
    </row>
    <row r="149" customFormat="false" ht="27.75" hidden="false" customHeight="true" outlineLevel="0" collapsed="false">
      <c r="A149" s="24" t="s">
        <v>1694</v>
      </c>
      <c r="B149" s="24" t="n">
        <f aca="false">'Atrakcje - kalkulator'!E63</f>
        <v>300</v>
      </c>
      <c r="C149" s="24" t="n">
        <v>300</v>
      </c>
      <c r="D149" s="47" t="b">
        <f aca="false">B149=C149</f>
        <v>1</v>
      </c>
      <c r="E149" s="24"/>
    </row>
    <row r="150" customFormat="false" ht="27.75" hidden="false" customHeight="true" outlineLevel="0" collapsed="false">
      <c r="A150" s="23" t="s">
        <v>1695</v>
      </c>
      <c r="B150" s="36" t="n">
        <f aca="false">'Atrakcje - kalkulator'!F63</f>
        <v>50</v>
      </c>
      <c r="C150" s="23" t="n">
        <v>50</v>
      </c>
      <c r="D150" s="46" t="b">
        <f aca="false">B150=C150</f>
        <v>1</v>
      </c>
      <c r="E150" s="23"/>
    </row>
    <row r="151" customFormat="false" ht="27.75" hidden="false" customHeight="true" outlineLevel="0" collapsed="false">
      <c r="A151" s="24" t="s">
        <v>1696</v>
      </c>
      <c r="B151" s="24" t="n">
        <f aca="false">'Atrakcje - kalkulator'!E64</f>
        <v>300</v>
      </c>
      <c r="C151" s="24" t="n">
        <v>300</v>
      </c>
      <c r="D151" s="47" t="b">
        <f aca="false">B151=C151</f>
        <v>1</v>
      </c>
      <c r="E151" s="24"/>
    </row>
    <row r="152" customFormat="false" ht="27.75" hidden="false" customHeight="true" outlineLevel="0" collapsed="false">
      <c r="A152" s="23" t="s">
        <v>1697</v>
      </c>
      <c r="B152" s="36" t="n">
        <f aca="false">'Atrakcje - kalkulator'!F64</f>
        <v>25</v>
      </c>
      <c r="C152" s="23" t="n">
        <v>25</v>
      </c>
      <c r="D152" s="46" t="b">
        <f aca="false">B152=C152</f>
        <v>1</v>
      </c>
      <c r="E152" s="23"/>
    </row>
    <row r="153" customFormat="false" ht="27.75" hidden="false" customHeight="true" outlineLevel="0" collapsed="false">
      <c r="A153" s="24" t="s">
        <v>1698</v>
      </c>
      <c r="B153" s="24" t="n">
        <f aca="false">'Atrakcje - kalkulator'!E65</f>
        <v>300</v>
      </c>
      <c r="C153" s="24" t="n">
        <v>300</v>
      </c>
      <c r="D153" s="47" t="b">
        <f aca="false">B153=C153</f>
        <v>1</v>
      </c>
      <c r="E153" s="24"/>
    </row>
    <row r="154" customFormat="false" ht="27.75" hidden="false" customHeight="true" outlineLevel="0" collapsed="false">
      <c r="A154" s="23" t="s">
        <v>1699</v>
      </c>
      <c r="B154" s="36" t="n">
        <f aca="false">'Atrakcje - kalkulator'!F65</f>
        <v>0</v>
      </c>
      <c r="C154" s="23" t="n">
        <v>0</v>
      </c>
      <c r="D154" s="46" t="b">
        <f aca="false">B154=C154</f>
        <v>1</v>
      </c>
      <c r="E154" s="23"/>
    </row>
    <row r="155" customFormat="false" ht="27.75" hidden="false" customHeight="true" outlineLevel="0" collapsed="false">
      <c r="A155" s="24" t="s">
        <v>1700</v>
      </c>
      <c r="B155" s="24" t="n">
        <f aca="false">'Atrakcje - kalkulator'!E66</f>
        <v>25</v>
      </c>
      <c r="C155" s="24" t="n">
        <v>25</v>
      </c>
      <c r="D155" s="47" t="b">
        <f aca="false">B155=C155</f>
        <v>1</v>
      </c>
      <c r="E155" s="24"/>
    </row>
    <row r="156" customFormat="false" ht="27.75" hidden="false" customHeight="true" outlineLevel="0" collapsed="false">
      <c r="A156" s="23" t="s">
        <v>1701</v>
      </c>
      <c r="B156" s="36" t="n">
        <f aca="false">'Atrakcje - kalkulator'!F66</f>
        <v>5</v>
      </c>
      <c r="C156" s="23" t="n">
        <v>5</v>
      </c>
      <c r="D156" s="46" t="b">
        <f aca="false">B156=C156</f>
        <v>1</v>
      </c>
      <c r="E156" s="23"/>
    </row>
    <row r="157" customFormat="false" ht="27.75" hidden="false" customHeight="true" outlineLevel="0" collapsed="false">
      <c r="A157" s="24" t="s">
        <v>1702</v>
      </c>
      <c r="B157" s="24" t="n">
        <f aca="false">'Atrakcje - kalkulator'!E67</f>
        <v>25</v>
      </c>
      <c r="C157" s="24" t="n">
        <v>25</v>
      </c>
      <c r="D157" s="47" t="b">
        <f aca="false">B157=C157</f>
        <v>1</v>
      </c>
      <c r="E157" s="24"/>
    </row>
    <row r="158" customFormat="false" ht="27.75" hidden="false" customHeight="true" outlineLevel="0" collapsed="false">
      <c r="A158" s="23" t="s">
        <v>1703</v>
      </c>
      <c r="B158" s="36" t="n">
        <f aca="false">'Atrakcje - kalkulator'!F67</f>
        <v>3.75</v>
      </c>
      <c r="C158" s="23" t="n">
        <v>3.75</v>
      </c>
      <c r="D158" s="46" t="b">
        <f aca="false">B158=C158</f>
        <v>1</v>
      </c>
      <c r="E158" s="23"/>
    </row>
    <row r="159" customFormat="false" ht="27.75" hidden="false" customHeight="true" outlineLevel="0" collapsed="false">
      <c r="A159" s="24" t="s">
        <v>1704</v>
      </c>
      <c r="B159" s="24" t="n">
        <f aca="false">'Atrakcje - kalkulator'!E68</f>
        <v>25</v>
      </c>
      <c r="C159" s="24" t="n">
        <v>25</v>
      </c>
      <c r="D159" s="47" t="b">
        <f aca="false">B159=C159</f>
        <v>1</v>
      </c>
      <c r="E159" s="24"/>
    </row>
    <row r="160" customFormat="false" ht="27.75" hidden="false" customHeight="true" outlineLevel="0" collapsed="false">
      <c r="A160" s="23" t="s">
        <v>1705</v>
      </c>
      <c r="B160" s="36" t="n">
        <f aca="false">'Atrakcje - kalkulator'!F68</f>
        <v>2.5</v>
      </c>
      <c r="C160" s="23" t="n">
        <v>2.5</v>
      </c>
      <c r="D160" s="46" t="b">
        <f aca="false">B160=C160</f>
        <v>1</v>
      </c>
      <c r="E160" s="23"/>
    </row>
    <row r="161" customFormat="false" ht="27.75" hidden="false" customHeight="true" outlineLevel="0" collapsed="false">
      <c r="A161" s="24" t="s">
        <v>1706</v>
      </c>
      <c r="B161" s="24" t="n">
        <f aca="false">'Atrakcje - kalkulator'!E69</f>
        <v>25</v>
      </c>
      <c r="C161" s="24" t="n">
        <v>25</v>
      </c>
      <c r="D161" s="47" t="b">
        <f aca="false">B161=C161</f>
        <v>1</v>
      </c>
      <c r="E161" s="24"/>
    </row>
    <row r="162" customFormat="false" ht="27.75" hidden="false" customHeight="true" outlineLevel="0" collapsed="false">
      <c r="A162" s="23" t="s">
        <v>1707</v>
      </c>
      <c r="B162" s="36" t="n">
        <f aca="false">'Atrakcje - kalkulator'!F69</f>
        <v>1.25</v>
      </c>
      <c r="C162" s="23" t="n">
        <v>1.25</v>
      </c>
      <c r="D162" s="46" t="b">
        <f aca="false">B162=C162</f>
        <v>1</v>
      </c>
      <c r="E162" s="23"/>
    </row>
    <row r="163" customFormat="false" ht="27.75" hidden="false" customHeight="true" outlineLevel="0" collapsed="false">
      <c r="A163" s="24" t="s">
        <v>1708</v>
      </c>
      <c r="B163" s="24" t="n">
        <f aca="false">'Atrakcje - kalkulator'!E70</f>
        <v>25</v>
      </c>
      <c r="C163" s="24" t="n">
        <v>25</v>
      </c>
      <c r="D163" s="47" t="b">
        <f aca="false">B163=C163</f>
        <v>1</v>
      </c>
      <c r="E163" s="24"/>
    </row>
    <row r="164" customFormat="false" ht="27.75" hidden="false" customHeight="true" outlineLevel="0" collapsed="false">
      <c r="A164" s="23" t="s">
        <v>1709</v>
      </c>
      <c r="B164" s="36" t="n">
        <f aca="false">'Atrakcje - kalkulator'!F70</f>
        <v>0</v>
      </c>
      <c r="C164" s="23" t="n">
        <v>0</v>
      </c>
      <c r="D164" s="46" t="b">
        <f aca="false">B164=C164</f>
        <v>1</v>
      </c>
      <c r="E164" s="23"/>
    </row>
    <row r="165" customFormat="false" ht="27.75" hidden="false" customHeight="true" outlineLevel="0" collapsed="false">
      <c r="A165" s="24" t="s">
        <v>1710</v>
      </c>
      <c r="B165" s="24" t="n">
        <f aca="false">'Atrakcje - kalkulator'!E71</f>
        <v>125</v>
      </c>
      <c r="C165" s="24" t="n">
        <v>125</v>
      </c>
      <c r="D165" s="47" t="b">
        <f aca="false">B165=C165</f>
        <v>1</v>
      </c>
      <c r="E165" s="24"/>
    </row>
    <row r="166" customFormat="false" ht="27.75" hidden="false" customHeight="true" outlineLevel="0" collapsed="false">
      <c r="A166" s="23" t="s">
        <v>1711</v>
      </c>
      <c r="B166" s="36" t="n">
        <f aca="false">'Atrakcje - kalkulator'!F71</f>
        <v>25</v>
      </c>
      <c r="C166" s="23" t="n">
        <v>25</v>
      </c>
      <c r="D166" s="46" t="b">
        <f aca="false">B166=C166</f>
        <v>1</v>
      </c>
      <c r="E166" s="23"/>
    </row>
    <row r="167" customFormat="false" ht="27.75" hidden="false" customHeight="true" outlineLevel="0" collapsed="false">
      <c r="A167" s="24" t="s">
        <v>1712</v>
      </c>
      <c r="B167" s="24" t="n">
        <f aca="false">'Atrakcje - kalkulator'!E72</f>
        <v>125</v>
      </c>
      <c r="C167" s="24" t="n">
        <v>125</v>
      </c>
      <c r="D167" s="47" t="b">
        <f aca="false">B167=C167</f>
        <v>1</v>
      </c>
      <c r="E167" s="24"/>
    </row>
    <row r="168" customFormat="false" ht="27.75" hidden="false" customHeight="true" outlineLevel="0" collapsed="false">
      <c r="A168" s="23" t="s">
        <v>1713</v>
      </c>
      <c r="B168" s="36" t="n">
        <f aca="false">'Atrakcje - kalkulator'!F72</f>
        <v>18.75</v>
      </c>
      <c r="C168" s="23" t="n">
        <v>18.75</v>
      </c>
      <c r="D168" s="46" t="b">
        <f aca="false">B168=C168</f>
        <v>1</v>
      </c>
      <c r="E168" s="23"/>
    </row>
    <row r="169" customFormat="false" ht="27.75" hidden="false" customHeight="true" outlineLevel="0" collapsed="false">
      <c r="A169" s="24" t="s">
        <v>1714</v>
      </c>
      <c r="B169" s="24" t="n">
        <f aca="false">'Atrakcje - kalkulator'!E73</f>
        <v>125</v>
      </c>
      <c r="C169" s="24" t="n">
        <v>125</v>
      </c>
      <c r="D169" s="47" t="b">
        <f aca="false">B169=C169</f>
        <v>1</v>
      </c>
      <c r="E169" s="24"/>
    </row>
    <row r="170" customFormat="false" ht="27.75" hidden="false" customHeight="true" outlineLevel="0" collapsed="false">
      <c r="A170" s="23" t="s">
        <v>1715</v>
      </c>
      <c r="B170" s="36" t="n">
        <f aca="false">'Atrakcje - kalkulator'!F73</f>
        <v>12.5</v>
      </c>
      <c r="C170" s="23" t="n">
        <v>12.5</v>
      </c>
      <c r="D170" s="46" t="b">
        <f aca="false">B170=C170</f>
        <v>1</v>
      </c>
      <c r="E170" s="23"/>
    </row>
    <row r="171" customFormat="false" ht="27.75" hidden="false" customHeight="true" outlineLevel="0" collapsed="false">
      <c r="A171" s="24" t="s">
        <v>1716</v>
      </c>
      <c r="B171" s="24" t="n">
        <f aca="false">'Atrakcje - kalkulator'!E74</f>
        <v>125</v>
      </c>
      <c r="C171" s="24" t="n">
        <v>125</v>
      </c>
      <c r="D171" s="47" t="b">
        <f aca="false">B171=C171</f>
        <v>1</v>
      </c>
      <c r="E171" s="24"/>
    </row>
    <row r="172" customFormat="false" ht="27.75" hidden="false" customHeight="true" outlineLevel="0" collapsed="false">
      <c r="A172" s="23" t="s">
        <v>1717</v>
      </c>
      <c r="B172" s="36" t="n">
        <f aca="false">'Atrakcje - kalkulator'!F74</f>
        <v>6.25</v>
      </c>
      <c r="C172" s="23" t="n">
        <v>6.25</v>
      </c>
      <c r="D172" s="46" t="b">
        <f aca="false">B172=C172</f>
        <v>1</v>
      </c>
      <c r="E172" s="23"/>
    </row>
    <row r="173" customFormat="false" ht="27.75" hidden="false" customHeight="true" outlineLevel="0" collapsed="false">
      <c r="A173" s="24" t="s">
        <v>1718</v>
      </c>
      <c r="B173" s="24" t="n">
        <f aca="false">'Atrakcje - kalkulator'!E75</f>
        <v>125</v>
      </c>
      <c r="C173" s="24" t="n">
        <v>125</v>
      </c>
      <c r="D173" s="47" t="b">
        <f aca="false">B173=C173</f>
        <v>1</v>
      </c>
      <c r="E173" s="24"/>
    </row>
    <row r="174" customFormat="false" ht="27.75" hidden="false" customHeight="true" outlineLevel="0" collapsed="false">
      <c r="A174" s="23" t="s">
        <v>1719</v>
      </c>
      <c r="B174" s="36" t="n">
        <f aca="false">'Atrakcje - kalkulator'!F75</f>
        <v>0</v>
      </c>
      <c r="C174" s="23" t="n">
        <v>0</v>
      </c>
      <c r="D174" s="46" t="b">
        <f aca="false">B174=C174</f>
        <v>1</v>
      </c>
      <c r="E174" s="23"/>
    </row>
    <row r="175" customFormat="false" ht="27.75" hidden="false" customHeight="true" outlineLevel="0" collapsed="false">
      <c r="A175" s="24" t="s">
        <v>1720</v>
      </c>
      <c r="B175" s="24" t="n">
        <f aca="false">'Atrakcje - kalkulator'!E76</f>
        <v>250</v>
      </c>
      <c r="C175" s="24" t="n">
        <v>250</v>
      </c>
      <c r="D175" s="47" t="b">
        <f aca="false">B175=C175</f>
        <v>1</v>
      </c>
      <c r="E175" s="24"/>
    </row>
    <row r="176" customFormat="false" ht="27.75" hidden="false" customHeight="true" outlineLevel="0" collapsed="false">
      <c r="A176" s="23" t="s">
        <v>1721</v>
      </c>
      <c r="B176" s="36" t="n">
        <f aca="false">'Atrakcje - kalkulator'!F76</f>
        <v>50</v>
      </c>
      <c r="C176" s="23" t="n">
        <v>50</v>
      </c>
      <c r="D176" s="46" t="b">
        <f aca="false">B176=C176</f>
        <v>1</v>
      </c>
      <c r="E176" s="23"/>
    </row>
    <row r="177" customFormat="false" ht="27.75" hidden="false" customHeight="true" outlineLevel="0" collapsed="false">
      <c r="A177" s="24" t="s">
        <v>1722</v>
      </c>
      <c r="B177" s="24" t="n">
        <f aca="false">'Atrakcje - kalkulator'!E77</f>
        <v>250</v>
      </c>
      <c r="C177" s="24" t="n">
        <v>250</v>
      </c>
      <c r="D177" s="47" t="b">
        <f aca="false">B177=C177</f>
        <v>1</v>
      </c>
      <c r="E177" s="24"/>
    </row>
    <row r="178" customFormat="false" ht="27.75" hidden="false" customHeight="true" outlineLevel="0" collapsed="false">
      <c r="A178" s="23" t="s">
        <v>1723</v>
      </c>
      <c r="B178" s="36" t="n">
        <f aca="false">'Atrakcje - kalkulator'!F77</f>
        <v>37.5</v>
      </c>
      <c r="C178" s="23" t="n">
        <v>37.5</v>
      </c>
      <c r="D178" s="46" t="b">
        <f aca="false">B178=C178</f>
        <v>1</v>
      </c>
      <c r="E178" s="23"/>
    </row>
    <row r="179" customFormat="false" ht="27.75" hidden="false" customHeight="true" outlineLevel="0" collapsed="false">
      <c r="A179" s="24" t="s">
        <v>1724</v>
      </c>
      <c r="B179" s="24" t="n">
        <f aca="false">'Atrakcje - kalkulator'!E78</f>
        <v>250</v>
      </c>
      <c r="C179" s="24" t="n">
        <v>250</v>
      </c>
      <c r="D179" s="47" t="b">
        <f aca="false">B179=C179</f>
        <v>1</v>
      </c>
      <c r="E179" s="24"/>
    </row>
    <row r="180" customFormat="false" ht="27.75" hidden="false" customHeight="true" outlineLevel="0" collapsed="false">
      <c r="A180" s="23" t="s">
        <v>1725</v>
      </c>
      <c r="B180" s="36" t="n">
        <f aca="false">'Atrakcje - kalkulator'!F78</f>
        <v>25</v>
      </c>
      <c r="C180" s="23" t="n">
        <v>25</v>
      </c>
      <c r="D180" s="46" t="b">
        <f aca="false">B180=C180</f>
        <v>1</v>
      </c>
      <c r="E180" s="23"/>
    </row>
    <row r="181" customFormat="false" ht="27.75" hidden="false" customHeight="true" outlineLevel="0" collapsed="false">
      <c r="A181" s="24" t="s">
        <v>1726</v>
      </c>
      <c r="B181" s="24" t="n">
        <f aca="false">'Atrakcje - kalkulator'!E79</f>
        <v>250</v>
      </c>
      <c r="C181" s="24" t="n">
        <v>250</v>
      </c>
      <c r="D181" s="47" t="b">
        <f aca="false">B181=C181</f>
        <v>1</v>
      </c>
      <c r="E181" s="24"/>
    </row>
    <row r="182" customFormat="false" ht="27.75" hidden="false" customHeight="true" outlineLevel="0" collapsed="false">
      <c r="A182" s="23" t="s">
        <v>1727</v>
      </c>
      <c r="B182" s="36" t="n">
        <f aca="false">'Atrakcje - kalkulator'!F79</f>
        <v>12.5</v>
      </c>
      <c r="C182" s="23" t="n">
        <v>12.5</v>
      </c>
      <c r="D182" s="46" t="b">
        <f aca="false">B182=C182</f>
        <v>1</v>
      </c>
      <c r="E182" s="23"/>
    </row>
    <row r="183" customFormat="false" ht="27.75" hidden="false" customHeight="true" outlineLevel="0" collapsed="false">
      <c r="A183" s="24" t="s">
        <v>1728</v>
      </c>
      <c r="B183" s="24" t="n">
        <f aca="false">'Atrakcje - kalkulator'!E80</f>
        <v>250</v>
      </c>
      <c r="C183" s="24" t="n">
        <v>250</v>
      </c>
      <c r="D183" s="47" t="b">
        <f aca="false">B183=C183</f>
        <v>1</v>
      </c>
      <c r="E183" s="24"/>
    </row>
    <row r="184" customFormat="false" ht="27.75" hidden="false" customHeight="true" outlineLevel="0" collapsed="false">
      <c r="A184" s="23" t="s">
        <v>1729</v>
      </c>
      <c r="B184" s="36" t="n">
        <f aca="false">'Atrakcje - kalkulator'!F80</f>
        <v>0</v>
      </c>
      <c r="C184" s="23" t="n">
        <v>0</v>
      </c>
      <c r="D184" s="46" t="b">
        <f aca="false">B184=C184</f>
        <v>1</v>
      </c>
      <c r="E184" s="23"/>
    </row>
    <row r="185" customFormat="false" ht="27.75" hidden="false" customHeight="true" outlineLevel="0" collapsed="false">
      <c r="A185" s="24" t="s">
        <v>1730</v>
      </c>
      <c r="B185" s="24" t="n">
        <f aca="false">'Atrakcje - kalkulator'!E81</f>
        <v>500</v>
      </c>
      <c r="C185" s="24" t="n">
        <v>500</v>
      </c>
      <c r="D185" s="47" t="b">
        <f aca="false">B185=C185</f>
        <v>1</v>
      </c>
      <c r="E185" s="24"/>
    </row>
    <row r="186" customFormat="false" ht="27.75" hidden="false" customHeight="true" outlineLevel="0" collapsed="false">
      <c r="A186" s="23" t="s">
        <v>1731</v>
      </c>
      <c r="B186" s="36" t="n">
        <f aca="false">'Atrakcje - kalkulator'!F81</f>
        <v>100</v>
      </c>
      <c r="C186" s="23" t="n">
        <v>100</v>
      </c>
      <c r="D186" s="46" t="b">
        <f aca="false">B186=C186</f>
        <v>1</v>
      </c>
      <c r="E186" s="23"/>
    </row>
    <row r="187" customFormat="false" ht="27.75" hidden="false" customHeight="true" outlineLevel="0" collapsed="false">
      <c r="A187" s="24" t="s">
        <v>1732</v>
      </c>
      <c r="B187" s="24" t="n">
        <f aca="false">'Atrakcje - kalkulator'!E82</f>
        <v>500</v>
      </c>
      <c r="C187" s="24" t="n">
        <v>500</v>
      </c>
      <c r="D187" s="47" t="b">
        <f aca="false">B187=C187</f>
        <v>1</v>
      </c>
      <c r="E187" s="24"/>
    </row>
    <row r="188" customFormat="false" ht="27.75" hidden="false" customHeight="true" outlineLevel="0" collapsed="false">
      <c r="A188" s="23" t="s">
        <v>1733</v>
      </c>
      <c r="B188" s="36" t="n">
        <f aca="false">'Atrakcje - kalkulator'!F82</f>
        <v>75</v>
      </c>
      <c r="C188" s="23" t="n">
        <v>75</v>
      </c>
      <c r="D188" s="46" t="b">
        <f aca="false">B188=C188</f>
        <v>1</v>
      </c>
      <c r="E188" s="23"/>
    </row>
    <row r="189" customFormat="false" ht="27.75" hidden="false" customHeight="true" outlineLevel="0" collapsed="false">
      <c r="A189" s="24" t="s">
        <v>1734</v>
      </c>
      <c r="B189" s="24" t="n">
        <f aca="false">'Atrakcje - kalkulator'!E83</f>
        <v>500</v>
      </c>
      <c r="C189" s="24" t="n">
        <v>500</v>
      </c>
      <c r="D189" s="47" t="b">
        <f aca="false">B189=C189</f>
        <v>1</v>
      </c>
      <c r="E189" s="24"/>
    </row>
    <row r="190" customFormat="false" ht="27.75" hidden="false" customHeight="true" outlineLevel="0" collapsed="false">
      <c r="A190" s="23" t="s">
        <v>1735</v>
      </c>
      <c r="B190" s="36" t="n">
        <f aca="false">'Atrakcje - kalkulator'!F83</f>
        <v>50</v>
      </c>
      <c r="C190" s="23" t="n">
        <v>50</v>
      </c>
      <c r="D190" s="46" t="b">
        <f aca="false">B190=C190</f>
        <v>1</v>
      </c>
      <c r="E190" s="23"/>
    </row>
    <row r="191" customFormat="false" ht="27.75" hidden="false" customHeight="true" outlineLevel="0" collapsed="false">
      <c r="A191" s="24" t="s">
        <v>1736</v>
      </c>
      <c r="B191" s="24" t="n">
        <f aca="false">'Atrakcje - kalkulator'!E84</f>
        <v>500</v>
      </c>
      <c r="C191" s="24" t="n">
        <v>500</v>
      </c>
      <c r="D191" s="47" t="b">
        <f aca="false">B191=C191</f>
        <v>1</v>
      </c>
      <c r="E191" s="24"/>
    </row>
    <row r="192" customFormat="false" ht="27.75" hidden="false" customHeight="true" outlineLevel="0" collapsed="false">
      <c r="A192" s="23" t="s">
        <v>1737</v>
      </c>
      <c r="B192" s="36" t="n">
        <f aca="false">'Atrakcje - kalkulator'!F84</f>
        <v>25</v>
      </c>
      <c r="C192" s="23" t="n">
        <v>25</v>
      </c>
      <c r="D192" s="46" t="b">
        <f aca="false">B192=C192</f>
        <v>1</v>
      </c>
      <c r="E192" s="23"/>
    </row>
    <row r="193" customFormat="false" ht="27.75" hidden="false" customHeight="true" outlineLevel="0" collapsed="false">
      <c r="A193" s="24" t="s">
        <v>1738</v>
      </c>
      <c r="B193" s="24" t="n">
        <f aca="false">'Atrakcje - kalkulator'!E85</f>
        <v>500</v>
      </c>
      <c r="C193" s="24" t="n">
        <v>500</v>
      </c>
      <c r="D193" s="47" t="b">
        <f aca="false">B193=C193</f>
        <v>1</v>
      </c>
      <c r="E193" s="24"/>
    </row>
    <row r="194" customFormat="false" ht="27.75" hidden="false" customHeight="true" outlineLevel="0" collapsed="false">
      <c r="A194" s="23" t="s">
        <v>1739</v>
      </c>
      <c r="B194" s="36" t="n">
        <f aca="false">'Atrakcje - kalkulator'!F85</f>
        <v>0</v>
      </c>
      <c r="C194" s="23" t="n">
        <v>0</v>
      </c>
      <c r="D194" s="46" t="b">
        <f aca="false">B194=C194</f>
        <v>1</v>
      </c>
      <c r="E194" s="23"/>
    </row>
    <row r="195" customFormat="false" ht="27.75" hidden="false" customHeight="true" outlineLevel="0" collapsed="false">
      <c r="A195" s="24" t="s">
        <v>1740</v>
      </c>
      <c r="B195" s="24" t="n">
        <f aca="false">'Atrakcje - kalkulator'!E86</f>
        <v>50</v>
      </c>
      <c r="C195" s="24" t="n">
        <v>50</v>
      </c>
      <c r="D195" s="47" t="b">
        <f aca="false">B195=C195</f>
        <v>1</v>
      </c>
      <c r="E195" s="24"/>
    </row>
    <row r="196" customFormat="false" ht="27.75" hidden="false" customHeight="true" outlineLevel="0" collapsed="false">
      <c r="A196" s="23" t="s">
        <v>1741</v>
      </c>
      <c r="B196" s="36" t="n">
        <f aca="false">'Atrakcje - kalkulator'!F86</f>
        <v>5</v>
      </c>
      <c r="C196" s="23" t="n">
        <v>5</v>
      </c>
      <c r="D196" s="46" t="b">
        <f aca="false">B196=C196</f>
        <v>1</v>
      </c>
      <c r="E196" s="23"/>
    </row>
    <row r="197" customFormat="false" ht="27.75" hidden="false" customHeight="true" outlineLevel="0" collapsed="false">
      <c r="A197" s="24" t="s">
        <v>1742</v>
      </c>
      <c r="B197" s="24" t="n">
        <f aca="false">'Atrakcje - kalkulator'!E87</f>
        <v>50</v>
      </c>
      <c r="C197" s="24" t="n">
        <v>50</v>
      </c>
      <c r="D197" s="47" t="b">
        <f aca="false">B197=C197</f>
        <v>1</v>
      </c>
      <c r="E197" s="24"/>
    </row>
    <row r="198" customFormat="false" ht="27.75" hidden="false" customHeight="true" outlineLevel="0" collapsed="false">
      <c r="A198" s="23" t="s">
        <v>1743</v>
      </c>
      <c r="B198" s="36" t="n">
        <f aca="false">'Atrakcje - kalkulator'!F87</f>
        <v>3.75</v>
      </c>
      <c r="C198" s="23" t="n">
        <v>3.75</v>
      </c>
      <c r="D198" s="46" t="b">
        <f aca="false">B198=C198</f>
        <v>1</v>
      </c>
      <c r="E198" s="23"/>
    </row>
    <row r="199" customFormat="false" ht="27.75" hidden="false" customHeight="true" outlineLevel="0" collapsed="false">
      <c r="A199" s="24" t="s">
        <v>1744</v>
      </c>
      <c r="B199" s="24" t="n">
        <f aca="false">'Atrakcje - kalkulator'!E88</f>
        <v>50</v>
      </c>
      <c r="C199" s="24" t="n">
        <v>50</v>
      </c>
      <c r="D199" s="47" t="b">
        <f aca="false">B199=C199</f>
        <v>1</v>
      </c>
      <c r="E199" s="24"/>
    </row>
    <row r="200" customFormat="false" ht="27.75" hidden="false" customHeight="true" outlineLevel="0" collapsed="false">
      <c r="A200" s="23" t="s">
        <v>1745</v>
      </c>
      <c r="B200" s="36" t="n">
        <f aca="false">'Atrakcje - kalkulator'!F88</f>
        <v>2.5</v>
      </c>
      <c r="C200" s="23" t="n">
        <v>2.5</v>
      </c>
      <c r="D200" s="46" t="b">
        <f aca="false">B200=C200</f>
        <v>1</v>
      </c>
      <c r="E200" s="23"/>
    </row>
    <row r="201" customFormat="false" ht="27.75" hidden="false" customHeight="true" outlineLevel="0" collapsed="false">
      <c r="A201" s="24" t="s">
        <v>1746</v>
      </c>
      <c r="B201" s="24" t="n">
        <f aca="false">'Atrakcje - kalkulator'!E89</f>
        <v>50</v>
      </c>
      <c r="C201" s="24" t="n">
        <v>50</v>
      </c>
      <c r="D201" s="47" t="b">
        <f aca="false">B201=C201</f>
        <v>1</v>
      </c>
      <c r="E201" s="24"/>
    </row>
    <row r="202" customFormat="false" ht="27.75" hidden="false" customHeight="true" outlineLevel="0" collapsed="false">
      <c r="A202" s="23" t="s">
        <v>1747</v>
      </c>
      <c r="B202" s="36" t="n">
        <f aca="false">'Atrakcje - kalkulator'!F89</f>
        <v>1.25</v>
      </c>
      <c r="C202" s="23" t="n">
        <v>1.25</v>
      </c>
      <c r="D202" s="46" t="b">
        <f aca="false">B202=C202</f>
        <v>1</v>
      </c>
      <c r="E202" s="23"/>
    </row>
    <row r="203" customFormat="false" ht="27.75" hidden="false" customHeight="true" outlineLevel="0" collapsed="false">
      <c r="A203" s="24" t="s">
        <v>1748</v>
      </c>
      <c r="B203" s="24" t="n">
        <f aca="false">'Atrakcje - kalkulator'!E90</f>
        <v>50</v>
      </c>
      <c r="C203" s="24" t="n">
        <v>50</v>
      </c>
      <c r="D203" s="47" t="b">
        <f aca="false">B203=C203</f>
        <v>1</v>
      </c>
      <c r="E203" s="24"/>
    </row>
    <row r="204" customFormat="false" ht="27.75" hidden="false" customHeight="true" outlineLevel="0" collapsed="false">
      <c r="A204" s="23" t="s">
        <v>1749</v>
      </c>
      <c r="B204" s="36" t="n">
        <f aca="false">'Atrakcje - kalkulator'!F90</f>
        <v>0</v>
      </c>
      <c r="C204" s="23" t="n">
        <v>0</v>
      </c>
      <c r="D204" s="46" t="b">
        <f aca="false">B204=C204</f>
        <v>1</v>
      </c>
      <c r="E204" s="23"/>
    </row>
    <row r="205" customFormat="false" ht="27.75" hidden="false" customHeight="true" outlineLevel="0" collapsed="false">
      <c r="A205" s="24" t="s">
        <v>1750</v>
      </c>
      <c r="B205" s="24" t="n">
        <f aca="false">'Atrakcje - kalkulator'!E91</f>
        <v>250</v>
      </c>
      <c r="C205" s="24" t="n">
        <v>250</v>
      </c>
      <c r="D205" s="47" t="b">
        <f aca="false">B205=C205</f>
        <v>1</v>
      </c>
      <c r="E205" s="24"/>
    </row>
    <row r="206" customFormat="false" ht="27.75" hidden="false" customHeight="true" outlineLevel="0" collapsed="false">
      <c r="A206" s="23" t="s">
        <v>1751</v>
      </c>
      <c r="B206" s="36" t="n">
        <f aca="false">'Atrakcje - kalkulator'!F91</f>
        <v>25</v>
      </c>
      <c r="C206" s="23" t="n">
        <v>25</v>
      </c>
      <c r="D206" s="46" t="b">
        <f aca="false">B206=C206</f>
        <v>1</v>
      </c>
      <c r="E206" s="23"/>
    </row>
    <row r="207" customFormat="false" ht="27.75" hidden="false" customHeight="true" outlineLevel="0" collapsed="false">
      <c r="A207" s="24" t="s">
        <v>1752</v>
      </c>
      <c r="B207" s="24" t="n">
        <f aca="false">'Atrakcje - kalkulator'!E92</f>
        <v>250</v>
      </c>
      <c r="C207" s="24" t="n">
        <v>250</v>
      </c>
      <c r="D207" s="47" t="b">
        <f aca="false">B207=C207</f>
        <v>1</v>
      </c>
      <c r="E207" s="24"/>
    </row>
    <row r="208" customFormat="false" ht="27.75" hidden="false" customHeight="true" outlineLevel="0" collapsed="false">
      <c r="A208" s="23" t="s">
        <v>1753</v>
      </c>
      <c r="B208" s="36" t="n">
        <f aca="false">'Atrakcje - kalkulator'!F92</f>
        <v>18.75</v>
      </c>
      <c r="C208" s="23" t="n">
        <v>18.75</v>
      </c>
      <c r="D208" s="46" t="b">
        <f aca="false">B208=C208</f>
        <v>1</v>
      </c>
      <c r="E208" s="23"/>
    </row>
    <row r="209" customFormat="false" ht="27.75" hidden="false" customHeight="true" outlineLevel="0" collapsed="false">
      <c r="A209" s="24" t="s">
        <v>1754</v>
      </c>
      <c r="B209" s="24" t="n">
        <f aca="false">'Atrakcje - kalkulator'!E93</f>
        <v>250</v>
      </c>
      <c r="C209" s="24" t="n">
        <v>250</v>
      </c>
      <c r="D209" s="47" t="b">
        <f aca="false">B209=C209</f>
        <v>1</v>
      </c>
      <c r="E209" s="24"/>
    </row>
    <row r="210" customFormat="false" ht="27.75" hidden="false" customHeight="true" outlineLevel="0" collapsed="false">
      <c r="A210" s="23" t="s">
        <v>1755</v>
      </c>
      <c r="B210" s="36" t="n">
        <f aca="false">'Atrakcje - kalkulator'!F93</f>
        <v>12.5</v>
      </c>
      <c r="C210" s="23" t="n">
        <v>12.5</v>
      </c>
      <c r="D210" s="46" t="b">
        <f aca="false">B210=C210</f>
        <v>1</v>
      </c>
      <c r="E210" s="23"/>
    </row>
    <row r="211" customFormat="false" ht="27.75" hidden="false" customHeight="true" outlineLevel="0" collapsed="false">
      <c r="A211" s="24" t="s">
        <v>1756</v>
      </c>
      <c r="B211" s="24" t="n">
        <f aca="false">'Atrakcje - kalkulator'!E94</f>
        <v>250</v>
      </c>
      <c r="C211" s="24" t="n">
        <v>250</v>
      </c>
      <c r="D211" s="47" t="b">
        <f aca="false">B211=C211</f>
        <v>1</v>
      </c>
      <c r="E211" s="24"/>
    </row>
    <row r="212" customFormat="false" ht="27.75" hidden="false" customHeight="true" outlineLevel="0" collapsed="false">
      <c r="A212" s="23" t="s">
        <v>1757</v>
      </c>
      <c r="B212" s="36" t="n">
        <f aca="false">'Atrakcje - kalkulator'!F94</f>
        <v>6.25</v>
      </c>
      <c r="C212" s="23" t="n">
        <v>6.25</v>
      </c>
      <c r="D212" s="46" t="b">
        <f aca="false">B212=C212</f>
        <v>1</v>
      </c>
      <c r="E212" s="23"/>
    </row>
    <row r="213" customFormat="false" ht="27.75" hidden="false" customHeight="true" outlineLevel="0" collapsed="false">
      <c r="A213" s="24" t="s">
        <v>1758</v>
      </c>
      <c r="B213" s="24" t="n">
        <f aca="false">'Atrakcje - kalkulator'!E95</f>
        <v>250</v>
      </c>
      <c r="C213" s="24" t="n">
        <v>250</v>
      </c>
      <c r="D213" s="47" t="b">
        <f aca="false">B213=C213</f>
        <v>1</v>
      </c>
      <c r="E213" s="24"/>
    </row>
    <row r="214" customFormat="false" ht="27.75" hidden="false" customHeight="true" outlineLevel="0" collapsed="false">
      <c r="A214" s="23" t="s">
        <v>1759</v>
      </c>
      <c r="B214" s="36" t="n">
        <f aca="false">'Atrakcje - kalkulator'!F95</f>
        <v>0</v>
      </c>
      <c r="C214" s="23" t="n">
        <v>0</v>
      </c>
      <c r="D214" s="46" t="b">
        <f aca="false">B214=C214</f>
        <v>1</v>
      </c>
      <c r="E214" s="23"/>
    </row>
    <row r="215" customFormat="false" ht="27.75" hidden="false" customHeight="true" outlineLevel="0" collapsed="false">
      <c r="A215" s="24" t="s">
        <v>1760</v>
      </c>
      <c r="B215" s="24" t="n">
        <f aca="false">'Atrakcje - kalkulator'!E96</f>
        <v>500</v>
      </c>
      <c r="C215" s="24" t="n">
        <v>500</v>
      </c>
      <c r="D215" s="47" t="b">
        <f aca="false">B215=C215</f>
        <v>1</v>
      </c>
      <c r="E215" s="24"/>
    </row>
    <row r="216" customFormat="false" ht="27.75" hidden="false" customHeight="true" outlineLevel="0" collapsed="false">
      <c r="A216" s="23" t="s">
        <v>1761</v>
      </c>
      <c r="B216" s="36" t="n">
        <f aca="false">'Atrakcje - kalkulator'!F96</f>
        <v>50</v>
      </c>
      <c r="C216" s="23" t="n">
        <v>50</v>
      </c>
      <c r="D216" s="46" t="b">
        <f aca="false">B216=C216</f>
        <v>1</v>
      </c>
      <c r="E216" s="23"/>
    </row>
    <row r="217" customFormat="false" ht="27.75" hidden="false" customHeight="true" outlineLevel="0" collapsed="false">
      <c r="A217" s="24" t="s">
        <v>1762</v>
      </c>
      <c r="B217" s="24" t="n">
        <f aca="false">'Atrakcje - kalkulator'!E97</f>
        <v>500</v>
      </c>
      <c r="C217" s="24" t="n">
        <v>500</v>
      </c>
      <c r="D217" s="47" t="b">
        <f aca="false">B217=C217</f>
        <v>1</v>
      </c>
      <c r="E217" s="24"/>
    </row>
    <row r="218" customFormat="false" ht="27.75" hidden="false" customHeight="true" outlineLevel="0" collapsed="false">
      <c r="A218" s="23" t="s">
        <v>1763</v>
      </c>
      <c r="B218" s="36" t="n">
        <f aca="false">'Atrakcje - kalkulator'!F97</f>
        <v>37.5</v>
      </c>
      <c r="C218" s="23" t="n">
        <v>37.5</v>
      </c>
      <c r="D218" s="46" t="b">
        <f aca="false">B218=C218</f>
        <v>1</v>
      </c>
      <c r="E218" s="23"/>
    </row>
    <row r="219" customFormat="false" ht="27.75" hidden="false" customHeight="true" outlineLevel="0" collapsed="false">
      <c r="A219" s="24" t="s">
        <v>1764</v>
      </c>
      <c r="B219" s="24" t="n">
        <f aca="false">'Atrakcje - kalkulator'!E98</f>
        <v>500</v>
      </c>
      <c r="C219" s="24" t="n">
        <v>500</v>
      </c>
      <c r="D219" s="47" t="b">
        <f aca="false">B219=C219</f>
        <v>1</v>
      </c>
      <c r="E219" s="24"/>
    </row>
    <row r="220" customFormat="false" ht="27.75" hidden="false" customHeight="true" outlineLevel="0" collapsed="false">
      <c r="A220" s="23" t="s">
        <v>1765</v>
      </c>
      <c r="B220" s="36" t="n">
        <f aca="false">'Atrakcje - kalkulator'!F98</f>
        <v>25</v>
      </c>
      <c r="C220" s="23" t="n">
        <v>25</v>
      </c>
      <c r="D220" s="46" t="b">
        <f aca="false">B220=C220</f>
        <v>1</v>
      </c>
      <c r="E220" s="23"/>
    </row>
    <row r="221" customFormat="false" ht="27.75" hidden="false" customHeight="true" outlineLevel="0" collapsed="false">
      <c r="A221" s="24" t="s">
        <v>1766</v>
      </c>
      <c r="B221" s="24" t="n">
        <f aca="false">'Atrakcje - kalkulator'!E99</f>
        <v>500</v>
      </c>
      <c r="C221" s="24" t="n">
        <v>500</v>
      </c>
      <c r="D221" s="47" t="b">
        <f aca="false">B221=C221</f>
        <v>1</v>
      </c>
      <c r="E221" s="24"/>
    </row>
    <row r="222" customFormat="false" ht="27.75" hidden="false" customHeight="true" outlineLevel="0" collapsed="false">
      <c r="A222" s="23" t="s">
        <v>1767</v>
      </c>
      <c r="B222" s="36" t="n">
        <f aca="false">'Atrakcje - kalkulator'!F99</f>
        <v>12.5</v>
      </c>
      <c r="C222" s="23" t="n">
        <v>12.5</v>
      </c>
      <c r="D222" s="46" t="b">
        <f aca="false">B222=C222</f>
        <v>1</v>
      </c>
      <c r="E222" s="23"/>
    </row>
    <row r="223" customFormat="false" ht="27.75" hidden="false" customHeight="true" outlineLevel="0" collapsed="false">
      <c r="A223" s="24" t="s">
        <v>1768</v>
      </c>
      <c r="B223" s="24" t="n">
        <f aca="false">'Atrakcje - kalkulator'!E100</f>
        <v>500</v>
      </c>
      <c r="C223" s="24" t="n">
        <v>500</v>
      </c>
      <c r="D223" s="47" t="b">
        <f aca="false">B223=C223</f>
        <v>1</v>
      </c>
      <c r="E223" s="24"/>
    </row>
    <row r="224" customFormat="false" ht="27.75" hidden="false" customHeight="true" outlineLevel="0" collapsed="false">
      <c r="A224" s="23" t="s">
        <v>1769</v>
      </c>
      <c r="B224" s="36" t="n">
        <f aca="false">'Atrakcje - kalkulator'!F100</f>
        <v>0</v>
      </c>
      <c r="C224" s="23" t="n">
        <v>0</v>
      </c>
      <c r="D224" s="46" t="b">
        <f aca="false">B224=C224</f>
        <v>1</v>
      </c>
      <c r="E224" s="23"/>
    </row>
    <row r="225" customFormat="false" ht="27.75" hidden="false" customHeight="true" outlineLevel="0" collapsed="false">
      <c r="A225" s="24" t="s">
        <v>1770</v>
      </c>
      <c r="B225" s="24" t="n">
        <f aca="false">'Atrakcje - kalkulator'!E101</f>
        <v>1000</v>
      </c>
      <c r="C225" s="24" t="n">
        <v>1000</v>
      </c>
      <c r="D225" s="47" t="b">
        <f aca="false">B225=C225</f>
        <v>1</v>
      </c>
      <c r="E225" s="24"/>
    </row>
    <row r="226" customFormat="false" ht="27.75" hidden="false" customHeight="true" outlineLevel="0" collapsed="false">
      <c r="A226" s="23" t="s">
        <v>1771</v>
      </c>
      <c r="B226" s="36" t="n">
        <f aca="false">'Atrakcje - kalkulator'!F101</f>
        <v>100</v>
      </c>
      <c r="C226" s="23" t="n">
        <v>100</v>
      </c>
      <c r="D226" s="46" t="b">
        <f aca="false">B226=C226</f>
        <v>1</v>
      </c>
      <c r="E226" s="23"/>
    </row>
    <row r="227" customFormat="false" ht="27.75" hidden="false" customHeight="true" outlineLevel="0" collapsed="false">
      <c r="A227" s="24" t="s">
        <v>1772</v>
      </c>
      <c r="B227" s="24" t="n">
        <f aca="false">'Atrakcje - kalkulator'!E102</f>
        <v>1000</v>
      </c>
      <c r="C227" s="24" t="n">
        <v>1000</v>
      </c>
      <c r="D227" s="47" t="b">
        <f aca="false">B227=C227</f>
        <v>1</v>
      </c>
      <c r="E227" s="24"/>
    </row>
    <row r="228" customFormat="false" ht="27.75" hidden="false" customHeight="true" outlineLevel="0" collapsed="false">
      <c r="A228" s="23" t="s">
        <v>1773</v>
      </c>
      <c r="B228" s="36" t="n">
        <f aca="false">'Atrakcje - kalkulator'!F102</f>
        <v>75</v>
      </c>
      <c r="C228" s="23" t="n">
        <v>75</v>
      </c>
      <c r="D228" s="46" t="b">
        <f aca="false">B228=C228</f>
        <v>1</v>
      </c>
      <c r="E228" s="23"/>
    </row>
    <row r="229" customFormat="false" ht="27.75" hidden="false" customHeight="true" outlineLevel="0" collapsed="false">
      <c r="A229" s="24" t="s">
        <v>1774</v>
      </c>
      <c r="B229" s="24" t="n">
        <f aca="false">'Atrakcje - kalkulator'!E103</f>
        <v>1000</v>
      </c>
      <c r="C229" s="24" t="n">
        <v>1000</v>
      </c>
      <c r="D229" s="47" t="b">
        <f aca="false">B229=C229</f>
        <v>1</v>
      </c>
      <c r="E229" s="24"/>
    </row>
    <row r="230" customFormat="false" ht="27.75" hidden="false" customHeight="true" outlineLevel="0" collapsed="false">
      <c r="A230" s="23" t="s">
        <v>1775</v>
      </c>
      <c r="B230" s="36" t="n">
        <f aca="false">'Atrakcje - kalkulator'!F103</f>
        <v>50</v>
      </c>
      <c r="C230" s="23" t="n">
        <v>50</v>
      </c>
      <c r="D230" s="46" t="b">
        <f aca="false">B230=C230</f>
        <v>1</v>
      </c>
      <c r="E230" s="23"/>
    </row>
    <row r="231" customFormat="false" ht="27.75" hidden="false" customHeight="true" outlineLevel="0" collapsed="false">
      <c r="A231" s="24" t="s">
        <v>1776</v>
      </c>
      <c r="B231" s="24" t="n">
        <f aca="false">'Atrakcje - kalkulator'!E104</f>
        <v>1000</v>
      </c>
      <c r="C231" s="24" t="n">
        <v>1000</v>
      </c>
      <c r="D231" s="47" t="b">
        <f aca="false">B231=C231</f>
        <v>1</v>
      </c>
      <c r="E231" s="24"/>
    </row>
    <row r="232" customFormat="false" ht="27.75" hidden="false" customHeight="true" outlineLevel="0" collapsed="false">
      <c r="A232" s="23" t="s">
        <v>1777</v>
      </c>
      <c r="B232" s="36" t="n">
        <f aca="false">'Atrakcje - kalkulator'!F104</f>
        <v>25</v>
      </c>
      <c r="C232" s="23" t="n">
        <v>25</v>
      </c>
      <c r="D232" s="46" t="b">
        <f aca="false">B232=C232</f>
        <v>1</v>
      </c>
      <c r="E232" s="23"/>
    </row>
    <row r="233" customFormat="false" ht="27.75" hidden="false" customHeight="true" outlineLevel="0" collapsed="false">
      <c r="A233" s="24" t="s">
        <v>1778</v>
      </c>
      <c r="B233" s="24" t="n">
        <f aca="false">'Atrakcje - kalkulator'!E105</f>
        <v>1000</v>
      </c>
      <c r="C233" s="24" t="n">
        <v>1000</v>
      </c>
      <c r="D233" s="47" t="b">
        <f aca="false">B233=C233</f>
        <v>1</v>
      </c>
      <c r="E233" s="24"/>
    </row>
    <row r="234" customFormat="false" ht="27.75" hidden="false" customHeight="true" outlineLevel="0" collapsed="false">
      <c r="A234" s="23" t="s">
        <v>1779</v>
      </c>
      <c r="B234" s="36" t="n">
        <f aca="false">'Atrakcje - kalkulator'!F105</f>
        <v>0</v>
      </c>
      <c r="C234" s="23" t="n">
        <v>0</v>
      </c>
      <c r="D234" s="46" t="b">
        <f aca="false">B234=C234</f>
        <v>1</v>
      </c>
      <c r="E234" s="23"/>
    </row>
    <row r="235" customFormat="false" ht="27.75" hidden="false" customHeight="true" outlineLevel="0" collapsed="false">
      <c r="A235" s="24" t="s">
        <v>1780</v>
      </c>
      <c r="B235" s="24" t="n">
        <f aca="false">'Czas budowy'!Y6</f>
        <v>80</v>
      </c>
      <c r="C235" s="24" t="n">
        <v>80</v>
      </c>
      <c r="D235" s="47" t="b">
        <f aca="false">B235=C235</f>
        <v>1</v>
      </c>
      <c r="E235" s="24" t="s">
        <v>1781</v>
      </c>
    </row>
    <row r="236" customFormat="false" ht="27.75" hidden="false" customHeight="true" outlineLevel="0" collapsed="false">
      <c r="A236" s="23" t="s">
        <v>1782</v>
      </c>
      <c r="B236" s="23" t="n">
        <f aca="false">'Czas budowy'!W72</f>
        <v>5</v>
      </c>
      <c r="C236" s="23" t="n">
        <v>5</v>
      </c>
      <c r="D236" s="46" t="b">
        <f aca="false">B236=C236</f>
        <v>1</v>
      </c>
      <c r="E236" s="23" t="s">
        <v>1783</v>
      </c>
    </row>
  </sheetData>
  <autoFilter ref="A5:E236"/>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7"/>
    <col collapsed="false" customWidth="true" hidden="false" outlineLevel="0" max="2" min="2" style="13" width="65.57"/>
    <col collapsed="false" customWidth="true" hidden="false" outlineLevel="0" max="3" min="3" style="13" width="78"/>
    <col collapsed="false" customWidth="true" hidden="false" outlineLevel="0" max="4" min="4" style="13" width="54.43"/>
    <col collapsed="false" customWidth="true" hidden="false" outlineLevel="0" max="5" min="5" style="13" width="55"/>
    <col collapsed="false" customWidth="false" hidden="false" outlineLevel="0" max="16384" min="6" style="13" width="8.71"/>
  </cols>
  <sheetData>
    <row r="1" customFormat="false" ht="33.75" hidden="false" customHeight="true" outlineLevel="0" collapsed="false">
      <c r="A1" s="28" t="s">
        <v>1784</v>
      </c>
      <c r="B1" s="28"/>
      <c r="C1" s="28"/>
      <c r="D1" s="28"/>
      <c r="E1" s="28"/>
    </row>
    <row r="2" customFormat="false" ht="27" hidden="false" customHeight="true" outlineLevel="0" collapsed="false">
      <c r="A2" s="15" t="s">
        <v>1785</v>
      </c>
      <c r="B2" s="15"/>
      <c r="C2" s="15"/>
      <c r="D2" s="15"/>
      <c r="E2" s="15"/>
    </row>
    <row r="3" customFormat="false" ht="27" hidden="false" customHeight="true" outlineLevel="0" collapsed="false">
      <c r="A3" s="15"/>
      <c r="B3" s="15"/>
      <c r="C3" s="15"/>
      <c r="D3" s="15"/>
      <c r="E3" s="15"/>
    </row>
    <row r="5" customFormat="false" ht="45" hidden="false" customHeight="true" outlineLevel="0" collapsed="false">
      <c r="A5" s="29" t="s">
        <v>1786</v>
      </c>
      <c r="B5" s="29" t="s">
        <v>1178</v>
      </c>
      <c r="C5" s="29" t="s">
        <v>1787</v>
      </c>
      <c r="D5" s="29" t="s">
        <v>1417</v>
      </c>
      <c r="E5" s="29" t="s">
        <v>310</v>
      </c>
      <c r="G5" s="48" t="s">
        <v>1092</v>
      </c>
    </row>
    <row r="6" customFormat="false" ht="99.75" hidden="false" customHeight="true" outlineLevel="0" collapsed="false">
      <c r="A6" s="17" t="s">
        <v>1788</v>
      </c>
      <c r="B6" s="17" t="s">
        <v>1789</v>
      </c>
      <c r="C6" s="17" t="s">
        <v>1790</v>
      </c>
      <c r="D6" s="17" t="s">
        <v>1791</v>
      </c>
      <c r="E6" s="17" t="s">
        <v>1792</v>
      </c>
    </row>
    <row r="7" customFormat="false" ht="99.75" hidden="false" customHeight="true" outlineLevel="0" collapsed="false">
      <c r="A7" s="18" t="s">
        <v>1793</v>
      </c>
      <c r="B7" s="18" t="s">
        <v>1794</v>
      </c>
      <c r="C7" s="18" t="s">
        <v>1795</v>
      </c>
      <c r="D7" s="18" t="s">
        <v>1796</v>
      </c>
      <c r="E7" s="18" t="s">
        <v>1275</v>
      </c>
      <c r="G7" s="49" t="s">
        <v>1797</v>
      </c>
    </row>
    <row r="8" customFormat="false" ht="99.75" hidden="false" customHeight="true" outlineLevel="0" collapsed="false">
      <c r="A8" s="17" t="s">
        <v>1798</v>
      </c>
      <c r="B8" s="17" t="s">
        <v>1062</v>
      </c>
      <c r="C8" s="17" t="s">
        <v>1799</v>
      </c>
      <c r="D8" s="17" t="s">
        <v>1800</v>
      </c>
      <c r="E8" s="17" t="s">
        <v>1801</v>
      </c>
      <c r="G8" s="49" t="s">
        <v>1802</v>
      </c>
    </row>
    <row r="9" customFormat="false" ht="99.75" hidden="false" customHeight="true" outlineLevel="0" collapsed="false">
      <c r="A9" s="18" t="s">
        <v>1803</v>
      </c>
      <c r="B9" s="18" t="s">
        <v>1062</v>
      </c>
      <c r="C9" s="18" t="s">
        <v>1799</v>
      </c>
      <c r="D9" s="18" t="s">
        <v>1800</v>
      </c>
      <c r="E9" s="18" t="s">
        <v>1801</v>
      </c>
    </row>
    <row r="10" customFormat="false" ht="99.75" hidden="false" customHeight="true" outlineLevel="0" collapsed="false">
      <c r="A10" s="17" t="s">
        <v>1804</v>
      </c>
      <c r="B10" s="17" t="s">
        <v>1062</v>
      </c>
      <c r="C10" s="17" t="s">
        <v>1799</v>
      </c>
      <c r="D10" s="17" t="s">
        <v>1800</v>
      </c>
      <c r="E10" s="17" t="s">
        <v>1801</v>
      </c>
    </row>
    <row r="11" customFormat="false" ht="99.75" hidden="false" customHeight="true" outlineLevel="0" collapsed="false">
      <c r="A11" s="18" t="s">
        <v>1805</v>
      </c>
      <c r="B11" s="18" t="s">
        <v>1806</v>
      </c>
      <c r="C11" s="18" t="s">
        <v>1799</v>
      </c>
      <c r="D11" s="18" t="s">
        <v>1800</v>
      </c>
      <c r="E11" s="18" t="s">
        <v>1801</v>
      </c>
      <c r="G11" s="49" t="s">
        <v>1807</v>
      </c>
    </row>
    <row r="12" customFormat="false" ht="99.75" hidden="false" customHeight="true" outlineLevel="0" collapsed="false">
      <c r="A12" s="17" t="s">
        <v>1808</v>
      </c>
      <c r="B12" s="17" t="s">
        <v>1809</v>
      </c>
      <c r="C12" s="17" t="s">
        <v>1810</v>
      </c>
      <c r="D12" s="17" t="s">
        <v>1811</v>
      </c>
      <c r="E12" s="17" t="s">
        <v>1792</v>
      </c>
    </row>
    <row r="13" customFormat="false" ht="99.75" hidden="false" customHeight="true" outlineLevel="0" collapsed="false">
      <c r="A13" s="18" t="s">
        <v>1812</v>
      </c>
      <c r="B13" s="18" t="s">
        <v>1813</v>
      </c>
      <c r="C13" s="18" t="s">
        <v>1814</v>
      </c>
      <c r="D13" s="18" t="s">
        <v>1815</v>
      </c>
      <c r="E13" s="18" t="s">
        <v>1792</v>
      </c>
      <c r="G13" s="49" t="s">
        <v>1816</v>
      </c>
    </row>
    <row r="14" customFormat="false" ht="99.75" hidden="false" customHeight="true" outlineLevel="0" collapsed="false">
      <c r="A14" s="17" t="s">
        <v>1817</v>
      </c>
      <c r="B14" s="17" t="s">
        <v>1818</v>
      </c>
      <c r="C14" s="17" t="s">
        <v>1819</v>
      </c>
      <c r="D14" s="17" t="s">
        <v>1820</v>
      </c>
      <c r="E14" s="17" t="s">
        <v>1821</v>
      </c>
      <c r="G14" s="49" t="s">
        <v>1822</v>
      </c>
    </row>
    <row r="15" customFormat="false" ht="99.75" hidden="false" customHeight="true" outlineLevel="0" collapsed="false">
      <c r="A15" s="18" t="s">
        <v>1823</v>
      </c>
      <c r="B15" s="18" t="s">
        <v>1818</v>
      </c>
      <c r="C15" s="18" t="s">
        <v>1819</v>
      </c>
      <c r="D15" s="18" t="s">
        <v>1824</v>
      </c>
      <c r="E15" s="18" t="s">
        <v>1275</v>
      </c>
      <c r="G15" s="49" t="s">
        <v>1825</v>
      </c>
    </row>
    <row r="16" customFormat="false" ht="99.75" hidden="false" customHeight="true" outlineLevel="0" collapsed="false">
      <c r="A16" s="17" t="s">
        <v>1826</v>
      </c>
      <c r="B16" s="17" t="s">
        <v>1058</v>
      </c>
      <c r="C16" s="17" t="s">
        <v>1827</v>
      </c>
      <c r="D16" s="17" t="s">
        <v>1828</v>
      </c>
      <c r="E16" s="17" t="s">
        <v>1829</v>
      </c>
      <c r="G16" s="49" t="s">
        <v>1830</v>
      </c>
    </row>
    <row r="17" customFormat="false" ht="99.75" hidden="false" customHeight="true" outlineLevel="0" collapsed="false">
      <c r="A17" s="18" t="s">
        <v>1831</v>
      </c>
      <c r="B17" s="18" t="s">
        <v>1832</v>
      </c>
      <c r="C17" s="18" t="s">
        <v>1833</v>
      </c>
      <c r="D17" s="18" t="s">
        <v>1834</v>
      </c>
      <c r="E17" s="18" t="s">
        <v>1792</v>
      </c>
    </row>
    <row r="18" customFormat="false" ht="99.75" hidden="false" customHeight="true" outlineLevel="0" collapsed="false">
      <c r="A18" s="17" t="s">
        <v>1835</v>
      </c>
      <c r="B18" s="17" t="s">
        <v>1050</v>
      </c>
      <c r="C18" s="17" t="s">
        <v>1836</v>
      </c>
      <c r="D18" s="17" t="s">
        <v>1837</v>
      </c>
      <c r="E18" s="17" t="s">
        <v>1838</v>
      </c>
      <c r="G18" s="49" t="s">
        <v>1839</v>
      </c>
    </row>
    <row r="19" customFormat="false" ht="99.75" hidden="false" customHeight="true" outlineLevel="0" collapsed="false">
      <c r="A19" s="18" t="s">
        <v>1840</v>
      </c>
      <c r="B19" s="18" t="s">
        <v>1074</v>
      </c>
      <c r="C19" s="18" t="s">
        <v>1841</v>
      </c>
      <c r="D19" s="18" t="s">
        <v>1842</v>
      </c>
      <c r="E19" s="18" t="s">
        <v>1287</v>
      </c>
    </row>
    <row r="20" customFormat="false" ht="105" hidden="false" customHeight="true" outlineLevel="0" collapsed="false">
      <c r="A20" s="17" t="s">
        <v>1843</v>
      </c>
      <c r="B20" s="17" t="s">
        <v>1844</v>
      </c>
      <c r="C20" s="17" t="s">
        <v>1845</v>
      </c>
      <c r="D20" s="17" t="s">
        <v>1846</v>
      </c>
      <c r="E20" s="17" t="s">
        <v>1847</v>
      </c>
    </row>
    <row r="21" customFormat="false" ht="105" hidden="false" customHeight="true" outlineLevel="0" collapsed="false">
      <c r="A21" s="18" t="s">
        <v>1848</v>
      </c>
      <c r="B21" s="18" t="s">
        <v>1849</v>
      </c>
      <c r="C21" s="18" t="s">
        <v>1850</v>
      </c>
      <c r="D21" s="18" t="s">
        <v>1851</v>
      </c>
      <c r="E21" s="18" t="s">
        <v>1852</v>
      </c>
    </row>
    <row r="22" customFormat="false" ht="105" hidden="false" customHeight="true" outlineLevel="0" collapsed="false">
      <c r="A22" s="17" t="s">
        <v>1853</v>
      </c>
      <c r="B22" s="17" t="s">
        <v>1054</v>
      </c>
      <c r="C22" s="17" t="s">
        <v>1854</v>
      </c>
      <c r="D22" s="17" t="s">
        <v>1855</v>
      </c>
      <c r="E22" s="17" t="s">
        <v>1856</v>
      </c>
      <c r="G22" s="49" t="s">
        <v>1857</v>
      </c>
    </row>
    <row r="23" customFormat="false" ht="105" hidden="false" customHeight="true" outlineLevel="0" collapsed="false">
      <c r="A23" s="18" t="s">
        <v>1858</v>
      </c>
      <c r="B23" s="18" t="s">
        <v>1074</v>
      </c>
      <c r="C23" s="18" t="s">
        <v>1841</v>
      </c>
      <c r="D23" s="18" t="s">
        <v>1842</v>
      </c>
      <c r="E23" s="18" t="s">
        <v>1287</v>
      </c>
    </row>
    <row r="24" customFormat="false" ht="105" hidden="false" customHeight="true" outlineLevel="0" collapsed="false">
      <c r="A24" s="17" t="s">
        <v>1859</v>
      </c>
      <c r="B24" s="17" t="s">
        <v>1860</v>
      </c>
      <c r="C24" s="17" t="s">
        <v>1861</v>
      </c>
      <c r="D24" s="17" t="s">
        <v>1862</v>
      </c>
      <c r="E24" s="17" t="s">
        <v>326</v>
      </c>
    </row>
    <row r="25" customFormat="false" ht="105" hidden="false" customHeight="true" outlineLevel="0" collapsed="false">
      <c r="A25" s="18" t="s">
        <v>1863</v>
      </c>
      <c r="B25" s="18" t="s">
        <v>1864</v>
      </c>
      <c r="C25" s="18" t="s">
        <v>1865</v>
      </c>
      <c r="D25" s="18" t="s">
        <v>1866</v>
      </c>
      <c r="E25" s="18" t="s">
        <v>326</v>
      </c>
    </row>
    <row r="26" customFormat="false" ht="105" hidden="false" customHeight="true" outlineLevel="0" collapsed="false">
      <c r="A26" s="17" t="s">
        <v>1867</v>
      </c>
      <c r="B26" s="17" t="s">
        <v>1868</v>
      </c>
      <c r="C26" s="17" t="s">
        <v>1869</v>
      </c>
      <c r="D26" s="17" t="s">
        <v>1870</v>
      </c>
      <c r="E26" s="17" t="s">
        <v>326</v>
      </c>
    </row>
    <row r="27" customFormat="false" ht="105" hidden="false" customHeight="true" outlineLevel="0" collapsed="false">
      <c r="A27" s="18" t="s">
        <v>1871</v>
      </c>
      <c r="B27" s="18" t="s">
        <v>1872</v>
      </c>
      <c r="C27" s="18" t="s">
        <v>1019</v>
      </c>
      <c r="D27" s="18" t="s">
        <v>1873</v>
      </c>
      <c r="E27" s="18" t="s">
        <v>1294</v>
      </c>
      <c r="G27" s="49" t="s">
        <v>1874</v>
      </c>
    </row>
  </sheetData>
  <autoFilter ref="A5:G2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J2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0"/>
    <col collapsed="false" customWidth="true" hidden="false" outlineLevel="0" max="2" min="2" style="13" width="21"/>
    <col collapsed="false" customWidth="true" hidden="false" outlineLevel="0" max="3" min="3" style="13" width="29"/>
    <col collapsed="false" customWidth="true" hidden="false" outlineLevel="0" max="4" min="4" style="13" width="24"/>
    <col collapsed="false" customWidth="true" hidden="false" outlineLevel="0" max="5" min="5" style="13" width="25"/>
    <col collapsed="false" customWidth="true" hidden="false" outlineLevel="0" max="6" min="6" style="13" width="30"/>
    <col collapsed="false" customWidth="true" hidden="false" outlineLevel="0" max="7" min="7" style="13" width="110"/>
    <col collapsed="false" customWidth="false" hidden="false" outlineLevel="0" max="16384" min="8" style="13" width="8.71"/>
  </cols>
  <sheetData>
    <row r="1" customFormat="false" ht="33.75" hidden="false" customHeight="true" outlineLevel="0" collapsed="false">
      <c r="A1" s="31" t="s">
        <v>1875</v>
      </c>
      <c r="B1" s="31"/>
      <c r="C1" s="31"/>
      <c r="D1" s="31"/>
      <c r="E1" s="31"/>
      <c r="F1" s="31"/>
      <c r="G1" s="31"/>
    </row>
    <row r="2" customFormat="false" ht="27" hidden="false" customHeight="true" outlineLevel="0" collapsed="false">
      <c r="A2" s="15" t="s">
        <v>1876</v>
      </c>
      <c r="B2" s="15"/>
      <c r="C2" s="15"/>
      <c r="D2" s="15"/>
      <c r="E2" s="15"/>
      <c r="F2" s="15"/>
      <c r="G2" s="15"/>
    </row>
    <row r="3" customFormat="false" ht="27" hidden="false" customHeight="true" outlineLevel="0" collapsed="false">
      <c r="A3" s="15"/>
      <c r="B3" s="15"/>
      <c r="C3" s="15"/>
      <c r="D3" s="15"/>
      <c r="E3" s="15"/>
      <c r="F3" s="15"/>
      <c r="G3" s="15"/>
    </row>
    <row r="5" customFormat="false" ht="45" hidden="false" customHeight="true" outlineLevel="0" collapsed="false">
      <c r="A5" s="16" t="s">
        <v>1877</v>
      </c>
      <c r="B5" s="16" t="s">
        <v>1878</v>
      </c>
      <c r="C5" s="16" t="s">
        <v>1879</v>
      </c>
      <c r="D5" s="16" t="s">
        <v>1880</v>
      </c>
      <c r="E5" s="16" t="s">
        <v>1881</v>
      </c>
      <c r="F5" s="16" t="s">
        <v>1882</v>
      </c>
      <c r="G5" s="16" t="s">
        <v>1417</v>
      </c>
    </row>
    <row r="6" customFormat="false" ht="64.5" hidden="false" customHeight="true" outlineLevel="0" collapsed="false">
      <c r="A6" s="50" t="n">
        <v>1.5</v>
      </c>
      <c r="B6" s="51" t="n">
        <v>0.25</v>
      </c>
      <c r="C6" s="17" t="n">
        <f aca="false">A6*B6</f>
        <v>0.375</v>
      </c>
      <c r="D6" s="17" t="n">
        <f aca="false">A6-C6</f>
        <v>1.125</v>
      </c>
      <c r="E6" s="17" t="n">
        <f aca="false">MAX(Parametry!$C$52,ROUNDDOWN(C6,0)*Parametry!$C$42)</f>
        <v>5</v>
      </c>
      <c r="F6" s="52" t="n">
        <f aca="false">E6/Parametry!$C$41</f>
        <v>0.5</v>
      </c>
      <c r="G6" s="17" t="s">
        <v>1883</v>
      </c>
      <c r="J6" s="13" t="s">
        <v>1884</v>
      </c>
    </row>
    <row r="7" customFormat="false" ht="64.5" hidden="false" customHeight="true" outlineLevel="0" collapsed="false">
      <c r="A7" s="50" t="n">
        <v>1.5</v>
      </c>
      <c r="B7" s="51" t="n">
        <v>0.5</v>
      </c>
      <c r="C7" s="18" t="n">
        <f aca="false">A7*B7</f>
        <v>0.75</v>
      </c>
      <c r="D7" s="18" t="n">
        <f aca="false">A7-C7</f>
        <v>0.75</v>
      </c>
      <c r="E7" s="18" t="n">
        <f aca="false">MAX(Parametry!$C$52,ROUNDDOWN(C7,0)*Parametry!$C$42)</f>
        <v>5</v>
      </c>
      <c r="F7" s="53" t="n">
        <f aca="false">E7/Parametry!$C$41</f>
        <v>0.5</v>
      </c>
      <c r="G7" s="18" t="s">
        <v>1883</v>
      </c>
    </row>
    <row r="8" customFormat="false" ht="64.5" hidden="false" customHeight="true" outlineLevel="0" collapsed="false">
      <c r="A8" s="50" t="n">
        <v>1.5</v>
      </c>
      <c r="B8" s="51" t="n">
        <v>0.75</v>
      </c>
      <c r="C8" s="17" t="n">
        <f aca="false">A8*B8</f>
        <v>1.125</v>
      </c>
      <c r="D8" s="17" t="n">
        <f aca="false">A8-C8</f>
        <v>0.375</v>
      </c>
      <c r="E8" s="17" t="n">
        <f aca="false">MAX(Parametry!$C$52,ROUNDDOWN(C8,0)*Parametry!$C$42)</f>
        <v>5</v>
      </c>
      <c r="F8" s="52" t="n">
        <f aca="false">E8/Parametry!$C$41</f>
        <v>0.5</v>
      </c>
      <c r="G8" s="17" t="s">
        <v>1883</v>
      </c>
    </row>
    <row r="9" customFormat="false" ht="64.5" hidden="false" customHeight="true" outlineLevel="0" collapsed="false">
      <c r="A9" s="50" t="n">
        <v>10</v>
      </c>
      <c r="B9" s="51" t="n">
        <v>0.25</v>
      </c>
      <c r="C9" s="18" t="n">
        <f aca="false">A9*B9</f>
        <v>2.5</v>
      </c>
      <c r="D9" s="18" t="n">
        <f aca="false">A9-C9</f>
        <v>7.5</v>
      </c>
      <c r="E9" s="18" t="n">
        <f aca="false">MAX(Parametry!$C$52,ROUNDDOWN(C9,0)*Parametry!$C$42)</f>
        <v>5</v>
      </c>
      <c r="F9" s="53" t="n">
        <f aca="false">E9/Parametry!$C$41</f>
        <v>0.5</v>
      </c>
      <c r="G9" s="18" t="s">
        <v>1883</v>
      </c>
    </row>
    <row r="10" customFormat="false" ht="64.5" hidden="false" customHeight="true" outlineLevel="0" collapsed="false">
      <c r="A10" s="50" t="n">
        <v>10</v>
      </c>
      <c r="B10" s="51" t="n">
        <v>0.5</v>
      </c>
      <c r="C10" s="17" t="n">
        <f aca="false">A10*B10</f>
        <v>5</v>
      </c>
      <c r="D10" s="17" t="n">
        <f aca="false">A10-C10</f>
        <v>5</v>
      </c>
      <c r="E10" s="17" t="n">
        <f aca="false">MAX(Parametry!$C$52,ROUNDDOWN(C10,0)*Parametry!$C$42)</f>
        <v>5</v>
      </c>
      <c r="F10" s="52" t="n">
        <f aca="false">E10/Parametry!$C$41</f>
        <v>0.5</v>
      </c>
      <c r="G10" s="17" t="s">
        <v>1883</v>
      </c>
    </row>
    <row r="11" customFormat="false" ht="64.5" hidden="false" customHeight="true" outlineLevel="0" collapsed="false">
      <c r="A11" s="50" t="n">
        <v>10</v>
      </c>
      <c r="B11" s="51" t="n">
        <v>0.75</v>
      </c>
      <c r="C11" s="18" t="n">
        <f aca="false">A11*B11</f>
        <v>7.5</v>
      </c>
      <c r="D11" s="18" t="n">
        <f aca="false">A11-C11</f>
        <v>2.5</v>
      </c>
      <c r="E11" s="18" t="n">
        <f aca="false">MAX(Parametry!$C$52,ROUNDDOWN(C11,0)*Parametry!$C$42)</f>
        <v>7</v>
      </c>
      <c r="F11" s="53" t="n">
        <f aca="false">E11/Parametry!$C$41</f>
        <v>0.7</v>
      </c>
      <c r="G11" s="18" t="s">
        <v>1883</v>
      </c>
    </row>
    <row r="12" customFormat="false" ht="64.5" hidden="false" customHeight="true" outlineLevel="0" collapsed="false">
      <c r="A12" s="50" t="n">
        <v>25</v>
      </c>
      <c r="B12" s="51" t="n">
        <v>0.25</v>
      </c>
      <c r="C12" s="17" t="n">
        <f aca="false">A12*B12</f>
        <v>6.25</v>
      </c>
      <c r="D12" s="17" t="n">
        <f aca="false">A12-C12</f>
        <v>18.75</v>
      </c>
      <c r="E12" s="17" t="n">
        <f aca="false">MAX(Parametry!$C$52,ROUNDDOWN(C12,0)*Parametry!$C$42)</f>
        <v>6</v>
      </c>
      <c r="F12" s="52" t="n">
        <f aca="false">E12/Parametry!$C$41</f>
        <v>0.6</v>
      </c>
      <c r="G12" s="17" t="s">
        <v>1883</v>
      </c>
    </row>
    <row r="13" customFormat="false" ht="64.5" hidden="false" customHeight="true" outlineLevel="0" collapsed="false">
      <c r="A13" s="50" t="n">
        <v>25</v>
      </c>
      <c r="B13" s="51" t="n">
        <v>0.5</v>
      </c>
      <c r="C13" s="18" t="n">
        <f aca="false">A13*B13</f>
        <v>12.5</v>
      </c>
      <c r="D13" s="18" t="n">
        <f aca="false">A13-C13</f>
        <v>12.5</v>
      </c>
      <c r="E13" s="18" t="n">
        <f aca="false">MAX(Parametry!$C$52,ROUNDDOWN(C13,0)*Parametry!$C$42)</f>
        <v>12</v>
      </c>
      <c r="F13" s="53" t="n">
        <f aca="false">E13/Parametry!$C$41</f>
        <v>1.2</v>
      </c>
      <c r="G13" s="18" t="s">
        <v>1883</v>
      </c>
    </row>
    <row r="14" customFormat="false" ht="64.5" hidden="false" customHeight="true" outlineLevel="0" collapsed="false">
      <c r="A14" s="50" t="n">
        <v>25</v>
      </c>
      <c r="B14" s="51" t="n">
        <v>0.75</v>
      </c>
      <c r="C14" s="17" t="n">
        <f aca="false">A14*B14</f>
        <v>18.75</v>
      </c>
      <c r="D14" s="17" t="n">
        <f aca="false">A14-C14</f>
        <v>6.25</v>
      </c>
      <c r="E14" s="17" t="n">
        <f aca="false">MAX(Parametry!$C$52,ROUNDDOWN(C14,0)*Parametry!$C$42)</f>
        <v>18</v>
      </c>
      <c r="F14" s="52" t="n">
        <f aca="false">E14/Parametry!$C$41</f>
        <v>1.8</v>
      </c>
      <c r="G14" s="17" t="s">
        <v>1883</v>
      </c>
    </row>
    <row r="15" customFormat="false" ht="64.5" hidden="false" customHeight="true" outlineLevel="0" collapsed="false">
      <c r="A15" s="50" t="n">
        <v>60</v>
      </c>
      <c r="B15" s="51" t="n">
        <v>0.25</v>
      </c>
      <c r="C15" s="18" t="n">
        <f aca="false">A15*B15</f>
        <v>15</v>
      </c>
      <c r="D15" s="18" t="n">
        <f aca="false">A15-C15</f>
        <v>45</v>
      </c>
      <c r="E15" s="18" t="n">
        <f aca="false">MAX(Parametry!$C$52,ROUNDDOWN(C15,0)*Parametry!$C$42)</f>
        <v>15</v>
      </c>
      <c r="F15" s="53" t="n">
        <f aca="false">E15/Parametry!$C$41</f>
        <v>1.5</v>
      </c>
      <c r="G15" s="18" t="s">
        <v>1883</v>
      </c>
    </row>
    <row r="16" customFormat="false" ht="64.5" hidden="false" customHeight="true" outlineLevel="0" collapsed="false">
      <c r="A16" s="50" t="n">
        <v>60</v>
      </c>
      <c r="B16" s="51" t="n">
        <v>0.5</v>
      </c>
      <c r="C16" s="17" t="n">
        <f aca="false">A16*B16</f>
        <v>30</v>
      </c>
      <c r="D16" s="17" t="n">
        <f aca="false">A16-C16</f>
        <v>30</v>
      </c>
      <c r="E16" s="17" t="n">
        <f aca="false">MAX(Parametry!$C$52,ROUNDDOWN(C16,0)*Parametry!$C$42)</f>
        <v>30</v>
      </c>
      <c r="F16" s="52" t="n">
        <f aca="false">E16/Parametry!$C$41</f>
        <v>3</v>
      </c>
      <c r="G16" s="17" t="s">
        <v>1883</v>
      </c>
    </row>
    <row r="17" customFormat="false" ht="64.5" hidden="false" customHeight="true" outlineLevel="0" collapsed="false">
      <c r="A17" s="50" t="n">
        <v>60</v>
      </c>
      <c r="B17" s="51" t="n">
        <v>0.75</v>
      </c>
      <c r="C17" s="18" t="n">
        <f aca="false">A17*B17</f>
        <v>45</v>
      </c>
      <c r="D17" s="18" t="n">
        <f aca="false">A17-C17</f>
        <v>15</v>
      </c>
      <c r="E17" s="18" t="n">
        <f aca="false">MAX(Parametry!$C$52,ROUNDDOWN(C17,0)*Parametry!$C$42)</f>
        <v>45</v>
      </c>
      <c r="F17" s="53" t="n">
        <f aca="false">E17/Parametry!$C$41</f>
        <v>4.5</v>
      </c>
      <c r="G17" s="18" t="s">
        <v>1883</v>
      </c>
    </row>
    <row r="18" customFormat="false" ht="64.5" hidden="false" customHeight="true" outlineLevel="0" collapsed="false">
      <c r="A18" s="50" t="n">
        <v>120</v>
      </c>
      <c r="B18" s="51" t="n">
        <v>0.25</v>
      </c>
      <c r="C18" s="17" t="n">
        <f aca="false">A18*B18</f>
        <v>30</v>
      </c>
      <c r="D18" s="17" t="n">
        <f aca="false">A18-C18</f>
        <v>90</v>
      </c>
      <c r="E18" s="17" t="n">
        <f aca="false">MAX(Parametry!$C$52,ROUNDDOWN(C18,0)*Parametry!$C$42)</f>
        <v>30</v>
      </c>
      <c r="F18" s="52" t="n">
        <f aca="false">E18/Parametry!$C$41</f>
        <v>3</v>
      </c>
      <c r="G18" s="17" t="s">
        <v>1883</v>
      </c>
    </row>
    <row r="19" customFormat="false" ht="64.5" hidden="false" customHeight="true" outlineLevel="0" collapsed="false">
      <c r="A19" s="50" t="n">
        <v>120</v>
      </c>
      <c r="B19" s="51" t="n">
        <v>0.5</v>
      </c>
      <c r="C19" s="18" t="n">
        <f aca="false">A19*B19</f>
        <v>60</v>
      </c>
      <c r="D19" s="18" t="n">
        <f aca="false">A19-C19</f>
        <v>60</v>
      </c>
      <c r="E19" s="18" t="n">
        <f aca="false">MAX(Parametry!$C$52,ROUNDDOWN(C19,0)*Parametry!$C$42)</f>
        <v>60</v>
      </c>
      <c r="F19" s="53" t="n">
        <f aca="false">E19/Parametry!$C$41</f>
        <v>6</v>
      </c>
      <c r="G19" s="18" t="s">
        <v>1883</v>
      </c>
    </row>
    <row r="20" customFormat="false" ht="64.5" hidden="false" customHeight="true" outlineLevel="0" collapsed="false">
      <c r="A20" s="50" t="n">
        <v>120</v>
      </c>
      <c r="B20" s="51" t="n">
        <v>0.75</v>
      </c>
      <c r="C20" s="17" t="n">
        <f aca="false">A20*B20</f>
        <v>90</v>
      </c>
      <c r="D20" s="17" t="n">
        <f aca="false">A20-C20</f>
        <v>30</v>
      </c>
      <c r="E20" s="17" t="n">
        <f aca="false">MAX(Parametry!$C$52,ROUNDDOWN(C20,0)*Parametry!$C$42)</f>
        <v>90</v>
      </c>
      <c r="F20" s="52" t="n">
        <f aca="false">E20/Parametry!$C$41</f>
        <v>9</v>
      </c>
      <c r="G20" s="17" t="s">
        <v>1883</v>
      </c>
    </row>
    <row r="21" customFormat="false" ht="54.75" hidden="false" customHeight="true" outlineLevel="0" collapsed="false">
      <c r="A21" s="19" t="n">
        <v>50</v>
      </c>
      <c r="B21" s="19" t="n">
        <v>1</v>
      </c>
      <c r="C21" s="19" t="n">
        <f aca="false">A21*B21</f>
        <v>50</v>
      </c>
      <c r="D21" s="19" t="n">
        <f aca="false">A21-C21</f>
        <v>0</v>
      </c>
      <c r="E21" s="19" t="n">
        <f aca="false">MAX(Parametry!$C$52,ROUNDDOWN(C21,0)*Parametry!$C$42)</f>
        <v>50</v>
      </c>
      <c r="F21" s="19" t="n">
        <f aca="false">E21/Parametry!$C$41</f>
        <v>5</v>
      </c>
      <c r="G21" s="19" t="s">
        <v>1885</v>
      </c>
    </row>
    <row r="22" customFormat="false" ht="54.75" hidden="false" customHeight="true" outlineLevel="0" collapsed="false">
      <c r="A22" s="20" t="n">
        <v>0.983333333333333</v>
      </c>
      <c r="B22" s="20" t="n">
        <v>1</v>
      </c>
      <c r="C22" s="20" t="n">
        <f aca="false">A22*B22</f>
        <v>0.983333333333333</v>
      </c>
      <c r="D22" s="20" t="n">
        <f aca="false">A22-C22</f>
        <v>0</v>
      </c>
      <c r="E22" s="20" t="n">
        <f aca="false">MAX(Parametry!$C$52,ROUNDDOWN(C22,0)*Parametry!$C$42)</f>
        <v>5</v>
      </c>
      <c r="F22" s="20" t="n">
        <f aca="false">E22/Parametry!$C$41</f>
        <v>0.5</v>
      </c>
      <c r="G22" s="20" t="s">
        <v>1885</v>
      </c>
    </row>
    <row r="23" customFormat="false" ht="54.75" hidden="false" customHeight="true" outlineLevel="0" collapsed="false">
      <c r="A23" s="19" t="n">
        <v>1</v>
      </c>
      <c r="B23" s="19" t="n">
        <v>1</v>
      </c>
      <c r="C23" s="19" t="n">
        <f aca="false">A23*B23</f>
        <v>1</v>
      </c>
      <c r="D23" s="19" t="n">
        <f aca="false">A23-C23</f>
        <v>0</v>
      </c>
      <c r="E23" s="19" t="n">
        <f aca="false">MAX(Parametry!$C$52,ROUNDDOWN(C23,0)*Parametry!$C$42)</f>
        <v>5</v>
      </c>
      <c r="F23" s="19" t="n">
        <f aca="false">E23/Parametry!$C$41</f>
        <v>0.5</v>
      </c>
      <c r="G23" s="19" t="s">
        <v>1885</v>
      </c>
    </row>
    <row r="24" customFormat="false" ht="54.75" hidden="false" customHeight="true" outlineLevel="0" collapsed="false">
      <c r="A24" s="20" t="n">
        <v>4</v>
      </c>
      <c r="B24" s="20" t="n">
        <v>1</v>
      </c>
      <c r="C24" s="20" t="n">
        <f aca="false">A24*B24</f>
        <v>4</v>
      </c>
      <c r="D24" s="20" t="n">
        <f aca="false">A24-C24</f>
        <v>0</v>
      </c>
      <c r="E24" s="20" t="n">
        <f aca="false">MAX(Parametry!$C$52,ROUNDDOWN(C24,0)*Parametry!$C$42)</f>
        <v>5</v>
      </c>
      <c r="F24" s="20" t="n">
        <f aca="false">E24/Parametry!$C$41</f>
        <v>0.5</v>
      </c>
      <c r="G24" s="20" t="s">
        <v>1885</v>
      </c>
    </row>
    <row r="25" customFormat="false" ht="54.75" hidden="false" customHeight="true" outlineLevel="0" collapsed="false">
      <c r="A25" s="19" t="n">
        <v>5</v>
      </c>
      <c r="B25" s="19" t="n">
        <v>1</v>
      </c>
      <c r="C25" s="19" t="n">
        <f aca="false">A25*B25</f>
        <v>5</v>
      </c>
      <c r="D25" s="19" t="n">
        <f aca="false">A25-C25</f>
        <v>0</v>
      </c>
      <c r="E25" s="19" t="n">
        <f aca="false">MAX(Parametry!$C$52,ROUNDDOWN(C25,0)*Parametry!$C$42)</f>
        <v>5</v>
      </c>
      <c r="F25" s="19" t="n">
        <f aca="false">E25/Parametry!$C$41</f>
        <v>0.5</v>
      </c>
      <c r="G25" s="19" t="s">
        <v>1885</v>
      </c>
    </row>
  </sheetData>
  <autoFilter ref="A5:J25"/>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26.25" customHeight="false" zeroHeight="false" outlineLevelRow="0" outlineLevelCol="0"/>
  <cols>
    <col collapsed="false" customWidth="true" hidden="false" outlineLevel="0" max="1" min="1" style="13" width="38"/>
    <col collapsed="false" customWidth="true" hidden="false" outlineLevel="0" max="5" min="2" style="13" width="24"/>
    <col collapsed="false" customWidth="true" hidden="false" outlineLevel="0" max="7" min="6" style="13" width="19"/>
    <col collapsed="false" customWidth="true" hidden="false" outlineLevel="0" max="8" min="8" style="13" width="23"/>
    <col collapsed="false" customWidth="true" hidden="false" outlineLevel="0" max="9" min="9" style="13" width="22"/>
    <col collapsed="false" customWidth="true" hidden="false" outlineLevel="0" max="10" min="10" style="13" width="28"/>
    <col collapsed="false" customWidth="true" hidden="false" outlineLevel="0" max="11" min="11" style="13" width="110"/>
    <col collapsed="false" customWidth="false" hidden="false" outlineLevel="0" max="16384" min="12" style="13" width="8.71"/>
  </cols>
  <sheetData>
    <row r="1" customFormat="false" ht="33.75" hidden="false" customHeight="true" outlineLevel="0" collapsed="false">
      <c r="A1" s="31" t="s">
        <v>1886</v>
      </c>
      <c r="B1" s="31"/>
      <c r="C1" s="31"/>
      <c r="D1" s="31"/>
      <c r="E1" s="31"/>
      <c r="F1" s="31"/>
      <c r="G1" s="31"/>
      <c r="H1" s="31"/>
      <c r="I1" s="31"/>
      <c r="J1" s="31"/>
      <c r="K1" s="31"/>
    </row>
    <row r="2" customFormat="false" ht="27" hidden="false" customHeight="true" outlineLevel="0" collapsed="false">
      <c r="A2" s="15" t="s">
        <v>1887</v>
      </c>
      <c r="B2" s="15"/>
      <c r="C2" s="15"/>
      <c r="D2" s="15"/>
      <c r="E2" s="15"/>
      <c r="F2" s="15"/>
      <c r="G2" s="15"/>
      <c r="H2" s="15"/>
      <c r="I2" s="15"/>
      <c r="J2" s="15"/>
      <c r="K2" s="15"/>
    </row>
    <row r="3" customFormat="false" ht="27" hidden="false" customHeight="true" outlineLevel="0" collapsed="false">
      <c r="A3" s="15"/>
      <c r="B3" s="15"/>
      <c r="C3" s="15"/>
      <c r="D3" s="15"/>
      <c r="E3" s="15"/>
      <c r="F3" s="15"/>
      <c r="G3" s="15"/>
      <c r="H3" s="15"/>
      <c r="I3" s="15"/>
      <c r="J3" s="15"/>
      <c r="K3" s="15"/>
    </row>
    <row r="5" customFormat="false" ht="45" hidden="false" customHeight="true" outlineLevel="0" collapsed="false">
      <c r="A5" s="16" t="s">
        <v>1888</v>
      </c>
      <c r="B5" s="16" t="s">
        <v>1889</v>
      </c>
      <c r="C5" s="16" t="s">
        <v>1890</v>
      </c>
      <c r="D5" s="16" t="s">
        <v>1891</v>
      </c>
      <c r="E5" s="16" t="s">
        <v>1892</v>
      </c>
      <c r="F5" s="16" t="s">
        <v>1893</v>
      </c>
      <c r="G5" s="16" t="s">
        <v>1894</v>
      </c>
      <c r="H5" s="16" t="s">
        <v>1895</v>
      </c>
      <c r="I5" s="16" t="s">
        <v>1896</v>
      </c>
      <c r="J5" s="16" t="s">
        <v>1882</v>
      </c>
      <c r="K5" s="16" t="s">
        <v>1417</v>
      </c>
    </row>
    <row r="6" customFormat="false" ht="69.75" hidden="false" customHeight="true" outlineLevel="0" collapsed="false">
      <c r="A6" s="17" t="s">
        <v>1897</v>
      </c>
      <c r="B6" s="50" t="n">
        <v>40</v>
      </c>
      <c r="C6" s="50" t="n">
        <v>0</v>
      </c>
      <c r="D6" s="50" t="n">
        <f aca="false">ROUNDDOWN(60*(1+Parametry!$C$72*MAX(0,Parametry!$C$73-2)),0)</f>
        <v>60</v>
      </c>
      <c r="E6" s="50" t="n">
        <v>1</v>
      </c>
      <c r="F6" s="17" t="n">
        <f aca="false">ROUNDUP(B6/D6,0)</f>
        <v>1</v>
      </c>
      <c r="G6" s="17" t="n">
        <f aca="false">ROUNDUP(C6/D6,0)</f>
        <v>0</v>
      </c>
      <c r="H6" s="17" t="n">
        <f aca="false">(F6+G6)*E6</f>
        <v>1</v>
      </c>
      <c r="I6" s="17" t="n">
        <f aca="false">H6*Parametry!$C$43</f>
        <v>10</v>
      </c>
      <c r="J6" s="52" t="n">
        <f aca="false">I6/Parametry!$C$41</f>
        <v>1</v>
      </c>
      <c r="K6" s="17" t="s">
        <v>1898</v>
      </c>
    </row>
    <row r="7" customFormat="false" ht="69.75" hidden="false" customHeight="true" outlineLevel="0" collapsed="false">
      <c r="A7" s="18" t="s">
        <v>1899</v>
      </c>
      <c r="B7" s="50" t="n">
        <v>60</v>
      </c>
      <c r="C7" s="50" t="n">
        <v>0</v>
      </c>
      <c r="D7" s="50" t="n">
        <f aca="false">ROUNDDOWN(60*(1+Parametry!$C$72*MAX(0,Parametry!$C$73-2)),0)</f>
        <v>60</v>
      </c>
      <c r="E7" s="50" t="n">
        <v>1</v>
      </c>
      <c r="F7" s="18" t="n">
        <f aca="false">ROUNDUP(B7/D7,0)</f>
        <v>1</v>
      </c>
      <c r="G7" s="18" t="n">
        <f aca="false">ROUNDUP(C7/D7,0)</f>
        <v>0</v>
      </c>
      <c r="H7" s="18" t="n">
        <f aca="false">(F7+G7)*E7</f>
        <v>1</v>
      </c>
      <c r="I7" s="18" t="n">
        <f aca="false">H7*Parametry!$C$43</f>
        <v>10</v>
      </c>
      <c r="J7" s="53" t="n">
        <f aca="false">I7/Parametry!$C$41</f>
        <v>1</v>
      </c>
      <c r="K7" s="18" t="s">
        <v>1898</v>
      </c>
    </row>
    <row r="8" customFormat="false" ht="69.75" hidden="false" customHeight="true" outlineLevel="0" collapsed="false">
      <c r="A8" s="17" t="s">
        <v>1900</v>
      </c>
      <c r="B8" s="50" t="n">
        <v>100</v>
      </c>
      <c r="C8" s="50" t="n">
        <v>0</v>
      </c>
      <c r="D8" s="50" t="n">
        <f aca="false">ROUNDDOWN(60*(1+Parametry!$C$72*MAX(0,Parametry!$C$73-2)),0)</f>
        <v>60</v>
      </c>
      <c r="E8" s="50" t="n">
        <v>1</v>
      </c>
      <c r="F8" s="17" t="n">
        <f aca="false">ROUNDUP(B8/D8,0)</f>
        <v>2</v>
      </c>
      <c r="G8" s="17" t="n">
        <f aca="false">ROUNDUP(C8/D8,0)</f>
        <v>0</v>
      </c>
      <c r="H8" s="17" t="n">
        <f aca="false">(F8+G8)*E8</f>
        <v>2</v>
      </c>
      <c r="I8" s="17" t="n">
        <f aca="false">H8*Parametry!$C$43</f>
        <v>20</v>
      </c>
      <c r="J8" s="52" t="n">
        <f aca="false">I8/Parametry!$C$41</f>
        <v>2</v>
      </c>
      <c r="K8" s="17" t="s">
        <v>1898</v>
      </c>
    </row>
    <row r="9" customFormat="false" ht="69.75" hidden="false" customHeight="true" outlineLevel="0" collapsed="false">
      <c r="A9" s="18" t="s">
        <v>1901</v>
      </c>
      <c r="B9" s="50" t="n">
        <v>180</v>
      </c>
      <c r="C9" s="50" t="n">
        <v>0</v>
      </c>
      <c r="D9" s="50" t="n">
        <f aca="false">ROUNDDOWN(60*(1+Parametry!$C$72*MAX(0,Parametry!$C$73-2)),0)</f>
        <v>60</v>
      </c>
      <c r="E9" s="50" t="n">
        <v>1</v>
      </c>
      <c r="F9" s="18" t="n">
        <f aca="false">ROUNDUP(B9/D9,0)</f>
        <v>3</v>
      </c>
      <c r="G9" s="18" t="n">
        <f aca="false">ROUNDUP(C9/D9,0)</f>
        <v>0</v>
      </c>
      <c r="H9" s="18" t="n">
        <f aca="false">(F9+G9)*E9</f>
        <v>3</v>
      </c>
      <c r="I9" s="18" t="n">
        <f aca="false">H9*Parametry!$C$43</f>
        <v>30</v>
      </c>
      <c r="J9" s="53" t="n">
        <f aca="false">I9/Parametry!$C$41</f>
        <v>3</v>
      </c>
      <c r="K9" s="18" t="s">
        <v>1898</v>
      </c>
    </row>
    <row r="10" customFormat="false" ht="69.75" hidden="false" customHeight="true" outlineLevel="0" collapsed="false">
      <c r="A10" s="17" t="s">
        <v>1902</v>
      </c>
      <c r="B10" s="50" t="n">
        <v>181</v>
      </c>
      <c r="C10" s="50" t="n">
        <v>0</v>
      </c>
      <c r="D10" s="50" t="n">
        <f aca="false">ROUNDDOWN(60*(1+Parametry!$C$72*MAX(0,Parametry!$C$73-2)),0)</f>
        <v>60</v>
      </c>
      <c r="E10" s="50" t="n">
        <v>1</v>
      </c>
      <c r="F10" s="17" t="n">
        <f aca="false">ROUNDUP(B10/D10,0)</f>
        <v>4</v>
      </c>
      <c r="G10" s="17" t="n">
        <f aca="false">ROUNDUP(C10/D10,0)</f>
        <v>0</v>
      </c>
      <c r="H10" s="17" t="n">
        <f aca="false">(F10+G10)*E10</f>
        <v>4</v>
      </c>
      <c r="I10" s="17" t="n">
        <f aca="false">H10*Parametry!$C$43</f>
        <v>40</v>
      </c>
      <c r="J10" s="52" t="n">
        <f aca="false">I10/Parametry!$C$41</f>
        <v>4</v>
      </c>
      <c r="K10" s="17" t="s">
        <v>1898</v>
      </c>
    </row>
    <row r="11" customFormat="false" ht="69.75" hidden="false" customHeight="true" outlineLevel="0" collapsed="false">
      <c r="A11" s="18" t="s">
        <v>1903</v>
      </c>
      <c r="B11" s="50" t="n">
        <v>100</v>
      </c>
      <c r="C11" s="50" t="n">
        <v>100</v>
      </c>
      <c r="D11" s="50" t="n">
        <f aca="false">ROUNDDOWN(60*(1+Parametry!$C$72*MAX(0,Parametry!$C$73-2)),0)</f>
        <v>60</v>
      </c>
      <c r="E11" s="50" t="n">
        <v>1</v>
      </c>
      <c r="F11" s="18" t="n">
        <f aca="false">ROUNDUP(B11/D11,0)</f>
        <v>2</v>
      </c>
      <c r="G11" s="18" t="n">
        <f aca="false">ROUNDUP(C11/D11,0)</f>
        <v>2</v>
      </c>
      <c r="H11" s="18" t="n">
        <f aca="false">(F11+G11)*E11</f>
        <v>4</v>
      </c>
      <c r="I11" s="18" t="n">
        <f aca="false">H11*Parametry!$C$43</f>
        <v>40</v>
      </c>
      <c r="J11" s="53" t="n">
        <f aca="false">I11/Parametry!$C$41</f>
        <v>4</v>
      </c>
      <c r="K11" s="18" t="s">
        <v>1898</v>
      </c>
    </row>
    <row r="12" customFormat="false" ht="69.75" hidden="false" customHeight="true" outlineLevel="0" collapsed="false">
      <c r="A12" s="17" t="s">
        <v>1904</v>
      </c>
      <c r="B12" s="50" t="n">
        <v>200</v>
      </c>
      <c r="C12" s="50" t="n">
        <v>0</v>
      </c>
      <c r="D12" s="50" t="n">
        <f aca="false">ROUNDDOWN(60*(1+Parametry!$C$72*MAX(0,Parametry!$C$73-2)),0)</f>
        <v>60</v>
      </c>
      <c r="E12" s="50" t="n">
        <v>1</v>
      </c>
      <c r="F12" s="17" t="n">
        <f aca="false">ROUNDUP(B12/D12,0)</f>
        <v>4</v>
      </c>
      <c r="G12" s="17" t="n">
        <f aca="false">ROUNDUP(C12/D12,0)</f>
        <v>0</v>
      </c>
      <c r="H12" s="17" t="n">
        <f aca="false">(F12+G12)*E12</f>
        <v>4</v>
      </c>
      <c r="I12" s="17" t="n">
        <f aca="false">H12*Parametry!$C$43</f>
        <v>40</v>
      </c>
      <c r="J12" s="52" t="n">
        <f aca="false">I12/Parametry!$C$41</f>
        <v>4</v>
      </c>
      <c r="K12" s="17" t="s">
        <v>1898</v>
      </c>
    </row>
    <row r="13" customFormat="false" ht="69.75" hidden="false" customHeight="true" outlineLevel="0" collapsed="false">
      <c r="A13" s="18" t="s">
        <v>1905</v>
      </c>
      <c r="B13" s="50" t="n">
        <v>200</v>
      </c>
      <c r="C13" s="50" t="n">
        <v>0</v>
      </c>
      <c r="D13" s="50" t="n">
        <f aca="false">ROUNDDOWN(60*(1+Parametry!$C$72*MAX(0,Parametry!$C$73-2)),0)</f>
        <v>60</v>
      </c>
      <c r="E13" s="50" t="n">
        <v>1</v>
      </c>
      <c r="F13" s="18" t="n">
        <f aca="false">ROUNDUP(B13/D13,0)</f>
        <v>4</v>
      </c>
      <c r="G13" s="18" t="n">
        <f aca="false">ROUNDUP(C13/D13,0)</f>
        <v>0</v>
      </c>
      <c r="H13" s="18" t="n">
        <f aca="false">(F13+G13)*E13</f>
        <v>4</v>
      </c>
      <c r="I13" s="18" t="n">
        <f aca="false">H13*Parametry!$C$43</f>
        <v>40</v>
      </c>
      <c r="J13" s="53" t="n">
        <f aca="false">I13/Parametry!$C$41</f>
        <v>4</v>
      </c>
      <c r="K13" s="18" t="s">
        <v>1898</v>
      </c>
    </row>
    <row r="14" customFormat="false" ht="69.75" hidden="false" customHeight="true" outlineLevel="0" collapsed="false">
      <c r="A14" s="17" t="s">
        <v>1906</v>
      </c>
      <c r="B14" s="50" t="n">
        <v>200</v>
      </c>
      <c r="C14" s="50" t="n">
        <v>0</v>
      </c>
      <c r="D14" s="50" t="n">
        <f aca="false">ROUNDDOWN(60*(1+Parametry!$C$72*MAX(0,Parametry!$C$73-2)),0)</f>
        <v>60</v>
      </c>
      <c r="E14" s="50" t="n">
        <v>1</v>
      </c>
      <c r="F14" s="17" t="n">
        <f aca="false">ROUNDUP(B14/D14,0)</f>
        <v>4</v>
      </c>
      <c r="G14" s="17" t="n">
        <f aca="false">ROUNDUP(C14/D14,0)</f>
        <v>0</v>
      </c>
      <c r="H14" s="17" t="n">
        <f aca="false">(F14+G14)*E14</f>
        <v>4</v>
      </c>
      <c r="I14" s="17" t="n">
        <f aca="false">H14*Parametry!$C$43</f>
        <v>40</v>
      </c>
      <c r="J14" s="52" t="n">
        <f aca="false">I14/Parametry!$C$41</f>
        <v>4</v>
      </c>
      <c r="K14" s="17" t="s">
        <v>1898</v>
      </c>
    </row>
    <row r="15" customFormat="false" ht="69.75" hidden="false" customHeight="true" outlineLevel="0" collapsed="false">
      <c r="A15" s="18" t="s">
        <v>1907</v>
      </c>
      <c r="B15" s="50" t="n">
        <v>200</v>
      </c>
      <c r="C15" s="50" t="n">
        <v>0</v>
      </c>
      <c r="D15" s="50" t="n">
        <f aca="false">ROUNDDOWN(60*(1+Parametry!$C$72*MAX(0,Parametry!$C$73-2)),0)</f>
        <v>60</v>
      </c>
      <c r="E15" s="50" t="n">
        <v>1</v>
      </c>
      <c r="F15" s="18" t="n">
        <f aca="false">ROUNDUP(B15/D15,0)</f>
        <v>4</v>
      </c>
      <c r="G15" s="18" t="n">
        <f aca="false">ROUNDUP(C15/D15,0)</f>
        <v>0</v>
      </c>
      <c r="H15" s="18" t="n">
        <f aca="false">(F15+G15)*E15</f>
        <v>4</v>
      </c>
      <c r="I15" s="18" t="n">
        <f aca="false">H15*Parametry!$C$43</f>
        <v>40</v>
      </c>
      <c r="J15" s="53" t="n">
        <f aca="false">I15/Parametry!$C$41</f>
        <v>4</v>
      </c>
      <c r="K15" s="18" t="s">
        <v>1898</v>
      </c>
    </row>
    <row r="16" customFormat="false" ht="69.75" hidden="false" customHeight="true" outlineLevel="0" collapsed="false">
      <c r="A16" s="17" t="s">
        <v>1908</v>
      </c>
      <c r="B16" s="50" t="n">
        <v>100</v>
      </c>
      <c r="C16" s="50" t="n">
        <v>0</v>
      </c>
      <c r="D16" s="50" t="n">
        <f aca="false">ROUNDDOWN(60*(1+Parametry!$C$72*MAX(0,Parametry!$C$73-2)),0)</f>
        <v>60</v>
      </c>
      <c r="E16" s="50" t="n">
        <v>2</v>
      </c>
      <c r="F16" s="17" t="n">
        <f aca="false">ROUNDUP(B16/D16,0)</f>
        <v>2</v>
      </c>
      <c r="G16" s="17" t="n">
        <f aca="false">ROUNDUP(C16/D16,0)</f>
        <v>0</v>
      </c>
      <c r="H16" s="17" t="n">
        <f aca="false">(F16+G16)*E16</f>
        <v>4</v>
      </c>
      <c r="I16" s="17" t="n">
        <f aca="false">H16*Parametry!$C$43</f>
        <v>40</v>
      </c>
      <c r="J16" s="52" t="n">
        <f aca="false">I16/Parametry!$C$41</f>
        <v>4</v>
      </c>
      <c r="K16" s="17" t="s">
        <v>1898</v>
      </c>
    </row>
    <row r="17" customFormat="false" ht="69.75" hidden="false" customHeight="true" outlineLevel="0" collapsed="false">
      <c r="A17" s="18" t="s">
        <v>1909</v>
      </c>
      <c r="B17" s="50" t="n">
        <v>200</v>
      </c>
      <c r="C17" s="50" t="n">
        <v>0</v>
      </c>
      <c r="D17" s="50" t="n">
        <f aca="false">ROUNDDOWN(66*(1+Parametry!$C$72*MAX(0,Parametry!$C$73-2)),0)</f>
        <v>66</v>
      </c>
      <c r="E17" s="50" t="n">
        <v>1</v>
      </c>
      <c r="F17" s="18" t="n">
        <f aca="false">ROUNDUP(B17/D17,0)</f>
        <v>4</v>
      </c>
      <c r="G17" s="18" t="n">
        <f aca="false">ROUNDUP(C17/D17,0)</f>
        <v>0</v>
      </c>
      <c r="H17" s="18" t="n">
        <f aca="false">(F17+G17)*E17</f>
        <v>4</v>
      </c>
      <c r="I17" s="18" t="n">
        <f aca="false">H17*Parametry!$C$43</f>
        <v>40</v>
      </c>
      <c r="J17" s="53" t="n">
        <f aca="false">I17/Parametry!$C$41</f>
        <v>4</v>
      </c>
      <c r="K17" s="18" t="s">
        <v>1898</v>
      </c>
    </row>
    <row r="18" customFormat="false" ht="69.75" hidden="false" customHeight="true" outlineLevel="0" collapsed="false">
      <c r="A18" s="17" t="s">
        <v>1910</v>
      </c>
      <c r="B18" s="50" t="n">
        <v>0</v>
      </c>
      <c r="C18" s="50" t="n">
        <v>0</v>
      </c>
      <c r="D18" s="50" t="n">
        <f aca="false">ROUNDDOWN(60*(1+Parametry!$C$72*MAX(0,Parametry!$C$73-2)),0)</f>
        <v>60</v>
      </c>
      <c r="E18" s="50" t="n">
        <v>1</v>
      </c>
      <c r="F18" s="17" t="n">
        <f aca="false">ROUNDUP(B18/D18,0)</f>
        <v>0</v>
      </c>
      <c r="G18" s="17" t="n">
        <f aca="false">ROUNDUP(C18/D18,0)</f>
        <v>0</v>
      </c>
      <c r="H18" s="17" t="n">
        <f aca="false">(F18+G18)*E18</f>
        <v>0</v>
      </c>
      <c r="I18" s="17" t="n">
        <f aca="false">H18*Parametry!$C$43</f>
        <v>0</v>
      </c>
      <c r="J18" s="52" t="n">
        <f aca="false">I18/Parametry!$C$41</f>
        <v>0</v>
      </c>
      <c r="K18" s="17" t="s">
        <v>1898</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T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40"/>
    <col collapsed="false" customWidth="true" hidden="false" outlineLevel="0" max="2" min="2" style="13" width="24"/>
    <col collapsed="false" customWidth="true" hidden="false" outlineLevel="0" max="7" min="3" style="13" width="19"/>
    <col collapsed="false" customWidth="true" hidden="false" outlineLevel="0" max="8" min="8" style="13" width="28"/>
    <col collapsed="false" customWidth="true" hidden="false" outlineLevel="0" max="9" min="9" style="13" width="29"/>
    <col collapsed="false" customWidth="true" hidden="false" outlineLevel="0" max="10" min="10" style="13" width="27"/>
    <col collapsed="false" customWidth="true" hidden="false" outlineLevel="0" max="11" min="11" style="13" width="29"/>
    <col collapsed="false" customWidth="true" hidden="false" outlineLevel="0" max="12" min="12" style="13" width="22"/>
    <col collapsed="false" customWidth="true" hidden="false" outlineLevel="0" max="13" min="13" style="13" width="23"/>
    <col collapsed="false" customWidth="true" hidden="false" outlineLevel="0" max="14" min="14" style="13" width="30"/>
    <col collapsed="false" customWidth="true" hidden="false" outlineLevel="0" max="15" min="15" style="13" width="29"/>
    <col collapsed="false" customWidth="true" hidden="false" outlineLevel="0" max="16" min="16" style="13" width="26"/>
    <col collapsed="false" customWidth="true" hidden="false" outlineLevel="0" max="17" min="17" style="13" width="120"/>
    <col collapsed="false" customWidth="false" hidden="false" outlineLevel="0" max="16384" min="18" style="13" width="8.71"/>
  </cols>
  <sheetData>
    <row r="1" customFormat="false" ht="33.75" hidden="false" customHeight="true" outlineLevel="0" collapsed="false">
      <c r="A1" s="31" t="s">
        <v>1911</v>
      </c>
      <c r="B1" s="31"/>
      <c r="C1" s="31"/>
      <c r="D1" s="31"/>
      <c r="E1" s="31"/>
      <c r="F1" s="31"/>
      <c r="G1" s="31"/>
      <c r="H1" s="31"/>
      <c r="I1" s="31"/>
      <c r="J1" s="31"/>
      <c r="K1" s="31"/>
      <c r="L1" s="31"/>
      <c r="M1" s="31"/>
      <c r="N1" s="31"/>
      <c r="O1" s="31"/>
      <c r="P1" s="31"/>
      <c r="Q1" s="31"/>
    </row>
    <row r="2" customFormat="false" ht="27" hidden="false" customHeight="true" outlineLevel="0" collapsed="false">
      <c r="A2" s="15" t="s">
        <v>1912</v>
      </c>
      <c r="B2" s="15"/>
      <c r="C2" s="15"/>
      <c r="D2" s="15"/>
      <c r="E2" s="15"/>
      <c r="F2" s="15"/>
      <c r="G2" s="15"/>
      <c r="H2" s="15"/>
      <c r="I2" s="15"/>
      <c r="J2" s="15"/>
      <c r="K2" s="15"/>
      <c r="L2" s="15"/>
      <c r="M2" s="15"/>
      <c r="N2" s="15"/>
      <c r="O2" s="15"/>
      <c r="P2" s="15"/>
      <c r="Q2" s="15"/>
    </row>
    <row r="3" customFormat="false" ht="27" hidden="false" customHeight="true" outlineLevel="0" collapsed="false">
      <c r="A3" s="15"/>
      <c r="B3" s="15"/>
      <c r="C3" s="15"/>
      <c r="D3" s="15"/>
      <c r="E3" s="15"/>
      <c r="F3" s="15"/>
      <c r="G3" s="15"/>
      <c r="H3" s="15"/>
      <c r="I3" s="15"/>
      <c r="J3" s="15"/>
      <c r="K3" s="15"/>
      <c r="L3" s="15"/>
      <c r="M3" s="15"/>
      <c r="N3" s="15"/>
      <c r="O3" s="15"/>
      <c r="P3" s="15"/>
      <c r="Q3" s="15"/>
    </row>
    <row r="5" customFormat="false" ht="45" hidden="false" customHeight="true" outlineLevel="0" collapsed="false">
      <c r="A5" s="16" t="s">
        <v>1913</v>
      </c>
      <c r="B5" s="16" t="s">
        <v>1914</v>
      </c>
      <c r="C5" s="16" t="s">
        <v>518</v>
      </c>
      <c r="D5" s="16" t="s">
        <v>517</v>
      </c>
      <c r="E5" s="16" t="s">
        <v>513</v>
      </c>
      <c r="F5" s="16" t="s">
        <v>1915</v>
      </c>
      <c r="G5" s="16" t="s">
        <v>1916</v>
      </c>
      <c r="H5" s="16" t="s">
        <v>1917</v>
      </c>
      <c r="I5" s="16" t="s">
        <v>1918</v>
      </c>
      <c r="J5" s="16" t="s">
        <v>1919</v>
      </c>
      <c r="K5" s="16" t="s">
        <v>1920</v>
      </c>
      <c r="L5" s="16" t="s">
        <v>359</v>
      </c>
      <c r="M5" s="16" t="s">
        <v>1921</v>
      </c>
      <c r="N5" s="16" t="s">
        <v>1922</v>
      </c>
      <c r="O5" s="16" t="s">
        <v>1923</v>
      </c>
      <c r="P5" s="16" t="s">
        <v>1924</v>
      </c>
      <c r="Q5" s="16" t="s">
        <v>1417</v>
      </c>
      <c r="R5" s="13" t="s">
        <v>1925</v>
      </c>
      <c r="S5" s="13" t="s">
        <v>1926</v>
      </c>
      <c r="T5" s="13" t="s">
        <v>1927</v>
      </c>
    </row>
    <row r="6" customFormat="false" ht="114.75" hidden="false" customHeight="true" outlineLevel="0" collapsed="false">
      <c r="A6" s="17" t="s">
        <v>1928</v>
      </c>
      <c r="B6" s="50" t="n">
        <v>0</v>
      </c>
      <c r="C6" s="50" t="n">
        <v>100</v>
      </c>
      <c r="D6" s="50" t="n">
        <v>0</v>
      </c>
      <c r="E6" s="50" t="n">
        <v>0</v>
      </c>
      <c r="F6" s="50" t="n">
        <v>100</v>
      </c>
      <c r="G6" s="50" t="n">
        <v>0</v>
      </c>
      <c r="H6" s="17" t="n">
        <f aca="false">(C6+D6+E6)*Parametry!$C$32/100+(F6+G6)*Parametry!$C$34/100</f>
        <v>200</v>
      </c>
      <c r="I6" s="17" t="n">
        <f aca="false">(ROUNDUP(C6/100,0)+ROUNDUP(D6/100,0)+ROUNDUP(E6/100,0))*Parametry!$C$32+(ROUNDUP(F6/100,0)+ROUNDUP(G6/100,0))*Parametry!$C$34</f>
        <v>200</v>
      </c>
      <c r="J6" s="17" t="n">
        <f aca="false">H6*Parametry!$C$44</f>
        <v>250</v>
      </c>
      <c r="K6" s="50" t="n">
        <v>1</v>
      </c>
      <c r="L6" s="51" t="n">
        <f aca="false">ROUNDDOWN(ROUNDDOWN(Parametry!$C$9*Parametry!$C$10^(K6-1),0)*(1+Parametry!$C$72*MAX(0,Parametry!$C$73-2)),0)</f>
        <v>60</v>
      </c>
      <c r="M6" s="17" t="n">
        <f aca="false">R6*Parametry!$C$43</f>
        <v>40</v>
      </c>
      <c r="N6" s="17" t="n">
        <f aca="false">ROUNDUP(B6+J6+M6,0)</f>
        <v>290</v>
      </c>
      <c r="O6" s="17" t="n">
        <f aca="false">ROUNDUP(B6+I6*Parametry!$C$44+M6,0)</f>
        <v>290</v>
      </c>
      <c r="P6" s="52" t="n">
        <f aca="false">N6/Parametry!$C$41</f>
        <v>29</v>
      </c>
      <c r="Q6" s="17" t="s">
        <v>1929</v>
      </c>
      <c r="R6" s="13" t="n">
        <f aca="false">ROUNDUP(C6/L6,0)+ROUNDUP(D6/L6,0)+ROUNDUP(E6/L6,0)+ROUNDUP(F6/L6,0)+ROUNDUP(G6/L6,0)</f>
        <v>4</v>
      </c>
      <c r="S6" s="13" t="n">
        <f aca="false">Parametry!$C$56</f>
        <v>10</v>
      </c>
      <c r="T6" s="13" t="s">
        <v>1930</v>
      </c>
    </row>
    <row r="7" customFormat="false" ht="114.75" hidden="false" customHeight="true" outlineLevel="0" collapsed="false">
      <c r="A7" s="18" t="s">
        <v>1931</v>
      </c>
      <c r="B7" s="50" t="n">
        <v>0</v>
      </c>
      <c r="C7" s="50" t="n">
        <v>72</v>
      </c>
      <c r="D7" s="50" t="n">
        <v>72</v>
      </c>
      <c r="E7" s="50" t="n">
        <v>120</v>
      </c>
      <c r="F7" s="50" t="n">
        <v>0</v>
      </c>
      <c r="G7" s="50" t="n">
        <v>0</v>
      </c>
      <c r="H7" s="18" t="n">
        <f aca="false">(C7+D7+E7)*Parametry!$C$32/100+(F7+G7)*Parametry!$C$34/100</f>
        <v>132</v>
      </c>
      <c r="I7" s="18" t="n">
        <f aca="false">(ROUNDUP(C7/100,0)+ROUNDUP(D7/100,0)+ROUNDUP(E7/100,0))*Parametry!$C$32+(ROUNDUP(F7/100,0)+ROUNDUP(G7/100,0))*Parametry!$C$34</f>
        <v>200</v>
      </c>
      <c r="J7" s="18" t="n">
        <f aca="false">H7*Parametry!$C$44</f>
        <v>165</v>
      </c>
      <c r="K7" s="50" t="n">
        <v>1</v>
      </c>
      <c r="L7" s="51" t="n">
        <f aca="false">ROUNDDOWN(ROUNDDOWN(Parametry!$C$9*Parametry!$C$10^(K7-1),0)*(1+Parametry!$C$72*MAX(0,Parametry!$C$73-2)),0)</f>
        <v>60</v>
      </c>
      <c r="M7" s="18" t="n">
        <f aca="false">R7*Parametry!$C$43</f>
        <v>60</v>
      </c>
      <c r="N7" s="18" t="n">
        <f aca="false">ROUNDUP(B7+J7+M7,0)</f>
        <v>225</v>
      </c>
      <c r="O7" s="18" t="n">
        <f aca="false">ROUNDUP(B7+I7*Parametry!$C$44+M7,0)</f>
        <v>310</v>
      </c>
      <c r="P7" s="53" t="n">
        <f aca="false">N7/Parametry!$C$41</f>
        <v>22.5</v>
      </c>
      <c r="Q7" s="18" t="s">
        <v>1929</v>
      </c>
      <c r="R7" s="13" t="n">
        <f aca="false">ROUNDUP(C7/L7,0)+ROUNDUP(D7/L7,0)+ROUNDUP(E7/L7,0)+ROUNDUP(F7/L7,0)+ROUNDUP(G7/L7,0)</f>
        <v>6</v>
      </c>
      <c r="S7" s="13" t="n">
        <f aca="false">Parametry!$C$56</f>
        <v>10</v>
      </c>
    </row>
    <row r="8" customFormat="false" ht="114.75" hidden="false" customHeight="true" outlineLevel="0" collapsed="false">
      <c r="A8" s="17" t="s">
        <v>1932</v>
      </c>
      <c r="B8" s="50" t="n">
        <v>500</v>
      </c>
      <c r="C8" s="50" t="n">
        <v>500</v>
      </c>
      <c r="D8" s="50" t="n">
        <v>500</v>
      </c>
      <c r="E8" s="50" t="n">
        <v>500</v>
      </c>
      <c r="F8" s="50" t="n">
        <v>500</v>
      </c>
      <c r="G8" s="50" t="n">
        <v>500</v>
      </c>
      <c r="H8" s="17" t="n">
        <f aca="false">(C8+D8+E8)*Parametry!$C$32/100+(F8+G8)*Parametry!$C$34/100</f>
        <v>2250</v>
      </c>
      <c r="I8" s="17" t="n">
        <f aca="false">(ROUNDUP(C8/100,0)+ROUNDUP(D8/100,0)+ROUNDUP(E8/100,0))*Parametry!$C$32+(ROUNDUP(F8/100,0)+ROUNDUP(G8/100,0))*Parametry!$C$34</f>
        <v>2250</v>
      </c>
      <c r="J8" s="17" t="n">
        <f aca="false">H8*Parametry!$C$44</f>
        <v>2812.5</v>
      </c>
      <c r="K8" s="50" t="n">
        <v>1</v>
      </c>
      <c r="L8" s="51" t="n">
        <f aca="false">ROUNDDOWN(ROUNDDOWN(Parametry!$C$9*Parametry!$C$10^(K8-1),0)*(1+Parametry!$C$72*MAX(0,Parametry!$C$73-2)),0)</f>
        <v>60</v>
      </c>
      <c r="M8" s="17" t="n">
        <f aca="false">R8*Parametry!$C$43</f>
        <v>450</v>
      </c>
      <c r="N8" s="17" t="n">
        <f aca="false">ROUNDUP(B8+J8+M8,0)</f>
        <v>3763</v>
      </c>
      <c r="O8" s="17" t="n">
        <f aca="false">ROUNDUP(B8+I8*Parametry!$C$44+M8,0)</f>
        <v>3763</v>
      </c>
      <c r="P8" s="52" t="n">
        <f aca="false">N8/Parametry!$C$41</f>
        <v>376.3</v>
      </c>
      <c r="Q8" s="17" t="s">
        <v>1929</v>
      </c>
      <c r="R8" s="13" t="n">
        <f aca="false">ROUNDUP(C8/L8,0)+ROUNDUP(D8/L8,0)+ROUNDUP(E8/L8,0)+ROUNDUP(F8/L8,0)+ROUNDUP(G8/L8,0)</f>
        <v>45</v>
      </c>
      <c r="S8" s="13" t="n">
        <f aca="false">Parametry!$C$56</f>
        <v>10</v>
      </c>
    </row>
  </sheetData>
  <autoFilter ref="A5:T8"/>
  <mergeCells count="2">
    <mergeCell ref="A1:Q1"/>
    <mergeCell ref="A2:Q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G6" activeCellId="0" sqref="G6"/>
    </sheetView>
  </sheetViews>
  <sheetFormatPr defaultColWidth="8.71484375" defaultRowHeight="26.25" customHeight="false" zeroHeight="false" outlineLevelRow="0" outlineLevelCol="0"/>
  <cols>
    <col collapsed="false" customWidth="true" hidden="false" outlineLevel="0" max="1" min="1" style="13" width="43"/>
    <col collapsed="false" customWidth="true" hidden="false" outlineLevel="0" max="2" min="2" style="13" width="32"/>
    <col collapsed="false" customWidth="true" hidden="false" outlineLevel="0" max="3" min="3" style="13" width="95"/>
    <col collapsed="false" customWidth="true" hidden="false" outlineLevel="0" max="4" min="4" style="13" width="125"/>
    <col collapsed="false" customWidth="true" hidden="false" outlineLevel="0" max="5" min="5" style="13" width="35"/>
    <col collapsed="false" customWidth="false" hidden="false" outlineLevel="0" max="16384" min="6" style="13" width="8.71"/>
  </cols>
  <sheetData>
    <row r="1" customFormat="false" ht="33.75" hidden="false" customHeight="true" outlineLevel="0" collapsed="false">
      <c r="A1" s="31" t="s">
        <v>1933</v>
      </c>
      <c r="B1" s="31"/>
      <c r="C1" s="31"/>
      <c r="D1" s="31"/>
      <c r="E1" s="31"/>
    </row>
    <row r="2" customFormat="false" ht="27" hidden="false" customHeight="true" outlineLevel="0" collapsed="false">
      <c r="A2" s="15" t="s">
        <v>1934</v>
      </c>
      <c r="B2" s="15"/>
      <c r="C2" s="15"/>
      <c r="D2" s="15"/>
      <c r="E2" s="15"/>
    </row>
    <row r="3" customFormat="false" ht="27" hidden="false" customHeight="true" outlineLevel="0" collapsed="false">
      <c r="A3" s="15"/>
      <c r="B3" s="15"/>
      <c r="C3" s="15"/>
      <c r="D3" s="15"/>
      <c r="E3" s="15"/>
    </row>
    <row r="5" customFormat="false" ht="45" hidden="false" customHeight="true" outlineLevel="0" collapsed="false">
      <c r="A5" s="16" t="s">
        <v>1786</v>
      </c>
      <c r="B5" s="16" t="s">
        <v>1935</v>
      </c>
      <c r="C5" s="16" t="s">
        <v>1431</v>
      </c>
      <c r="D5" s="16" t="s">
        <v>1936</v>
      </c>
      <c r="E5" s="16" t="s">
        <v>1937</v>
      </c>
    </row>
    <row r="6" customFormat="false" ht="109.5" hidden="false" customHeight="true" outlineLevel="0" collapsed="false">
      <c r="A6" s="17" t="s">
        <v>1938</v>
      </c>
      <c r="B6" s="17" t="n">
        <v>1000</v>
      </c>
      <c r="C6" s="17" t="s">
        <v>1939</v>
      </c>
      <c r="D6" s="17" t="s">
        <v>1940</v>
      </c>
      <c r="E6" s="17" t="n">
        <f aca="false">B6/Parametry!$C$41</f>
        <v>100</v>
      </c>
    </row>
    <row r="7" customFormat="false" ht="109.5" hidden="false" customHeight="true" outlineLevel="0" collapsed="false">
      <c r="A7" s="18" t="s">
        <v>1941</v>
      </c>
      <c r="B7" s="18" t="n">
        <v>500</v>
      </c>
      <c r="C7" s="18" t="s">
        <v>1942</v>
      </c>
      <c r="D7" s="18" t="s">
        <v>1943</v>
      </c>
      <c r="E7" s="18" t="n">
        <f aca="false">B7/Parametry!$C$41</f>
        <v>50</v>
      </c>
    </row>
    <row r="8" customFormat="false" ht="109.5" hidden="false" customHeight="true" outlineLevel="0" collapsed="false">
      <c r="A8" s="17" t="s">
        <v>1944</v>
      </c>
      <c r="B8" s="17" t="n">
        <v>1000</v>
      </c>
      <c r="C8" s="17" t="s">
        <v>1945</v>
      </c>
      <c r="D8" s="17" t="s">
        <v>1946</v>
      </c>
      <c r="E8" s="17" t="n">
        <f aca="false">B8/Parametry!$C$41</f>
        <v>100</v>
      </c>
    </row>
    <row r="9" customFormat="false" ht="109.5" hidden="false" customHeight="true" outlineLevel="0" collapsed="false">
      <c r="A9" s="18" t="s">
        <v>1947</v>
      </c>
      <c r="B9" s="18" t="s">
        <v>1948</v>
      </c>
      <c r="C9" s="18" t="s">
        <v>1949</v>
      </c>
      <c r="D9" s="18" t="s">
        <v>1950</v>
      </c>
      <c r="E9" s="18" t="s">
        <v>1951</v>
      </c>
    </row>
    <row r="10" customFormat="false" ht="109.5" hidden="false" customHeight="true" outlineLevel="0" collapsed="false">
      <c r="A10" s="17" t="s">
        <v>1952</v>
      </c>
      <c r="B10" s="17" t="n">
        <v>1000</v>
      </c>
      <c r="C10" s="17" t="s">
        <v>1953</v>
      </c>
      <c r="D10" s="17" t="s">
        <v>1954</v>
      </c>
      <c r="E10" s="17" t="n">
        <f aca="false">B10/Parametry!$C$41</f>
        <v>100</v>
      </c>
    </row>
    <row r="11" customFormat="false" ht="63.75" hidden="false" customHeight="true" outlineLevel="0" collapsed="false">
      <c r="A11" s="17" t="s">
        <v>1955</v>
      </c>
      <c r="B11" s="17" t="n">
        <v>500</v>
      </c>
      <c r="C11" s="17" t="s">
        <v>1956</v>
      </c>
      <c r="D11" s="17" t="s">
        <v>1957</v>
      </c>
      <c r="E11" s="17" t="n">
        <f aca="false">Parametry!$C$81/Parametry!$C$41</f>
        <v>50</v>
      </c>
    </row>
  </sheetData>
  <autoFilter ref="A5:E11"/>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1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7"/>
    <col collapsed="false" customWidth="true" hidden="false" outlineLevel="0" max="2" min="2" style="10" width="60"/>
    <col collapsed="false" customWidth="true" hidden="false" outlineLevel="0" max="3" min="3" style="10" width="75"/>
    <col collapsed="false" customWidth="true" hidden="false" outlineLevel="0" max="4" min="4" style="10" width="115"/>
    <col collapsed="false" customWidth="true" hidden="false" outlineLevel="0" max="5" min="5" style="10" width="83"/>
    <col collapsed="false" customWidth="true" hidden="false" outlineLevel="0" max="6" min="6" style="10" width="70"/>
    <col collapsed="false" customWidth="true" hidden="false" outlineLevel="0" max="7" min="7" style="10" width="95"/>
  </cols>
  <sheetData>
    <row r="1" customFormat="false" ht="33.75" hidden="false" customHeight="true" outlineLevel="0" collapsed="false">
      <c r="A1" s="54" t="s">
        <v>1958</v>
      </c>
      <c r="B1" s="54"/>
      <c r="C1" s="54"/>
      <c r="D1" s="54"/>
      <c r="E1" s="54"/>
      <c r="F1" s="54"/>
      <c r="G1" s="54"/>
    </row>
    <row r="2" customFormat="false" ht="27" hidden="false" customHeight="true" outlineLevel="0" collapsed="false">
      <c r="A2" s="55" t="s">
        <v>1959</v>
      </c>
      <c r="B2" s="55"/>
      <c r="C2" s="55"/>
      <c r="D2" s="55"/>
      <c r="E2" s="55"/>
      <c r="F2" s="55"/>
      <c r="G2" s="55"/>
    </row>
    <row r="3" customFormat="false" ht="27" hidden="false" customHeight="true" outlineLevel="0" collapsed="false">
      <c r="A3" s="55"/>
      <c r="B3" s="55"/>
      <c r="C3" s="55"/>
      <c r="D3" s="55"/>
      <c r="E3" s="55"/>
      <c r="F3" s="55"/>
      <c r="G3" s="55"/>
    </row>
    <row r="5" customFormat="false" ht="45" hidden="false" customHeight="true" outlineLevel="0" collapsed="false">
      <c r="A5" s="22" t="s">
        <v>1960</v>
      </c>
      <c r="B5" s="22" t="s">
        <v>1961</v>
      </c>
      <c r="C5" s="22" t="s">
        <v>1962</v>
      </c>
      <c r="D5" s="22" t="s">
        <v>1963</v>
      </c>
      <c r="E5" s="22" t="s">
        <v>1964</v>
      </c>
      <c r="F5" s="22" t="s">
        <v>1965</v>
      </c>
      <c r="G5" s="22" t="s">
        <v>1966</v>
      </c>
    </row>
    <row r="6" customFormat="false" ht="139.5" hidden="false" customHeight="true" outlineLevel="0" collapsed="false">
      <c r="A6" s="20" t="s">
        <v>1967</v>
      </c>
      <c r="B6" s="20" t="s">
        <v>1968</v>
      </c>
      <c r="C6" s="20" t="s">
        <v>1969</v>
      </c>
      <c r="D6" s="20" t="s">
        <v>1970</v>
      </c>
      <c r="E6" s="56" t="s">
        <v>1971</v>
      </c>
      <c r="F6" s="20" t="s">
        <v>1972</v>
      </c>
      <c r="G6" s="20" t="s">
        <v>1973</v>
      </c>
    </row>
    <row r="7" customFormat="false" ht="139.5" hidden="false" customHeight="true" outlineLevel="0" collapsed="false">
      <c r="A7" s="19" t="s">
        <v>1974</v>
      </c>
      <c r="B7" s="19" t="s">
        <v>1975</v>
      </c>
      <c r="C7" s="19" t="s">
        <v>1976</v>
      </c>
      <c r="D7" s="19" t="s">
        <v>1977</v>
      </c>
      <c r="E7" s="57" t="s">
        <v>1978</v>
      </c>
      <c r="F7" s="19" t="s">
        <v>1972</v>
      </c>
      <c r="G7" s="19" t="s">
        <v>1979</v>
      </c>
    </row>
    <row r="8" customFormat="false" ht="139.5" hidden="false" customHeight="true" outlineLevel="0" collapsed="false">
      <c r="A8" s="20" t="s">
        <v>1980</v>
      </c>
      <c r="B8" s="20" t="s">
        <v>1981</v>
      </c>
      <c r="C8" s="20" t="s">
        <v>1982</v>
      </c>
      <c r="D8" s="20" t="s">
        <v>1983</v>
      </c>
      <c r="E8" s="56" t="s">
        <v>1984</v>
      </c>
      <c r="F8" s="20" t="s">
        <v>1972</v>
      </c>
      <c r="G8" s="20" t="s">
        <v>1985</v>
      </c>
    </row>
    <row r="9" customFormat="false" ht="139.5" hidden="false" customHeight="true" outlineLevel="0" collapsed="false">
      <c r="A9" s="19" t="s">
        <v>1986</v>
      </c>
      <c r="B9" s="19" t="s">
        <v>1987</v>
      </c>
      <c r="C9" s="19" t="s">
        <v>1988</v>
      </c>
      <c r="D9" s="19" t="s">
        <v>1989</v>
      </c>
      <c r="E9" s="57" t="s">
        <v>1990</v>
      </c>
      <c r="F9" s="19" t="s">
        <v>1972</v>
      </c>
      <c r="G9" s="19" t="s">
        <v>1991</v>
      </c>
    </row>
    <row r="10" customFormat="false" ht="139.5" hidden="false" customHeight="true" outlineLevel="0" collapsed="false">
      <c r="A10" s="20" t="s">
        <v>1992</v>
      </c>
      <c r="B10" s="20" t="s">
        <v>1993</v>
      </c>
      <c r="C10" s="20" t="s">
        <v>1994</v>
      </c>
      <c r="D10" s="20" t="s">
        <v>1995</v>
      </c>
      <c r="E10" s="56" t="s">
        <v>1996</v>
      </c>
      <c r="F10" s="20" t="s">
        <v>1972</v>
      </c>
      <c r="G10" s="20" t="s">
        <v>1997</v>
      </c>
    </row>
    <row r="11" customFormat="false" ht="139.5" hidden="false" customHeight="true" outlineLevel="0" collapsed="false">
      <c r="A11" s="19" t="s">
        <v>1998</v>
      </c>
      <c r="B11" s="19" t="s">
        <v>1999</v>
      </c>
      <c r="C11" s="19" t="s">
        <v>2000</v>
      </c>
      <c r="D11" s="19" t="s">
        <v>2001</v>
      </c>
      <c r="E11" s="57" t="s">
        <v>2002</v>
      </c>
      <c r="F11" s="19" t="s">
        <v>1972</v>
      </c>
      <c r="G11" s="19" t="s">
        <v>2003</v>
      </c>
    </row>
    <row r="12" customFormat="false" ht="139.5" hidden="false" customHeight="true" outlineLevel="0" collapsed="false">
      <c r="A12" s="20" t="s">
        <v>2004</v>
      </c>
      <c r="B12" s="20" t="s">
        <v>2005</v>
      </c>
      <c r="C12" s="20" t="s">
        <v>2006</v>
      </c>
      <c r="D12" s="20" t="s">
        <v>2007</v>
      </c>
      <c r="E12" s="56" t="s">
        <v>2008</v>
      </c>
      <c r="F12" s="20" t="s">
        <v>1972</v>
      </c>
      <c r="G12" s="20" t="s">
        <v>2009</v>
      </c>
    </row>
    <row r="13" customFormat="false" ht="139.5" hidden="false" customHeight="true" outlineLevel="0" collapsed="false">
      <c r="A13" s="19" t="s">
        <v>2010</v>
      </c>
      <c r="B13" s="19" t="s">
        <v>2011</v>
      </c>
      <c r="C13" s="19" t="s">
        <v>2012</v>
      </c>
      <c r="D13" s="19" t="s">
        <v>2013</v>
      </c>
      <c r="E13" s="57" t="s">
        <v>2014</v>
      </c>
      <c r="F13" s="19" t="s">
        <v>1972</v>
      </c>
      <c r="G13" s="19" t="s">
        <v>2015</v>
      </c>
    </row>
    <row r="14" customFormat="false" ht="139.5" hidden="false" customHeight="true" outlineLevel="0" collapsed="false">
      <c r="A14" s="20" t="s">
        <v>2016</v>
      </c>
      <c r="B14" s="20" t="s">
        <v>2017</v>
      </c>
      <c r="C14" s="20" t="s">
        <v>2012</v>
      </c>
      <c r="D14" s="20" t="s">
        <v>2018</v>
      </c>
      <c r="E14" s="56" t="s">
        <v>2019</v>
      </c>
      <c r="F14" s="20" t="s">
        <v>1972</v>
      </c>
      <c r="G14" s="20" t="s">
        <v>2020</v>
      </c>
    </row>
    <row r="15" customFormat="false" ht="139.5" hidden="false" customHeight="true" outlineLevel="0" collapsed="false">
      <c r="A15" s="19" t="s">
        <v>2021</v>
      </c>
      <c r="B15" s="19" t="s">
        <v>2022</v>
      </c>
      <c r="C15" s="19" t="s">
        <v>2023</v>
      </c>
      <c r="D15" s="19" t="s">
        <v>2024</v>
      </c>
      <c r="E15" s="57" t="s">
        <v>2025</v>
      </c>
      <c r="F15" s="19" t="s">
        <v>1972</v>
      </c>
      <c r="G15" s="19" t="s">
        <v>2026</v>
      </c>
    </row>
    <row r="16" customFormat="false" ht="139.5" hidden="false" customHeight="true" outlineLevel="0" collapsed="false">
      <c r="A16" s="20" t="s">
        <v>2027</v>
      </c>
      <c r="B16" s="20" t="s">
        <v>2028</v>
      </c>
      <c r="C16" s="20" t="s">
        <v>2029</v>
      </c>
      <c r="D16" s="20" t="s">
        <v>2030</v>
      </c>
      <c r="E16" s="56" t="s">
        <v>2031</v>
      </c>
      <c r="F16" s="20" t="s">
        <v>1972</v>
      </c>
      <c r="G16" s="20" t="s">
        <v>2032</v>
      </c>
    </row>
  </sheetData>
  <autoFilter ref="A5:G16"/>
  <mergeCells count="2">
    <mergeCell ref="A1:G1"/>
    <mergeCell ref="A2:G3"/>
  </mergeCells>
  <hyperlinks>
    <hyperlink ref="E6" r:id="rId1" display="https://www.facebook.com/policies_center/pages_groups_events"/>
    <hyperlink ref="E7" r:id="rId2" display="https://help.instagram.com/179379842258600"/>
    <hyperlink ref="E8" r:id="rId3" display="https://transparency.meta.com/policies/community-standards/spam/"/>
    <hyperlink ref="E9" r:id="rId4" display="https://www.tiktok.com/community-guidelines/en/integrity-authenticity/"/>
    <hyperlink ref="E10" r:id="rId5" display="https://support.google.com/youtube/answer/3399767?hl=en&#10;https://support.google.com/youtube/answer/1620498?hl=en"/>
    <hyperlink ref="E11" r:id="rId6" display="https://discord.com/guidelines"/>
    <hyperlink ref="E12" r:id="rId7" display="https://support.reddithelp.com/hc/en-us/articles/360043504051-Spam"/>
    <hyperlink ref="E13" r:id="rId8" display="https://help.x.com/en/rules-and-policies/platform-manipulation&#10;https://help.x.com/en/rules-and-policies/x-contest-rules"/>
    <hyperlink ref="E14" r:id="rId9" display="https://bsky.social/about/support/community-guidelines"/>
    <hyperlink ref="E15" r:id="rId10" display="https://joinmastodon.org/&#10;https://joinmastodon.org/covenant"/>
    <hyperlink ref="E16" r:id="rId11" display="https://values.snap.com/policy/policy-community-guidelines"/>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2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3" width="35"/>
    <col collapsed="false" customWidth="true" hidden="false" outlineLevel="0" max="2" min="2" style="13" width="30.29"/>
    <col collapsed="false" customWidth="true" hidden="false" outlineLevel="0" max="3" min="3" style="13" width="118"/>
    <col collapsed="false" customWidth="true" hidden="false" outlineLevel="0" max="4" min="4" style="13" width="50.42"/>
    <col collapsed="false" customWidth="true" hidden="false" outlineLevel="0" max="5" min="5" style="13" width="130"/>
    <col collapsed="false" customWidth="false" hidden="false" outlineLevel="0" max="16384" min="6" style="13" width="8.71"/>
  </cols>
  <sheetData>
    <row r="1" customFormat="false" ht="33.75" hidden="false" customHeight="true" outlineLevel="0" collapsed="false">
      <c r="A1" s="28" t="s">
        <v>2033</v>
      </c>
      <c r="B1" s="28"/>
      <c r="C1" s="28"/>
      <c r="D1" s="28"/>
      <c r="E1" s="28"/>
    </row>
    <row r="2" customFormat="false" ht="27" hidden="false" customHeight="true" outlineLevel="0" collapsed="false">
      <c r="A2" s="15" t="s">
        <v>2034</v>
      </c>
      <c r="B2" s="15"/>
      <c r="C2" s="15"/>
      <c r="D2" s="15"/>
      <c r="E2" s="15"/>
    </row>
    <row r="3" customFormat="false" ht="27" hidden="false" customHeight="true" outlineLevel="0" collapsed="false">
      <c r="A3" s="15"/>
      <c r="B3" s="15"/>
      <c r="C3" s="15"/>
      <c r="D3" s="15"/>
      <c r="E3" s="15"/>
    </row>
    <row r="5" customFormat="false" ht="45" hidden="false" customHeight="true" outlineLevel="0" collapsed="false">
      <c r="A5" s="29" t="s">
        <v>329</v>
      </c>
      <c r="B5" s="29" t="s">
        <v>310</v>
      </c>
      <c r="C5" s="29" t="s">
        <v>1178</v>
      </c>
      <c r="D5" s="29" t="s">
        <v>1179</v>
      </c>
      <c r="E5" s="29" t="s">
        <v>1417</v>
      </c>
      <c r="G5" s="48" t="s">
        <v>1092</v>
      </c>
    </row>
    <row r="6" customFormat="false" ht="109.5" hidden="false" customHeight="true" outlineLevel="0" collapsed="false">
      <c r="A6" s="17" t="s">
        <v>2035</v>
      </c>
      <c r="B6" s="17" t="s">
        <v>1315</v>
      </c>
      <c r="C6" s="17" t="s">
        <v>2036</v>
      </c>
      <c r="D6" s="17" t="s">
        <v>2037</v>
      </c>
      <c r="E6" s="17" t="s">
        <v>2038</v>
      </c>
    </row>
    <row r="7" customFormat="false" ht="109.5" hidden="false" customHeight="true" outlineLevel="0" collapsed="false">
      <c r="A7" s="18" t="s">
        <v>2039</v>
      </c>
      <c r="B7" s="18" t="s">
        <v>1315</v>
      </c>
      <c r="C7" s="18" t="s">
        <v>2040</v>
      </c>
      <c r="D7" s="18" t="s">
        <v>2041</v>
      </c>
      <c r="E7" s="18" t="s">
        <v>2042</v>
      </c>
    </row>
    <row r="8" customFormat="false" ht="109.5" hidden="false" customHeight="true" outlineLevel="0" collapsed="false">
      <c r="A8" s="17" t="s">
        <v>2043</v>
      </c>
      <c r="B8" s="17" t="s">
        <v>1275</v>
      </c>
      <c r="C8" s="17" t="s">
        <v>2044</v>
      </c>
      <c r="D8" s="17" t="s">
        <v>2045</v>
      </c>
      <c r="E8" s="17" t="s">
        <v>2046</v>
      </c>
      <c r="G8" s="49" t="s">
        <v>2047</v>
      </c>
    </row>
    <row r="9" customFormat="false" ht="109.5" hidden="false" customHeight="true" outlineLevel="0" collapsed="false">
      <c r="A9" s="18" t="s">
        <v>2048</v>
      </c>
      <c r="B9" s="18" t="s">
        <v>1315</v>
      </c>
      <c r="C9" s="18" t="s">
        <v>2049</v>
      </c>
      <c r="D9" s="18" t="s">
        <v>2050</v>
      </c>
      <c r="E9" s="18" t="s">
        <v>2051</v>
      </c>
    </row>
    <row r="10" customFormat="false" ht="109.5" hidden="false" customHeight="true" outlineLevel="0" collapsed="false">
      <c r="A10" s="17" t="s">
        <v>2052</v>
      </c>
      <c r="B10" s="17" t="s">
        <v>1315</v>
      </c>
      <c r="C10" s="17" t="s">
        <v>2053</v>
      </c>
      <c r="D10" s="17" t="s">
        <v>2054</v>
      </c>
      <c r="E10" s="17" t="s">
        <v>2055</v>
      </c>
    </row>
    <row r="11" customFormat="false" ht="109.5" hidden="false" customHeight="true" outlineLevel="0" collapsed="false">
      <c r="A11" s="18" t="s">
        <v>2056</v>
      </c>
      <c r="B11" s="18" t="s">
        <v>1315</v>
      </c>
      <c r="C11" s="18" t="s">
        <v>2057</v>
      </c>
      <c r="D11" s="18" t="s">
        <v>2058</v>
      </c>
      <c r="E11" s="18" t="s">
        <v>2059</v>
      </c>
    </row>
    <row r="12" customFormat="false" ht="109.5" hidden="false" customHeight="true" outlineLevel="0" collapsed="false">
      <c r="A12" s="17" t="s">
        <v>2060</v>
      </c>
      <c r="B12" s="17" t="s">
        <v>1315</v>
      </c>
      <c r="C12" s="17" t="s">
        <v>1038</v>
      </c>
      <c r="D12" s="17" t="s">
        <v>2061</v>
      </c>
      <c r="E12" s="17" t="s">
        <v>2062</v>
      </c>
      <c r="G12" s="49" t="s">
        <v>2063</v>
      </c>
    </row>
    <row r="13" customFormat="false" ht="109.5" hidden="false" customHeight="true" outlineLevel="0" collapsed="false">
      <c r="A13" s="18" t="s">
        <v>2064</v>
      </c>
      <c r="B13" s="18" t="s">
        <v>1315</v>
      </c>
      <c r="C13" s="18" t="s">
        <v>1042</v>
      </c>
      <c r="D13" s="18" t="s">
        <v>2065</v>
      </c>
      <c r="E13" s="18" t="s">
        <v>2066</v>
      </c>
      <c r="G13" s="49" t="s">
        <v>2067</v>
      </c>
    </row>
    <row r="14" customFormat="false" ht="109.5" hidden="false" customHeight="true" outlineLevel="0" collapsed="false">
      <c r="A14" s="17" t="s">
        <v>2068</v>
      </c>
      <c r="B14" s="17" t="s">
        <v>1315</v>
      </c>
      <c r="C14" s="17" t="s">
        <v>2069</v>
      </c>
      <c r="D14" s="17" t="s">
        <v>2070</v>
      </c>
      <c r="E14" s="17" t="s">
        <v>2071</v>
      </c>
    </row>
    <row r="15" customFormat="false" ht="109.5" hidden="false" customHeight="true" outlineLevel="0" collapsed="false">
      <c r="A15" s="18" t="s">
        <v>2072</v>
      </c>
      <c r="B15" s="18" t="s">
        <v>1315</v>
      </c>
      <c r="C15" s="18" t="s">
        <v>2073</v>
      </c>
      <c r="D15" s="18" t="s">
        <v>2074</v>
      </c>
      <c r="E15" s="18" t="s">
        <v>2075</v>
      </c>
    </row>
    <row r="16" customFormat="false" ht="109.5" hidden="false" customHeight="true" outlineLevel="0" collapsed="false">
      <c r="A16" s="17" t="s">
        <v>2076</v>
      </c>
      <c r="B16" s="17" t="s">
        <v>1315</v>
      </c>
      <c r="C16" s="17" t="s">
        <v>2077</v>
      </c>
      <c r="D16" s="17" t="s">
        <v>2078</v>
      </c>
      <c r="E16" s="17" t="s">
        <v>2079</v>
      </c>
    </row>
    <row r="17" customFormat="false" ht="109.5" hidden="false" customHeight="true" outlineLevel="0" collapsed="false">
      <c r="A17" s="18" t="s">
        <v>2080</v>
      </c>
      <c r="B17" s="18" t="s">
        <v>1315</v>
      </c>
      <c r="C17" s="18" t="s">
        <v>1038</v>
      </c>
      <c r="D17" s="18" t="s">
        <v>2081</v>
      </c>
      <c r="E17" s="18" t="s">
        <v>2082</v>
      </c>
    </row>
    <row r="18" customFormat="false" ht="109.5" hidden="false" customHeight="true" outlineLevel="0" collapsed="false">
      <c r="A18" s="17" t="s">
        <v>2083</v>
      </c>
      <c r="B18" s="17" t="s">
        <v>1315</v>
      </c>
      <c r="C18" s="17" t="s">
        <v>1034</v>
      </c>
      <c r="D18" s="17" t="s">
        <v>2084</v>
      </c>
      <c r="E18" s="17" t="s">
        <v>2085</v>
      </c>
      <c r="G18" s="49" t="s">
        <v>2086</v>
      </c>
    </row>
    <row r="19" customFormat="false" ht="109.5" hidden="false" customHeight="true" outlineLevel="0" collapsed="false">
      <c r="A19" s="18" t="s">
        <v>2087</v>
      </c>
      <c r="B19" s="18" t="s">
        <v>1315</v>
      </c>
      <c r="C19" s="18" t="s">
        <v>2088</v>
      </c>
      <c r="D19" s="18" t="s">
        <v>2089</v>
      </c>
      <c r="E19" s="18" t="s">
        <v>2090</v>
      </c>
      <c r="G19" s="49" t="s">
        <v>2091</v>
      </c>
    </row>
    <row r="20" customFormat="false" ht="109.5" hidden="false" customHeight="true" outlineLevel="0" collapsed="false">
      <c r="A20" s="17" t="s">
        <v>2092</v>
      </c>
      <c r="B20" s="17" t="s">
        <v>1315</v>
      </c>
      <c r="C20" s="17" t="s">
        <v>2093</v>
      </c>
      <c r="D20" s="17" t="s">
        <v>2094</v>
      </c>
      <c r="E20" s="17" t="s">
        <v>2095</v>
      </c>
    </row>
    <row r="21" customFormat="false" ht="109.5" hidden="false" customHeight="true" outlineLevel="0" collapsed="false">
      <c r="A21" s="18" t="s">
        <v>2096</v>
      </c>
      <c r="B21" s="18" t="s">
        <v>1315</v>
      </c>
      <c r="C21" s="18" t="s">
        <v>2097</v>
      </c>
      <c r="D21" s="18" t="s">
        <v>2098</v>
      </c>
      <c r="E21" s="18" t="s">
        <v>2099</v>
      </c>
    </row>
    <row r="22" customFormat="false" ht="109.5" hidden="false" customHeight="true" outlineLevel="0" collapsed="false">
      <c r="A22" s="17" t="s">
        <v>2100</v>
      </c>
      <c r="B22" s="17" t="s">
        <v>1315</v>
      </c>
      <c r="C22" s="17" t="s">
        <v>2101</v>
      </c>
      <c r="D22" s="17" t="s">
        <v>2102</v>
      </c>
      <c r="E22" s="17" t="s">
        <v>2103</v>
      </c>
      <c r="G22" s="49" t="s">
        <v>2104</v>
      </c>
    </row>
    <row r="23" customFormat="false" ht="109.5" hidden="false" customHeight="true" outlineLevel="0" collapsed="false">
      <c r="A23" s="18" t="s">
        <v>2105</v>
      </c>
      <c r="B23" s="18" t="s">
        <v>1315</v>
      </c>
      <c r="C23" s="18" t="s">
        <v>2071</v>
      </c>
      <c r="D23" s="18" t="s">
        <v>2106</v>
      </c>
      <c r="E23" s="18" t="s">
        <v>2107</v>
      </c>
      <c r="G23" s="49" t="s">
        <v>2108</v>
      </c>
    </row>
    <row r="24" customFormat="false" ht="109.5" hidden="false" customHeight="true" outlineLevel="0" collapsed="false">
      <c r="A24" s="17" t="s">
        <v>1090</v>
      </c>
      <c r="B24" s="17" t="s">
        <v>1315</v>
      </c>
      <c r="C24" s="17" t="s">
        <v>2109</v>
      </c>
      <c r="D24" s="17" t="s">
        <v>2110</v>
      </c>
      <c r="E24" s="17" t="s">
        <v>2111</v>
      </c>
    </row>
    <row r="25" customFormat="false" ht="109.5" hidden="false" customHeight="true" outlineLevel="0" collapsed="false">
      <c r="A25" s="18" t="s">
        <v>2112</v>
      </c>
      <c r="B25" s="18" t="s">
        <v>2113</v>
      </c>
      <c r="C25" s="18" t="s">
        <v>1042</v>
      </c>
      <c r="D25" s="18" t="s">
        <v>2114</v>
      </c>
      <c r="E25" s="18" t="s">
        <v>2115</v>
      </c>
      <c r="G25" s="49" t="s">
        <v>2116</v>
      </c>
    </row>
    <row r="26" customFormat="false" ht="109.5" hidden="false" customHeight="true" outlineLevel="0" collapsed="false">
      <c r="A26" s="17" t="s">
        <v>2117</v>
      </c>
      <c r="B26" s="17" t="s">
        <v>2118</v>
      </c>
      <c r="C26" s="17" t="s">
        <v>2119</v>
      </c>
      <c r="D26" s="17" t="s">
        <v>2120</v>
      </c>
      <c r="E26" s="17" t="s">
        <v>2121</v>
      </c>
      <c r="G26" s="49" t="s">
        <v>2122</v>
      </c>
    </row>
    <row r="27" customFormat="false" ht="63.75" hidden="false" customHeight="true" outlineLevel="0" collapsed="false">
      <c r="A27" s="17" t="s">
        <v>2123</v>
      </c>
      <c r="B27" s="17" t="s">
        <v>1328</v>
      </c>
      <c r="C27" s="17" t="s">
        <v>2124</v>
      </c>
      <c r="D27" s="17" t="s">
        <v>2125</v>
      </c>
      <c r="E27" s="17" t="s">
        <v>2126</v>
      </c>
    </row>
    <row r="28" customFormat="false" ht="63.75" hidden="false" customHeight="true" outlineLevel="0" collapsed="false">
      <c r="A28" s="17" t="s">
        <v>2127</v>
      </c>
      <c r="B28" s="17" t="s">
        <v>1328</v>
      </c>
      <c r="C28" s="17" t="s">
        <v>2128</v>
      </c>
      <c r="D28" s="17" t="s">
        <v>2129</v>
      </c>
      <c r="E28" s="17" t="s">
        <v>2130</v>
      </c>
    </row>
  </sheetData>
  <autoFilter ref="A5:G28"/>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AH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23.00390625" defaultRowHeight="26.25" customHeight="false" zeroHeight="false" outlineLevelRow="0" outlineLevelCol="0"/>
  <cols>
    <col collapsed="false" customWidth="true" hidden="false" outlineLevel="0" max="1" min="1" style="13" width="15"/>
    <col collapsed="false" customWidth="true" hidden="false" outlineLevel="0" max="2" min="2" style="13" width="19"/>
    <col collapsed="false" customWidth="true" hidden="false" outlineLevel="0" max="3" min="3" style="13" width="66"/>
    <col collapsed="false" customWidth="true" hidden="false" outlineLevel="0" max="4" min="4" style="13" width="24"/>
    <col collapsed="false" customWidth="true" hidden="false" outlineLevel="0" max="5" min="5" style="13" width="28"/>
    <col collapsed="false" customWidth="false" hidden="false" outlineLevel="0" max="6" min="6" style="13" width="23"/>
    <col collapsed="false" customWidth="true" hidden="false" outlineLevel="0" max="7" min="7" style="13" width="24"/>
    <col collapsed="false" customWidth="true" hidden="false" outlineLevel="0" max="8" min="8" style="13" width="27"/>
    <col collapsed="false" customWidth="true" hidden="false" outlineLevel="0" max="9" min="9" style="13" width="24"/>
    <col collapsed="false" customWidth="true" hidden="false" outlineLevel="0" max="14" min="10" style="13" width="19"/>
    <col collapsed="false" customWidth="true" hidden="false" outlineLevel="0" max="15" min="15" style="13" width="48"/>
    <col collapsed="false" customWidth="true" hidden="false" outlineLevel="0" max="16" min="16" style="13" width="25"/>
    <col collapsed="false" customWidth="true" hidden="false" outlineLevel="0" max="17" min="17" style="13" width="26"/>
    <col collapsed="false" customWidth="true" hidden="false" outlineLevel="0" max="18" min="18" style="13" width="25"/>
    <col collapsed="false" customWidth="true" hidden="false" outlineLevel="0" max="23" min="19" style="13" width="24"/>
    <col collapsed="false" customWidth="true" hidden="false" outlineLevel="0" max="24" min="24" style="13" width="110"/>
    <col collapsed="false" customWidth="false" hidden="false" outlineLevel="0" max="16384" min="25" style="13" width="23"/>
  </cols>
  <sheetData>
    <row r="1" customFormat="false" ht="33.75" hidden="false" customHeight="true" outlineLevel="0" collapsed="false">
      <c r="A1" s="31" t="s">
        <v>2131</v>
      </c>
      <c r="B1" s="31"/>
      <c r="C1" s="31"/>
      <c r="D1" s="31"/>
      <c r="E1" s="31"/>
      <c r="F1" s="31"/>
      <c r="G1" s="31"/>
      <c r="H1" s="31"/>
      <c r="I1" s="31"/>
      <c r="J1" s="31"/>
      <c r="K1" s="31"/>
      <c r="L1" s="31"/>
      <c r="M1" s="31"/>
      <c r="N1" s="31"/>
      <c r="O1" s="31"/>
      <c r="P1" s="31"/>
      <c r="Q1" s="31"/>
      <c r="R1" s="31"/>
      <c r="S1" s="31"/>
      <c r="T1" s="31"/>
      <c r="U1" s="31"/>
      <c r="V1" s="31"/>
      <c r="W1" s="31"/>
      <c r="X1" s="31"/>
    </row>
    <row r="2" customFormat="false" ht="27" hidden="false" customHeight="true" outlineLevel="0" collapsed="false">
      <c r="A2" s="15" t="s">
        <v>2132</v>
      </c>
      <c r="B2" s="15"/>
      <c r="C2" s="15"/>
      <c r="D2" s="15"/>
      <c r="E2" s="15"/>
      <c r="F2" s="15"/>
      <c r="G2" s="15"/>
      <c r="H2" s="15"/>
      <c r="I2" s="15"/>
      <c r="J2" s="15"/>
      <c r="K2" s="15"/>
      <c r="L2" s="15"/>
      <c r="M2" s="15"/>
      <c r="N2" s="15"/>
      <c r="O2" s="15"/>
      <c r="P2" s="15"/>
      <c r="Q2" s="15"/>
      <c r="R2" s="15"/>
      <c r="S2" s="15"/>
      <c r="T2" s="15"/>
      <c r="U2" s="15"/>
      <c r="V2" s="15"/>
      <c r="W2" s="15"/>
      <c r="X2" s="15"/>
    </row>
    <row r="3" customFormat="false" ht="27" hidden="false" customHeight="true" outlineLevel="0" collapsed="false">
      <c r="A3" s="15"/>
      <c r="B3" s="15"/>
      <c r="C3" s="15"/>
      <c r="D3" s="15"/>
      <c r="E3" s="15"/>
      <c r="F3" s="15"/>
      <c r="G3" s="15"/>
      <c r="H3" s="15"/>
      <c r="I3" s="15"/>
      <c r="J3" s="15"/>
      <c r="K3" s="15"/>
      <c r="L3" s="15"/>
      <c r="M3" s="15"/>
      <c r="N3" s="15"/>
      <c r="O3" s="15"/>
      <c r="P3" s="15"/>
      <c r="Q3" s="15"/>
      <c r="R3" s="15"/>
      <c r="S3" s="15"/>
      <c r="T3" s="15"/>
      <c r="U3" s="15"/>
      <c r="V3" s="15"/>
      <c r="W3" s="15"/>
      <c r="X3" s="15"/>
    </row>
    <row r="5" customFormat="false" ht="45" hidden="false" customHeight="true" outlineLevel="0" collapsed="false">
      <c r="A5" s="16" t="s">
        <v>2133</v>
      </c>
      <c r="B5" s="16" t="s">
        <v>2134</v>
      </c>
      <c r="C5" s="16" t="s">
        <v>2135</v>
      </c>
      <c r="D5" s="16" t="s">
        <v>2136</v>
      </c>
      <c r="E5" s="16" t="s">
        <v>2137</v>
      </c>
      <c r="F5" s="16" t="s">
        <v>2138</v>
      </c>
      <c r="G5" s="16" t="s">
        <v>2139</v>
      </c>
      <c r="H5" s="16" t="s">
        <v>2140</v>
      </c>
      <c r="I5" s="16" t="s">
        <v>2141</v>
      </c>
      <c r="J5" s="16" t="s">
        <v>518</v>
      </c>
      <c r="K5" s="16" t="s">
        <v>517</v>
      </c>
      <c r="L5" s="16" t="s">
        <v>513</v>
      </c>
      <c r="M5" s="16" t="s">
        <v>1915</v>
      </c>
      <c r="N5" s="16" t="s">
        <v>1916</v>
      </c>
      <c r="O5" s="16" t="s">
        <v>2142</v>
      </c>
      <c r="P5" s="16" t="s">
        <v>2143</v>
      </c>
      <c r="Q5" s="16" t="s">
        <v>2144</v>
      </c>
      <c r="R5" s="16" t="s">
        <v>2145</v>
      </c>
      <c r="S5" s="16" t="s">
        <v>2146</v>
      </c>
      <c r="T5" s="16" t="s">
        <v>2147</v>
      </c>
      <c r="U5" s="16" t="s">
        <v>2148</v>
      </c>
      <c r="V5" s="16" t="s">
        <v>2149</v>
      </c>
      <c r="W5" s="16" t="s">
        <v>2150</v>
      </c>
      <c r="X5" s="16" t="s">
        <v>1417</v>
      </c>
      <c r="Y5" s="13" t="s">
        <v>2151</v>
      </c>
      <c r="Z5" s="13" t="s">
        <v>2152</v>
      </c>
      <c r="AA5" s="13" t="s">
        <v>2153</v>
      </c>
      <c r="AB5" s="13" t="s">
        <v>2154</v>
      </c>
      <c r="AC5" s="13" t="s">
        <v>2155</v>
      </c>
      <c r="AD5" s="13" t="s">
        <v>2156</v>
      </c>
      <c r="AE5" s="13" t="s">
        <v>2157</v>
      </c>
      <c r="AF5" s="13" t="s">
        <v>2158</v>
      </c>
      <c r="AG5" s="13" t="s">
        <v>2159</v>
      </c>
      <c r="AH5" s="13" t="s">
        <v>2160</v>
      </c>
    </row>
    <row r="6" customFormat="false" ht="109.5" hidden="false" customHeight="true" outlineLevel="0" collapsed="false">
      <c r="A6" s="17" t="n">
        <v>1</v>
      </c>
      <c r="B6" s="17" t="s">
        <v>2048</v>
      </c>
      <c r="C6" s="17" t="s">
        <v>2161</v>
      </c>
      <c r="D6" s="17" t="n">
        <v>1</v>
      </c>
      <c r="E6" s="17" t="n">
        <f aca="false">D6*12</f>
        <v>12</v>
      </c>
      <c r="F6" s="17" t="n">
        <f aca="false">IF(D6=1,10,D6+10)</f>
        <v>10</v>
      </c>
      <c r="G6" s="17" t="n">
        <f aca="false">E6*F6</f>
        <v>120</v>
      </c>
      <c r="H6" s="17" t="n">
        <v>4</v>
      </c>
      <c r="I6" s="17" t="n">
        <v>2</v>
      </c>
      <c r="J6" s="17" t="n">
        <f aca="false">G6*H6</f>
        <v>480</v>
      </c>
      <c r="K6" s="17" t="n">
        <f aca="false">G6*H6</f>
        <v>480</v>
      </c>
      <c r="L6" s="17" t="n">
        <v>0</v>
      </c>
      <c r="M6" s="17" t="n">
        <v>0</v>
      </c>
      <c r="N6" s="17" t="n">
        <v>0</v>
      </c>
      <c r="O6" s="17" t="s">
        <v>2162</v>
      </c>
      <c r="P6" s="17" t="n">
        <f aca="false">MAX(1,ROUNDDOWN(Z6*Y6,0))</f>
        <v>33</v>
      </c>
      <c r="Q6" s="17" t="s">
        <v>2163</v>
      </c>
      <c r="R6" s="17" t="n">
        <f aca="false">MAX(1,ROUNDDOWN(AG6*Y6,0))</f>
        <v>13</v>
      </c>
      <c r="S6" s="17" t="n">
        <f aca="false">P6*2</f>
        <v>66</v>
      </c>
      <c r="T6" s="17" t="n">
        <f aca="false">P6*3</f>
        <v>99</v>
      </c>
      <c r="U6" s="17" t="n">
        <f aca="false">R6*2</f>
        <v>26</v>
      </c>
      <c r="V6" s="17" t="n">
        <f aca="false">R6*3</f>
        <v>39</v>
      </c>
      <c r="W6" s="17" t="n">
        <f aca="false">Parametry!$C$45</f>
        <v>6</v>
      </c>
      <c r="X6" s="17" t="s">
        <v>2164</v>
      </c>
      <c r="Y6" s="13" t="n">
        <f aca="false">G6/468</f>
        <v>0.256410256410256</v>
      </c>
      <c r="Z6" s="13" t="n">
        <v>130</v>
      </c>
      <c r="AA6" s="13" t="s">
        <v>2165</v>
      </c>
      <c r="AB6" s="13" t="n">
        <v>0</v>
      </c>
      <c r="AC6" s="13" t="n">
        <f aca="false">IF(AH6&gt;=2,MAX(1,ROUNDDOWN(AB6*Y6,0)),0)</f>
        <v>0</v>
      </c>
      <c r="AD6" s="13" t="s">
        <v>2165</v>
      </c>
      <c r="AE6" s="13" t="n">
        <v>0</v>
      </c>
      <c r="AF6" s="13" t="n">
        <f aca="false">IF(AH6&gt;=3,MAX(1,ROUNDDOWN(AE6*Y6,0)),0)</f>
        <v>0</v>
      </c>
      <c r="AG6" s="13" t="n">
        <v>52</v>
      </c>
      <c r="AH6" s="13" t="n">
        <v>1</v>
      </c>
    </row>
    <row r="7" customFormat="false" ht="109.5" hidden="false" customHeight="true" outlineLevel="0" collapsed="false">
      <c r="A7" s="18" t="n">
        <v>1</v>
      </c>
      <c r="B7" s="18" t="s">
        <v>2052</v>
      </c>
      <c r="C7" s="18" t="s">
        <v>2166</v>
      </c>
      <c r="D7" s="18" t="n">
        <v>1</v>
      </c>
      <c r="E7" s="18" t="n">
        <f aca="false">D7*12</f>
        <v>12</v>
      </c>
      <c r="F7" s="18" t="n">
        <f aca="false">IF(D7=1,10,D7+10)</f>
        <v>10</v>
      </c>
      <c r="G7" s="18" t="n">
        <f aca="false">E7*F7</f>
        <v>120</v>
      </c>
      <c r="H7" s="18" t="n">
        <v>8</v>
      </c>
      <c r="I7" s="18" t="n">
        <v>2</v>
      </c>
      <c r="J7" s="18" t="n">
        <v>0</v>
      </c>
      <c r="K7" s="18" t="n">
        <f aca="false">G7*H7</f>
        <v>960</v>
      </c>
      <c r="L7" s="18" t="n">
        <v>0</v>
      </c>
      <c r="M7" s="18" t="n">
        <v>0</v>
      </c>
      <c r="N7" s="18" t="n">
        <f aca="false">G7*H7</f>
        <v>960</v>
      </c>
      <c r="O7" s="18" t="s">
        <v>2167</v>
      </c>
      <c r="P7" s="18" t="n">
        <f aca="false">MAX(1,ROUNDDOWN(Z7*Y7,0))</f>
        <v>51</v>
      </c>
      <c r="Q7" s="18" t="s">
        <v>2168</v>
      </c>
      <c r="R7" s="18" t="n">
        <f aca="false">MAX(1,ROUNDDOWN(AG7*Y7,0))</f>
        <v>63</v>
      </c>
      <c r="S7" s="18" t="n">
        <f aca="false">P7*2</f>
        <v>102</v>
      </c>
      <c r="T7" s="18" t="n">
        <f aca="false">P7*3</f>
        <v>153</v>
      </c>
      <c r="U7" s="18" t="n">
        <f aca="false">R7*2</f>
        <v>126</v>
      </c>
      <c r="V7" s="18" t="n">
        <f aca="false">R7*3</f>
        <v>189</v>
      </c>
      <c r="W7" s="18" t="n">
        <f aca="false">Parametry!$C$45</f>
        <v>6</v>
      </c>
      <c r="X7" s="18" t="s">
        <v>2164</v>
      </c>
      <c r="Y7" s="13" t="n">
        <f aca="false">G7/468</f>
        <v>0.256410256410256</v>
      </c>
      <c r="Z7" s="13" t="n">
        <v>201</v>
      </c>
      <c r="AA7" s="13" t="s">
        <v>2163</v>
      </c>
      <c r="AB7" s="13" t="n">
        <v>499</v>
      </c>
      <c r="AC7" s="13" t="n">
        <f aca="false">IF(AH7&gt;=2,MAX(1,ROUNDDOWN(AB7*Y7,0)),0)</f>
        <v>127</v>
      </c>
      <c r="AD7" s="13" t="s">
        <v>2165</v>
      </c>
      <c r="AE7" s="13" t="n">
        <v>0</v>
      </c>
      <c r="AF7" s="13" t="n">
        <f aca="false">IF(AH7&gt;=3,MAX(1,ROUNDDOWN(AE7*Y7,0)),0)</f>
        <v>0</v>
      </c>
      <c r="AG7" s="13" t="n">
        <v>248</v>
      </c>
      <c r="AH7" s="13" t="n">
        <v>2</v>
      </c>
    </row>
    <row r="8" customFormat="false" ht="109.5" hidden="false" customHeight="true" outlineLevel="0" collapsed="false">
      <c r="A8" s="17" t="n">
        <v>1</v>
      </c>
      <c r="B8" s="17" t="s">
        <v>2056</v>
      </c>
      <c r="C8" s="17" t="s">
        <v>2169</v>
      </c>
      <c r="D8" s="17" t="n">
        <v>1</v>
      </c>
      <c r="E8" s="17" t="n">
        <f aca="false">D8*12</f>
        <v>12</v>
      </c>
      <c r="F8" s="17" t="n">
        <f aca="false">IF(D8=1,10,D8+10)</f>
        <v>10</v>
      </c>
      <c r="G8" s="17" t="n">
        <f aca="false">E8*F8</f>
        <v>120</v>
      </c>
      <c r="H8" s="17" t="n">
        <v>9</v>
      </c>
      <c r="I8" s="17" t="n">
        <v>4</v>
      </c>
      <c r="J8" s="17" t="n">
        <f aca="false">G8*H8</f>
        <v>1080</v>
      </c>
      <c r="K8" s="17" t="n">
        <v>0</v>
      </c>
      <c r="L8" s="17" t="n">
        <f aca="false">G8*H8</f>
        <v>1080</v>
      </c>
      <c r="M8" s="17" t="n">
        <f aca="false">G8*H8</f>
        <v>1080</v>
      </c>
      <c r="N8" s="17" t="n">
        <f aca="false">G8*H8</f>
        <v>1080</v>
      </c>
      <c r="O8" s="17" t="s">
        <v>2170</v>
      </c>
      <c r="P8" s="17" t="n">
        <f aca="false">MAX(1,ROUNDDOWN(Z8*Y8,0))</f>
        <v>92</v>
      </c>
      <c r="Q8" s="17" t="s">
        <v>2163</v>
      </c>
      <c r="R8" s="17" t="n">
        <f aca="false">MAX(1,ROUNDDOWN(AG8*Y8,0))</f>
        <v>43</v>
      </c>
      <c r="S8" s="17" t="n">
        <f aca="false">P8*2</f>
        <v>184</v>
      </c>
      <c r="T8" s="17" t="n">
        <f aca="false">P8*3</f>
        <v>276</v>
      </c>
      <c r="U8" s="17" t="n">
        <f aca="false">R8*2</f>
        <v>86</v>
      </c>
      <c r="V8" s="17" t="n">
        <f aca="false">R8*3</f>
        <v>129</v>
      </c>
      <c r="W8" s="17" t="n">
        <f aca="false">Parametry!$C$45</f>
        <v>6</v>
      </c>
      <c r="X8" s="17" t="s">
        <v>2164</v>
      </c>
      <c r="Y8" s="13" t="n">
        <f aca="false">G8/468</f>
        <v>0.256410256410256</v>
      </c>
      <c r="Z8" s="13" t="n">
        <v>360</v>
      </c>
      <c r="AA8" s="13" t="s">
        <v>2168</v>
      </c>
      <c r="AB8" s="13" t="n">
        <v>530</v>
      </c>
      <c r="AC8" s="13" t="n">
        <f aca="false">IF(AH8&gt;=2,MAX(1,ROUNDDOWN(AB8*Y8,0)),0)</f>
        <v>135</v>
      </c>
      <c r="AD8" s="13" t="s">
        <v>2171</v>
      </c>
      <c r="AE8" s="13" t="n">
        <v>571</v>
      </c>
      <c r="AF8" s="13" t="n">
        <f aca="false">IF(AH8&gt;=3,MAX(1,ROUNDDOWN(AE8*Y8,0)),0)</f>
        <v>146</v>
      </c>
      <c r="AG8" s="13" t="n">
        <v>168</v>
      </c>
      <c r="AH8" s="13" t="n">
        <v>3</v>
      </c>
    </row>
    <row r="9" customFormat="false" ht="109.5" hidden="false" customHeight="true" outlineLevel="0" collapsed="false">
      <c r="A9" s="18" t="n">
        <v>2</v>
      </c>
      <c r="B9" s="18" t="s">
        <v>2048</v>
      </c>
      <c r="C9" s="18" t="s">
        <v>2172</v>
      </c>
      <c r="D9" s="18" t="n">
        <v>2</v>
      </c>
      <c r="E9" s="18" t="n">
        <f aca="false">D9*12</f>
        <v>24</v>
      </c>
      <c r="F9" s="18" t="n">
        <f aca="false">IF(D9=1,10,D9+10)</f>
        <v>12</v>
      </c>
      <c r="G9" s="18" t="n">
        <f aca="false">E9*F9</f>
        <v>288</v>
      </c>
      <c r="H9" s="18" t="n">
        <v>3</v>
      </c>
      <c r="I9" s="18" t="n">
        <v>2</v>
      </c>
      <c r="J9" s="18" t="n">
        <f aca="false">G9*H9</f>
        <v>864</v>
      </c>
      <c r="K9" s="18" t="n">
        <v>0</v>
      </c>
      <c r="L9" s="18" t="n">
        <v>0</v>
      </c>
      <c r="M9" s="18" t="n">
        <v>0</v>
      </c>
      <c r="N9" s="18" t="n">
        <f aca="false">G9*H9</f>
        <v>864</v>
      </c>
      <c r="O9" s="18" t="s">
        <v>2173</v>
      </c>
      <c r="P9" s="18" t="n">
        <f aca="false">MAX(1,ROUNDDOWN(Z9*Y9,0))</f>
        <v>72</v>
      </c>
      <c r="Q9" s="18" t="s">
        <v>2171</v>
      </c>
      <c r="R9" s="18" t="n">
        <f aca="false">MAX(1,ROUNDDOWN(AG9*Y9,0))</f>
        <v>398</v>
      </c>
      <c r="S9" s="18" t="n">
        <f aca="false">P9*2</f>
        <v>144</v>
      </c>
      <c r="T9" s="18" t="n">
        <f aca="false">P9*3</f>
        <v>216</v>
      </c>
      <c r="U9" s="18" t="n">
        <f aca="false">R9*2</f>
        <v>796</v>
      </c>
      <c r="V9" s="18" t="n">
        <f aca="false">R9*3</f>
        <v>1194</v>
      </c>
      <c r="W9" s="18" t="n">
        <f aca="false">Parametry!$C$45</f>
        <v>6</v>
      </c>
      <c r="X9" s="18" t="s">
        <v>2164</v>
      </c>
      <c r="Y9" s="13" t="n">
        <f aca="false">G9/468</f>
        <v>0.615384615384615</v>
      </c>
      <c r="Z9" s="13" t="n">
        <v>118</v>
      </c>
      <c r="AA9" s="13" t="s">
        <v>2165</v>
      </c>
      <c r="AB9" s="13" t="n">
        <v>0</v>
      </c>
      <c r="AC9" s="13" t="n">
        <f aca="false">IF(AH9&gt;=2,MAX(1,ROUNDDOWN(AB9*Y9,0)),0)</f>
        <v>0</v>
      </c>
      <c r="AD9" s="13" t="s">
        <v>2165</v>
      </c>
      <c r="AE9" s="13" t="n">
        <v>0</v>
      </c>
      <c r="AF9" s="13" t="n">
        <f aca="false">IF(AH9&gt;=3,MAX(1,ROUNDDOWN(AE9*Y9,0)),0)</f>
        <v>0</v>
      </c>
      <c r="AG9" s="13" t="n">
        <v>648</v>
      </c>
      <c r="AH9" s="13" t="n">
        <v>1</v>
      </c>
    </row>
    <row r="10" customFormat="false" ht="109.5" hidden="false" customHeight="true" outlineLevel="0" collapsed="false">
      <c r="A10" s="17" t="n">
        <v>2</v>
      </c>
      <c r="B10" s="17" t="s">
        <v>2052</v>
      </c>
      <c r="C10" s="17" t="s">
        <v>2174</v>
      </c>
      <c r="D10" s="17" t="n">
        <v>2</v>
      </c>
      <c r="E10" s="17" t="n">
        <f aca="false">D10*12</f>
        <v>24</v>
      </c>
      <c r="F10" s="17" t="n">
        <f aca="false">IF(D10=1,10,D10+10)</f>
        <v>12</v>
      </c>
      <c r="G10" s="17" t="n">
        <f aca="false">E10*F10</f>
        <v>288</v>
      </c>
      <c r="H10" s="17" t="n">
        <v>7</v>
      </c>
      <c r="I10" s="17" t="n">
        <v>2</v>
      </c>
      <c r="J10" s="17" t="n">
        <v>0</v>
      </c>
      <c r="K10" s="17" t="n">
        <v>0</v>
      </c>
      <c r="L10" s="17" t="n">
        <f aca="false">G10*H10</f>
        <v>2016</v>
      </c>
      <c r="M10" s="17" t="n">
        <f aca="false">G10*H10</f>
        <v>2016</v>
      </c>
      <c r="N10" s="17" t="n">
        <v>0</v>
      </c>
      <c r="O10" s="17" t="s">
        <v>2175</v>
      </c>
      <c r="P10" s="17" t="n">
        <f aca="false">MAX(1,ROUNDDOWN(Z10*Y10,0))</f>
        <v>80</v>
      </c>
      <c r="Q10" s="17" t="s">
        <v>2168</v>
      </c>
      <c r="R10" s="17" t="n">
        <f aca="false">MAX(1,ROUNDDOWN(AG10*Y10,0))</f>
        <v>555</v>
      </c>
      <c r="S10" s="17" t="n">
        <f aca="false">P10*2</f>
        <v>160</v>
      </c>
      <c r="T10" s="17" t="n">
        <f aca="false">P10*3</f>
        <v>240</v>
      </c>
      <c r="U10" s="17" t="n">
        <f aca="false">R10*2</f>
        <v>1110</v>
      </c>
      <c r="V10" s="17" t="n">
        <f aca="false">R10*3</f>
        <v>1665</v>
      </c>
      <c r="W10" s="17" t="n">
        <f aca="false">Parametry!$C$45</f>
        <v>6</v>
      </c>
      <c r="X10" s="17" t="s">
        <v>2164</v>
      </c>
      <c r="Y10" s="13" t="n">
        <f aca="false">G10/468</f>
        <v>0.615384615384615</v>
      </c>
      <c r="Z10" s="13" t="n">
        <v>131</v>
      </c>
      <c r="AA10" s="13" t="s">
        <v>2163</v>
      </c>
      <c r="AB10" s="13" t="n">
        <v>592</v>
      </c>
      <c r="AC10" s="13" t="n">
        <f aca="false">IF(AH10&gt;=2,MAX(1,ROUNDDOWN(AB10*Y10,0)),0)</f>
        <v>364</v>
      </c>
      <c r="AD10" s="13" t="s">
        <v>2165</v>
      </c>
      <c r="AE10" s="13" t="n">
        <v>0</v>
      </c>
      <c r="AF10" s="13" t="n">
        <f aca="false">IF(AH10&gt;=3,MAX(1,ROUNDDOWN(AE10*Y10,0)),0)</f>
        <v>0</v>
      </c>
      <c r="AG10" s="13" t="n">
        <v>903</v>
      </c>
      <c r="AH10" s="13" t="n">
        <v>2</v>
      </c>
    </row>
    <row r="11" customFormat="false" ht="109.5" hidden="false" customHeight="true" outlineLevel="0" collapsed="false">
      <c r="A11" s="18" t="n">
        <v>2</v>
      </c>
      <c r="B11" s="18" t="s">
        <v>2056</v>
      </c>
      <c r="C11" s="18" t="s">
        <v>2176</v>
      </c>
      <c r="D11" s="18" t="n">
        <v>2</v>
      </c>
      <c r="E11" s="18" t="n">
        <f aca="false">D11*12</f>
        <v>24</v>
      </c>
      <c r="F11" s="18" t="n">
        <f aca="false">IF(D11=1,10,D11+10)</f>
        <v>12</v>
      </c>
      <c r="G11" s="18" t="n">
        <f aca="false">E11*F11</f>
        <v>288</v>
      </c>
      <c r="H11" s="18" t="n">
        <v>10</v>
      </c>
      <c r="I11" s="18" t="n">
        <v>4</v>
      </c>
      <c r="J11" s="18" t="n">
        <f aca="false">G11*H11</f>
        <v>2880</v>
      </c>
      <c r="K11" s="18" t="n">
        <f aca="false">G11*H11</f>
        <v>2880</v>
      </c>
      <c r="L11" s="18" t="n">
        <v>0</v>
      </c>
      <c r="M11" s="18" t="n">
        <f aca="false">G11*H11</f>
        <v>2880</v>
      </c>
      <c r="N11" s="18" t="n">
        <f aca="false">G11*H11</f>
        <v>2880</v>
      </c>
      <c r="O11" s="18" t="s">
        <v>2177</v>
      </c>
      <c r="P11" s="18" t="n">
        <f aca="false">MAX(1,ROUNDDOWN(Z11*Y11,0))</f>
        <v>238</v>
      </c>
      <c r="Q11" s="18" t="s">
        <v>2168</v>
      </c>
      <c r="R11" s="18" t="n">
        <f aca="false">MAX(1,ROUNDDOWN(AG11*Y11,0))</f>
        <v>171</v>
      </c>
      <c r="S11" s="18" t="n">
        <f aca="false">P11*2</f>
        <v>476</v>
      </c>
      <c r="T11" s="18" t="n">
        <f aca="false">P11*3</f>
        <v>714</v>
      </c>
      <c r="U11" s="18" t="n">
        <f aca="false">R11*2</f>
        <v>342</v>
      </c>
      <c r="V11" s="18" t="n">
        <f aca="false">R11*3</f>
        <v>513</v>
      </c>
      <c r="W11" s="18" t="n">
        <f aca="false">Parametry!$C$45</f>
        <v>6</v>
      </c>
      <c r="X11" s="18" t="s">
        <v>2164</v>
      </c>
      <c r="Y11" s="13" t="n">
        <f aca="false">G11/468</f>
        <v>0.615384615384615</v>
      </c>
      <c r="Z11" s="13" t="n">
        <v>388</v>
      </c>
      <c r="AA11" s="13" t="s">
        <v>2163</v>
      </c>
      <c r="AB11" s="13" t="n">
        <v>623</v>
      </c>
      <c r="AC11" s="13" t="n">
        <f aca="false">IF(AH11&gt;=2,MAX(1,ROUNDDOWN(AB11*Y11,0)),0)</f>
        <v>383</v>
      </c>
      <c r="AD11" s="13" t="s">
        <v>2171</v>
      </c>
      <c r="AE11" s="13" t="n">
        <v>664</v>
      </c>
      <c r="AF11" s="13" t="n">
        <f aca="false">IF(AH11&gt;=3,MAX(1,ROUNDDOWN(AE11*Y11,0)),0)</f>
        <v>408</v>
      </c>
      <c r="AG11" s="13" t="n">
        <v>279</v>
      </c>
      <c r="AH11" s="13" t="n">
        <v>3</v>
      </c>
    </row>
    <row r="12" customFormat="false" ht="109.5" hidden="false" customHeight="true" outlineLevel="0" collapsed="false">
      <c r="A12" s="17" t="n">
        <v>3</v>
      </c>
      <c r="B12" s="17" t="s">
        <v>2048</v>
      </c>
      <c r="C12" s="17" t="s">
        <v>2178</v>
      </c>
      <c r="D12" s="17" t="n">
        <v>3</v>
      </c>
      <c r="E12" s="17" t="n">
        <f aca="false">D12*12</f>
        <v>36</v>
      </c>
      <c r="F12" s="17" t="n">
        <f aca="false">IF(D12=1,10,D12+10)</f>
        <v>13</v>
      </c>
      <c r="G12" s="17" t="n">
        <f aca="false">E12*F12</f>
        <v>468</v>
      </c>
      <c r="H12" s="17" t="n">
        <v>6</v>
      </c>
      <c r="I12" s="17" t="n">
        <v>2</v>
      </c>
      <c r="J12" s="17" t="n">
        <v>0</v>
      </c>
      <c r="K12" s="17" t="n">
        <f aca="false">G12*H12</f>
        <v>2808</v>
      </c>
      <c r="L12" s="17" t="n">
        <v>0</v>
      </c>
      <c r="M12" s="17" t="n">
        <f aca="false">G12*H12</f>
        <v>2808</v>
      </c>
      <c r="N12" s="17" t="n">
        <v>0</v>
      </c>
      <c r="O12" s="17" t="s">
        <v>2179</v>
      </c>
      <c r="P12" s="17" t="n">
        <f aca="false">MAX(1,ROUNDDOWN(Z12*Y12,0))</f>
        <v>197</v>
      </c>
      <c r="Q12" s="17" t="s">
        <v>2180</v>
      </c>
      <c r="R12" s="17" t="n">
        <f aca="false">MAX(1,ROUNDDOWN(AG12*Y12,0))</f>
        <v>476</v>
      </c>
      <c r="S12" s="17" t="n">
        <f aca="false">P12*2</f>
        <v>394</v>
      </c>
      <c r="T12" s="17" t="n">
        <f aca="false">P12*3</f>
        <v>591</v>
      </c>
      <c r="U12" s="17" t="n">
        <f aca="false">R12*2</f>
        <v>952</v>
      </c>
      <c r="V12" s="17" t="n">
        <f aca="false">R12*3</f>
        <v>1428</v>
      </c>
      <c r="W12" s="17" t="n">
        <f aca="false">Parametry!$C$45</f>
        <v>6</v>
      </c>
      <c r="X12" s="17" t="s">
        <v>2164</v>
      </c>
      <c r="Y12" s="13" t="n">
        <f aca="false">G12/468</f>
        <v>1</v>
      </c>
      <c r="Z12" s="13" t="n">
        <v>197</v>
      </c>
      <c r="AA12" s="13" t="s">
        <v>2165</v>
      </c>
      <c r="AB12" s="13" t="n">
        <v>0</v>
      </c>
      <c r="AC12" s="13" t="n">
        <f aca="false">IF(AH12&gt;=2,MAX(1,ROUNDDOWN(AB12*Y12,0)),0)</f>
        <v>0</v>
      </c>
      <c r="AD12" s="13" t="s">
        <v>2165</v>
      </c>
      <c r="AE12" s="13" t="n">
        <v>0</v>
      </c>
      <c r="AF12" s="13" t="n">
        <f aca="false">IF(AH12&gt;=3,MAX(1,ROUNDDOWN(AE12*Y12,0)),0)</f>
        <v>0</v>
      </c>
      <c r="AG12" s="13" t="n">
        <v>476</v>
      </c>
      <c r="AH12" s="13" t="n">
        <v>1</v>
      </c>
    </row>
    <row r="13" customFormat="false" ht="109.5" hidden="false" customHeight="true" outlineLevel="0" collapsed="false">
      <c r="A13" s="18" t="n">
        <v>3</v>
      </c>
      <c r="B13" s="18" t="s">
        <v>2052</v>
      </c>
      <c r="C13" s="18" t="s">
        <v>2181</v>
      </c>
      <c r="D13" s="18" t="n">
        <v>3</v>
      </c>
      <c r="E13" s="18" t="n">
        <f aca="false">D13*12</f>
        <v>36</v>
      </c>
      <c r="F13" s="18" t="n">
        <f aca="false">IF(D13=1,10,D13+10)</f>
        <v>13</v>
      </c>
      <c r="G13" s="18" t="n">
        <f aca="false">E13*F13</f>
        <v>468</v>
      </c>
      <c r="H13" s="18" t="n">
        <v>8</v>
      </c>
      <c r="I13" s="18" t="n">
        <v>2</v>
      </c>
      <c r="J13" s="18" t="n">
        <f aca="false">G13*H13</f>
        <v>3744</v>
      </c>
      <c r="K13" s="18" t="n">
        <v>0</v>
      </c>
      <c r="L13" s="18" t="n">
        <v>0</v>
      </c>
      <c r="M13" s="18" t="n">
        <f aca="false">G13*H13</f>
        <v>3744</v>
      </c>
      <c r="N13" s="18" t="n">
        <v>0</v>
      </c>
      <c r="O13" s="18" t="s">
        <v>2182</v>
      </c>
      <c r="P13" s="18" t="n">
        <f aca="false">MAX(1,ROUNDDOWN(Z13*Y13,0))</f>
        <v>198</v>
      </c>
      <c r="Q13" s="18" t="s">
        <v>2183</v>
      </c>
      <c r="R13" s="18" t="n">
        <f aca="false">MAX(1,ROUNDDOWN(AG13*Y13,0))</f>
        <v>179</v>
      </c>
      <c r="S13" s="18" t="n">
        <f aca="false">P13*2</f>
        <v>396</v>
      </c>
      <c r="T13" s="18" t="n">
        <f aca="false">P13*3</f>
        <v>594</v>
      </c>
      <c r="U13" s="18" t="n">
        <f aca="false">R13*2</f>
        <v>358</v>
      </c>
      <c r="V13" s="18" t="n">
        <f aca="false">R13*3</f>
        <v>537</v>
      </c>
      <c r="W13" s="18" t="n">
        <f aca="false">Parametry!$C$45</f>
        <v>6</v>
      </c>
      <c r="X13" s="18" t="s">
        <v>2164</v>
      </c>
      <c r="Y13" s="13" t="n">
        <f aca="false">G13/468</f>
        <v>1</v>
      </c>
      <c r="Z13" s="13" t="n">
        <v>198</v>
      </c>
      <c r="AA13" s="13" t="s">
        <v>2168</v>
      </c>
      <c r="AB13" s="13" t="n">
        <v>685</v>
      </c>
      <c r="AC13" s="13" t="n">
        <f aca="false">IF(AH13&gt;=2,MAX(1,ROUNDDOWN(AB13*Y13,0)),0)</f>
        <v>685</v>
      </c>
      <c r="AD13" s="13" t="s">
        <v>2165</v>
      </c>
      <c r="AE13" s="13" t="n">
        <v>0</v>
      </c>
      <c r="AF13" s="13" t="n">
        <f aca="false">IF(AH13&gt;=3,MAX(1,ROUNDDOWN(AE13*Y13,0)),0)</f>
        <v>0</v>
      </c>
      <c r="AG13" s="13" t="n">
        <v>179</v>
      </c>
      <c r="AH13" s="13" t="n">
        <v>2</v>
      </c>
    </row>
    <row r="14" customFormat="false" ht="109.5" hidden="false" customHeight="true" outlineLevel="0" collapsed="false">
      <c r="A14" s="17" t="n">
        <v>3</v>
      </c>
      <c r="B14" s="17" t="s">
        <v>2056</v>
      </c>
      <c r="C14" s="17" t="s">
        <v>2184</v>
      </c>
      <c r="D14" s="17" t="n">
        <v>3</v>
      </c>
      <c r="E14" s="17" t="n">
        <f aca="false">D14*12</f>
        <v>36</v>
      </c>
      <c r="F14" s="17" t="n">
        <f aca="false">IF(D14=1,10,D14+10)</f>
        <v>13</v>
      </c>
      <c r="G14" s="17" t="n">
        <f aca="false">E14*F14</f>
        <v>468</v>
      </c>
      <c r="H14" s="17" t="n">
        <v>9</v>
      </c>
      <c r="I14" s="17" t="n">
        <v>4</v>
      </c>
      <c r="J14" s="17" t="n">
        <f aca="false">G14*H14</f>
        <v>4212</v>
      </c>
      <c r="K14" s="17" t="n">
        <f aca="false">G14*H14</f>
        <v>4212</v>
      </c>
      <c r="L14" s="17" t="n">
        <f aca="false">G14*H14</f>
        <v>4212</v>
      </c>
      <c r="M14" s="17" t="n">
        <f aca="false">G14*H14</f>
        <v>4212</v>
      </c>
      <c r="N14" s="17" t="n">
        <v>0</v>
      </c>
      <c r="O14" s="17" t="s">
        <v>2185</v>
      </c>
      <c r="P14" s="17" t="n">
        <f aca="false">MAX(1,ROUNDDOWN(Z14*Y14,0))</f>
        <v>199</v>
      </c>
      <c r="Q14" s="17" t="s">
        <v>2171</v>
      </c>
      <c r="R14" s="17" t="n">
        <f aca="false">MAX(1,ROUNDDOWN(AG14*Y14,0))</f>
        <v>354</v>
      </c>
      <c r="S14" s="17" t="n">
        <f aca="false">P14*2</f>
        <v>398</v>
      </c>
      <c r="T14" s="17" t="n">
        <f aca="false">P14*3</f>
        <v>597</v>
      </c>
      <c r="U14" s="17" t="n">
        <f aca="false">R14*2</f>
        <v>708</v>
      </c>
      <c r="V14" s="17" t="n">
        <f aca="false">R14*3</f>
        <v>1062</v>
      </c>
      <c r="W14" s="17" t="n">
        <f aca="false">Parametry!$C$45</f>
        <v>6</v>
      </c>
      <c r="X14" s="17" t="s">
        <v>2164</v>
      </c>
      <c r="Y14" s="13" t="n">
        <f aca="false">G14/468</f>
        <v>1</v>
      </c>
      <c r="Z14" s="13" t="n">
        <v>199</v>
      </c>
      <c r="AA14" s="13" t="s">
        <v>2168</v>
      </c>
      <c r="AB14" s="13" t="n">
        <v>716</v>
      </c>
      <c r="AC14" s="13" t="n">
        <f aca="false">IF(AH14&gt;=2,MAX(1,ROUNDDOWN(AB14*Y14,0)),0)</f>
        <v>716</v>
      </c>
      <c r="AD14" s="13" t="s">
        <v>2163</v>
      </c>
      <c r="AE14" s="13" t="n">
        <v>757</v>
      </c>
      <c r="AF14" s="13" t="n">
        <f aca="false">IF(AH14&gt;=3,MAX(1,ROUNDDOWN(AE14*Y14,0)),0)</f>
        <v>757</v>
      </c>
      <c r="AG14" s="13" t="n">
        <v>354</v>
      </c>
      <c r="AH14" s="13" t="n">
        <v>3</v>
      </c>
    </row>
    <row r="15" customFormat="false" ht="109.5" hidden="false" customHeight="true" outlineLevel="0" collapsed="false">
      <c r="A15" s="18" t="n">
        <v>4</v>
      </c>
      <c r="B15" s="18" t="s">
        <v>2048</v>
      </c>
      <c r="C15" s="18" t="s">
        <v>2186</v>
      </c>
      <c r="D15" s="18" t="n">
        <v>4</v>
      </c>
      <c r="E15" s="18" t="n">
        <f aca="false">D15*12</f>
        <v>48</v>
      </c>
      <c r="F15" s="18" t="n">
        <f aca="false">IF(D15=1,10,D15+10)</f>
        <v>14</v>
      </c>
      <c r="G15" s="18" t="n">
        <f aca="false">E15*F15</f>
        <v>672</v>
      </c>
      <c r="H15" s="18" t="n">
        <v>6</v>
      </c>
      <c r="I15" s="18" t="n">
        <v>2</v>
      </c>
      <c r="J15" s="18" t="n">
        <f aca="false">G15*H15</f>
        <v>4032</v>
      </c>
      <c r="K15" s="18" t="n">
        <v>0</v>
      </c>
      <c r="L15" s="18" t="n">
        <v>0</v>
      </c>
      <c r="M15" s="18" t="n">
        <f aca="false">G15*H15</f>
        <v>4032</v>
      </c>
      <c r="N15" s="18" t="n">
        <v>0</v>
      </c>
      <c r="O15" s="18" t="s">
        <v>2187</v>
      </c>
      <c r="P15" s="18" t="n">
        <f aca="false">MAX(1,ROUNDDOWN(Z15*Y15,0))</f>
        <v>246</v>
      </c>
      <c r="Q15" s="18" t="s">
        <v>2163</v>
      </c>
      <c r="R15" s="18" t="n">
        <f aca="false">MAX(1,ROUNDDOWN(AG15*Y15,0))</f>
        <v>786</v>
      </c>
      <c r="S15" s="18" t="n">
        <f aca="false">P15*2</f>
        <v>492</v>
      </c>
      <c r="T15" s="18" t="n">
        <f aca="false">P15*3</f>
        <v>738</v>
      </c>
      <c r="U15" s="18" t="n">
        <f aca="false">R15*2</f>
        <v>1572</v>
      </c>
      <c r="V15" s="18" t="n">
        <f aca="false">R15*3</f>
        <v>2358</v>
      </c>
      <c r="W15" s="18" t="n">
        <f aca="false">Parametry!$C$45</f>
        <v>6</v>
      </c>
      <c r="X15" s="18" t="s">
        <v>2164</v>
      </c>
      <c r="Y15" s="13" t="n">
        <f aca="false">G15/468</f>
        <v>1.43589743589744</v>
      </c>
      <c r="Z15" s="13" t="n">
        <v>172</v>
      </c>
      <c r="AA15" s="13" t="s">
        <v>2165</v>
      </c>
      <c r="AB15" s="13" t="n">
        <v>0</v>
      </c>
      <c r="AC15" s="13" t="n">
        <f aca="false">IF(AH15&gt;=2,MAX(1,ROUNDDOWN(AB15*Y15,0)),0)</f>
        <v>0</v>
      </c>
      <c r="AD15" s="13" t="s">
        <v>2165</v>
      </c>
      <c r="AE15" s="13" t="n">
        <v>0</v>
      </c>
      <c r="AF15" s="13" t="n">
        <f aca="false">IF(AH15&gt;=3,MAX(1,ROUNDDOWN(AE15*Y15,0)),0)</f>
        <v>0</v>
      </c>
      <c r="AG15" s="13" t="n">
        <v>548</v>
      </c>
      <c r="AH15" s="13" t="n">
        <v>1</v>
      </c>
    </row>
    <row r="16" customFormat="false" ht="109.5" hidden="false" customHeight="true" outlineLevel="0" collapsed="false">
      <c r="A16" s="17" t="n">
        <v>4</v>
      </c>
      <c r="B16" s="17" t="s">
        <v>2052</v>
      </c>
      <c r="C16" s="17" t="s">
        <v>2188</v>
      </c>
      <c r="D16" s="17" t="n">
        <v>4</v>
      </c>
      <c r="E16" s="17" t="n">
        <f aca="false">D16*12</f>
        <v>48</v>
      </c>
      <c r="F16" s="17" t="n">
        <f aca="false">IF(D16=1,10,D16+10)</f>
        <v>14</v>
      </c>
      <c r="G16" s="17" t="n">
        <f aca="false">E16*F16</f>
        <v>672</v>
      </c>
      <c r="H16" s="17" t="n">
        <v>6</v>
      </c>
      <c r="I16" s="17" t="n">
        <v>2</v>
      </c>
      <c r="J16" s="17" t="n">
        <f aca="false">G16*H16</f>
        <v>4032</v>
      </c>
      <c r="K16" s="17" t="n">
        <v>0</v>
      </c>
      <c r="L16" s="17" t="n">
        <v>0</v>
      </c>
      <c r="M16" s="17" t="n">
        <f aca="false">G16*H16</f>
        <v>4032</v>
      </c>
      <c r="N16" s="17" t="n">
        <v>0</v>
      </c>
      <c r="O16" s="17" t="s">
        <v>2189</v>
      </c>
      <c r="P16" s="17" t="n">
        <f aca="false">MAX(1,ROUNDDOWN(Z16*Y16,0))</f>
        <v>248</v>
      </c>
      <c r="Q16" s="17" t="s">
        <v>2180</v>
      </c>
      <c r="R16" s="17" t="n">
        <f aca="false">MAX(1,ROUNDDOWN(AG16*Y16,0))</f>
        <v>608</v>
      </c>
      <c r="S16" s="17" t="n">
        <f aca="false">P16*2</f>
        <v>496</v>
      </c>
      <c r="T16" s="17" t="n">
        <f aca="false">P16*3</f>
        <v>744</v>
      </c>
      <c r="U16" s="17" t="n">
        <f aca="false">R16*2</f>
        <v>1216</v>
      </c>
      <c r="V16" s="17" t="n">
        <f aca="false">R16*3</f>
        <v>1824</v>
      </c>
      <c r="W16" s="17" t="n">
        <f aca="false">Parametry!$C$45</f>
        <v>6</v>
      </c>
      <c r="X16" s="17" t="s">
        <v>2164</v>
      </c>
      <c r="Y16" s="13" t="n">
        <f aca="false">G16/468</f>
        <v>1.43589743589744</v>
      </c>
      <c r="Z16" s="13" t="n">
        <v>173</v>
      </c>
      <c r="AA16" s="13" t="s">
        <v>2168</v>
      </c>
      <c r="AB16" s="13" t="n">
        <v>778</v>
      </c>
      <c r="AC16" s="13" t="n">
        <f aca="false">IF(AH16&gt;=2,MAX(1,ROUNDDOWN(AB16*Y16,0)),0)</f>
        <v>1117</v>
      </c>
      <c r="AD16" s="13" t="s">
        <v>2165</v>
      </c>
      <c r="AE16" s="13" t="n">
        <v>0</v>
      </c>
      <c r="AF16" s="13" t="n">
        <f aca="false">IF(AH16&gt;=3,MAX(1,ROUNDDOWN(AE16*Y16,0)),0)</f>
        <v>0</v>
      </c>
      <c r="AG16" s="13" t="n">
        <v>424</v>
      </c>
      <c r="AH16" s="13" t="n">
        <v>2</v>
      </c>
    </row>
    <row r="17" customFormat="false" ht="109.5" hidden="false" customHeight="true" outlineLevel="0" collapsed="false">
      <c r="A17" s="18" t="n">
        <v>4</v>
      </c>
      <c r="B17" s="18" t="s">
        <v>2056</v>
      </c>
      <c r="C17" s="18" t="s">
        <v>2190</v>
      </c>
      <c r="D17" s="18" t="n">
        <v>4</v>
      </c>
      <c r="E17" s="18" t="n">
        <f aca="false">D17*12</f>
        <v>48</v>
      </c>
      <c r="F17" s="18" t="n">
        <f aca="false">IF(D17=1,10,D17+10)</f>
        <v>14</v>
      </c>
      <c r="G17" s="18" t="n">
        <f aca="false">E17*F17</f>
        <v>672</v>
      </c>
      <c r="H17" s="18" t="n">
        <v>6</v>
      </c>
      <c r="I17" s="18" t="n">
        <v>4</v>
      </c>
      <c r="J17" s="18" t="n">
        <f aca="false">G17*H17</f>
        <v>4032</v>
      </c>
      <c r="K17" s="18" t="n">
        <f aca="false">G17*H17</f>
        <v>4032</v>
      </c>
      <c r="L17" s="18" t="n">
        <v>0</v>
      </c>
      <c r="M17" s="18" t="n">
        <f aca="false">G17*H17</f>
        <v>4032</v>
      </c>
      <c r="N17" s="18" t="n">
        <f aca="false">G17*H17</f>
        <v>4032</v>
      </c>
      <c r="O17" s="18" t="s">
        <v>2191</v>
      </c>
      <c r="P17" s="18" t="n">
        <f aca="false">MAX(1,ROUNDDOWN(Z17*Y17,0))</f>
        <v>317</v>
      </c>
      <c r="Q17" s="18" t="s">
        <v>2168</v>
      </c>
      <c r="R17" s="18" t="n">
        <f aca="false">MAX(1,ROUNDDOWN(AG17*Y17,0))</f>
        <v>1372</v>
      </c>
      <c r="S17" s="18" t="n">
        <f aca="false">P17*2</f>
        <v>634</v>
      </c>
      <c r="T17" s="18" t="n">
        <f aca="false">P17*3</f>
        <v>951</v>
      </c>
      <c r="U17" s="18" t="n">
        <f aca="false">R17*2</f>
        <v>2744</v>
      </c>
      <c r="V17" s="18" t="n">
        <f aca="false">R17*3</f>
        <v>4116</v>
      </c>
      <c r="W17" s="18" t="n">
        <f aca="false">Parametry!$C$45</f>
        <v>6</v>
      </c>
      <c r="X17" s="18" t="s">
        <v>2164</v>
      </c>
      <c r="Y17" s="13" t="n">
        <f aca="false">G17/468</f>
        <v>1.43589743589744</v>
      </c>
      <c r="Z17" s="13" t="n">
        <v>221</v>
      </c>
      <c r="AA17" s="13" t="s">
        <v>2163</v>
      </c>
      <c r="AB17" s="13" t="n">
        <v>809</v>
      </c>
      <c r="AC17" s="13" t="n">
        <f aca="false">IF(AH17&gt;=2,MAX(1,ROUNDDOWN(AB17*Y17,0)),0)</f>
        <v>1161</v>
      </c>
      <c r="AD17" s="13" t="s">
        <v>2171</v>
      </c>
      <c r="AE17" s="13" t="n">
        <v>850</v>
      </c>
      <c r="AF17" s="13" t="n">
        <f aca="false">IF(AH17&gt;=3,MAX(1,ROUNDDOWN(AE17*Y17,0)),0)</f>
        <v>1220</v>
      </c>
      <c r="AG17" s="13" t="n">
        <v>956</v>
      </c>
      <c r="AH17" s="13" t="n">
        <v>3</v>
      </c>
    </row>
    <row r="19" customFormat="false" ht="26.25" hidden="false" customHeight="true" outlineLevel="0" collapsed="false">
      <c r="C19" s="13" t="s">
        <v>2192</v>
      </c>
    </row>
  </sheetData>
  <autoFilter ref="A5:AH19"/>
  <mergeCells count="2">
    <mergeCell ref="A1:X1"/>
    <mergeCell ref="A2:X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39"/>
    <col collapsed="false" customWidth="true" hidden="false" outlineLevel="0" max="3" min="2" style="10" width="29"/>
    <col collapsed="false" customWidth="true" hidden="false" outlineLevel="0" max="4" min="4" style="10" width="30"/>
    <col collapsed="false" customWidth="true" hidden="false" outlineLevel="0" max="7" min="5" style="10" width="25"/>
    <col collapsed="false" customWidth="true" hidden="false" outlineLevel="0" max="8" min="8" style="10" width="26"/>
    <col collapsed="false" customWidth="true" hidden="false" outlineLevel="0" max="10" min="9" style="10" width="28"/>
    <col collapsed="false" customWidth="true" hidden="false" outlineLevel="0" max="11" min="11" style="10" width="120"/>
  </cols>
  <sheetData>
    <row r="1" customFormat="false" ht="33.75" hidden="false" customHeight="true" outlineLevel="0" collapsed="false">
      <c r="A1" s="54" t="s">
        <v>2193</v>
      </c>
      <c r="B1" s="54"/>
      <c r="C1" s="54"/>
      <c r="D1" s="54"/>
      <c r="E1" s="54"/>
      <c r="F1" s="54"/>
      <c r="G1" s="54"/>
      <c r="H1" s="54"/>
      <c r="I1" s="54"/>
      <c r="J1" s="54"/>
      <c r="K1" s="54"/>
    </row>
    <row r="2" customFormat="false" ht="27" hidden="false" customHeight="true" outlineLevel="0" collapsed="false">
      <c r="A2" s="55" t="s">
        <v>2194</v>
      </c>
      <c r="B2" s="55"/>
      <c r="C2" s="55"/>
      <c r="D2" s="55"/>
      <c r="E2" s="55"/>
      <c r="F2" s="55"/>
      <c r="G2" s="55"/>
      <c r="H2" s="55"/>
      <c r="I2" s="55"/>
      <c r="J2" s="55"/>
      <c r="K2" s="55"/>
    </row>
    <row r="3" customFormat="false" ht="27" hidden="false" customHeight="true" outlineLevel="0" collapsed="false">
      <c r="A3" s="55"/>
      <c r="B3" s="55"/>
      <c r="C3" s="55"/>
      <c r="D3" s="55"/>
      <c r="E3" s="55"/>
      <c r="F3" s="55"/>
      <c r="G3" s="55"/>
      <c r="H3" s="55"/>
      <c r="I3" s="55"/>
      <c r="J3" s="55"/>
      <c r="K3" s="55"/>
    </row>
    <row r="5" customFormat="false" ht="45" hidden="false" customHeight="true" outlineLevel="0" collapsed="false">
      <c r="A5" s="22" t="s">
        <v>1913</v>
      </c>
      <c r="B5" s="22" t="s">
        <v>2195</v>
      </c>
      <c r="C5" s="22" t="s">
        <v>2196</v>
      </c>
      <c r="D5" s="22" t="s">
        <v>2197</v>
      </c>
      <c r="E5" s="22" t="s">
        <v>2198</v>
      </c>
      <c r="F5" s="22" t="s">
        <v>2199</v>
      </c>
      <c r="G5" s="22" t="s">
        <v>2200</v>
      </c>
      <c r="H5" s="22" t="s">
        <v>2201</v>
      </c>
      <c r="I5" s="22" t="s">
        <v>2202</v>
      </c>
      <c r="J5" s="22" t="s">
        <v>2203</v>
      </c>
      <c r="K5" s="22" t="s">
        <v>1417</v>
      </c>
    </row>
    <row r="6" customFormat="false" ht="94.5" hidden="false" customHeight="true" outlineLevel="0" collapsed="false">
      <c r="A6" s="20" t="s">
        <v>2204</v>
      </c>
      <c r="B6" s="20" t="n">
        <v>10</v>
      </c>
      <c r="C6" s="20" t="n">
        <f aca="false">MAX(0,(Parametry!$C$45*3600-B6)/60)</f>
        <v>359.833333333333</v>
      </c>
      <c r="D6" s="20" t="n">
        <f aca="false">IF(B6&lt;15,3,IF(B6&lt;300,2,1))</f>
        <v>3</v>
      </c>
      <c r="E6" s="20" t="n">
        <v>200</v>
      </c>
      <c r="F6" s="20" t="n">
        <v>100</v>
      </c>
      <c r="G6" s="20" t="n">
        <f aca="false">MAX(0,E6-F6)</f>
        <v>100</v>
      </c>
      <c r="H6" s="20" t="n">
        <v>50</v>
      </c>
      <c r="I6" s="20" t="n">
        <f aca="false">IF(C6&gt;0,MIN(E6,F6+H6),0)</f>
        <v>150</v>
      </c>
      <c r="J6" s="20" t="n">
        <v>0</v>
      </c>
      <c r="K6" s="20" t="s">
        <v>2205</v>
      </c>
    </row>
    <row r="7" customFormat="false" ht="94.5" hidden="false" customHeight="true" outlineLevel="0" collapsed="false">
      <c r="A7" s="19" t="s">
        <v>2206</v>
      </c>
      <c r="B7" s="19" t="n">
        <v>120</v>
      </c>
      <c r="C7" s="19" t="n">
        <f aca="false">MAX(0,(Parametry!$C$45*3600-B7)/60)</f>
        <v>358</v>
      </c>
      <c r="D7" s="19" t="n">
        <f aca="false">IF(B7&lt;15,3,IF(B7&lt;300,2,1))</f>
        <v>2</v>
      </c>
      <c r="E7" s="19" t="n">
        <v>400</v>
      </c>
      <c r="F7" s="19" t="n">
        <v>100</v>
      </c>
      <c r="G7" s="19" t="n">
        <f aca="false">MAX(0,E7-F7)</f>
        <v>300</v>
      </c>
      <c r="H7" s="19" t="n">
        <v>300</v>
      </c>
      <c r="I7" s="19" t="n">
        <f aca="false">IF(C7&gt;0,MIN(E7,F7+H7),0)</f>
        <v>400</v>
      </c>
      <c r="J7" s="19" t="n">
        <v>0</v>
      </c>
      <c r="K7" s="19" t="s">
        <v>2205</v>
      </c>
    </row>
    <row r="8" customFormat="false" ht="94.5" hidden="false" customHeight="true" outlineLevel="0" collapsed="false">
      <c r="A8" s="20" t="s">
        <v>2207</v>
      </c>
      <c r="B8" s="20" t="n">
        <v>1800</v>
      </c>
      <c r="C8" s="20" t="n">
        <f aca="false">MAX(0,(Parametry!$C$45*3600-B8)/60)</f>
        <v>330</v>
      </c>
      <c r="D8" s="20" t="n">
        <f aca="false">IF(B8&lt;15,3,IF(B8&lt;300,2,1))</f>
        <v>1</v>
      </c>
      <c r="E8" s="20" t="n">
        <v>1200</v>
      </c>
      <c r="F8" s="20" t="n">
        <v>600</v>
      </c>
      <c r="G8" s="20" t="n">
        <f aca="false">MAX(0,E8-F8)</f>
        <v>600</v>
      </c>
      <c r="H8" s="20" t="n">
        <v>100</v>
      </c>
      <c r="I8" s="20" t="n">
        <f aca="false">IF(C8&gt;0,MIN(E8,F8+H8),0)</f>
        <v>700</v>
      </c>
      <c r="J8" s="20" t="n">
        <v>0</v>
      </c>
      <c r="K8" s="20" t="s">
        <v>2205</v>
      </c>
    </row>
    <row r="9" customFormat="false" ht="94.5" hidden="false" customHeight="true" outlineLevel="0" collapsed="false">
      <c r="A9" s="19" t="s">
        <v>2208</v>
      </c>
      <c r="B9" s="19" t="n">
        <v>15</v>
      </c>
      <c r="C9" s="19" t="n">
        <f aca="false">MAX(0,(Parametry!$C$45*3600-B9)/60)</f>
        <v>359.75</v>
      </c>
      <c r="D9" s="19" t="n">
        <f aca="false">IF(B9&lt;15,3,IF(B9&lt;300,2,1))</f>
        <v>2</v>
      </c>
      <c r="E9" s="19" t="n">
        <v>200</v>
      </c>
      <c r="F9" s="19" t="n">
        <v>0</v>
      </c>
      <c r="G9" s="19" t="n">
        <f aca="false">MAX(0,E9-F9)</f>
        <v>200</v>
      </c>
      <c r="H9" s="19" t="n">
        <v>0</v>
      </c>
      <c r="I9" s="19" t="n">
        <f aca="false">IF(C9&gt;0,MIN(E9,F9+H9),0)</f>
        <v>0</v>
      </c>
      <c r="J9" s="19" t="n">
        <v>0</v>
      </c>
      <c r="K9" s="19" t="s">
        <v>2205</v>
      </c>
    </row>
    <row r="10" customFormat="false" ht="94.5" hidden="false" customHeight="true" outlineLevel="0" collapsed="false">
      <c r="A10" s="20" t="s">
        <v>2209</v>
      </c>
      <c r="B10" s="20" t="n">
        <v>300</v>
      </c>
      <c r="C10" s="20" t="n">
        <f aca="false">MAX(0,(Parametry!$C$45*3600-B10)/60)</f>
        <v>355</v>
      </c>
      <c r="D10" s="20" t="n">
        <f aca="false">IF(B10&lt;15,3,IF(B10&lt;300,2,1))</f>
        <v>1</v>
      </c>
      <c r="E10" s="20" t="n">
        <v>200</v>
      </c>
      <c r="F10" s="20" t="n">
        <v>0</v>
      </c>
      <c r="G10" s="20" t="n">
        <f aca="false">MAX(0,E10-F10)</f>
        <v>200</v>
      </c>
      <c r="H10" s="20" t="n">
        <v>0</v>
      </c>
      <c r="I10" s="20" t="n">
        <f aca="false">IF(C10&gt;0,MIN(E10,F10+H10),0)</f>
        <v>0</v>
      </c>
      <c r="J10" s="20" t="n">
        <v>0</v>
      </c>
      <c r="K10" s="20" t="s">
        <v>2205</v>
      </c>
    </row>
    <row r="11" customFormat="false" ht="94.5" hidden="false" customHeight="true" outlineLevel="0" collapsed="false">
      <c r="A11" s="19" t="s">
        <v>2210</v>
      </c>
      <c r="B11" s="19" t="n">
        <v>21600</v>
      </c>
      <c r="C11" s="19" t="n">
        <f aca="false">MAX(0,(Parametry!$C$45*3600-B11)/60)</f>
        <v>0</v>
      </c>
      <c r="D11" s="19" t="n">
        <f aca="false">IF(B11&lt;15,3,IF(B11&lt;300,2,1))</f>
        <v>1</v>
      </c>
      <c r="E11" s="19" t="n">
        <v>200</v>
      </c>
      <c r="F11" s="19" t="n">
        <v>100</v>
      </c>
      <c r="G11" s="19" t="n">
        <f aca="false">MAX(0,E11-F11)</f>
        <v>100</v>
      </c>
      <c r="H11" s="19" t="n">
        <v>0</v>
      </c>
      <c r="I11" s="19" t="n">
        <f aca="false">IF(C11&gt;0,MIN(E11,F11+H11),0)</f>
        <v>0</v>
      </c>
      <c r="J11" s="19" t="n">
        <v>0</v>
      </c>
      <c r="K11" s="19" t="s">
        <v>2205</v>
      </c>
    </row>
    <row r="13" customFormat="false" ht="15" hidden="false" customHeight="true" outlineLevel="0" collapsed="false">
      <c r="A13" s="10" t="s">
        <v>2211</v>
      </c>
    </row>
    <row r="14" customFormat="false" ht="79.5" hidden="false" customHeight="true" outlineLevel="0" collapsed="false">
      <c r="A14" s="20" t="s">
        <v>2212</v>
      </c>
      <c r="B14" s="20" t="s">
        <v>2213</v>
      </c>
      <c r="C14" s="20" t="s">
        <v>2214</v>
      </c>
      <c r="D14" s="20" t="s">
        <v>2215</v>
      </c>
    </row>
    <row r="15" customFormat="false" ht="79.5" hidden="false" customHeight="true" outlineLevel="0" collapsed="false">
      <c r="A15" s="19" t="s">
        <v>2216</v>
      </c>
      <c r="B15" s="19" t="s">
        <v>2217</v>
      </c>
      <c r="C15" s="19" t="s">
        <v>2214</v>
      </c>
      <c r="D15" s="19" t="s">
        <v>2218</v>
      </c>
    </row>
    <row r="16" customFormat="false" ht="79.5" hidden="false" customHeight="true" outlineLevel="0" collapsed="false">
      <c r="A16" s="20" t="s">
        <v>2219</v>
      </c>
      <c r="B16" s="20" t="s">
        <v>2220</v>
      </c>
      <c r="C16" s="20" t="s">
        <v>2221</v>
      </c>
      <c r="D16" s="20" t="s">
        <v>2222</v>
      </c>
    </row>
    <row r="17" customFormat="false" ht="79.5" hidden="false" customHeight="true" outlineLevel="0" collapsed="false">
      <c r="A17" s="19" t="s">
        <v>2223</v>
      </c>
      <c r="B17" s="19" t="s">
        <v>2214</v>
      </c>
      <c r="C17" s="19" t="s">
        <v>2224</v>
      </c>
      <c r="D17" s="19" t="s">
        <v>2225</v>
      </c>
    </row>
    <row r="18" customFormat="false" ht="79.5" hidden="false" customHeight="true" outlineLevel="0" collapsed="false">
      <c r="A18" s="20" t="s">
        <v>2226</v>
      </c>
      <c r="B18" s="20" t="s">
        <v>2214</v>
      </c>
      <c r="C18" s="20" t="s">
        <v>2224</v>
      </c>
      <c r="D18" s="20" t="s">
        <v>2227</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5" activePane="bottomRight" state="frozen"/>
      <selection pane="topLeft" activeCell="A1" activeCellId="0" sqref="A1"/>
      <selection pane="topRight" activeCell="B1" activeCellId="0" sqref="B1"/>
      <selection pane="bottomLeft" activeCell="A15" activeCellId="0" sqref="A15"/>
      <selection pane="bottomRight" activeCell="B9" activeCellId="0" sqref="B9"/>
    </sheetView>
  </sheetViews>
  <sheetFormatPr defaultColWidth="8.71484375" defaultRowHeight="26.25" customHeight="false" zeroHeight="false" outlineLevelRow="0" outlineLevelCol="0"/>
  <cols>
    <col collapsed="false" customWidth="true" hidden="false" outlineLevel="0" max="1" min="1" style="13" width="37"/>
    <col collapsed="false" customWidth="true" hidden="false" outlineLevel="0" max="2" min="2" style="13" width="110"/>
    <col collapsed="false" customWidth="true" hidden="false" outlineLevel="0" max="3" min="3" style="13" width="135"/>
    <col collapsed="false" customWidth="true" hidden="false" outlineLevel="0" max="4" min="4" style="13" width="63"/>
    <col collapsed="false" customWidth="false" hidden="false" outlineLevel="0" max="16384" min="5" style="13" width="8.71"/>
  </cols>
  <sheetData>
    <row r="1" customFormat="false" ht="33.75" hidden="false" customHeight="true" outlineLevel="0" collapsed="false">
      <c r="A1" s="31" t="s">
        <v>2228</v>
      </c>
      <c r="B1" s="31"/>
      <c r="C1" s="31"/>
      <c r="D1" s="31"/>
    </row>
    <row r="2" customFormat="false" ht="27" hidden="false" customHeight="true" outlineLevel="0" collapsed="false">
      <c r="A2" s="15" t="s">
        <v>2229</v>
      </c>
      <c r="B2" s="15"/>
      <c r="C2" s="15"/>
      <c r="D2" s="15"/>
    </row>
    <row r="3" customFormat="false" ht="27" hidden="false" customHeight="true" outlineLevel="0" collapsed="false">
      <c r="A3" s="15"/>
      <c r="B3" s="15"/>
      <c r="C3" s="15"/>
      <c r="D3" s="15"/>
    </row>
    <row r="5" customFormat="false" ht="45" hidden="false" customHeight="true" outlineLevel="0" collapsed="false">
      <c r="A5" s="16" t="s">
        <v>329</v>
      </c>
      <c r="B5" s="16" t="s">
        <v>1178</v>
      </c>
      <c r="C5" s="16" t="s">
        <v>1417</v>
      </c>
      <c r="D5" s="16" t="s">
        <v>310</v>
      </c>
    </row>
    <row r="6" customFormat="false" ht="109.5" hidden="false" customHeight="true" outlineLevel="0" collapsed="false">
      <c r="A6" s="17" t="s">
        <v>2230</v>
      </c>
      <c r="B6" s="17" t="s">
        <v>2231</v>
      </c>
      <c r="C6" s="17" t="s">
        <v>2232</v>
      </c>
      <c r="D6" s="17" t="s">
        <v>2233</v>
      </c>
    </row>
    <row r="7" customFormat="false" ht="109.5" hidden="false" customHeight="true" outlineLevel="0" collapsed="false">
      <c r="A7" s="18" t="s">
        <v>2234</v>
      </c>
      <c r="B7" s="18" t="s">
        <v>2235</v>
      </c>
      <c r="C7" s="18" t="s">
        <v>2236</v>
      </c>
      <c r="D7" s="18" t="s">
        <v>2237</v>
      </c>
    </row>
    <row r="8" customFormat="false" ht="109.5" hidden="false" customHeight="true" outlineLevel="0" collapsed="false">
      <c r="A8" s="17" t="s">
        <v>1935</v>
      </c>
      <c r="B8" s="17" t="s">
        <v>2238</v>
      </c>
      <c r="C8" s="17" t="s">
        <v>2239</v>
      </c>
      <c r="D8" s="17" t="s">
        <v>1792</v>
      </c>
    </row>
    <row r="9" customFormat="false" ht="109.5" hidden="false" customHeight="true" outlineLevel="0" collapsed="false">
      <c r="A9" s="18" t="s">
        <v>2240</v>
      </c>
      <c r="B9" s="18" t="s">
        <v>2241</v>
      </c>
      <c r="C9" s="18" t="s">
        <v>2242</v>
      </c>
      <c r="D9" s="18" t="s">
        <v>1792</v>
      </c>
    </row>
    <row r="10" customFormat="false" ht="109.5" hidden="false" customHeight="true" outlineLevel="0" collapsed="false">
      <c r="A10" s="17" t="s">
        <v>2243</v>
      </c>
      <c r="B10" s="17" t="s">
        <v>2244</v>
      </c>
      <c r="C10" s="17" t="s">
        <v>2245</v>
      </c>
      <c r="D10" s="17" t="s">
        <v>1792</v>
      </c>
    </row>
    <row r="11" customFormat="false" ht="109.5" hidden="false" customHeight="true" outlineLevel="0" collapsed="false">
      <c r="A11" s="18" t="s">
        <v>2246</v>
      </c>
      <c r="B11" s="18" t="s">
        <v>2247</v>
      </c>
      <c r="C11" s="18" t="s">
        <v>2248</v>
      </c>
      <c r="D11" s="18" t="s">
        <v>2249</v>
      </c>
    </row>
    <row r="12" customFormat="false" ht="109.5" hidden="false" customHeight="true" outlineLevel="0" collapsed="false">
      <c r="A12" s="17" t="s">
        <v>2250</v>
      </c>
      <c r="B12" s="17" t="s">
        <v>2251</v>
      </c>
      <c r="C12" s="17" t="s">
        <v>2252</v>
      </c>
      <c r="D12" s="17" t="s">
        <v>2253</v>
      </c>
    </row>
    <row r="13" customFormat="false" ht="109.5" hidden="false" customHeight="true" outlineLevel="0" collapsed="false">
      <c r="A13" s="18" t="s">
        <v>2254</v>
      </c>
      <c r="B13" s="18" t="s">
        <v>2255</v>
      </c>
      <c r="C13" s="18" t="s">
        <v>2256</v>
      </c>
      <c r="D13" s="18" t="s">
        <v>2257</v>
      </c>
    </row>
    <row r="14" customFormat="false" ht="109.5" hidden="false" customHeight="true" outlineLevel="0" collapsed="false">
      <c r="A14" s="17" t="s">
        <v>2258</v>
      </c>
      <c r="B14" s="17" t="s">
        <v>2259</v>
      </c>
      <c r="C14" s="17" t="s">
        <v>2260</v>
      </c>
      <c r="D14" s="17" t="s">
        <v>2261</v>
      </c>
    </row>
    <row r="15" customFormat="false" ht="109.5" hidden="false" customHeight="true" outlineLevel="0" collapsed="false">
      <c r="A15" s="18" t="s">
        <v>2262</v>
      </c>
      <c r="B15" s="18" t="s">
        <v>2263</v>
      </c>
      <c r="C15" s="18" t="s">
        <v>2264</v>
      </c>
      <c r="D15" s="18" t="s">
        <v>1792</v>
      </c>
    </row>
    <row r="16" customFormat="false" ht="109.5" hidden="false" customHeight="true" outlineLevel="0" collapsed="false">
      <c r="A16" s="17" t="s">
        <v>2265</v>
      </c>
      <c r="B16" s="17" t="s">
        <v>2266</v>
      </c>
      <c r="C16" s="17" t="s">
        <v>2267</v>
      </c>
      <c r="D16" s="17" t="s">
        <v>2268</v>
      </c>
    </row>
    <row r="17" customFormat="false" ht="109.5" hidden="false" customHeight="true" outlineLevel="0" collapsed="false">
      <c r="A17" s="18" t="s">
        <v>2269</v>
      </c>
      <c r="B17" s="18" t="s">
        <v>2270</v>
      </c>
      <c r="C17" s="18" t="s">
        <v>2271</v>
      </c>
      <c r="D17" s="18" t="s">
        <v>2272</v>
      </c>
    </row>
  </sheetData>
  <autoFilter ref="A5:D17"/>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7"/>
    <col collapsed="false" customWidth="true" hidden="false" outlineLevel="0" max="2" min="2" style="10" width="33"/>
    <col collapsed="false" customWidth="true" hidden="false" outlineLevel="0" max="3" min="3" style="10" width="37"/>
    <col collapsed="false" customWidth="true" hidden="false" outlineLevel="0" max="4" min="4" style="10" width="35"/>
    <col collapsed="false" customWidth="true" hidden="false" outlineLevel="0" max="5" min="5" style="10" width="42"/>
    <col collapsed="false" customWidth="true" hidden="false" outlineLevel="0" max="6" min="6" style="10" width="52"/>
    <col collapsed="false" customWidth="true" hidden="false" outlineLevel="0" max="7" min="7" style="10" width="120"/>
  </cols>
  <sheetData>
    <row r="1" customFormat="false" ht="33.75" hidden="false" customHeight="true" outlineLevel="0" collapsed="false">
      <c r="A1" s="54" t="s">
        <v>2273</v>
      </c>
      <c r="B1" s="54"/>
      <c r="C1" s="54"/>
      <c r="D1" s="54"/>
      <c r="E1" s="54"/>
      <c r="F1" s="54"/>
      <c r="G1" s="54"/>
    </row>
    <row r="2" customFormat="false" ht="27" hidden="false" customHeight="true" outlineLevel="0" collapsed="false">
      <c r="A2" s="55" t="s">
        <v>2274</v>
      </c>
      <c r="B2" s="55"/>
      <c r="C2" s="55"/>
      <c r="D2" s="55"/>
      <c r="E2" s="55"/>
      <c r="F2" s="55"/>
      <c r="G2" s="55"/>
    </row>
    <row r="3" customFormat="false" ht="27" hidden="false" customHeight="true" outlineLevel="0" collapsed="false">
      <c r="A3" s="55"/>
      <c r="B3" s="55"/>
      <c r="C3" s="55"/>
      <c r="D3" s="55"/>
      <c r="E3" s="55"/>
      <c r="F3" s="55"/>
      <c r="G3" s="55"/>
    </row>
    <row r="5" customFormat="false" ht="45" hidden="false" customHeight="true" outlineLevel="0" collapsed="false">
      <c r="A5" s="22" t="s">
        <v>2275</v>
      </c>
      <c r="B5" s="22" t="s">
        <v>2276</v>
      </c>
      <c r="C5" s="22" t="s">
        <v>2277</v>
      </c>
      <c r="D5" s="22" t="s">
        <v>2278</v>
      </c>
      <c r="E5" s="22" t="s">
        <v>2279</v>
      </c>
      <c r="F5" s="22" t="s">
        <v>2280</v>
      </c>
      <c r="G5" s="22" t="s">
        <v>1417</v>
      </c>
    </row>
    <row r="6" customFormat="false" ht="75" hidden="false" customHeight="true" outlineLevel="0" collapsed="false">
      <c r="A6" s="20" t="n">
        <v>1</v>
      </c>
      <c r="B6" s="20" t="n">
        <f aca="false">Parametry!$C$48*Parametry!$C$49^(A6-1)</f>
        <v>50</v>
      </c>
      <c r="C6" s="20" t="n">
        <f aca="false">IF(A6=1,B6,B6/2)</f>
        <v>50</v>
      </c>
      <c r="D6" s="20" t="n">
        <v>0</v>
      </c>
      <c r="E6" s="58" t="n">
        <f aca="false">B6/Parametry!$C$41</f>
        <v>5</v>
      </c>
      <c r="F6" s="20" t="s">
        <v>2281</v>
      </c>
      <c r="G6" s="20" t="s">
        <v>2282</v>
      </c>
    </row>
    <row r="7" customFormat="false" ht="75" hidden="false" customHeight="true" outlineLevel="0" collapsed="false">
      <c r="A7" s="19" t="n">
        <v>2</v>
      </c>
      <c r="B7" s="19" t="n">
        <f aca="false">Parametry!$C$48*Parametry!$C$49^(A7-1)</f>
        <v>100</v>
      </c>
      <c r="C7" s="19" t="n">
        <f aca="false">IF(A7=1,B7,B7/2)</f>
        <v>50</v>
      </c>
      <c r="D7" s="19" t="n">
        <v>0</v>
      </c>
      <c r="E7" s="59" t="n">
        <f aca="false">B7/Parametry!$C$41</f>
        <v>10</v>
      </c>
      <c r="F7" s="19" t="s">
        <v>2281</v>
      </c>
      <c r="G7" s="19" t="s">
        <v>2282</v>
      </c>
    </row>
    <row r="8" customFormat="false" ht="75" hidden="false" customHeight="true" outlineLevel="0" collapsed="false">
      <c r="A8" s="20" t="n">
        <v>3</v>
      </c>
      <c r="B8" s="20" t="n">
        <f aca="false">Parametry!$C$48*Parametry!$C$49^(A8-1)</f>
        <v>200</v>
      </c>
      <c r="C8" s="20" t="n">
        <f aca="false">IF(A8=1,B8,B8/2)</f>
        <v>100</v>
      </c>
      <c r="D8" s="20" t="n">
        <v>0</v>
      </c>
      <c r="E8" s="58" t="n">
        <f aca="false">B8/Parametry!$C$41</f>
        <v>20</v>
      </c>
      <c r="F8" s="20" t="s">
        <v>2281</v>
      </c>
      <c r="G8" s="20" t="s">
        <v>2282</v>
      </c>
    </row>
    <row r="9" customFormat="false" ht="75" hidden="false" customHeight="true" outlineLevel="0" collapsed="false">
      <c r="A9" s="19" t="n">
        <v>4</v>
      </c>
      <c r="B9" s="19" t="n">
        <f aca="false">Parametry!$C$48*Parametry!$C$49^(A9-1)</f>
        <v>400</v>
      </c>
      <c r="C9" s="19" t="n">
        <f aca="false">IF(A9=1,B9,B9/2)</f>
        <v>200</v>
      </c>
      <c r="D9" s="19" t="n">
        <v>0</v>
      </c>
      <c r="E9" s="59" t="n">
        <f aca="false">B9/Parametry!$C$41</f>
        <v>40</v>
      </c>
      <c r="F9" s="19" t="s">
        <v>2281</v>
      </c>
      <c r="G9" s="19" t="s">
        <v>2282</v>
      </c>
    </row>
    <row r="10" customFormat="false" ht="75" hidden="false" customHeight="true" outlineLevel="0" collapsed="false">
      <c r="A10" s="20" t="n">
        <v>5</v>
      </c>
      <c r="B10" s="20" t="n">
        <f aca="false">Parametry!$C$48*Parametry!$C$49^(A10-1)</f>
        <v>800</v>
      </c>
      <c r="C10" s="20" t="n">
        <f aca="false">IF(A10=1,B10,B10/2)</f>
        <v>400</v>
      </c>
      <c r="D10" s="20" t="n">
        <v>0</v>
      </c>
      <c r="E10" s="58" t="n">
        <f aca="false">B10/Parametry!$C$41</f>
        <v>80</v>
      </c>
      <c r="F10" s="20" t="s">
        <v>2281</v>
      </c>
      <c r="G10" s="20" t="s">
        <v>2282</v>
      </c>
    </row>
    <row r="11" customFormat="false" ht="75" hidden="false" customHeight="true" outlineLevel="0" collapsed="false">
      <c r="A11" s="19" t="n">
        <v>6</v>
      </c>
      <c r="B11" s="19" t="n">
        <f aca="false">Parametry!$C$48*Parametry!$C$49^(A11-1)</f>
        <v>1600</v>
      </c>
      <c r="C11" s="19" t="n">
        <f aca="false">IF(A11=1,B11,B11/2)</f>
        <v>800</v>
      </c>
      <c r="D11" s="19" t="n">
        <v>0</v>
      </c>
      <c r="E11" s="59" t="n">
        <f aca="false">B11/Parametry!$C$41</f>
        <v>160</v>
      </c>
      <c r="F11" s="19" t="s">
        <v>2281</v>
      </c>
      <c r="G11" s="19" t="s">
        <v>2282</v>
      </c>
    </row>
    <row r="12" customFormat="false" ht="75" hidden="false" customHeight="true" outlineLevel="0" collapsed="false">
      <c r="A12" s="20" t="n">
        <v>7</v>
      </c>
      <c r="B12" s="20" t="n">
        <f aca="false">Parametry!$C$48*Parametry!$C$49^(A12-1)</f>
        <v>3200</v>
      </c>
      <c r="C12" s="20" t="n">
        <f aca="false">IF(A12=1,B12,B12/2)</f>
        <v>1600</v>
      </c>
      <c r="D12" s="20" t="n">
        <v>0</v>
      </c>
      <c r="E12" s="58" t="n">
        <f aca="false">B12/Parametry!$C$41</f>
        <v>320</v>
      </c>
      <c r="F12" s="20" t="s">
        <v>2281</v>
      </c>
      <c r="G12" s="20" t="s">
        <v>2282</v>
      </c>
    </row>
    <row r="13" customFormat="false" ht="75" hidden="false" customHeight="true" outlineLevel="0" collapsed="false">
      <c r="A13" s="19" t="n">
        <v>8</v>
      </c>
      <c r="B13" s="19" t="n">
        <f aca="false">Parametry!$C$48*Parametry!$C$49^(A13-1)</f>
        <v>6400</v>
      </c>
      <c r="C13" s="19" t="n">
        <f aca="false">IF(A13=1,B13,B13/2)</f>
        <v>3200</v>
      </c>
      <c r="D13" s="19" t="n">
        <v>0</v>
      </c>
      <c r="E13" s="59" t="n">
        <f aca="false">B13/Parametry!$C$41</f>
        <v>640</v>
      </c>
      <c r="F13" s="19" t="s">
        <v>2281</v>
      </c>
      <c r="G13" s="19" t="s">
        <v>2282</v>
      </c>
    </row>
    <row r="14" customFormat="false" ht="75" hidden="false" customHeight="true" outlineLevel="0" collapsed="false">
      <c r="A14" s="20" t="n">
        <v>9</v>
      </c>
      <c r="B14" s="20" t="n">
        <f aca="false">Parametry!$C$48*Parametry!$C$49^(A14-1)</f>
        <v>12800</v>
      </c>
      <c r="C14" s="20" t="n">
        <f aca="false">IF(A14=1,B14,B14/2)</f>
        <v>6400</v>
      </c>
      <c r="D14" s="20" t="n">
        <v>0</v>
      </c>
      <c r="E14" s="58" t="n">
        <f aca="false">B14/Parametry!$C$41</f>
        <v>1280</v>
      </c>
      <c r="F14" s="20" t="s">
        <v>2281</v>
      </c>
      <c r="G14" s="20" t="s">
        <v>2282</v>
      </c>
    </row>
    <row r="15" customFormat="false" ht="75" hidden="false" customHeight="true" outlineLevel="0" collapsed="false">
      <c r="A15" s="19" t="n">
        <v>10</v>
      </c>
      <c r="B15" s="19" t="n">
        <f aca="false">Parametry!$C$48*Parametry!$C$49^(A15-1)</f>
        <v>25600</v>
      </c>
      <c r="C15" s="19" t="n">
        <f aca="false">IF(A15=1,B15,B15/2)</f>
        <v>12800</v>
      </c>
      <c r="D15" s="19" t="n">
        <v>0</v>
      </c>
      <c r="E15" s="59" t="n">
        <f aca="false">B15/Parametry!$C$41</f>
        <v>2560</v>
      </c>
      <c r="F15" s="19" t="s">
        <v>2281</v>
      </c>
      <c r="G15" s="19" t="s">
        <v>2282</v>
      </c>
    </row>
    <row r="16" customFormat="false" ht="75" hidden="false" customHeight="true" outlineLevel="0" collapsed="false">
      <c r="A16" s="20" t="n">
        <v>11</v>
      </c>
      <c r="B16" s="20" t="n">
        <f aca="false">Parametry!$C$48*Parametry!$C$49^(A16-1)</f>
        <v>51200</v>
      </c>
      <c r="C16" s="20" t="n">
        <f aca="false">IF(A16=1,B16,B16/2)</f>
        <v>25600</v>
      </c>
      <c r="D16" s="20" t="n">
        <v>0</v>
      </c>
      <c r="E16" s="58" t="n">
        <f aca="false">B16/Parametry!$C$41</f>
        <v>5120</v>
      </c>
      <c r="F16" s="20" t="s">
        <v>2281</v>
      </c>
      <c r="G16" s="20" t="s">
        <v>2282</v>
      </c>
    </row>
    <row r="17" customFormat="false" ht="75" hidden="false" customHeight="true" outlineLevel="0" collapsed="false">
      <c r="A17" s="19" t="n">
        <v>12</v>
      </c>
      <c r="B17" s="19" t="n">
        <f aca="false">Parametry!$C$48*Parametry!$C$49^(A17-1)</f>
        <v>102400</v>
      </c>
      <c r="C17" s="19" t="n">
        <f aca="false">IF(A17=1,B17,B17/2)</f>
        <v>51200</v>
      </c>
      <c r="D17" s="19" t="n">
        <v>0</v>
      </c>
      <c r="E17" s="59" t="n">
        <f aca="false">B17/Parametry!$C$41</f>
        <v>10240</v>
      </c>
      <c r="F17" s="19" t="s">
        <v>2281</v>
      </c>
      <c r="G17" s="19" t="s">
        <v>2282</v>
      </c>
    </row>
    <row r="18" customFormat="false" ht="75" hidden="false" customHeight="true" outlineLevel="0" collapsed="false">
      <c r="A18" s="20" t="n">
        <v>15</v>
      </c>
      <c r="B18" s="20" t="n">
        <f aca="false">Parametry!$C$48*Parametry!$C$49^(A18-1)</f>
        <v>819200</v>
      </c>
      <c r="C18" s="20" t="n">
        <f aca="false">IF(A18=1,B18,B18/2)</f>
        <v>409600</v>
      </c>
      <c r="D18" s="20" t="n">
        <v>0</v>
      </c>
      <c r="E18" s="58" t="n">
        <f aca="false">B18/Parametry!$C$41</f>
        <v>81920</v>
      </c>
      <c r="F18" s="20" t="s">
        <v>2281</v>
      </c>
      <c r="G18" s="20" t="s">
        <v>2282</v>
      </c>
    </row>
    <row r="19" customFormat="false" ht="75" hidden="false" customHeight="true" outlineLevel="0" collapsed="false">
      <c r="A19" s="19" t="n">
        <v>20</v>
      </c>
      <c r="B19" s="19" t="n">
        <f aca="false">Parametry!$C$48*Parametry!$C$49^(A19-1)</f>
        <v>26214400</v>
      </c>
      <c r="C19" s="19" t="n">
        <f aca="false">IF(A19=1,B19,B19/2)</f>
        <v>13107200</v>
      </c>
      <c r="D19" s="19" t="n">
        <v>0</v>
      </c>
      <c r="E19" s="59" t="n">
        <f aca="false">B19/Parametry!$C$41</f>
        <v>2621440</v>
      </c>
      <c r="F19" s="19" t="s">
        <v>2281</v>
      </c>
      <c r="G19" s="19" t="s">
        <v>2282</v>
      </c>
    </row>
  </sheetData>
  <autoFilter ref="A5:G19"/>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49"/>
    <col collapsed="false" customWidth="true" hidden="false" outlineLevel="0" max="2" min="2" style="10" width="145"/>
    <col collapsed="false" customWidth="true" hidden="false" outlineLevel="0" max="3" min="3" style="10" width="120"/>
  </cols>
  <sheetData>
    <row r="1" customFormat="false" ht="33.75" hidden="false" customHeight="true" outlineLevel="0" collapsed="false">
      <c r="A1" s="54" t="s">
        <v>2283</v>
      </c>
      <c r="B1" s="54"/>
      <c r="C1" s="54"/>
    </row>
    <row r="2" customFormat="false" ht="27" hidden="false" customHeight="true" outlineLevel="0" collapsed="false">
      <c r="A2" s="55" t="s">
        <v>2284</v>
      </c>
      <c r="B2" s="55"/>
      <c r="C2" s="55"/>
    </row>
    <row r="3" customFormat="false" ht="27" hidden="false" customHeight="true" outlineLevel="0" collapsed="false">
      <c r="A3" s="55"/>
      <c r="B3" s="55"/>
      <c r="C3" s="55"/>
    </row>
    <row r="5" customFormat="false" ht="45" hidden="false" customHeight="true" outlineLevel="0" collapsed="false">
      <c r="A5" s="22" t="s">
        <v>308</v>
      </c>
      <c r="B5" s="22" t="s">
        <v>2285</v>
      </c>
      <c r="C5" s="22" t="s">
        <v>2286</v>
      </c>
    </row>
    <row r="6" customFormat="false" ht="109.5" hidden="false" customHeight="true" outlineLevel="0" collapsed="false">
      <c r="A6" s="20" t="s">
        <v>2287</v>
      </c>
      <c r="B6" s="20" t="s">
        <v>2288</v>
      </c>
      <c r="C6" s="20" t="s">
        <v>2289</v>
      </c>
    </row>
    <row r="7" customFormat="false" ht="109.5" hidden="false" customHeight="true" outlineLevel="0" collapsed="false">
      <c r="A7" s="19" t="s">
        <v>2290</v>
      </c>
      <c r="B7" s="19" t="s">
        <v>2291</v>
      </c>
      <c r="C7" s="19" t="s">
        <v>2292</v>
      </c>
    </row>
    <row r="8" customFormat="false" ht="109.5" hidden="false" customHeight="true" outlineLevel="0" collapsed="false">
      <c r="A8" s="20" t="s">
        <v>2293</v>
      </c>
      <c r="B8" s="20" t="s">
        <v>2294</v>
      </c>
      <c r="C8" s="20" t="s">
        <v>2295</v>
      </c>
    </row>
    <row r="9" customFormat="false" ht="109.5" hidden="false" customHeight="true" outlineLevel="0" collapsed="false">
      <c r="A9" s="19" t="s">
        <v>2296</v>
      </c>
      <c r="B9" s="19" t="s">
        <v>2297</v>
      </c>
      <c r="C9" s="19" t="s">
        <v>2298</v>
      </c>
    </row>
    <row r="10" customFormat="false" ht="109.5" hidden="false" customHeight="true" outlineLevel="0" collapsed="false">
      <c r="A10" s="20" t="s">
        <v>2299</v>
      </c>
      <c r="B10" s="20" t="s">
        <v>2300</v>
      </c>
      <c r="C10" s="20" t="s">
        <v>2301</v>
      </c>
    </row>
    <row r="11" customFormat="false" ht="109.5" hidden="false" customHeight="true" outlineLevel="0" collapsed="false">
      <c r="A11" s="19" t="s">
        <v>107</v>
      </c>
      <c r="B11" s="19" t="s">
        <v>2302</v>
      </c>
      <c r="C11" s="19" t="s">
        <v>2303</v>
      </c>
    </row>
    <row r="12" customFormat="false" ht="109.5" hidden="false" customHeight="true" outlineLevel="0" collapsed="false">
      <c r="A12" s="20" t="s">
        <v>107</v>
      </c>
      <c r="B12" s="20" t="s">
        <v>2304</v>
      </c>
      <c r="C12" s="20" t="s">
        <v>2303</v>
      </c>
    </row>
    <row r="13" customFormat="false" ht="109.5" hidden="false" customHeight="true" outlineLevel="0" collapsed="false">
      <c r="A13" s="19" t="s">
        <v>107</v>
      </c>
      <c r="B13" s="19" t="s">
        <v>2305</v>
      </c>
      <c r="C13" s="19" t="s">
        <v>2303</v>
      </c>
    </row>
    <row r="14" customFormat="false" ht="109.5" hidden="false" customHeight="true" outlineLevel="0" collapsed="false">
      <c r="A14" s="20" t="s">
        <v>107</v>
      </c>
      <c r="B14" s="20" t="s">
        <v>2306</v>
      </c>
      <c r="C14" s="20" t="s">
        <v>2307</v>
      </c>
    </row>
    <row r="15" customFormat="false" ht="109.5" hidden="false" customHeight="true" outlineLevel="0" collapsed="false">
      <c r="A15" s="19" t="s">
        <v>2308</v>
      </c>
      <c r="B15" s="19" t="s">
        <v>2309</v>
      </c>
      <c r="C15" s="19" t="s">
        <v>2310</v>
      </c>
    </row>
    <row r="16" customFormat="false" ht="109.5" hidden="false" customHeight="true" outlineLevel="0" collapsed="false">
      <c r="A16" s="20" t="s">
        <v>2311</v>
      </c>
      <c r="B16" s="20" t="s">
        <v>2312</v>
      </c>
      <c r="C16" s="20" t="s">
        <v>2071</v>
      </c>
    </row>
    <row r="17" customFormat="false" ht="109.5" hidden="false" customHeight="true" outlineLevel="0" collapsed="false">
      <c r="A17" s="19" t="s">
        <v>2313</v>
      </c>
      <c r="B17" s="19" t="s">
        <v>1034</v>
      </c>
      <c r="C17" s="19" t="s">
        <v>2314</v>
      </c>
    </row>
    <row r="18" customFormat="false" ht="109.5" hidden="false" customHeight="true" outlineLevel="0" collapsed="false">
      <c r="A18" s="20" t="s">
        <v>2315</v>
      </c>
      <c r="B18" s="20" t="s">
        <v>2316</v>
      </c>
      <c r="C18" s="20" t="s">
        <v>2317</v>
      </c>
    </row>
    <row r="19" customFormat="false" ht="109.5" hidden="false" customHeight="true" outlineLevel="0" collapsed="false">
      <c r="A19" s="19" t="s">
        <v>2318</v>
      </c>
      <c r="B19" s="19" t="s">
        <v>2319</v>
      </c>
      <c r="C19" s="19" t="s">
        <v>2320</v>
      </c>
    </row>
  </sheetData>
  <autoFilter ref="A5:C19"/>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4"/>
    <col collapsed="false" customWidth="true" hidden="false" outlineLevel="0" max="2" min="2" style="10" width="28"/>
    <col collapsed="false" customWidth="true" hidden="false" outlineLevel="0" max="3" min="3" style="10" width="35"/>
    <col collapsed="false" customWidth="true" hidden="false" outlineLevel="0" max="4" min="4" style="10" width="28"/>
    <col collapsed="false" customWidth="true" hidden="false" outlineLevel="0" max="5" min="5" style="10" width="37"/>
    <col collapsed="false" customWidth="true" hidden="false" outlineLevel="0" max="6" min="6" style="10" width="115"/>
  </cols>
  <sheetData>
    <row r="1" customFormat="false" ht="33.75" hidden="false" customHeight="true" outlineLevel="0" collapsed="false">
      <c r="A1" s="54" t="s">
        <v>2321</v>
      </c>
      <c r="B1" s="54"/>
      <c r="C1" s="54"/>
      <c r="D1" s="54"/>
      <c r="E1" s="54"/>
      <c r="F1" s="54"/>
    </row>
    <row r="2" customFormat="false" ht="24.75" hidden="false" customHeight="true" outlineLevel="0" collapsed="false">
      <c r="A2" s="55" t="s">
        <v>2322</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2323</v>
      </c>
      <c r="B5" s="22" t="s">
        <v>2324</v>
      </c>
      <c r="C5" s="22" t="s">
        <v>2325</v>
      </c>
      <c r="D5" s="22" t="s">
        <v>2326</v>
      </c>
      <c r="E5" s="22" t="s">
        <v>2327</v>
      </c>
      <c r="F5" s="22" t="s">
        <v>1417</v>
      </c>
    </row>
    <row r="6" customFormat="false" ht="60" hidden="false" customHeight="true" outlineLevel="0" collapsed="false">
      <c r="A6" s="20" t="n">
        <v>1</v>
      </c>
      <c r="B6" s="20" t="n">
        <f aca="false">IF(A6=1,10,A6+10)</f>
        <v>10</v>
      </c>
      <c r="C6" s="20" t="n">
        <f aca="false">B6/2</f>
        <v>5</v>
      </c>
      <c r="D6" s="20" t="n">
        <f aca="false">A6*Parametry!$C$8</f>
        <v>12</v>
      </c>
      <c r="E6" s="20" t="n">
        <f aca="false">ROUNDDOWN(ROUNDDOWN(Parametry!$C$9*Parametry!$C$10^(A6-1),0)*(1+Parametry!$C$72*MAX(0,Parametry!$C$73-2)),0)</f>
        <v>60</v>
      </c>
      <c r="F6" s="20" t="s">
        <v>2328</v>
      </c>
    </row>
    <row r="7" customFormat="false" ht="60" hidden="false" customHeight="true" outlineLevel="0" collapsed="false">
      <c r="A7" s="19" t="n">
        <v>2</v>
      </c>
      <c r="B7" s="19" t="n">
        <f aca="false">IF(A7=1,10,A7+10)</f>
        <v>12</v>
      </c>
      <c r="C7" s="19" t="n">
        <f aca="false">B7/2</f>
        <v>6</v>
      </c>
      <c r="D7" s="19" t="n">
        <f aca="false">A7*Parametry!$C$8</f>
        <v>24</v>
      </c>
      <c r="E7" s="19" t="n">
        <f aca="false">ROUNDDOWN(ROUNDDOWN(Parametry!$C$9*Parametry!$C$10^(A7-1),0)*(1+Parametry!$C$72*MAX(0,Parametry!$C$73-2)),0)</f>
        <v>66</v>
      </c>
      <c r="F7" s="19" t="s">
        <v>2328</v>
      </c>
    </row>
    <row r="8" customFormat="false" ht="60" hidden="false" customHeight="true" outlineLevel="0" collapsed="false">
      <c r="A8" s="20" t="n">
        <v>3</v>
      </c>
      <c r="B8" s="20" t="n">
        <f aca="false">IF(A8=1,10,A8+10)</f>
        <v>13</v>
      </c>
      <c r="C8" s="20" t="n">
        <f aca="false">B8/2</f>
        <v>6.5</v>
      </c>
      <c r="D8" s="20" t="n">
        <f aca="false">A8*Parametry!$C$8</f>
        <v>36</v>
      </c>
      <c r="E8" s="20" t="n">
        <f aca="false">ROUNDDOWN(ROUNDDOWN(Parametry!$C$9*Parametry!$C$10^(A8-1),0)*(1+Parametry!$C$72*MAX(0,Parametry!$C$73-2)),0)</f>
        <v>72</v>
      </c>
      <c r="F8" s="20" t="s">
        <v>2328</v>
      </c>
    </row>
    <row r="9" customFormat="false" ht="60" hidden="false" customHeight="true" outlineLevel="0" collapsed="false">
      <c r="A9" s="19" t="n">
        <v>4</v>
      </c>
      <c r="B9" s="19" t="n">
        <f aca="false">IF(A9=1,10,A9+10)</f>
        <v>14</v>
      </c>
      <c r="C9" s="19" t="n">
        <f aca="false">B9/2</f>
        <v>7</v>
      </c>
      <c r="D9" s="19" t="n">
        <f aca="false">A9*Parametry!$C$8</f>
        <v>48</v>
      </c>
      <c r="E9" s="19" t="n">
        <f aca="false">ROUNDDOWN(ROUNDDOWN(Parametry!$C$9*Parametry!$C$10^(A9-1),0)*(1+Parametry!$C$72*MAX(0,Parametry!$C$73-2)),0)</f>
        <v>79</v>
      </c>
      <c r="F9" s="19" t="s">
        <v>2328</v>
      </c>
    </row>
    <row r="10" customFormat="false" ht="60" hidden="false" customHeight="true" outlineLevel="0" collapsed="false">
      <c r="A10" s="20" t="n">
        <v>5</v>
      </c>
      <c r="B10" s="20" t="n">
        <f aca="false">IF(A10=1,10,A10+10)</f>
        <v>15</v>
      </c>
      <c r="C10" s="20" t="n">
        <f aca="false">B10/2</f>
        <v>7.5</v>
      </c>
      <c r="D10" s="20" t="n">
        <f aca="false">A10*Parametry!$C$8</f>
        <v>60</v>
      </c>
      <c r="E10" s="20" t="n">
        <f aca="false">ROUNDDOWN(ROUNDDOWN(Parametry!$C$9*Parametry!$C$10^(A10-1),0)*(1+Parametry!$C$72*MAX(0,Parametry!$C$73-2)),0)</f>
        <v>87</v>
      </c>
      <c r="F10" s="20" t="s">
        <v>2328</v>
      </c>
    </row>
    <row r="11" customFormat="false" ht="60" hidden="false" customHeight="true" outlineLevel="0" collapsed="false">
      <c r="A11" s="19" t="n">
        <v>6</v>
      </c>
      <c r="B11" s="19" t="n">
        <f aca="false">IF(A11=1,10,A11+10)</f>
        <v>16</v>
      </c>
      <c r="C11" s="19" t="n">
        <f aca="false">B11/2</f>
        <v>8</v>
      </c>
      <c r="D11" s="19" t="n">
        <f aca="false">A11*Parametry!$C$8</f>
        <v>72</v>
      </c>
      <c r="E11" s="19" t="n">
        <f aca="false">ROUNDDOWN(ROUNDDOWN(Parametry!$C$9*Parametry!$C$10^(A11-1),0)*(1+Parametry!$C$72*MAX(0,Parametry!$C$73-2)),0)</f>
        <v>96</v>
      </c>
      <c r="F11" s="19" t="s">
        <v>2328</v>
      </c>
    </row>
    <row r="12" customFormat="false" ht="60" hidden="false" customHeight="true" outlineLevel="0" collapsed="false">
      <c r="A12" s="20" t="n">
        <v>7</v>
      </c>
      <c r="B12" s="20" t="n">
        <f aca="false">IF(A12=1,10,A12+10)</f>
        <v>17</v>
      </c>
      <c r="C12" s="20" t="n">
        <f aca="false">B12/2</f>
        <v>8.5</v>
      </c>
      <c r="D12" s="20" t="n">
        <f aca="false">A12*Parametry!$C$8</f>
        <v>84</v>
      </c>
      <c r="E12" s="20" t="n">
        <f aca="false">ROUNDDOWN(ROUNDDOWN(Parametry!$C$9*Parametry!$C$10^(A12-1),0)*(1+Parametry!$C$72*MAX(0,Parametry!$C$73-2)),0)</f>
        <v>106</v>
      </c>
      <c r="F12" s="20" t="s">
        <v>2328</v>
      </c>
    </row>
    <row r="13" customFormat="false" ht="60" hidden="false" customHeight="true" outlineLevel="0" collapsed="false">
      <c r="A13" s="19" t="n">
        <v>8</v>
      </c>
      <c r="B13" s="19" t="n">
        <f aca="false">IF(A13=1,10,A13+10)</f>
        <v>18</v>
      </c>
      <c r="C13" s="19" t="n">
        <f aca="false">B13/2</f>
        <v>9</v>
      </c>
      <c r="D13" s="19" t="n">
        <f aca="false">A13*Parametry!$C$8</f>
        <v>96</v>
      </c>
      <c r="E13" s="19" t="n">
        <f aca="false">ROUNDDOWN(ROUNDDOWN(Parametry!$C$9*Parametry!$C$10^(A13-1),0)*(1+Parametry!$C$72*MAX(0,Parametry!$C$73-2)),0)</f>
        <v>116</v>
      </c>
      <c r="F13" s="19" t="s">
        <v>2328</v>
      </c>
    </row>
    <row r="14" customFormat="false" ht="60" hidden="false" customHeight="true" outlineLevel="0" collapsed="false">
      <c r="A14" s="20" t="n">
        <v>9</v>
      </c>
      <c r="B14" s="20" t="n">
        <f aca="false">IF(A14=1,10,A14+10)</f>
        <v>19</v>
      </c>
      <c r="C14" s="20" t="n">
        <f aca="false">B14/2</f>
        <v>9.5</v>
      </c>
      <c r="D14" s="20" t="n">
        <f aca="false">A14*Parametry!$C$8</f>
        <v>108</v>
      </c>
      <c r="E14" s="20" t="n">
        <f aca="false">ROUNDDOWN(ROUNDDOWN(Parametry!$C$9*Parametry!$C$10^(A14-1),0)*(1+Parametry!$C$72*MAX(0,Parametry!$C$73-2)),0)</f>
        <v>128</v>
      </c>
      <c r="F14" s="20" t="s">
        <v>2328</v>
      </c>
    </row>
    <row r="15" customFormat="false" ht="60" hidden="false" customHeight="true" outlineLevel="0" collapsed="false">
      <c r="A15" s="19" t="n">
        <v>10</v>
      </c>
      <c r="B15" s="19" t="n">
        <f aca="false">IF(A15=1,10,A15+10)</f>
        <v>20</v>
      </c>
      <c r="C15" s="19" t="n">
        <f aca="false">B15/2</f>
        <v>10</v>
      </c>
      <c r="D15" s="19" t="n">
        <f aca="false">A15*Parametry!$C$8</f>
        <v>120</v>
      </c>
      <c r="E15" s="19" t="n">
        <f aca="false">ROUNDDOWN(ROUNDDOWN(Parametry!$C$9*Parametry!$C$10^(A15-1),0)*(1+Parametry!$C$72*MAX(0,Parametry!$C$73-2)),0)</f>
        <v>141</v>
      </c>
      <c r="F15" s="19" t="s">
        <v>2328</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1"/>
    <col collapsed="false" customWidth="true" hidden="false" outlineLevel="0" max="2" min="2" style="10" width="13"/>
    <col collapsed="false" customWidth="true" hidden="false" outlineLevel="0" max="3" min="3" style="10" width="23"/>
    <col collapsed="false" customWidth="true" hidden="false" outlineLevel="0" max="5" min="4" style="10" width="11"/>
    <col collapsed="false" customWidth="true" hidden="false" outlineLevel="0" max="6" min="6" style="10" width="18"/>
    <col collapsed="false" customWidth="true" hidden="false" outlineLevel="0" max="7" min="7" style="10" width="20"/>
    <col collapsed="false" customWidth="true" hidden="false" outlineLevel="0" max="8" min="8" style="10" width="22"/>
    <col collapsed="false" customWidth="true" hidden="false" outlineLevel="0" max="14" min="9" style="10" width="15"/>
    <col collapsed="false" customWidth="true" hidden="false" outlineLevel="0" max="19" min="15" style="10" width="18"/>
    <col collapsed="false" customWidth="true" hidden="false" outlineLevel="0" max="20" min="20" style="10" width="19"/>
    <col collapsed="false" customWidth="true" hidden="false" outlineLevel="0" max="21" min="21" style="10" width="14"/>
    <col collapsed="false" customWidth="true" hidden="false" outlineLevel="0" max="22" min="22" style="10" width="22"/>
    <col collapsed="false" customWidth="true" hidden="false" outlineLevel="0" max="23" min="23" style="10" width="18"/>
    <col collapsed="false" customWidth="true" hidden="false" outlineLevel="0" max="24" min="24" style="10" width="24"/>
    <col collapsed="false" customWidth="true" hidden="false" outlineLevel="0" max="25" min="25" style="10" width="22"/>
    <col collapsed="false" customWidth="true" hidden="false" outlineLevel="0" max="26" min="26" style="10" width="24"/>
    <col collapsed="false" customWidth="true" hidden="false" outlineLevel="0" max="27" min="27" style="10" width="115"/>
  </cols>
  <sheetData>
    <row r="1" customFormat="false" ht="33.75" hidden="false" customHeight="true" outlineLevel="0" collapsed="false">
      <c r="A1" s="54" t="s">
        <v>2329</v>
      </c>
      <c r="B1" s="54"/>
      <c r="C1" s="54"/>
      <c r="D1" s="54"/>
      <c r="E1" s="54"/>
      <c r="F1" s="54"/>
      <c r="G1" s="54"/>
      <c r="H1" s="54"/>
      <c r="I1" s="54"/>
      <c r="J1" s="54"/>
      <c r="K1" s="54"/>
      <c r="L1" s="54"/>
      <c r="M1" s="54"/>
      <c r="N1" s="54"/>
      <c r="O1" s="54"/>
      <c r="P1" s="54"/>
      <c r="Q1" s="54"/>
      <c r="R1" s="54"/>
      <c r="S1" s="54"/>
      <c r="T1" s="54"/>
      <c r="U1" s="54"/>
      <c r="V1" s="54"/>
      <c r="W1" s="54"/>
      <c r="X1" s="54"/>
      <c r="Y1" s="54"/>
      <c r="Z1" s="54"/>
      <c r="AA1" s="54"/>
    </row>
    <row r="2" customFormat="false" ht="24.75" hidden="false" customHeight="true" outlineLevel="0" collapsed="false">
      <c r="A2" s="55" t="s">
        <v>2330</v>
      </c>
      <c r="B2" s="55"/>
      <c r="C2" s="55"/>
      <c r="D2" s="55"/>
      <c r="E2" s="55"/>
      <c r="F2" s="55"/>
      <c r="G2" s="55"/>
      <c r="H2" s="55"/>
      <c r="I2" s="55"/>
      <c r="J2" s="55"/>
      <c r="K2" s="55"/>
      <c r="L2" s="55"/>
      <c r="M2" s="55"/>
      <c r="N2" s="55"/>
      <c r="O2" s="55"/>
      <c r="P2" s="55"/>
      <c r="Q2" s="55"/>
      <c r="R2" s="55"/>
      <c r="S2" s="55"/>
      <c r="T2" s="55"/>
      <c r="U2" s="55"/>
      <c r="V2" s="55"/>
      <c r="W2" s="55"/>
      <c r="X2" s="55"/>
      <c r="Y2" s="55"/>
      <c r="Z2" s="55"/>
      <c r="AA2" s="55"/>
    </row>
    <row r="3" customFormat="false" ht="24.75" hidden="false" customHeight="true" outlineLevel="0" collapsed="false">
      <c r="A3" s="55"/>
      <c r="B3" s="55"/>
      <c r="C3" s="55"/>
      <c r="D3" s="55"/>
      <c r="E3" s="55"/>
      <c r="F3" s="55"/>
      <c r="G3" s="55"/>
      <c r="H3" s="55"/>
      <c r="I3" s="55"/>
      <c r="J3" s="55"/>
      <c r="K3" s="55"/>
      <c r="L3" s="55"/>
      <c r="M3" s="55"/>
      <c r="N3" s="55"/>
      <c r="O3" s="55"/>
      <c r="P3" s="55"/>
      <c r="Q3" s="55"/>
      <c r="R3" s="55"/>
      <c r="S3" s="55"/>
      <c r="T3" s="55"/>
      <c r="U3" s="55"/>
      <c r="V3" s="55"/>
      <c r="W3" s="55"/>
      <c r="X3" s="55"/>
      <c r="Y3" s="55"/>
      <c r="Z3" s="55"/>
      <c r="AA3" s="55"/>
    </row>
    <row r="5" customFormat="false" ht="48" hidden="false" customHeight="true" outlineLevel="0" collapsed="false">
      <c r="A5" s="22" t="s">
        <v>231</v>
      </c>
      <c r="B5" s="22" t="s">
        <v>2331</v>
      </c>
      <c r="C5" s="22" t="s">
        <v>2332</v>
      </c>
      <c r="D5" s="22" t="s">
        <v>2333</v>
      </c>
      <c r="E5" s="22" t="s">
        <v>2334</v>
      </c>
      <c r="F5" s="22" t="s">
        <v>1920</v>
      </c>
      <c r="G5" s="22" t="s">
        <v>2335</v>
      </c>
      <c r="H5" s="22" t="s">
        <v>2336</v>
      </c>
      <c r="I5" s="22" t="s">
        <v>1896</v>
      </c>
      <c r="J5" s="22" t="s">
        <v>518</v>
      </c>
      <c r="K5" s="22" t="s">
        <v>517</v>
      </c>
      <c r="L5" s="22" t="s">
        <v>513</v>
      </c>
      <c r="M5" s="22" t="s">
        <v>1915</v>
      </c>
      <c r="N5" s="22" t="s">
        <v>1916</v>
      </c>
      <c r="O5" s="22" t="s">
        <v>2337</v>
      </c>
      <c r="P5" s="22" t="s">
        <v>2338</v>
      </c>
      <c r="Q5" s="22" t="s">
        <v>2339</v>
      </c>
      <c r="R5" s="22" t="s">
        <v>2340</v>
      </c>
      <c r="S5" s="22" t="s">
        <v>2341</v>
      </c>
      <c r="T5" s="22" t="s">
        <v>1895</v>
      </c>
      <c r="U5" s="22" t="s">
        <v>2342</v>
      </c>
      <c r="V5" s="22" t="s">
        <v>2343</v>
      </c>
      <c r="W5" s="22" t="s">
        <v>2344</v>
      </c>
      <c r="X5" s="22" t="s">
        <v>2345</v>
      </c>
      <c r="Y5" s="22" t="s">
        <v>2346</v>
      </c>
      <c r="Z5" s="22" t="s">
        <v>2347</v>
      </c>
      <c r="AA5" s="22" t="s">
        <v>1445</v>
      </c>
    </row>
    <row r="6" customFormat="false" ht="69.75" hidden="false" customHeight="true" outlineLevel="0" collapsed="false">
      <c r="A6" s="20" t="s">
        <v>239</v>
      </c>
      <c r="B6" s="20" t="s">
        <v>2348</v>
      </c>
      <c r="C6" s="20" t="s">
        <v>2349</v>
      </c>
      <c r="D6" s="20" t="n">
        <v>1</v>
      </c>
      <c r="E6" s="20" t="n">
        <f aca="false">D6+1</f>
        <v>2</v>
      </c>
      <c r="F6" s="20" t="n">
        <v>1</v>
      </c>
      <c r="G6" s="60" t="n">
        <f aca="false">Parametry!$C$12</f>
        <v>6</v>
      </c>
      <c r="H6" s="20" t="n">
        <f aca="false">ROUNDDOWN(ROUNDDOWN(Parametry!$C$9*Parametry!$C$10^(F6-1),0)*(1+Parametry!$C$72*MAX(0,Parametry!$C$73-2)),0)</f>
        <v>60</v>
      </c>
      <c r="I6" s="20" t="n">
        <f aca="false">ROUNDUP((Parametry!$C$20*MAX(1,D6))*1,0)</f>
        <v>500</v>
      </c>
      <c r="J6" s="20" t="n">
        <f aca="false">ROUNDUP((Parametry!$C$20*MAX(1,D6))*1,0)</f>
        <v>500</v>
      </c>
      <c r="K6" s="20" t="n">
        <f aca="false">ROUNDUP((Parametry!$C$20*MAX(1,D6))*1,0)</f>
        <v>500</v>
      </c>
      <c r="L6" s="20" t="n">
        <f aca="false">ROUNDUP((Parametry!$C$20*MAX(1,D6))*1,0)</f>
        <v>500</v>
      </c>
      <c r="M6" s="20" t="n">
        <f aca="false">ROUNDUP((Parametry!$C$20*MAX(1,D6))*1,0)</f>
        <v>500</v>
      </c>
      <c r="N6" s="20" t="n">
        <f aca="false">ROUNDUP((Parametry!$C$20*MAX(1,D6))*1,0)</f>
        <v>500</v>
      </c>
      <c r="O6" s="20" t="n">
        <f aca="false">ROUNDUP(J6/H6,0)</f>
        <v>9</v>
      </c>
      <c r="P6" s="20" t="n">
        <f aca="false">ROUNDUP(K6/H6,0)</f>
        <v>9</v>
      </c>
      <c r="Q6" s="20" t="n">
        <f aca="false">ROUNDUP(L6/H6,0)</f>
        <v>9</v>
      </c>
      <c r="R6" s="20" t="n">
        <f aca="false">ROUNDUP(M6/H6,0)</f>
        <v>9</v>
      </c>
      <c r="S6" s="20" t="n">
        <f aca="false">ROUNDUP(N6/H6,0)</f>
        <v>9</v>
      </c>
      <c r="T6" s="20" t="n">
        <f aca="false">SUM(O6:S6)</f>
        <v>45</v>
      </c>
      <c r="U6" s="20" t="n">
        <f aca="false">ROUNDUP(T6/G6,0)</f>
        <v>8</v>
      </c>
      <c r="V6" s="20" t="n">
        <f aca="false">U6*Parametry!$C$11/(1+Parametry!$C$71*Parametry!$C$73)</f>
        <v>40</v>
      </c>
      <c r="W6" s="20" t="n">
        <f aca="false">2</f>
        <v>2</v>
      </c>
      <c r="X6" s="20" t="n">
        <f aca="false">V6*(W6-1)</f>
        <v>40</v>
      </c>
      <c r="Y6" s="20" t="n">
        <f aca="false">V6*W6</f>
        <v>80</v>
      </c>
      <c r="Z6" s="20" t="n">
        <f aca="false">SUM(J6:N6)</f>
        <v>2500</v>
      </c>
      <c r="AA6" s="20" t="s">
        <v>2350</v>
      </c>
    </row>
    <row r="7" customFormat="false" ht="69.75" hidden="false" customHeight="true" outlineLevel="0" collapsed="false">
      <c r="A7" s="19" t="s">
        <v>239</v>
      </c>
      <c r="B7" s="19" t="s">
        <v>2348</v>
      </c>
      <c r="C7" s="19" t="s">
        <v>2351</v>
      </c>
      <c r="D7" s="19" t="n">
        <v>1</v>
      </c>
      <c r="E7" s="19" t="n">
        <f aca="false">D7+1</f>
        <v>2</v>
      </c>
      <c r="F7" s="19" t="n">
        <v>1</v>
      </c>
      <c r="G7" s="61" t="n">
        <f aca="false">Parametry!$C$12</f>
        <v>6</v>
      </c>
      <c r="H7" s="19" t="n">
        <f aca="false">ROUNDDOWN(ROUNDDOWN(Parametry!$C$9*Parametry!$C$10^(F7-1),0)*(1+Parametry!$C$72*MAX(0,Parametry!$C$73-2)),0)</f>
        <v>60</v>
      </c>
      <c r="I7" s="19" t="n">
        <f aca="false">ROUNDUP((Parametry!$C$20*MAX(1,D7))*Parametry!$C$15,0)</f>
        <v>550</v>
      </c>
      <c r="J7" s="19" t="n">
        <f aca="false">ROUNDUP((Parametry!$C$20*MAX(1,D7))*Parametry!$C$15,0)</f>
        <v>550</v>
      </c>
      <c r="K7" s="19" t="n">
        <f aca="false">ROUNDUP((Parametry!$C$20*MAX(1,D7))*Parametry!$C$15,0)</f>
        <v>550</v>
      </c>
      <c r="L7" s="19" t="n">
        <f aca="false">ROUNDUP((Parametry!$C$20*MAX(1,D7))*Parametry!$C$15,0)</f>
        <v>550</v>
      </c>
      <c r="M7" s="19" t="n">
        <f aca="false">ROUNDUP((Parametry!$C$20*MAX(1,D7))*Parametry!$C$15,0)</f>
        <v>550</v>
      </c>
      <c r="N7" s="19" t="n">
        <f aca="false">ROUNDUP((Parametry!$C$20*MAX(1,D7))*Parametry!$C$15,0)</f>
        <v>550</v>
      </c>
      <c r="O7" s="19" t="n">
        <f aca="false">ROUNDUP(J7/H7,0)</f>
        <v>10</v>
      </c>
      <c r="P7" s="19" t="n">
        <f aca="false">ROUNDUP(K7/H7,0)</f>
        <v>10</v>
      </c>
      <c r="Q7" s="19" t="n">
        <f aca="false">ROUNDUP(L7/H7,0)</f>
        <v>10</v>
      </c>
      <c r="R7" s="19" t="n">
        <f aca="false">ROUNDUP(M7/H7,0)</f>
        <v>10</v>
      </c>
      <c r="S7" s="19" t="n">
        <f aca="false">ROUNDUP(N7/H7,0)</f>
        <v>10</v>
      </c>
      <c r="T7" s="19" t="n">
        <f aca="false">SUM(O7:S7)</f>
        <v>50</v>
      </c>
      <c r="U7" s="19" t="n">
        <f aca="false">ROUNDUP(T7/G7,0)</f>
        <v>9</v>
      </c>
      <c r="V7" s="19" t="n">
        <f aca="false">U7*Parametry!$C$11/(1+Parametry!$C$71*Parametry!$C$73)</f>
        <v>45</v>
      </c>
      <c r="W7" s="19" t="n">
        <f aca="false">2</f>
        <v>2</v>
      </c>
      <c r="X7" s="19" t="n">
        <f aca="false">V7*(W7-1)</f>
        <v>45</v>
      </c>
      <c r="Y7" s="19" t="n">
        <f aca="false">V7*W7</f>
        <v>90</v>
      </c>
      <c r="Z7" s="19" t="n">
        <f aca="false">SUM(J7:N7)</f>
        <v>2750</v>
      </c>
      <c r="AA7" s="19" t="s">
        <v>2350</v>
      </c>
    </row>
    <row r="8" customFormat="false" ht="69.75" hidden="false" customHeight="true" outlineLevel="0" collapsed="false">
      <c r="A8" s="20" t="s">
        <v>239</v>
      </c>
      <c r="B8" s="20" t="s">
        <v>2352</v>
      </c>
      <c r="C8" s="20" t="s">
        <v>2349</v>
      </c>
      <c r="D8" s="20" t="n">
        <v>2</v>
      </c>
      <c r="E8" s="20" t="n">
        <f aca="false">D8+1</f>
        <v>3</v>
      </c>
      <c r="F8" s="20" t="n">
        <v>2</v>
      </c>
      <c r="G8" s="60" t="n">
        <f aca="false">Parametry!$C$12</f>
        <v>6</v>
      </c>
      <c r="H8" s="20" t="n">
        <f aca="false">ROUNDDOWN(ROUNDDOWN(Parametry!$C$9*Parametry!$C$10^(F8-1),0)*(1+Parametry!$C$72*MAX(0,Parametry!$C$73-2)),0)</f>
        <v>66</v>
      </c>
      <c r="I8" s="20" t="n">
        <f aca="false">ROUNDUP((Parametry!$C$20*MAX(1,D8))*1,0)</f>
        <v>1000</v>
      </c>
      <c r="J8" s="20" t="n">
        <f aca="false">ROUNDUP((Parametry!$C$20*MAX(1,D8))*1,0)</f>
        <v>1000</v>
      </c>
      <c r="K8" s="20" t="n">
        <f aca="false">ROUNDUP((Parametry!$C$20*MAX(1,D8))*1,0)</f>
        <v>1000</v>
      </c>
      <c r="L8" s="20" t="n">
        <f aca="false">ROUNDUP((Parametry!$C$20*MAX(1,D8))*1,0)</f>
        <v>1000</v>
      </c>
      <c r="M8" s="20" t="n">
        <f aca="false">ROUNDUP((Parametry!$C$20*MAX(1,D8))*1,0)</f>
        <v>1000</v>
      </c>
      <c r="N8" s="20" t="n">
        <f aca="false">ROUNDUP((Parametry!$C$20*MAX(1,D8))*1,0)</f>
        <v>1000</v>
      </c>
      <c r="O8" s="20" t="n">
        <f aca="false">ROUNDUP(J8/H8,0)</f>
        <v>16</v>
      </c>
      <c r="P8" s="20" t="n">
        <f aca="false">ROUNDUP(K8/H8,0)</f>
        <v>16</v>
      </c>
      <c r="Q8" s="20" t="n">
        <f aca="false">ROUNDUP(L8/H8,0)</f>
        <v>16</v>
      </c>
      <c r="R8" s="20" t="n">
        <f aca="false">ROUNDUP(M8/H8,0)</f>
        <v>16</v>
      </c>
      <c r="S8" s="20" t="n">
        <f aca="false">ROUNDUP(N8/H8,0)</f>
        <v>16</v>
      </c>
      <c r="T8" s="20" t="n">
        <f aca="false">SUM(O8:S8)</f>
        <v>80</v>
      </c>
      <c r="U8" s="20" t="n">
        <f aca="false">ROUNDUP(T8/G8,0)</f>
        <v>14</v>
      </c>
      <c r="V8" s="20" t="n">
        <f aca="false">U8*Parametry!$C$11/(1+Parametry!$C$71*Parametry!$C$73)</f>
        <v>70</v>
      </c>
      <c r="W8" s="20" t="n">
        <f aca="false">2</f>
        <v>2</v>
      </c>
      <c r="X8" s="20" t="n">
        <f aca="false">V8*(W8-1)</f>
        <v>70</v>
      </c>
      <c r="Y8" s="20" t="n">
        <f aca="false">V8*W8</f>
        <v>140</v>
      </c>
      <c r="Z8" s="20" t="n">
        <f aca="false">SUM(J8:N8)</f>
        <v>5000</v>
      </c>
      <c r="AA8" s="20" t="s">
        <v>2350</v>
      </c>
    </row>
    <row r="9" customFormat="false" ht="69.75" hidden="false" customHeight="true" outlineLevel="0" collapsed="false">
      <c r="A9" s="19" t="s">
        <v>239</v>
      </c>
      <c r="B9" s="19" t="s">
        <v>2352</v>
      </c>
      <c r="C9" s="19" t="s">
        <v>2351</v>
      </c>
      <c r="D9" s="19" t="n">
        <v>2</v>
      </c>
      <c r="E9" s="19" t="n">
        <f aca="false">D9+1</f>
        <v>3</v>
      </c>
      <c r="F9" s="19" t="n">
        <v>2</v>
      </c>
      <c r="G9" s="61" t="n">
        <f aca="false">Parametry!$C$12</f>
        <v>6</v>
      </c>
      <c r="H9" s="19" t="n">
        <f aca="false">ROUNDDOWN(ROUNDDOWN(Parametry!$C$9*Parametry!$C$10^(F9-1),0)*(1+Parametry!$C$72*MAX(0,Parametry!$C$73-2)),0)</f>
        <v>66</v>
      </c>
      <c r="I9" s="19" t="n">
        <f aca="false">ROUNDUP((Parametry!$C$20*MAX(1,D9))*Parametry!$C$15,0)</f>
        <v>1100</v>
      </c>
      <c r="J9" s="19" t="n">
        <f aca="false">ROUNDUP((Parametry!$C$20*MAX(1,D9))*Parametry!$C$15,0)</f>
        <v>1100</v>
      </c>
      <c r="K9" s="19" t="n">
        <f aca="false">ROUNDUP((Parametry!$C$20*MAX(1,D9))*Parametry!$C$15,0)</f>
        <v>1100</v>
      </c>
      <c r="L9" s="19" t="n">
        <f aca="false">ROUNDUP((Parametry!$C$20*MAX(1,D9))*Parametry!$C$15,0)</f>
        <v>1100</v>
      </c>
      <c r="M9" s="19" t="n">
        <f aca="false">ROUNDUP((Parametry!$C$20*MAX(1,D9))*Parametry!$C$15,0)</f>
        <v>1100</v>
      </c>
      <c r="N9" s="19" t="n">
        <f aca="false">ROUNDUP((Parametry!$C$20*MAX(1,D9))*Parametry!$C$15,0)</f>
        <v>1100</v>
      </c>
      <c r="O9" s="19" t="n">
        <f aca="false">ROUNDUP(J9/H9,0)</f>
        <v>17</v>
      </c>
      <c r="P9" s="19" t="n">
        <f aca="false">ROUNDUP(K9/H9,0)</f>
        <v>17</v>
      </c>
      <c r="Q9" s="19" t="n">
        <f aca="false">ROUNDUP(L9/H9,0)</f>
        <v>17</v>
      </c>
      <c r="R9" s="19" t="n">
        <f aca="false">ROUNDUP(M9/H9,0)</f>
        <v>17</v>
      </c>
      <c r="S9" s="19" t="n">
        <f aca="false">ROUNDUP(N9/H9,0)</f>
        <v>17</v>
      </c>
      <c r="T9" s="19" t="n">
        <f aca="false">SUM(O9:S9)</f>
        <v>85</v>
      </c>
      <c r="U9" s="19" t="n">
        <f aca="false">ROUNDUP(T9/G9,0)</f>
        <v>15</v>
      </c>
      <c r="V9" s="19" t="n">
        <f aca="false">U9*Parametry!$C$11/(1+Parametry!$C$71*Parametry!$C$73)</f>
        <v>75</v>
      </c>
      <c r="W9" s="19" t="n">
        <f aca="false">2</f>
        <v>2</v>
      </c>
      <c r="X9" s="19" t="n">
        <f aca="false">V9*(W9-1)</f>
        <v>75</v>
      </c>
      <c r="Y9" s="19" t="n">
        <f aca="false">V9*W9</f>
        <v>150</v>
      </c>
      <c r="Z9" s="19" t="n">
        <f aca="false">SUM(J9:N9)</f>
        <v>5500</v>
      </c>
      <c r="AA9" s="19" t="s">
        <v>2350</v>
      </c>
    </row>
    <row r="10" customFormat="false" ht="69.75" hidden="false" customHeight="true" outlineLevel="0" collapsed="false">
      <c r="A10" s="20" t="s">
        <v>239</v>
      </c>
      <c r="B10" s="20" t="s">
        <v>2353</v>
      </c>
      <c r="C10" s="20" t="s">
        <v>2349</v>
      </c>
      <c r="D10" s="20" t="n">
        <v>3</v>
      </c>
      <c r="E10" s="20" t="n">
        <f aca="false">D10+1</f>
        <v>4</v>
      </c>
      <c r="F10" s="20" t="n">
        <v>3</v>
      </c>
      <c r="G10" s="60" t="n">
        <f aca="false">Parametry!$C$12</f>
        <v>6</v>
      </c>
      <c r="H10" s="20" t="n">
        <f aca="false">ROUNDDOWN(ROUNDDOWN(Parametry!$C$9*Parametry!$C$10^(F10-1),0)*(1+Parametry!$C$72*MAX(0,Parametry!$C$73-2)),0)</f>
        <v>72</v>
      </c>
      <c r="I10" s="20" t="n">
        <f aca="false">ROUNDUP((Parametry!$C$20*MAX(1,D10))*1,0)</f>
        <v>1500</v>
      </c>
      <c r="J10" s="20" t="n">
        <f aca="false">ROUNDUP((Parametry!$C$20*MAX(1,D10))*1,0)</f>
        <v>1500</v>
      </c>
      <c r="K10" s="20" t="n">
        <f aca="false">ROUNDUP((Parametry!$C$20*MAX(1,D10))*1,0)</f>
        <v>1500</v>
      </c>
      <c r="L10" s="20" t="n">
        <f aca="false">ROUNDUP((Parametry!$C$20*MAX(1,D10))*1,0)</f>
        <v>1500</v>
      </c>
      <c r="M10" s="20" t="n">
        <f aca="false">ROUNDUP((Parametry!$C$20*MAX(1,D10))*1,0)</f>
        <v>1500</v>
      </c>
      <c r="N10" s="20" t="n">
        <f aca="false">ROUNDUP((Parametry!$C$20*MAX(1,D10))*1,0)</f>
        <v>1500</v>
      </c>
      <c r="O10" s="20" t="n">
        <f aca="false">ROUNDUP(J10/H10,0)</f>
        <v>21</v>
      </c>
      <c r="P10" s="20" t="n">
        <f aca="false">ROUNDUP(K10/H10,0)</f>
        <v>21</v>
      </c>
      <c r="Q10" s="20" t="n">
        <f aca="false">ROUNDUP(L10/H10,0)</f>
        <v>21</v>
      </c>
      <c r="R10" s="20" t="n">
        <f aca="false">ROUNDUP(M10/H10,0)</f>
        <v>21</v>
      </c>
      <c r="S10" s="20" t="n">
        <f aca="false">ROUNDUP(N10/H10,0)</f>
        <v>21</v>
      </c>
      <c r="T10" s="20" t="n">
        <f aca="false">SUM(O10:S10)</f>
        <v>105</v>
      </c>
      <c r="U10" s="20" t="n">
        <f aca="false">ROUNDUP(T10/G10,0)</f>
        <v>18</v>
      </c>
      <c r="V10" s="20" t="n">
        <f aca="false">U10*Parametry!$C$11/(1+Parametry!$C$71*Parametry!$C$73)</f>
        <v>90</v>
      </c>
      <c r="W10" s="20" t="n">
        <f aca="false">2</f>
        <v>2</v>
      </c>
      <c r="X10" s="20" t="n">
        <f aca="false">V10*(W10-1)</f>
        <v>90</v>
      </c>
      <c r="Y10" s="20" t="n">
        <f aca="false">V10*W10</f>
        <v>180</v>
      </c>
      <c r="Z10" s="20" t="n">
        <f aca="false">SUM(J10:N10)</f>
        <v>7500</v>
      </c>
      <c r="AA10" s="20" t="s">
        <v>2350</v>
      </c>
    </row>
    <row r="11" customFormat="false" ht="69.75" hidden="false" customHeight="true" outlineLevel="0" collapsed="false">
      <c r="A11" s="19" t="s">
        <v>239</v>
      </c>
      <c r="B11" s="19" t="s">
        <v>2353</v>
      </c>
      <c r="C11" s="19" t="s">
        <v>2351</v>
      </c>
      <c r="D11" s="19" t="n">
        <v>3</v>
      </c>
      <c r="E11" s="19" t="n">
        <f aca="false">D11+1</f>
        <v>4</v>
      </c>
      <c r="F11" s="19" t="n">
        <v>3</v>
      </c>
      <c r="G11" s="61" t="n">
        <f aca="false">Parametry!$C$12</f>
        <v>6</v>
      </c>
      <c r="H11" s="19" t="n">
        <f aca="false">ROUNDDOWN(ROUNDDOWN(Parametry!$C$9*Parametry!$C$10^(F11-1),0)*(1+Parametry!$C$72*MAX(0,Parametry!$C$73-2)),0)</f>
        <v>72</v>
      </c>
      <c r="I11" s="19" t="n">
        <f aca="false">ROUNDUP((Parametry!$C$20*MAX(1,D11))*Parametry!$C$15,0)</f>
        <v>1650</v>
      </c>
      <c r="J11" s="19" t="n">
        <f aca="false">ROUNDUP((Parametry!$C$20*MAX(1,D11))*Parametry!$C$15,0)</f>
        <v>1650</v>
      </c>
      <c r="K11" s="19" t="n">
        <f aca="false">ROUNDUP((Parametry!$C$20*MAX(1,D11))*Parametry!$C$15,0)</f>
        <v>1650</v>
      </c>
      <c r="L11" s="19" t="n">
        <f aca="false">ROUNDUP((Parametry!$C$20*MAX(1,D11))*Parametry!$C$15,0)</f>
        <v>1650</v>
      </c>
      <c r="M11" s="19" t="n">
        <f aca="false">ROUNDUP((Parametry!$C$20*MAX(1,D11))*Parametry!$C$15,0)</f>
        <v>1650</v>
      </c>
      <c r="N11" s="19" t="n">
        <f aca="false">ROUNDUP((Parametry!$C$20*MAX(1,D11))*Parametry!$C$15,0)</f>
        <v>1650</v>
      </c>
      <c r="O11" s="19" t="n">
        <f aca="false">ROUNDUP(J11/H11,0)</f>
        <v>23</v>
      </c>
      <c r="P11" s="19" t="n">
        <f aca="false">ROUNDUP(K11/H11,0)</f>
        <v>23</v>
      </c>
      <c r="Q11" s="19" t="n">
        <f aca="false">ROUNDUP(L11/H11,0)</f>
        <v>23</v>
      </c>
      <c r="R11" s="19" t="n">
        <f aca="false">ROUNDUP(M11/H11,0)</f>
        <v>23</v>
      </c>
      <c r="S11" s="19" t="n">
        <f aca="false">ROUNDUP(N11/H11,0)</f>
        <v>23</v>
      </c>
      <c r="T11" s="19" t="n">
        <f aca="false">SUM(O11:S11)</f>
        <v>115</v>
      </c>
      <c r="U11" s="19" t="n">
        <f aca="false">ROUNDUP(T11/G11,0)</f>
        <v>20</v>
      </c>
      <c r="V11" s="19" t="n">
        <f aca="false">U11*Parametry!$C$11/(1+Parametry!$C$71*Parametry!$C$73)</f>
        <v>100</v>
      </c>
      <c r="W11" s="19" t="n">
        <f aca="false">2</f>
        <v>2</v>
      </c>
      <c r="X11" s="19" t="n">
        <f aca="false">V11*(W11-1)</f>
        <v>100</v>
      </c>
      <c r="Y11" s="19" t="n">
        <f aca="false">V11*W11</f>
        <v>200</v>
      </c>
      <c r="Z11" s="19" t="n">
        <f aca="false">SUM(J11:N11)</f>
        <v>8250</v>
      </c>
      <c r="AA11" s="19" t="s">
        <v>2350</v>
      </c>
    </row>
    <row r="12" customFormat="false" ht="69.75" hidden="false" customHeight="true" outlineLevel="0" collapsed="false">
      <c r="A12" s="20" t="s">
        <v>247</v>
      </c>
      <c r="B12" s="20" t="s">
        <v>2348</v>
      </c>
      <c r="C12" s="20" t="s">
        <v>2349</v>
      </c>
      <c r="D12" s="20" t="n">
        <v>1</v>
      </c>
      <c r="E12" s="20" t="n">
        <f aca="false">D12+1</f>
        <v>2</v>
      </c>
      <c r="F12" s="20" t="n">
        <v>1</v>
      </c>
      <c r="G12" s="60" t="n">
        <f aca="false">Parametry!$C$12</f>
        <v>6</v>
      </c>
      <c r="H12" s="20" t="n">
        <f aca="false">ROUNDDOWN(ROUNDDOWN(Parametry!$C$9*Parametry!$C$10^(F12-1),0)*(1+Parametry!$C$72*MAX(0,Parametry!$C$73-2)),0)</f>
        <v>60</v>
      </c>
      <c r="I12" s="20" t="n">
        <f aca="false">ROUNDUP((Parametry!$C$20*MAX(1,D12))*1,0)</f>
        <v>500</v>
      </c>
      <c r="J12" s="20" t="n">
        <f aca="false">ROUNDUP((Parametry!$C$20*MAX(1,D12))*1,0)</f>
        <v>500</v>
      </c>
      <c r="K12" s="20" t="n">
        <f aca="false">ROUNDUP((Parametry!$C$20*MAX(1,D12))*1,0)</f>
        <v>500</v>
      </c>
      <c r="L12" s="20" t="n">
        <f aca="false">ROUNDUP((Parametry!$C$20*MAX(1,D12))*1,0)</f>
        <v>500</v>
      </c>
      <c r="M12" s="20" t="n">
        <f aca="false">ROUNDUP((Parametry!$C$20*MAX(1,D12))*1,0)</f>
        <v>500</v>
      </c>
      <c r="N12" s="20" t="n">
        <f aca="false">ROUNDUP((Parametry!$C$20*MAX(1,D12))*1,0)</f>
        <v>500</v>
      </c>
      <c r="O12" s="20" t="n">
        <f aca="false">ROUNDUP(J12/H12,0)</f>
        <v>9</v>
      </c>
      <c r="P12" s="20" t="n">
        <f aca="false">ROUNDUP(K12/H12,0)</f>
        <v>9</v>
      </c>
      <c r="Q12" s="20" t="n">
        <f aca="false">ROUNDUP(L12/H12,0)</f>
        <v>9</v>
      </c>
      <c r="R12" s="20" t="n">
        <f aca="false">ROUNDUP(M12/H12,0)</f>
        <v>9</v>
      </c>
      <c r="S12" s="20" t="n">
        <f aca="false">ROUNDUP(N12/H12,0)</f>
        <v>9</v>
      </c>
      <c r="T12" s="20" t="n">
        <f aca="false">SUM(O12:S12)</f>
        <v>45</v>
      </c>
      <c r="U12" s="20" t="n">
        <f aca="false">ROUNDUP(T12/G12,0)</f>
        <v>8</v>
      </c>
      <c r="V12" s="20" t="n">
        <f aca="false">U12*Parametry!$C$11/(1+Parametry!$C$71*Parametry!$C$73)</f>
        <v>40</v>
      </c>
      <c r="W12" s="20" t="n">
        <f aca="false">2</f>
        <v>2</v>
      </c>
      <c r="X12" s="20" t="n">
        <f aca="false">V12*(W12-1)</f>
        <v>40</v>
      </c>
      <c r="Y12" s="20" t="n">
        <f aca="false">V12*W12</f>
        <v>80</v>
      </c>
      <c r="Z12" s="20" t="n">
        <f aca="false">SUM(J12:N12)</f>
        <v>2500</v>
      </c>
      <c r="AA12" s="20" t="s">
        <v>2350</v>
      </c>
    </row>
    <row r="13" customFormat="false" ht="69.75" hidden="false" customHeight="true" outlineLevel="0" collapsed="false">
      <c r="A13" s="19" t="s">
        <v>247</v>
      </c>
      <c r="B13" s="19" t="s">
        <v>2348</v>
      </c>
      <c r="C13" s="19" t="s">
        <v>2351</v>
      </c>
      <c r="D13" s="19" t="n">
        <v>1</v>
      </c>
      <c r="E13" s="19" t="n">
        <f aca="false">D13+1</f>
        <v>2</v>
      </c>
      <c r="F13" s="19" t="n">
        <v>1</v>
      </c>
      <c r="G13" s="61" t="n">
        <f aca="false">Parametry!$C$12</f>
        <v>6</v>
      </c>
      <c r="H13" s="19" t="n">
        <f aca="false">ROUNDDOWN(ROUNDDOWN(Parametry!$C$9*Parametry!$C$10^(F13-1),0)*(1+Parametry!$C$72*MAX(0,Parametry!$C$73-2)),0)</f>
        <v>60</v>
      </c>
      <c r="I13" s="19" t="n">
        <f aca="false">ROUNDUP((Parametry!$C$20*MAX(1,D13))*Parametry!$C$15,0)</f>
        <v>550</v>
      </c>
      <c r="J13" s="19" t="n">
        <f aca="false">ROUNDUP((Parametry!$C$20*MAX(1,D13))*Parametry!$C$15,0)</f>
        <v>550</v>
      </c>
      <c r="K13" s="19" t="n">
        <f aca="false">ROUNDUP((Parametry!$C$20*MAX(1,D13))*Parametry!$C$15,0)</f>
        <v>550</v>
      </c>
      <c r="L13" s="19" t="n">
        <f aca="false">ROUNDUP((Parametry!$C$20*MAX(1,D13))*Parametry!$C$15,0)</f>
        <v>550</v>
      </c>
      <c r="M13" s="19" t="n">
        <f aca="false">ROUNDUP((Parametry!$C$20*MAX(1,D13))*Parametry!$C$15,0)</f>
        <v>550</v>
      </c>
      <c r="N13" s="19" t="n">
        <f aca="false">ROUNDUP((Parametry!$C$20*MAX(1,D13))*Parametry!$C$15,0)</f>
        <v>550</v>
      </c>
      <c r="O13" s="19" t="n">
        <f aca="false">ROUNDUP(J13/H13,0)</f>
        <v>10</v>
      </c>
      <c r="P13" s="19" t="n">
        <f aca="false">ROUNDUP(K13/H13,0)</f>
        <v>10</v>
      </c>
      <c r="Q13" s="19" t="n">
        <f aca="false">ROUNDUP(L13/H13,0)</f>
        <v>10</v>
      </c>
      <c r="R13" s="19" t="n">
        <f aca="false">ROUNDUP(M13/H13,0)</f>
        <v>10</v>
      </c>
      <c r="S13" s="19" t="n">
        <f aca="false">ROUNDUP(N13/H13,0)</f>
        <v>10</v>
      </c>
      <c r="T13" s="19" t="n">
        <f aca="false">SUM(O13:S13)</f>
        <v>50</v>
      </c>
      <c r="U13" s="19" t="n">
        <f aca="false">ROUNDUP(T13/G13,0)</f>
        <v>9</v>
      </c>
      <c r="V13" s="19" t="n">
        <f aca="false">U13*Parametry!$C$11/(1+Parametry!$C$71*Parametry!$C$73)</f>
        <v>45</v>
      </c>
      <c r="W13" s="19" t="n">
        <f aca="false">2</f>
        <v>2</v>
      </c>
      <c r="X13" s="19" t="n">
        <f aca="false">V13*(W13-1)</f>
        <v>45</v>
      </c>
      <c r="Y13" s="19" t="n">
        <f aca="false">V13*W13</f>
        <v>90</v>
      </c>
      <c r="Z13" s="19" t="n">
        <f aca="false">SUM(J13:N13)</f>
        <v>2750</v>
      </c>
      <c r="AA13" s="19" t="s">
        <v>2350</v>
      </c>
    </row>
    <row r="14" customFormat="false" ht="69.75" hidden="false" customHeight="true" outlineLevel="0" collapsed="false">
      <c r="A14" s="20" t="s">
        <v>247</v>
      </c>
      <c r="B14" s="20" t="s">
        <v>2352</v>
      </c>
      <c r="C14" s="20" t="s">
        <v>2349</v>
      </c>
      <c r="D14" s="20" t="n">
        <v>2</v>
      </c>
      <c r="E14" s="20" t="n">
        <f aca="false">D14+1</f>
        <v>3</v>
      </c>
      <c r="F14" s="20" t="n">
        <v>2</v>
      </c>
      <c r="G14" s="60" t="n">
        <f aca="false">Parametry!$C$12</f>
        <v>6</v>
      </c>
      <c r="H14" s="20" t="n">
        <f aca="false">ROUNDDOWN(ROUNDDOWN(Parametry!$C$9*Parametry!$C$10^(F14-1),0)*(1+Parametry!$C$72*MAX(0,Parametry!$C$73-2)),0)</f>
        <v>66</v>
      </c>
      <c r="I14" s="20" t="n">
        <f aca="false">ROUNDUP((Parametry!$C$20*MAX(1,D14))*1,0)</f>
        <v>1000</v>
      </c>
      <c r="J14" s="20" t="n">
        <f aca="false">ROUNDUP((Parametry!$C$20*MAX(1,D14))*1,0)</f>
        <v>1000</v>
      </c>
      <c r="K14" s="20" t="n">
        <f aca="false">ROUNDUP((Parametry!$C$20*MAX(1,D14))*1,0)</f>
        <v>1000</v>
      </c>
      <c r="L14" s="20" t="n">
        <f aca="false">ROUNDUP((Parametry!$C$20*MAX(1,D14))*1,0)</f>
        <v>1000</v>
      </c>
      <c r="M14" s="20" t="n">
        <f aca="false">ROUNDUP((Parametry!$C$20*MAX(1,D14))*1,0)</f>
        <v>1000</v>
      </c>
      <c r="N14" s="20" t="n">
        <f aca="false">ROUNDUP((Parametry!$C$20*MAX(1,D14))*1,0)</f>
        <v>1000</v>
      </c>
      <c r="O14" s="20" t="n">
        <f aca="false">ROUNDUP(J14/H14,0)</f>
        <v>16</v>
      </c>
      <c r="P14" s="20" t="n">
        <f aca="false">ROUNDUP(K14/H14,0)</f>
        <v>16</v>
      </c>
      <c r="Q14" s="20" t="n">
        <f aca="false">ROUNDUP(L14/H14,0)</f>
        <v>16</v>
      </c>
      <c r="R14" s="20" t="n">
        <f aca="false">ROUNDUP(M14/H14,0)</f>
        <v>16</v>
      </c>
      <c r="S14" s="20" t="n">
        <f aca="false">ROUNDUP(N14/H14,0)</f>
        <v>16</v>
      </c>
      <c r="T14" s="20" t="n">
        <f aca="false">SUM(O14:S14)</f>
        <v>80</v>
      </c>
      <c r="U14" s="20" t="n">
        <f aca="false">ROUNDUP(T14/G14,0)</f>
        <v>14</v>
      </c>
      <c r="V14" s="20" t="n">
        <f aca="false">U14*Parametry!$C$11/(1+Parametry!$C$71*Parametry!$C$73)</f>
        <v>70</v>
      </c>
      <c r="W14" s="20" t="n">
        <f aca="false">2</f>
        <v>2</v>
      </c>
      <c r="X14" s="20" t="n">
        <f aca="false">V14*(W14-1)</f>
        <v>70</v>
      </c>
      <c r="Y14" s="20" t="n">
        <f aca="false">V14*W14</f>
        <v>140</v>
      </c>
      <c r="Z14" s="20" t="n">
        <f aca="false">SUM(J14:N14)</f>
        <v>5000</v>
      </c>
      <c r="AA14" s="20" t="s">
        <v>2350</v>
      </c>
    </row>
    <row r="15" customFormat="false" ht="69.75" hidden="false" customHeight="true" outlineLevel="0" collapsed="false">
      <c r="A15" s="19" t="s">
        <v>247</v>
      </c>
      <c r="B15" s="19" t="s">
        <v>2352</v>
      </c>
      <c r="C15" s="19" t="s">
        <v>2351</v>
      </c>
      <c r="D15" s="19" t="n">
        <v>2</v>
      </c>
      <c r="E15" s="19" t="n">
        <f aca="false">D15+1</f>
        <v>3</v>
      </c>
      <c r="F15" s="19" t="n">
        <v>2</v>
      </c>
      <c r="G15" s="61" t="n">
        <f aca="false">Parametry!$C$12</f>
        <v>6</v>
      </c>
      <c r="H15" s="19" t="n">
        <f aca="false">ROUNDDOWN(ROUNDDOWN(Parametry!$C$9*Parametry!$C$10^(F15-1),0)*(1+Parametry!$C$72*MAX(0,Parametry!$C$73-2)),0)</f>
        <v>66</v>
      </c>
      <c r="I15" s="19" t="n">
        <f aca="false">ROUNDUP((Parametry!$C$20*MAX(1,D15))*Parametry!$C$15,0)</f>
        <v>1100</v>
      </c>
      <c r="J15" s="19" t="n">
        <f aca="false">ROUNDUP((Parametry!$C$20*MAX(1,D15))*Parametry!$C$15,0)</f>
        <v>1100</v>
      </c>
      <c r="K15" s="19" t="n">
        <f aca="false">ROUNDUP((Parametry!$C$20*MAX(1,D15))*Parametry!$C$15,0)</f>
        <v>1100</v>
      </c>
      <c r="L15" s="19" t="n">
        <f aca="false">ROUNDUP((Parametry!$C$20*MAX(1,D15))*Parametry!$C$15,0)</f>
        <v>1100</v>
      </c>
      <c r="M15" s="19" t="n">
        <f aca="false">ROUNDUP((Parametry!$C$20*MAX(1,D15))*Parametry!$C$15,0)</f>
        <v>1100</v>
      </c>
      <c r="N15" s="19" t="n">
        <f aca="false">ROUNDUP((Parametry!$C$20*MAX(1,D15))*Parametry!$C$15,0)</f>
        <v>1100</v>
      </c>
      <c r="O15" s="19" t="n">
        <f aca="false">ROUNDUP(J15/H15,0)</f>
        <v>17</v>
      </c>
      <c r="P15" s="19" t="n">
        <f aca="false">ROUNDUP(K15/H15,0)</f>
        <v>17</v>
      </c>
      <c r="Q15" s="19" t="n">
        <f aca="false">ROUNDUP(L15/H15,0)</f>
        <v>17</v>
      </c>
      <c r="R15" s="19" t="n">
        <f aca="false">ROUNDUP(M15/H15,0)</f>
        <v>17</v>
      </c>
      <c r="S15" s="19" t="n">
        <f aca="false">ROUNDUP(N15/H15,0)</f>
        <v>17</v>
      </c>
      <c r="T15" s="19" t="n">
        <f aca="false">SUM(O15:S15)</f>
        <v>85</v>
      </c>
      <c r="U15" s="19" t="n">
        <f aca="false">ROUNDUP(T15/G15,0)</f>
        <v>15</v>
      </c>
      <c r="V15" s="19" t="n">
        <f aca="false">U15*Parametry!$C$11/(1+Parametry!$C$71*Parametry!$C$73)</f>
        <v>75</v>
      </c>
      <c r="W15" s="19" t="n">
        <f aca="false">2</f>
        <v>2</v>
      </c>
      <c r="X15" s="19" t="n">
        <f aca="false">V15*(W15-1)</f>
        <v>75</v>
      </c>
      <c r="Y15" s="19" t="n">
        <f aca="false">V15*W15</f>
        <v>150</v>
      </c>
      <c r="Z15" s="19" t="n">
        <f aca="false">SUM(J15:N15)</f>
        <v>5500</v>
      </c>
      <c r="AA15" s="19" t="s">
        <v>2350</v>
      </c>
    </row>
    <row r="16" customFormat="false" ht="69.75" hidden="false" customHeight="true" outlineLevel="0" collapsed="false">
      <c r="A16" s="20" t="s">
        <v>247</v>
      </c>
      <c r="B16" s="20" t="s">
        <v>2353</v>
      </c>
      <c r="C16" s="20" t="s">
        <v>2349</v>
      </c>
      <c r="D16" s="20" t="n">
        <v>3</v>
      </c>
      <c r="E16" s="20" t="n">
        <f aca="false">D16+1</f>
        <v>4</v>
      </c>
      <c r="F16" s="20" t="n">
        <v>3</v>
      </c>
      <c r="G16" s="60" t="n">
        <f aca="false">Parametry!$C$12</f>
        <v>6</v>
      </c>
      <c r="H16" s="20" t="n">
        <f aca="false">ROUNDDOWN(ROUNDDOWN(Parametry!$C$9*Parametry!$C$10^(F16-1),0)*(1+Parametry!$C$72*MAX(0,Parametry!$C$73-2)),0)</f>
        <v>72</v>
      </c>
      <c r="I16" s="20" t="n">
        <f aca="false">ROUNDUP((Parametry!$C$20*MAX(1,D16))*1,0)</f>
        <v>1500</v>
      </c>
      <c r="J16" s="20" t="n">
        <f aca="false">ROUNDUP((Parametry!$C$20*MAX(1,D16))*1,0)</f>
        <v>1500</v>
      </c>
      <c r="K16" s="20" t="n">
        <f aca="false">ROUNDUP((Parametry!$C$20*MAX(1,D16))*1,0)</f>
        <v>1500</v>
      </c>
      <c r="L16" s="20" t="n">
        <f aca="false">ROUNDUP((Parametry!$C$20*MAX(1,D16))*1,0)</f>
        <v>1500</v>
      </c>
      <c r="M16" s="20" t="n">
        <f aca="false">ROUNDUP((Parametry!$C$20*MAX(1,D16))*1,0)</f>
        <v>1500</v>
      </c>
      <c r="N16" s="20" t="n">
        <f aca="false">ROUNDUP((Parametry!$C$20*MAX(1,D16))*1,0)</f>
        <v>1500</v>
      </c>
      <c r="O16" s="20" t="n">
        <f aca="false">ROUNDUP(J16/H16,0)</f>
        <v>21</v>
      </c>
      <c r="P16" s="20" t="n">
        <f aca="false">ROUNDUP(K16/H16,0)</f>
        <v>21</v>
      </c>
      <c r="Q16" s="20" t="n">
        <f aca="false">ROUNDUP(L16/H16,0)</f>
        <v>21</v>
      </c>
      <c r="R16" s="20" t="n">
        <f aca="false">ROUNDUP(M16/H16,0)</f>
        <v>21</v>
      </c>
      <c r="S16" s="20" t="n">
        <f aca="false">ROUNDUP(N16/H16,0)</f>
        <v>21</v>
      </c>
      <c r="T16" s="20" t="n">
        <f aca="false">SUM(O16:S16)</f>
        <v>105</v>
      </c>
      <c r="U16" s="20" t="n">
        <f aca="false">ROUNDUP(T16/G16,0)</f>
        <v>18</v>
      </c>
      <c r="V16" s="20" t="n">
        <f aca="false">U16*Parametry!$C$11/(1+Parametry!$C$71*Parametry!$C$73)</f>
        <v>90</v>
      </c>
      <c r="W16" s="20" t="n">
        <f aca="false">2</f>
        <v>2</v>
      </c>
      <c r="X16" s="20" t="n">
        <f aca="false">V16*(W16-1)</f>
        <v>90</v>
      </c>
      <c r="Y16" s="20" t="n">
        <f aca="false">V16*W16</f>
        <v>180</v>
      </c>
      <c r="Z16" s="20" t="n">
        <f aca="false">SUM(J16:N16)</f>
        <v>7500</v>
      </c>
      <c r="AA16" s="20" t="s">
        <v>2350</v>
      </c>
    </row>
    <row r="17" customFormat="false" ht="69.75" hidden="false" customHeight="true" outlineLevel="0" collapsed="false">
      <c r="A17" s="19" t="s">
        <v>247</v>
      </c>
      <c r="B17" s="19" t="s">
        <v>2353</v>
      </c>
      <c r="C17" s="19" t="s">
        <v>2351</v>
      </c>
      <c r="D17" s="19" t="n">
        <v>3</v>
      </c>
      <c r="E17" s="19" t="n">
        <f aca="false">D17+1</f>
        <v>4</v>
      </c>
      <c r="F17" s="19" t="n">
        <v>3</v>
      </c>
      <c r="G17" s="61" t="n">
        <f aca="false">Parametry!$C$12</f>
        <v>6</v>
      </c>
      <c r="H17" s="19" t="n">
        <f aca="false">ROUNDDOWN(ROUNDDOWN(Parametry!$C$9*Parametry!$C$10^(F17-1),0)*(1+Parametry!$C$72*MAX(0,Parametry!$C$73-2)),0)</f>
        <v>72</v>
      </c>
      <c r="I17" s="19" t="n">
        <f aca="false">ROUNDUP((Parametry!$C$20*MAX(1,D17))*Parametry!$C$15,0)</f>
        <v>1650</v>
      </c>
      <c r="J17" s="19" t="n">
        <f aca="false">ROUNDUP((Parametry!$C$20*MAX(1,D17))*Parametry!$C$15,0)</f>
        <v>1650</v>
      </c>
      <c r="K17" s="19" t="n">
        <f aca="false">ROUNDUP((Parametry!$C$20*MAX(1,D17))*Parametry!$C$15,0)</f>
        <v>1650</v>
      </c>
      <c r="L17" s="19" t="n">
        <f aca="false">ROUNDUP((Parametry!$C$20*MAX(1,D17))*Parametry!$C$15,0)</f>
        <v>1650</v>
      </c>
      <c r="M17" s="19" t="n">
        <f aca="false">ROUNDUP((Parametry!$C$20*MAX(1,D17))*Parametry!$C$15,0)</f>
        <v>1650</v>
      </c>
      <c r="N17" s="19" t="n">
        <f aca="false">ROUNDUP((Parametry!$C$20*MAX(1,D17))*Parametry!$C$15,0)</f>
        <v>1650</v>
      </c>
      <c r="O17" s="19" t="n">
        <f aca="false">ROUNDUP(J17/H17,0)</f>
        <v>23</v>
      </c>
      <c r="P17" s="19" t="n">
        <f aca="false">ROUNDUP(K17/H17,0)</f>
        <v>23</v>
      </c>
      <c r="Q17" s="19" t="n">
        <f aca="false">ROUNDUP(L17/H17,0)</f>
        <v>23</v>
      </c>
      <c r="R17" s="19" t="n">
        <f aca="false">ROUNDUP(M17/H17,0)</f>
        <v>23</v>
      </c>
      <c r="S17" s="19" t="n">
        <f aca="false">ROUNDUP(N17/H17,0)</f>
        <v>23</v>
      </c>
      <c r="T17" s="19" t="n">
        <f aca="false">SUM(O17:S17)</f>
        <v>115</v>
      </c>
      <c r="U17" s="19" t="n">
        <f aca="false">ROUNDUP(T17/G17,0)</f>
        <v>20</v>
      </c>
      <c r="V17" s="19" t="n">
        <f aca="false">U17*Parametry!$C$11/(1+Parametry!$C$71*Parametry!$C$73)</f>
        <v>100</v>
      </c>
      <c r="W17" s="19" t="n">
        <f aca="false">2</f>
        <v>2</v>
      </c>
      <c r="X17" s="19" t="n">
        <f aca="false">V17*(W17-1)</f>
        <v>100</v>
      </c>
      <c r="Y17" s="19" t="n">
        <f aca="false">V17*W17</f>
        <v>200</v>
      </c>
      <c r="Z17" s="19" t="n">
        <f aca="false">SUM(J17:N17)</f>
        <v>8250</v>
      </c>
      <c r="AA17" s="19" t="s">
        <v>2350</v>
      </c>
    </row>
    <row r="18" customFormat="false" ht="69.75" hidden="false" customHeight="true" outlineLevel="0" collapsed="false">
      <c r="A18" s="20" t="s">
        <v>252</v>
      </c>
      <c r="B18" s="20" t="s">
        <v>2348</v>
      </c>
      <c r="C18" s="20" t="s">
        <v>2349</v>
      </c>
      <c r="D18" s="20" t="n">
        <v>1</v>
      </c>
      <c r="E18" s="20" t="n">
        <f aca="false">D18+1</f>
        <v>2</v>
      </c>
      <c r="F18" s="20" t="n">
        <v>1</v>
      </c>
      <c r="G18" s="60" t="n">
        <f aca="false">Parametry!$C$12</f>
        <v>6</v>
      </c>
      <c r="H18" s="20" t="n">
        <f aca="false">ROUNDDOWN(ROUNDDOWN(Parametry!$C$9*Parametry!$C$10^(F18-1),0)*(1+Parametry!$C$72*MAX(0,Parametry!$C$73-2)),0)</f>
        <v>60</v>
      </c>
      <c r="I18" s="20" t="n">
        <f aca="false">ROUNDUP((0)*1,0)</f>
        <v>0</v>
      </c>
      <c r="J18" s="20" t="n">
        <f aca="false">ROUNDUP((Parametry!$C$16*Parametry!$C$17*D18)*1,0)</f>
        <v>72</v>
      </c>
      <c r="K18" s="20" t="n">
        <f aca="false">ROUNDUP((Parametry!$C$16*Parametry!$C$18*D18)*1,0)</f>
        <v>72</v>
      </c>
      <c r="L18" s="20" t="n">
        <f aca="false">ROUNDUP((Parametry!$C$16*Parametry!$C$19*D18)*1,0)</f>
        <v>120</v>
      </c>
      <c r="M18" s="20" t="n">
        <f aca="false">ROUNDUP((0)*1,0)</f>
        <v>0</v>
      </c>
      <c r="N18" s="20" t="n">
        <f aca="false">ROUNDUP((0)*1,0)</f>
        <v>0</v>
      </c>
      <c r="O18" s="20" t="n">
        <f aca="false">ROUNDUP(J18/H18,0)</f>
        <v>2</v>
      </c>
      <c r="P18" s="20" t="n">
        <f aca="false">ROUNDUP(K18/H18,0)</f>
        <v>2</v>
      </c>
      <c r="Q18" s="20" t="n">
        <f aca="false">ROUNDUP(L18/H18,0)</f>
        <v>2</v>
      </c>
      <c r="R18" s="20" t="n">
        <f aca="false">ROUNDUP(M18/H18,0)</f>
        <v>0</v>
      </c>
      <c r="S18" s="20" t="n">
        <f aca="false">ROUNDUP(N18/H18,0)</f>
        <v>0</v>
      </c>
      <c r="T18" s="20" t="n">
        <f aca="false">SUM(O18:S18)</f>
        <v>6</v>
      </c>
      <c r="U18" s="20" t="n">
        <f aca="false">ROUNDUP(T18/G18,0)</f>
        <v>1</v>
      </c>
      <c r="V18" s="20" t="n">
        <f aca="false">U18*Parametry!$C$11/(1+Parametry!$C$71*Parametry!$C$73)</f>
        <v>5</v>
      </c>
      <c r="W18" s="20" t="n">
        <f aca="false">2</f>
        <v>2</v>
      </c>
      <c r="X18" s="20" t="n">
        <f aca="false">V18*(W18-1)</f>
        <v>5</v>
      </c>
      <c r="Y18" s="20" t="n">
        <f aca="false">V18*W18</f>
        <v>10</v>
      </c>
      <c r="Z18" s="20" t="n">
        <f aca="false">SUM(J18:N18)</f>
        <v>264</v>
      </c>
      <c r="AA18" s="20" t="s">
        <v>2350</v>
      </c>
    </row>
    <row r="19" customFormat="false" ht="69.75" hidden="false" customHeight="true" outlineLevel="0" collapsed="false">
      <c r="A19" s="19" t="s">
        <v>252</v>
      </c>
      <c r="B19" s="19" t="s">
        <v>2348</v>
      </c>
      <c r="C19" s="19" t="s">
        <v>2351</v>
      </c>
      <c r="D19" s="19" t="n">
        <v>1</v>
      </c>
      <c r="E19" s="19" t="n">
        <f aca="false">D19+1</f>
        <v>2</v>
      </c>
      <c r="F19" s="19" t="n">
        <v>1</v>
      </c>
      <c r="G19" s="61" t="n">
        <f aca="false">Parametry!$C$12</f>
        <v>6</v>
      </c>
      <c r="H19" s="19" t="n">
        <f aca="false">ROUNDDOWN(ROUNDDOWN(Parametry!$C$9*Parametry!$C$10^(F19-1),0)*(1+Parametry!$C$72*MAX(0,Parametry!$C$73-2)),0)</f>
        <v>60</v>
      </c>
      <c r="I19" s="19" t="n">
        <f aca="false">ROUNDUP((0)*Parametry!$C$15,0)</f>
        <v>0</v>
      </c>
      <c r="J19" s="19" t="n">
        <f aca="false">ROUNDUP((Parametry!$C$16*Parametry!$C$17*D19)*Parametry!$C$15,0)</f>
        <v>80</v>
      </c>
      <c r="K19" s="19" t="n">
        <f aca="false">ROUNDUP((Parametry!$C$16*Parametry!$C$18*D19)*Parametry!$C$15,0)</f>
        <v>80</v>
      </c>
      <c r="L19" s="19" t="n">
        <f aca="false">ROUNDUP((Parametry!$C$16*Parametry!$C$19*D19)*Parametry!$C$15,0)</f>
        <v>132</v>
      </c>
      <c r="M19" s="19" t="n">
        <f aca="false">ROUNDUP((0)*Parametry!$C$15,0)</f>
        <v>0</v>
      </c>
      <c r="N19" s="19" t="n">
        <f aca="false">ROUNDUP((0)*Parametry!$C$15,0)</f>
        <v>0</v>
      </c>
      <c r="O19" s="19" t="n">
        <f aca="false">ROUNDUP(J19/H19,0)</f>
        <v>2</v>
      </c>
      <c r="P19" s="19" t="n">
        <f aca="false">ROUNDUP(K19/H19,0)</f>
        <v>2</v>
      </c>
      <c r="Q19" s="19" t="n">
        <f aca="false">ROUNDUP(L19/H19,0)</f>
        <v>3</v>
      </c>
      <c r="R19" s="19" t="n">
        <f aca="false">ROUNDUP(M19/H19,0)</f>
        <v>0</v>
      </c>
      <c r="S19" s="19" t="n">
        <f aca="false">ROUNDUP(N19/H19,0)</f>
        <v>0</v>
      </c>
      <c r="T19" s="19" t="n">
        <f aca="false">SUM(O19:S19)</f>
        <v>7</v>
      </c>
      <c r="U19" s="19" t="n">
        <f aca="false">ROUNDUP(T19/G19,0)</f>
        <v>2</v>
      </c>
      <c r="V19" s="19" t="n">
        <f aca="false">U19*Parametry!$C$11/(1+Parametry!$C$71*Parametry!$C$73)</f>
        <v>10</v>
      </c>
      <c r="W19" s="19" t="n">
        <f aca="false">2</f>
        <v>2</v>
      </c>
      <c r="X19" s="19" t="n">
        <f aca="false">V19*(W19-1)</f>
        <v>10</v>
      </c>
      <c r="Y19" s="19" t="n">
        <f aca="false">V19*W19</f>
        <v>20</v>
      </c>
      <c r="Z19" s="19" t="n">
        <f aca="false">SUM(J19:N19)</f>
        <v>292</v>
      </c>
      <c r="AA19" s="19" t="s">
        <v>2350</v>
      </c>
    </row>
    <row r="20" customFormat="false" ht="69.75" hidden="false" customHeight="true" outlineLevel="0" collapsed="false">
      <c r="A20" s="20" t="s">
        <v>252</v>
      </c>
      <c r="B20" s="20" t="s">
        <v>2352</v>
      </c>
      <c r="C20" s="20" t="s">
        <v>2349</v>
      </c>
      <c r="D20" s="20" t="n">
        <v>2</v>
      </c>
      <c r="E20" s="20" t="n">
        <f aca="false">D20+1</f>
        <v>3</v>
      </c>
      <c r="F20" s="20" t="n">
        <v>2</v>
      </c>
      <c r="G20" s="60" t="n">
        <f aca="false">Parametry!$C$12</f>
        <v>6</v>
      </c>
      <c r="H20" s="20" t="n">
        <f aca="false">ROUNDDOWN(ROUNDDOWN(Parametry!$C$9*Parametry!$C$10^(F20-1),0)*(1+Parametry!$C$72*MAX(0,Parametry!$C$73-2)),0)</f>
        <v>66</v>
      </c>
      <c r="I20" s="20" t="n">
        <f aca="false">ROUNDUP((0)*1,0)</f>
        <v>0</v>
      </c>
      <c r="J20" s="20" t="n">
        <f aca="false">ROUNDUP((Parametry!$C$16*Parametry!$C$17*D20)*1,0)</f>
        <v>144</v>
      </c>
      <c r="K20" s="20" t="n">
        <f aca="false">ROUNDUP((Parametry!$C$16*Parametry!$C$18*D20)*1,0)</f>
        <v>144</v>
      </c>
      <c r="L20" s="20" t="n">
        <f aca="false">ROUNDUP((Parametry!$C$16*Parametry!$C$19*D20)*1,0)</f>
        <v>240</v>
      </c>
      <c r="M20" s="20" t="n">
        <f aca="false">ROUNDUP((0)*1,0)</f>
        <v>0</v>
      </c>
      <c r="N20" s="20" t="n">
        <f aca="false">ROUNDUP((0)*1,0)</f>
        <v>0</v>
      </c>
      <c r="O20" s="20" t="n">
        <f aca="false">ROUNDUP(J20/H20,0)</f>
        <v>3</v>
      </c>
      <c r="P20" s="20" t="n">
        <f aca="false">ROUNDUP(K20/H20,0)</f>
        <v>3</v>
      </c>
      <c r="Q20" s="20" t="n">
        <f aca="false">ROUNDUP(L20/H20,0)</f>
        <v>4</v>
      </c>
      <c r="R20" s="20" t="n">
        <f aca="false">ROUNDUP(M20/H20,0)</f>
        <v>0</v>
      </c>
      <c r="S20" s="20" t="n">
        <f aca="false">ROUNDUP(N20/H20,0)</f>
        <v>0</v>
      </c>
      <c r="T20" s="20" t="n">
        <f aca="false">SUM(O20:S20)</f>
        <v>10</v>
      </c>
      <c r="U20" s="20" t="n">
        <f aca="false">ROUNDUP(T20/G20,0)</f>
        <v>2</v>
      </c>
      <c r="V20" s="20" t="n">
        <f aca="false">U20*Parametry!$C$11/(1+Parametry!$C$71*Parametry!$C$73)</f>
        <v>10</v>
      </c>
      <c r="W20" s="20" t="n">
        <f aca="false">2</f>
        <v>2</v>
      </c>
      <c r="X20" s="20" t="n">
        <f aca="false">V20*(W20-1)</f>
        <v>10</v>
      </c>
      <c r="Y20" s="20" t="n">
        <f aca="false">V20*W20</f>
        <v>20</v>
      </c>
      <c r="Z20" s="20" t="n">
        <f aca="false">SUM(J20:N20)</f>
        <v>528</v>
      </c>
      <c r="AA20" s="20" t="s">
        <v>2350</v>
      </c>
    </row>
    <row r="21" customFormat="false" ht="69.75" hidden="false" customHeight="true" outlineLevel="0" collapsed="false">
      <c r="A21" s="19" t="s">
        <v>252</v>
      </c>
      <c r="B21" s="19" t="s">
        <v>2352</v>
      </c>
      <c r="C21" s="19" t="s">
        <v>2351</v>
      </c>
      <c r="D21" s="19" t="n">
        <v>2</v>
      </c>
      <c r="E21" s="19" t="n">
        <f aca="false">D21+1</f>
        <v>3</v>
      </c>
      <c r="F21" s="19" t="n">
        <v>2</v>
      </c>
      <c r="G21" s="61" t="n">
        <f aca="false">Parametry!$C$12</f>
        <v>6</v>
      </c>
      <c r="H21" s="19" t="n">
        <f aca="false">ROUNDDOWN(ROUNDDOWN(Parametry!$C$9*Parametry!$C$10^(F21-1),0)*(1+Parametry!$C$72*MAX(0,Parametry!$C$73-2)),0)</f>
        <v>66</v>
      </c>
      <c r="I21" s="19" t="n">
        <f aca="false">ROUNDUP((0)*Parametry!$C$15,0)</f>
        <v>0</v>
      </c>
      <c r="J21" s="19" t="n">
        <f aca="false">ROUNDUP((Parametry!$C$16*Parametry!$C$17*D21)*Parametry!$C$15,0)</f>
        <v>159</v>
      </c>
      <c r="K21" s="19" t="n">
        <f aca="false">ROUNDUP((Parametry!$C$16*Parametry!$C$18*D21)*Parametry!$C$15,0)</f>
        <v>159</v>
      </c>
      <c r="L21" s="19" t="n">
        <f aca="false">ROUNDUP((Parametry!$C$16*Parametry!$C$19*D21)*Parametry!$C$15,0)</f>
        <v>264</v>
      </c>
      <c r="M21" s="19" t="n">
        <f aca="false">ROUNDUP((0)*Parametry!$C$15,0)</f>
        <v>0</v>
      </c>
      <c r="N21" s="19" t="n">
        <f aca="false">ROUNDUP((0)*Parametry!$C$15,0)</f>
        <v>0</v>
      </c>
      <c r="O21" s="19" t="n">
        <f aca="false">ROUNDUP(J21/H21,0)</f>
        <v>3</v>
      </c>
      <c r="P21" s="19" t="n">
        <f aca="false">ROUNDUP(K21/H21,0)</f>
        <v>3</v>
      </c>
      <c r="Q21" s="19" t="n">
        <f aca="false">ROUNDUP(L21/H21,0)</f>
        <v>4</v>
      </c>
      <c r="R21" s="19" t="n">
        <f aca="false">ROUNDUP(M21/H21,0)</f>
        <v>0</v>
      </c>
      <c r="S21" s="19" t="n">
        <f aca="false">ROUNDUP(N21/H21,0)</f>
        <v>0</v>
      </c>
      <c r="T21" s="19" t="n">
        <f aca="false">SUM(O21:S21)</f>
        <v>10</v>
      </c>
      <c r="U21" s="19" t="n">
        <f aca="false">ROUNDUP(T21/G21,0)</f>
        <v>2</v>
      </c>
      <c r="V21" s="19" t="n">
        <f aca="false">U21*Parametry!$C$11/(1+Parametry!$C$71*Parametry!$C$73)</f>
        <v>10</v>
      </c>
      <c r="W21" s="19" t="n">
        <f aca="false">2</f>
        <v>2</v>
      </c>
      <c r="X21" s="19" t="n">
        <f aca="false">V21*(W21-1)</f>
        <v>10</v>
      </c>
      <c r="Y21" s="19" t="n">
        <f aca="false">V21*W21</f>
        <v>20</v>
      </c>
      <c r="Z21" s="19" t="n">
        <f aca="false">SUM(J21:N21)</f>
        <v>582</v>
      </c>
      <c r="AA21" s="19" t="s">
        <v>2350</v>
      </c>
    </row>
    <row r="22" customFormat="false" ht="69.75" hidden="false" customHeight="true" outlineLevel="0" collapsed="false">
      <c r="A22" s="20" t="s">
        <v>252</v>
      </c>
      <c r="B22" s="20" t="s">
        <v>2353</v>
      </c>
      <c r="C22" s="20" t="s">
        <v>2349</v>
      </c>
      <c r="D22" s="20" t="n">
        <v>3</v>
      </c>
      <c r="E22" s="20" t="n">
        <f aca="false">D22+1</f>
        <v>4</v>
      </c>
      <c r="F22" s="20" t="n">
        <v>3</v>
      </c>
      <c r="G22" s="60" t="n">
        <f aca="false">Parametry!$C$12</f>
        <v>6</v>
      </c>
      <c r="H22" s="20" t="n">
        <f aca="false">ROUNDDOWN(ROUNDDOWN(Parametry!$C$9*Parametry!$C$10^(F22-1),0)*(1+Parametry!$C$72*MAX(0,Parametry!$C$73-2)),0)</f>
        <v>72</v>
      </c>
      <c r="I22" s="20" t="n">
        <f aca="false">ROUNDUP((0)*1,0)</f>
        <v>0</v>
      </c>
      <c r="J22" s="20" t="n">
        <f aca="false">ROUNDUP((Parametry!$C$16*Parametry!$C$17*D22)*1,0)</f>
        <v>216</v>
      </c>
      <c r="K22" s="20" t="n">
        <f aca="false">ROUNDUP((Parametry!$C$16*Parametry!$C$18*D22)*1,0)</f>
        <v>216</v>
      </c>
      <c r="L22" s="20" t="n">
        <f aca="false">ROUNDUP((Parametry!$C$16*Parametry!$C$19*D22)*1,0)</f>
        <v>360</v>
      </c>
      <c r="M22" s="20" t="n">
        <f aca="false">ROUNDUP((0)*1,0)</f>
        <v>0</v>
      </c>
      <c r="N22" s="20" t="n">
        <f aca="false">ROUNDUP((0)*1,0)</f>
        <v>0</v>
      </c>
      <c r="O22" s="20" t="n">
        <f aca="false">ROUNDUP(J22/H22,0)</f>
        <v>3</v>
      </c>
      <c r="P22" s="20" t="n">
        <f aca="false">ROUNDUP(K22/H22,0)</f>
        <v>3</v>
      </c>
      <c r="Q22" s="20" t="n">
        <f aca="false">ROUNDUP(L22/H22,0)</f>
        <v>5</v>
      </c>
      <c r="R22" s="20" t="n">
        <f aca="false">ROUNDUP(M22/H22,0)</f>
        <v>0</v>
      </c>
      <c r="S22" s="20" t="n">
        <f aca="false">ROUNDUP(N22/H22,0)</f>
        <v>0</v>
      </c>
      <c r="T22" s="20" t="n">
        <f aca="false">SUM(O22:S22)</f>
        <v>11</v>
      </c>
      <c r="U22" s="20" t="n">
        <f aca="false">ROUNDUP(T22/G22,0)</f>
        <v>2</v>
      </c>
      <c r="V22" s="20" t="n">
        <f aca="false">U22*Parametry!$C$11/(1+Parametry!$C$71*Parametry!$C$73)</f>
        <v>10</v>
      </c>
      <c r="W22" s="20" t="n">
        <f aca="false">2</f>
        <v>2</v>
      </c>
      <c r="X22" s="20" t="n">
        <f aca="false">V22*(W22-1)</f>
        <v>10</v>
      </c>
      <c r="Y22" s="20" t="n">
        <f aca="false">V22*W22</f>
        <v>20</v>
      </c>
      <c r="Z22" s="20" t="n">
        <f aca="false">SUM(J22:N22)</f>
        <v>792</v>
      </c>
      <c r="AA22" s="20" t="s">
        <v>2350</v>
      </c>
    </row>
    <row r="23" customFormat="false" ht="69.75" hidden="false" customHeight="true" outlineLevel="0" collapsed="false">
      <c r="A23" s="19" t="s">
        <v>252</v>
      </c>
      <c r="B23" s="19" t="s">
        <v>2353</v>
      </c>
      <c r="C23" s="19" t="s">
        <v>2351</v>
      </c>
      <c r="D23" s="19" t="n">
        <v>3</v>
      </c>
      <c r="E23" s="19" t="n">
        <f aca="false">D23+1</f>
        <v>4</v>
      </c>
      <c r="F23" s="19" t="n">
        <v>3</v>
      </c>
      <c r="G23" s="61" t="n">
        <f aca="false">Parametry!$C$12</f>
        <v>6</v>
      </c>
      <c r="H23" s="19" t="n">
        <f aca="false">ROUNDDOWN(ROUNDDOWN(Parametry!$C$9*Parametry!$C$10^(F23-1),0)*(1+Parametry!$C$72*MAX(0,Parametry!$C$73-2)),0)</f>
        <v>72</v>
      </c>
      <c r="I23" s="19" t="n">
        <f aca="false">ROUNDUP((0)*Parametry!$C$15,0)</f>
        <v>0</v>
      </c>
      <c r="J23" s="19" t="n">
        <f aca="false">ROUNDUP((Parametry!$C$16*Parametry!$C$17*D23)*Parametry!$C$15,0)</f>
        <v>238</v>
      </c>
      <c r="K23" s="19" t="n">
        <f aca="false">ROUNDUP((Parametry!$C$16*Parametry!$C$18*D23)*Parametry!$C$15,0)</f>
        <v>238</v>
      </c>
      <c r="L23" s="19" t="n">
        <f aca="false">ROUNDUP((Parametry!$C$16*Parametry!$C$19*D23)*Parametry!$C$15,0)</f>
        <v>396</v>
      </c>
      <c r="M23" s="19" t="n">
        <f aca="false">ROUNDUP((0)*Parametry!$C$15,0)</f>
        <v>0</v>
      </c>
      <c r="N23" s="19" t="n">
        <f aca="false">ROUNDUP((0)*Parametry!$C$15,0)</f>
        <v>0</v>
      </c>
      <c r="O23" s="19" t="n">
        <f aca="false">ROUNDUP(J23/H23,0)</f>
        <v>4</v>
      </c>
      <c r="P23" s="19" t="n">
        <f aca="false">ROUNDUP(K23/H23,0)</f>
        <v>4</v>
      </c>
      <c r="Q23" s="19" t="n">
        <f aca="false">ROUNDUP(L23/H23,0)</f>
        <v>6</v>
      </c>
      <c r="R23" s="19" t="n">
        <f aca="false">ROUNDUP(M23/H23,0)</f>
        <v>0</v>
      </c>
      <c r="S23" s="19" t="n">
        <f aca="false">ROUNDUP(N23/H23,0)</f>
        <v>0</v>
      </c>
      <c r="T23" s="19" t="n">
        <f aca="false">SUM(O23:S23)</f>
        <v>14</v>
      </c>
      <c r="U23" s="19" t="n">
        <f aca="false">ROUNDUP(T23/G23,0)</f>
        <v>3</v>
      </c>
      <c r="V23" s="19" t="n">
        <f aca="false">U23*Parametry!$C$11/(1+Parametry!$C$71*Parametry!$C$73)</f>
        <v>15</v>
      </c>
      <c r="W23" s="19" t="n">
        <f aca="false">2</f>
        <v>2</v>
      </c>
      <c r="X23" s="19" t="n">
        <f aca="false">V23*(W23-1)</f>
        <v>15</v>
      </c>
      <c r="Y23" s="19" t="n">
        <f aca="false">V23*W23</f>
        <v>30</v>
      </c>
      <c r="Z23" s="19" t="n">
        <f aca="false">SUM(J23:N23)</f>
        <v>872</v>
      </c>
      <c r="AA23" s="19" t="s">
        <v>2350</v>
      </c>
    </row>
    <row r="24" customFormat="false" ht="69.75" hidden="false" customHeight="true" outlineLevel="0" collapsed="false">
      <c r="A24" s="20" t="s">
        <v>259</v>
      </c>
      <c r="B24" s="20" t="s">
        <v>2348</v>
      </c>
      <c r="C24" s="20" t="s">
        <v>2349</v>
      </c>
      <c r="D24" s="20" t="n">
        <v>1</v>
      </c>
      <c r="E24" s="20" t="n">
        <f aca="false">D24+1</f>
        <v>2</v>
      </c>
      <c r="F24" s="20" t="n">
        <v>1</v>
      </c>
      <c r="G24" s="60" t="n">
        <f aca="false">Parametry!$C$12</f>
        <v>6</v>
      </c>
      <c r="H24" s="20" t="n">
        <f aca="false">ROUNDDOWN(ROUNDDOWN(Parametry!$C$9*Parametry!$C$10^(F24-1),0)*(1+Parametry!$C$72*MAX(0,Parametry!$C$73-2)),0)</f>
        <v>60</v>
      </c>
      <c r="I24" s="20" t="n">
        <f aca="false">ROUNDUP((2*(0))*1,0)</f>
        <v>0</v>
      </c>
      <c r="J24" s="20" t="n">
        <f aca="false">ROUNDUP((2*(Parametry!$C$16*Parametry!$C$17*D24))*1,0)</f>
        <v>144</v>
      </c>
      <c r="K24" s="20" t="n">
        <f aca="false">ROUNDUP((2*(Parametry!$C$16*Parametry!$C$18*D24))*1,0)</f>
        <v>144</v>
      </c>
      <c r="L24" s="20" t="n">
        <f aca="false">ROUNDUP((2*(0))*1,0)</f>
        <v>0</v>
      </c>
      <c r="M24" s="20" t="n">
        <f aca="false">ROUNDUP((2*(Parametry!$C$16*Parametry!$C$19*D24))*1,0)</f>
        <v>240</v>
      </c>
      <c r="N24" s="20" t="n">
        <f aca="false">ROUNDUP((2*(0))*1,0)</f>
        <v>0</v>
      </c>
      <c r="O24" s="20" t="n">
        <f aca="false">ROUNDUP(J24/H24,0)</f>
        <v>3</v>
      </c>
      <c r="P24" s="20" t="n">
        <f aca="false">ROUNDUP(K24/H24,0)</f>
        <v>3</v>
      </c>
      <c r="Q24" s="20" t="n">
        <f aca="false">ROUNDUP(L24/H24,0)</f>
        <v>0</v>
      </c>
      <c r="R24" s="20" t="n">
        <f aca="false">ROUNDUP(M24/H24,0)</f>
        <v>4</v>
      </c>
      <c r="S24" s="20" t="n">
        <f aca="false">ROUNDUP(N24/H24,0)</f>
        <v>0</v>
      </c>
      <c r="T24" s="20" t="n">
        <f aca="false">SUM(O24:S24)</f>
        <v>10</v>
      </c>
      <c r="U24" s="20" t="n">
        <f aca="false">ROUNDUP(T24/G24,0)</f>
        <v>2</v>
      </c>
      <c r="V24" s="20" t="n">
        <f aca="false">U24*Parametry!$C$11/(1+Parametry!$C$71*Parametry!$C$73)</f>
        <v>10</v>
      </c>
      <c r="W24" s="20" t="n">
        <f aca="false">2</f>
        <v>2</v>
      </c>
      <c r="X24" s="20" t="n">
        <f aca="false">V24*(W24-1)</f>
        <v>10</v>
      </c>
      <c r="Y24" s="20" t="n">
        <f aca="false">V24*W24</f>
        <v>20</v>
      </c>
      <c r="Z24" s="20" t="n">
        <f aca="false">SUM(J24:N24)</f>
        <v>528</v>
      </c>
      <c r="AA24" s="20" t="s">
        <v>2350</v>
      </c>
    </row>
    <row r="25" customFormat="false" ht="69.75" hidden="false" customHeight="true" outlineLevel="0" collapsed="false">
      <c r="A25" s="19" t="s">
        <v>259</v>
      </c>
      <c r="B25" s="19" t="s">
        <v>2348</v>
      </c>
      <c r="C25" s="19" t="s">
        <v>2351</v>
      </c>
      <c r="D25" s="19" t="n">
        <v>1</v>
      </c>
      <c r="E25" s="19" t="n">
        <f aca="false">D25+1</f>
        <v>2</v>
      </c>
      <c r="F25" s="19" t="n">
        <v>1</v>
      </c>
      <c r="G25" s="61" t="n">
        <f aca="false">Parametry!$C$12</f>
        <v>6</v>
      </c>
      <c r="H25" s="19" t="n">
        <f aca="false">ROUNDDOWN(ROUNDDOWN(Parametry!$C$9*Parametry!$C$10^(F25-1),0)*(1+Parametry!$C$72*MAX(0,Parametry!$C$73-2)),0)</f>
        <v>60</v>
      </c>
      <c r="I25" s="19" t="n">
        <f aca="false">ROUNDUP((2*(0))*Parametry!$C$15,0)</f>
        <v>0</v>
      </c>
      <c r="J25" s="19" t="n">
        <f aca="false">ROUNDUP((2*(Parametry!$C$16*Parametry!$C$17*D25))*Parametry!$C$15,0)</f>
        <v>159</v>
      </c>
      <c r="K25" s="19" t="n">
        <f aca="false">ROUNDUP((2*(Parametry!$C$16*Parametry!$C$18*D25))*Parametry!$C$15,0)</f>
        <v>159</v>
      </c>
      <c r="L25" s="19" t="n">
        <f aca="false">ROUNDUP((2*(0))*Parametry!$C$15,0)</f>
        <v>0</v>
      </c>
      <c r="M25" s="19" t="n">
        <f aca="false">ROUNDUP((2*(Parametry!$C$16*Parametry!$C$19*D25))*Parametry!$C$15,0)</f>
        <v>264</v>
      </c>
      <c r="N25" s="19" t="n">
        <f aca="false">ROUNDUP((2*(0))*Parametry!$C$15,0)</f>
        <v>0</v>
      </c>
      <c r="O25" s="19" t="n">
        <f aca="false">ROUNDUP(J25/H25,0)</f>
        <v>3</v>
      </c>
      <c r="P25" s="19" t="n">
        <f aca="false">ROUNDUP(K25/H25,0)</f>
        <v>3</v>
      </c>
      <c r="Q25" s="19" t="n">
        <f aca="false">ROUNDUP(L25/H25,0)</f>
        <v>0</v>
      </c>
      <c r="R25" s="19" t="n">
        <f aca="false">ROUNDUP(M25/H25,0)</f>
        <v>5</v>
      </c>
      <c r="S25" s="19" t="n">
        <f aca="false">ROUNDUP(N25/H25,0)</f>
        <v>0</v>
      </c>
      <c r="T25" s="19" t="n">
        <f aca="false">SUM(O25:S25)</f>
        <v>11</v>
      </c>
      <c r="U25" s="19" t="n">
        <f aca="false">ROUNDUP(T25/G25,0)</f>
        <v>2</v>
      </c>
      <c r="V25" s="19" t="n">
        <f aca="false">U25*Parametry!$C$11/(1+Parametry!$C$71*Parametry!$C$73)</f>
        <v>10</v>
      </c>
      <c r="W25" s="19" t="n">
        <f aca="false">2</f>
        <v>2</v>
      </c>
      <c r="X25" s="19" t="n">
        <f aca="false">V25*(W25-1)</f>
        <v>10</v>
      </c>
      <c r="Y25" s="19" t="n">
        <f aca="false">V25*W25</f>
        <v>20</v>
      </c>
      <c r="Z25" s="19" t="n">
        <f aca="false">SUM(J25:N25)</f>
        <v>582</v>
      </c>
      <c r="AA25" s="19" t="s">
        <v>2350</v>
      </c>
    </row>
    <row r="26" customFormat="false" ht="69.75" hidden="false" customHeight="true" outlineLevel="0" collapsed="false">
      <c r="A26" s="20" t="s">
        <v>259</v>
      </c>
      <c r="B26" s="20" t="s">
        <v>2352</v>
      </c>
      <c r="C26" s="20" t="s">
        <v>2349</v>
      </c>
      <c r="D26" s="20" t="n">
        <v>2</v>
      </c>
      <c r="E26" s="20" t="n">
        <f aca="false">D26+1</f>
        <v>3</v>
      </c>
      <c r="F26" s="20" t="n">
        <v>2</v>
      </c>
      <c r="G26" s="60" t="n">
        <f aca="false">Parametry!$C$12</f>
        <v>6</v>
      </c>
      <c r="H26" s="20" t="n">
        <f aca="false">ROUNDDOWN(ROUNDDOWN(Parametry!$C$9*Parametry!$C$10^(F26-1),0)*(1+Parametry!$C$72*MAX(0,Parametry!$C$73-2)),0)</f>
        <v>66</v>
      </c>
      <c r="I26" s="20" t="n">
        <f aca="false">ROUNDUP((2*(0))*1,0)</f>
        <v>0</v>
      </c>
      <c r="J26" s="20" t="n">
        <f aca="false">ROUNDUP((2*(Parametry!$C$16*Parametry!$C$17*D26))*1,0)</f>
        <v>288</v>
      </c>
      <c r="K26" s="20" t="n">
        <f aca="false">ROUNDUP((2*(Parametry!$C$16*Parametry!$C$18*D26))*1,0)</f>
        <v>288</v>
      </c>
      <c r="L26" s="20" t="n">
        <f aca="false">ROUNDUP((2*(0))*1,0)</f>
        <v>0</v>
      </c>
      <c r="M26" s="20" t="n">
        <f aca="false">ROUNDUP((2*(Parametry!$C$16*Parametry!$C$19*D26))*1,0)</f>
        <v>480</v>
      </c>
      <c r="N26" s="20" t="n">
        <f aca="false">ROUNDUP((2*(0))*1,0)</f>
        <v>0</v>
      </c>
      <c r="O26" s="20" t="n">
        <f aca="false">ROUNDUP(J26/H26,0)</f>
        <v>5</v>
      </c>
      <c r="P26" s="20" t="n">
        <f aca="false">ROUNDUP(K26/H26,0)</f>
        <v>5</v>
      </c>
      <c r="Q26" s="20" t="n">
        <f aca="false">ROUNDUP(L26/H26,0)</f>
        <v>0</v>
      </c>
      <c r="R26" s="20" t="n">
        <f aca="false">ROUNDUP(M26/H26,0)</f>
        <v>8</v>
      </c>
      <c r="S26" s="20" t="n">
        <f aca="false">ROUNDUP(N26/H26,0)</f>
        <v>0</v>
      </c>
      <c r="T26" s="20" t="n">
        <f aca="false">SUM(O26:S26)</f>
        <v>18</v>
      </c>
      <c r="U26" s="20" t="n">
        <f aca="false">ROUNDUP(T26/G26,0)</f>
        <v>3</v>
      </c>
      <c r="V26" s="20" t="n">
        <f aca="false">U26*Parametry!$C$11/(1+Parametry!$C$71*Parametry!$C$73)</f>
        <v>15</v>
      </c>
      <c r="W26" s="20" t="n">
        <f aca="false">2</f>
        <v>2</v>
      </c>
      <c r="X26" s="20" t="n">
        <f aca="false">V26*(W26-1)</f>
        <v>15</v>
      </c>
      <c r="Y26" s="20" t="n">
        <f aca="false">V26*W26</f>
        <v>30</v>
      </c>
      <c r="Z26" s="20" t="n">
        <f aca="false">SUM(J26:N26)</f>
        <v>1056</v>
      </c>
      <c r="AA26" s="20" t="s">
        <v>2350</v>
      </c>
    </row>
    <row r="27" customFormat="false" ht="69.75" hidden="false" customHeight="true" outlineLevel="0" collapsed="false">
      <c r="A27" s="19" t="s">
        <v>259</v>
      </c>
      <c r="B27" s="19" t="s">
        <v>2352</v>
      </c>
      <c r="C27" s="19" t="s">
        <v>2351</v>
      </c>
      <c r="D27" s="19" t="n">
        <v>2</v>
      </c>
      <c r="E27" s="19" t="n">
        <f aca="false">D27+1</f>
        <v>3</v>
      </c>
      <c r="F27" s="19" t="n">
        <v>2</v>
      </c>
      <c r="G27" s="61" t="n">
        <f aca="false">Parametry!$C$12</f>
        <v>6</v>
      </c>
      <c r="H27" s="19" t="n">
        <f aca="false">ROUNDDOWN(ROUNDDOWN(Parametry!$C$9*Parametry!$C$10^(F27-1),0)*(1+Parametry!$C$72*MAX(0,Parametry!$C$73-2)),0)</f>
        <v>66</v>
      </c>
      <c r="I27" s="19" t="n">
        <f aca="false">ROUNDUP((2*(0))*Parametry!$C$15,0)</f>
        <v>0</v>
      </c>
      <c r="J27" s="19" t="n">
        <f aca="false">ROUNDUP((2*(Parametry!$C$16*Parametry!$C$17*D27))*Parametry!$C$15,0)</f>
        <v>317</v>
      </c>
      <c r="K27" s="19" t="n">
        <f aca="false">ROUNDUP((2*(Parametry!$C$16*Parametry!$C$18*D27))*Parametry!$C$15,0)</f>
        <v>317</v>
      </c>
      <c r="L27" s="19" t="n">
        <f aca="false">ROUNDUP((2*(0))*Parametry!$C$15,0)</f>
        <v>0</v>
      </c>
      <c r="M27" s="19" t="n">
        <f aca="false">ROUNDUP((2*(Parametry!$C$16*Parametry!$C$19*D27))*Parametry!$C$15,0)</f>
        <v>528</v>
      </c>
      <c r="N27" s="19" t="n">
        <f aca="false">ROUNDUP((2*(0))*Parametry!$C$15,0)</f>
        <v>0</v>
      </c>
      <c r="O27" s="19" t="n">
        <f aca="false">ROUNDUP(J27/H27,0)</f>
        <v>5</v>
      </c>
      <c r="P27" s="19" t="n">
        <f aca="false">ROUNDUP(K27/H27,0)</f>
        <v>5</v>
      </c>
      <c r="Q27" s="19" t="n">
        <f aca="false">ROUNDUP(L27/H27,0)</f>
        <v>0</v>
      </c>
      <c r="R27" s="19" t="n">
        <f aca="false">ROUNDUP(M27/H27,0)</f>
        <v>8</v>
      </c>
      <c r="S27" s="19" t="n">
        <f aca="false">ROUNDUP(N27/H27,0)</f>
        <v>0</v>
      </c>
      <c r="T27" s="19" t="n">
        <f aca="false">SUM(O27:S27)</f>
        <v>18</v>
      </c>
      <c r="U27" s="19" t="n">
        <f aca="false">ROUNDUP(T27/G27,0)</f>
        <v>3</v>
      </c>
      <c r="V27" s="19" t="n">
        <f aca="false">U27*Parametry!$C$11/(1+Parametry!$C$71*Parametry!$C$73)</f>
        <v>15</v>
      </c>
      <c r="W27" s="19" t="n">
        <f aca="false">2</f>
        <v>2</v>
      </c>
      <c r="X27" s="19" t="n">
        <f aca="false">V27*(W27-1)</f>
        <v>15</v>
      </c>
      <c r="Y27" s="19" t="n">
        <f aca="false">V27*W27</f>
        <v>30</v>
      </c>
      <c r="Z27" s="19" t="n">
        <f aca="false">SUM(J27:N27)</f>
        <v>1162</v>
      </c>
      <c r="AA27" s="19" t="s">
        <v>2350</v>
      </c>
    </row>
    <row r="28" customFormat="false" ht="69.75" hidden="false" customHeight="true" outlineLevel="0" collapsed="false">
      <c r="A28" s="20" t="s">
        <v>259</v>
      </c>
      <c r="B28" s="20" t="s">
        <v>2353</v>
      </c>
      <c r="C28" s="20" t="s">
        <v>2349</v>
      </c>
      <c r="D28" s="20" t="n">
        <v>3</v>
      </c>
      <c r="E28" s="20" t="n">
        <f aca="false">D28+1</f>
        <v>4</v>
      </c>
      <c r="F28" s="20" t="n">
        <v>3</v>
      </c>
      <c r="G28" s="60" t="n">
        <f aca="false">Parametry!$C$12</f>
        <v>6</v>
      </c>
      <c r="H28" s="20" t="n">
        <f aca="false">ROUNDDOWN(ROUNDDOWN(Parametry!$C$9*Parametry!$C$10^(F28-1),0)*(1+Parametry!$C$72*MAX(0,Parametry!$C$73-2)),0)</f>
        <v>72</v>
      </c>
      <c r="I28" s="20" t="n">
        <f aca="false">ROUNDUP((2*(0))*1,0)</f>
        <v>0</v>
      </c>
      <c r="J28" s="20" t="n">
        <f aca="false">ROUNDUP((2*(Parametry!$C$16*Parametry!$C$17*D28))*1,0)</f>
        <v>432</v>
      </c>
      <c r="K28" s="20" t="n">
        <f aca="false">ROUNDUP((2*(Parametry!$C$16*Parametry!$C$18*D28))*1,0)</f>
        <v>432</v>
      </c>
      <c r="L28" s="20" t="n">
        <f aca="false">ROUNDUP((2*(0))*1,0)</f>
        <v>0</v>
      </c>
      <c r="M28" s="20" t="n">
        <f aca="false">ROUNDUP((2*(Parametry!$C$16*Parametry!$C$19*D28))*1,0)</f>
        <v>720</v>
      </c>
      <c r="N28" s="20" t="n">
        <f aca="false">ROUNDUP((2*(0))*1,0)</f>
        <v>0</v>
      </c>
      <c r="O28" s="20" t="n">
        <f aca="false">ROUNDUP(J28/H28,0)</f>
        <v>6</v>
      </c>
      <c r="P28" s="20" t="n">
        <f aca="false">ROUNDUP(K28/H28,0)</f>
        <v>6</v>
      </c>
      <c r="Q28" s="20" t="n">
        <f aca="false">ROUNDUP(L28/H28,0)</f>
        <v>0</v>
      </c>
      <c r="R28" s="20" t="n">
        <f aca="false">ROUNDUP(M28/H28,0)</f>
        <v>10</v>
      </c>
      <c r="S28" s="20" t="n">
        <f aca="false">ROUNDUP(N28/H28,0)</f>
        <v>0</v>
      </c>
      <c r="T28" s="20" t="n">
        <f aca="false">SUM(O28:S28)</f>
        <v>22</v>
      </c>
      <c r="U28" s="20" t="n">
        <f aca="false">ROUNDUP(T28/G28,0)</f>
        <v>4</v>
      </c>
      <c r="V28" s="20" t="n">
        <f aca="false">U28*Parametry!$C$11/(1+Parametry!$C$71*Parametry!$C$73)</f>
        <v>20</v>
      </c>
      <c r="W28" s="20" t="n">
        <f aca="false">2</f>
        <v>2</v>
      </c>
      <c r="X28" s="20" t="n">
        <f aca="false">V28*(W28-1)</f>
        <v>20</v>
      </c>
      <c r="Y28" s="20" t="n">
        <f aca="false">V28*W28</f>
        <v>40</v>
      </c>
      <c r="Z28" s="20" t="n">
        <f aca="false">SUM(J28:N28)</f>
        <v>1584</v>
      </c>
      <c r="AA28" s="20" t="s">
        <v>2350</v>
      </c>
    </row>
    <row r="29" customFormat="false" ht="69.75" hidden="false" customHeight="true" outlineLevel="0" collapsed="false">
      <c r="A29" s="19" t="s">
        <v>259</v>
      </c>
      <c r="B29" s="19" t="s">
        <v>2353</v>
      </c>
      <c r="C29" s="19" t="s">
        <v>2351</v>
      </c>
      <c r="D29" s="19" t="n">
        <v>3</v>
      </c>
      <c r="E29" s="19" t="n">
        <f aca="false">D29+1</f>
        <v>4</v>
      </c>
      <c r="F29" s="19" t="n">
        <v>3</v>
      </c>
      <c r="G29" s="61" t="n">
        <f aca="false">Parametry!$C$12</f>
        <v>6</v>
      </c>
      <c r="H29" s="19" t="n">
        <f aca="false">ROUNDDOWN(ROUNDDOWN(Parametry!$C$9*Parametry!$C$10^(F29-1),0)*(1+Parametry!$C$72*MAX(0,Parametry!$C$73-2)),0)</f>
        <v>72</v>
      </c>
      <c r="I29" s="19" t="n">
        <f aca="false">ROUNDUP((2*(0))*Parametry!$C$15,0)</f>
        <v>0</v>
      </c>
      <c r="J29" s="19" t="n">
        <f aca="false">ROUNDUP((2*(Parametry!$C$16*Parametry!$C$17*D29))*Parametry!$C$15,0)</f>
        <v>476</v>
      </c>
      <c r="K29" s="19" t="n">
        <f aca="false">ROUNDUP((2*(Parametry!$C$16*Parametry!$C$18*D29))*Parametry!$C$15,0)</f>
        <v>476</v>
      </c>
      <c r="L29" s="19" t="n">
        <f aca="false">ROUNDUP((2*(0))*Parametry!$C$15,0)</f>
        <v>0</v>
      </c>
      <c r="M29" s="19" t="n">
        <f aca="false">ROUNDUP((2*(Parametry!$C$16*Parametry!$C$19*D29))*Parametry!$C$15,0)</f>
        <v>792</v>
      </c>
      <c r="N29" s="19" t="n">
        <f aca="false">ROUNDUP((2*(0))*Parametry!$C$15,0)</f>
        <v>0</v>
      </c>
      <c r="O29" s="19" t="n">
        <f aca="false">ROUNDUP(J29/H29,0)</f>
        <v>7</v>
      </c>
      <c r="P29" s="19" t="n">
        <f aca="false">ROUNDUP(K29/H29,0)</f>
        <v>7</v>
      </c>
      <c r="Q29" s="19" t="n">
        <f aca="false">ROUNDUP(L29/H29,0)</f>
        <v>0</v>
      </c>
      <c r="R29" s="19" t="n">
        <f aca="false">ROUNDUP(M29/H29,0)</f>
        <v>11</v>
      </c>
      <c r="S29" s="19" t="n">
        <f aca="false">ROUNDUP(N29/H29,0)</f>
        <v>0</v>
      </c>
      <c r="T29" s="19" t="n">
        <f aca="false">SUM(O29:S29)</f>
        <v>25</v>
      </c>
      <c r="U29" s="19" t="n">
        <f aca="false">ROUNDUP(T29/G29,0)</f>
        <v>5</v>
      </c>
      <c r="V29" s="19" t="n">
        <f aca="false">U29*Parametry!$C$11/(1+Parametry!$C$71*Parametry!$C$73)</f>
        <v>25</v>
      </c>
      <c r="W29" s="19" t="n">
        <f aca="false">2</f>
        <v>2</v>
      </c>
      <c r="X29" s="19" t="n">
        <f aca="false">V29*(W29-1)</f>
        <v>25</v>
      </c>
      <c r="Y29" s="19" t="n">
        <f aca="false">V29*W29</f>
        <v>50</v>
      </c>
      <c r="Z29" s="19" t="n">
        <f aca="false">SUM(J29:N29)</f>
        <v>1744</v>
      </c>
      <c r="AA29" s="19" t="s">
        <v>2350</v>
      </c>
    </row>
    <row r="30" customFormat="false" ht="69.75" hidden="false" customHeight="true" outlineLevel="0" collapsed="false">
      <c r="A30" s="20" t="s">
        <v>269</v>
      </c>
      <c r="B30" s="20" t="s">
        <v>2348</v>
      </c>
      <c r="C30" s="20" t="s">
        <v>2349</v>
      </c>
      <c r="D30" s="20" t="n">
        <v>1</v>
      </c>
      <c r="E30" s="20" t="n">
        <f aca="false">D30+1</f>
        <v>2</v>
      </c>
      <c r="F30" s="20" t="n">
        <v>1</v>
      </c>
      <c r="G30" s="60" t="n">
        <f aca="false">Parametry!$C$12</f>
        <v>6</v>
      </c>
      <c r="H30" s="20" t="n">
        <f aca="false">ROUNDDOWN(ROUNDDOWN(Parametry!$C$9*Parametry!$C$10^(F30-1),0)*(1+Parametry!$C$72*MAX(0,Parametry!$C$73-2)),0)</f>
        <v>60</v>
      </c>
      <c r="I30" s="20" t="n">
        <f aca="false">ROUNDUP((2*(0))*1,0)</f>
        <v>0</v>
      </c>
      <c r="J30" s="20" t="n">
        <f aca="false">ROUNDUP((2*(Parametry!$C$16*Parametry!$C$17*D30+Parametry!$C$16*Parametry!$C$19*D30))*1,0)</f>
        <v>384</v>
      </c>
      <c r="K30" s="20" t="n">
        <f aca="false">ROUNDUP((2*(Parametry!$C$16*Parametry!$C$18*D30))*1,0)</f>
        <v>144</v>
      </c>
      <c r="L30" s="20" t="n">
        <f aca="false">ROUNDUP((2*(0))*1,0)</f>
        <v>0</v>
      </c>
      <c r="M30" s="20" t="n">
        <f aca="false">ROUNDUP((2*(0))*1,0)</f>
        <v>0</v>
      </c>
      <c r="N30" s="20" t="n">
        <f aca="false">ROUNDUP((2*(0))*1,0)</f>
        <v>0</v>
      </c>
      <c r="O30" s="20" t="n">
        <f aca="false">ROUNDUP(J30/H30,0)</f>
        <v>7</v>
      </c>
      <c r="P30" s="20" t="n">
        <f aca="false">ROUNDUP(K30/H30,0)</f>
        <v>3</v>
      </c>
      <c r="Q30" s="20" t="n">
        <f aca="false">ROUNDUP(L30/H30,0)</f>
        <v>0</v>
      </c>
      <c r="R30" s="20" t="n">
        <f aca="false">ROUNDUP(M30/H30,0)</f>
        <v>0</v>
      </c>
      <c r="S30" s="20" t="n">
        <f aca="false">ROUNDUP(N30/H30,0)</f>
        <v>0</v>
      </c>
      <c r="T30" s="20" t="n">
        <f aca="false">SUM(O30:S30)</f>
        <v>10</v>
      </c>
      <c r="U30" s="20" t="n">
        <f aca="false">ROUNDUP(T30/G30,0)</f>
        <v>2</v>
      </c>
      <c r="V30" s="20" t="n">
        <f aca="false">U30*Parametry!$C$11/(1+Parametry!$C$71*Parametry!$C$73)</f>
        <v>10</v>
      </c>
      <c r="W30" s="20" t="n">
        <f aca="false">2</f>
        <v>2</v>
      </c>
      <c r="X30" s="20" t="n">
        <f aca="false">V30*(W30-1)</f>
        <v>10</v>
      </c>
      <c r="Y30" s="20" t="n">
        <f aca="false">V30*W30</f>
        <v>20</v>
      </c>
      <c r="Z30" s="20" t="n">
        <f aca="false">SUM(J30:N30)</f>
        <v>528</v>
      </c>
      <c r="AA30" s="20" t="s">
        <v>2350</v>
      </c>
    </row>
    <row r="31" customFormat="false" ht="69.75" hidden="false" customHeight="true" outlineLevel="0" collapsed="false">
      <c r="A31" s="19" t="s">
        <v>269</v>
      </c>
      <c r="B31" s="19" t="s">
        <v>2348</v>
      </c>
      <c r="C31" s="19" t="s">
        <v>2351</v>
      </c>
      <c r="D31" s="19" t="n">
        <v>1</v>
      </c>
      <c r="E31" s="19" t="n">
        <f aca="false">D31+1</f>
        <v>2</v>
      </c>
      <c r="F31" s="19" t="n">
        <v>1</v>
      </c>
      <c r="G31" s="61" t="n">
        <f aca="false">Parametry!$C$12</f>
        <v>6</v>
      </c>
      <c r="H31" s="19" t="n">
        <f aca="false">ROUNDDOWN(ROUNDDOWN(Parametry!$C$9*Parametry!$C$10^(F31-1),0)*(1+Parametry!$C$72*MAX(0,Parametry!$C$73-2)),0)</f>
        <v>60</v>
      </c>
      <c r="I31" s="19" t="n">
        <f aca="false">ROUNDUP((2*(0))*Parametry!$C$15,0)</f>
        <v>0</v>
      </c>
      <c r="J31" s="19" t="n">
        <f aca="false">ROUNDUP((2*(Parametry!$C$16*Parametry!$C$17*D31+Parametry!$C$16*Parametry!$C$19*D31))*Parametry!$C$15,0)</f>
        <v>423</v>
      </c>
      <c r="K31" s="19" t="n">
        <f aca="false">ROUNDUP((2*(Parametry!$C$16*Parametry!$C$18*D31))*Parametry!$C$15,0)</f>
        <v>159</v>
      </c>
      <c r="L31" s="19" t="n">
        <f aca="false">ROUNDUP((2*(0))*Parametry!$C$15,0)</f>
        <v>0</v>
      </c>
      <c r="M31" s="19" t="n">
        <f aca="false">ROUNDUP((2*(0))*Parametry!$C$15,0)</f>
        <v>0</v>
      </c>
      <c r="N31" s="19" t="n">
        <f aca="false">ROUNDUP((2*(0))*Parametry!$C$15,0)</f>
        <v>0</v>
      </c>
      <c r="O31" s="19" t="n">
        <f aca="false">ROUNDUP(J31/H31,0)</f>
        <v>8</v>
      </c>
      <c r="P31" s="19" t="n">
        <f aca="false">ROUNDUP(K31/H31,0)</f>
        <v>3</v>
      </c>
      <c r="Q31" s="19" t="n">
        <f aca="false">ROUNDUP(L31/H31,0)</f>
        <v>0</v>
      </c>
      <c r="R31" s="19" t="n">
        <f aca="false">ROUNDUP(M31/H31,0)</f>
        <v>0</v>
      </c>
      <c r="S31" s="19" t="n">
        <f aca="false">ROUNDUP(N31/H31,0)</f>
        <v>0</v>
      </c>
      <c r="T31" s="19" t="n">
        <f aca="false">SUM(O31:S31)</f>
        <v>11</v>
      </c>
      <c r="U31" s="19" t="n">
        <f aca="false">ROUNDUP(T31/G31,0)</f>
        <v>2</v>
      </c>
      <c r="V31" s="19" t="n">
        <f aca="false">U31*Parametry!$C$11/(1+Parametry!$C$71*Parametry!$C$73)</f>
        <v>10</v>
      </c>
      <c r="W31" s="19" t="n">
        <f aca="false">2</f>
        <v>2</v>
      </c>
      <c r="X31" s="19" t="n">
        <f aca="false">V31*(W31-1)</f>
        <v>10</v>
      </c>
      <c r="Y31" s="19" t="n">
        <f aca="false">V31*W31</f>
        <v>20</v>
      </c>
      <c r="Z31" s="19" t="n">
        <f aca="false">SUM(J31:N31)</f>
        <v>582</v>
      </c>
      <c r="AA31" s="19" t="s">
        <v>2350</v>
      </c>
    </row>
    <row r="32" customFormat="false" ht="69.75" hidden="false" customHeight="true" outlineLevel="0" collapsed="false">
      <c r="A32" s="20" t="s">
        <v>269</v>
      </c>
      <c r="B32" s="20" t="s">
        <v>2352</v>
      </c>
      <c r="C32" s="20" t="s">
        <v>2349</v>
      </c>
      <c r="D32" s="20" t="n">
        <v>2</v>
      </c>
      <c r="E32" s="20" t="n">
        <f aca="false">D32+1</f>
        <v>3</v>
      </c>
      <c r="F32" s="20" t="n">
        <v>2</v>
      </c>
      <c r="G32" s="60" t="n">
        <f aca="false">Parametry!$C$12</f>
        <v>6</v>
      </c>
      <c r="H32" s="20" t="n">
        <f aca="false">ROUNDDOWN(ROUNDDOWN(Parametry!$C$9*Parametry!$C$10^(F32-1),0)*(1+Parametry!$C$72*MAX(0,Parametry!$C$73-2)),0)</f>
        <v>66</v>
      </c>
      <c r="I32" s="20" t="n">
        <f aca="false">ROUNDUP((2*(0))*1,0)</f>
        <v>0</v>
      </c>
      <c r="J32" s="20" t="n">
        <f aca="false">ROUNDUP((2*(Parametry!$C$16*Parametry!$C$17*D32+Parametry!$C$16*Parametry!$C$19*D32))*1,0)</f>
        <v>768</v>
      </c>
      <c r="K32" s="20" t="n">
        <f aca="false">ROUNDUP((2*(Parametry!$C$16*Parametry!$C$18*D32))*1,0)</f>
        <v>288</v>
      </c>
      <c r="L32" s="20" t="n">
        <f aca="false">ROUNDUP((2*(0))*1,0)</f>
        <v>0</v>
      </c>
      <c r="M32" s="20" t="n">
        <f aca="false">ROUNDUP((2*(0))*1,0)</f>
        <v>0</v>
      </c>
      <c r="N32" s="20" t="n">
        <f aca="false">ROUNDUP((2*(0))*1,0)</f>
        <v>0</v>
      </c>
      <c r="O32" s="20" t="n">
        <f aca="false">ROUNDUP(J32/H32,0)</f>
        <v>12</v>
      </c>
      <c r="P32" s="20" t="n">
        <f aca="false">ROUNDUP(K32/H32,0)</f>
        <v>5</v>
      </c>
      <c r="Q32" s="20" t="n">
        <f aca="false">ROUNDUP(L32/H32,0)</f>
        <v>0</v>
      </c>
      <c r="R32" s="20" t="n">
        <f aca="false">ROUNDUP(M32/H32,0)</f>
        <v>0</v>
      </c>
      <c r="S32" s="20" t="n">
        <f aca="false">ROUNDUP(N32/H32,0)</f>
        <v>0</v>
      </c>
      <c r="T32" s="20" t="n">
        <f aca="false">SUM(O32:S32)</f>
        <v>17</v>
      </c>
      <c r="U32" s="20" t="n">
        <f aca="false">ROUNDUP(T32/G32,0)</f>
        <v>3</v>
      </c>
      <c r="V32" s="20" t="n">
        <f aca="false">U32*Parametry!$C$11/(1+Parametry!$C$71*Parametry!$C$73)</f>
        <v>15</v>
      </c>
      <c r="W32" s="20" t="n">
        <f aca="false">2</f>
        <v>2</v>
      </c>
      <c r="X32" s="20" t="n">
        <f aca="false">V32*(W32-1)</f>
        <v>15</v>
      </c>
      <c r="Y32" s="20" t="n">
        <f aca="false">V32*W32</f>
        <v>30</v>
      </c>
      <c r="Z32" s="20" t="n">
        <f aca="false">SUM(J32:N32)</f>
        <v>1056</v>
      </c>
      <c r="AA32" s="20" t="s">
        <v>2350</v>
      </c>
    </row>
    <row r="33" customFormat="false" ht="69.75" hidden="false" customHeight="true" outlineLevel="0" collapsed="false">
      <c r="A33" s="19" t="s">
        <v>269</v>
      </c>
      <c r="B33" s="19" t="s">
        <v>2352</v>
      </c>
      <c r="C33" s="19" t="s">
        <v>2351</v>
      </c>
      <c r="D33" s="19" t="n">
        <v>2</v>
      </c>
      <c r="E33" s="19" t="n">
        <f aca="false">D33+1</f>
        <v>3</v>
      </c>
      <c r="F33" s="19" t="n">
        <v>2</v>
      </c>
      <c r="G33" s="61" t="n">
        <f aca="false">Parametry!$C$12</f>
        <v>6</v>
      </c>
      <c r="H33" s="19" t="n">
        <f aca="false">ROUNDDOWN(ROUNDDOWN(Parametry!$C$9*Parametry!$C$10^(F33-1),0)*(1+Parametry!$C$72*MAX(0,Parametry!$C$73-2)),0)</f>
        <v>66</v>
      </c>
      <c r="I33" s="19" t="n">
        <f aca="false">ROUNDUP((2*(0))*Parametry!$C$15,0)</f>
        <v>0</v>
      </c>
      <c r="J33" s="19" t="n">
        <f aca="false">ROUNDUP((2*(Parametry!$C$16*Parametry!$C$17*D33+Parametry!$C$16*Parametry!$C$19*D33))*Parametry!$C$15,0)</f>
        <v>845</v>
      </c>
      <c r="K33" s="19" t="n">
        <f aca="false">ROUNDUP((2*(Parametry!$C$16*Parametry!$C$18*D33))*Parametry!$C$15,0)</f>
        <v>317</v>
      </c>
      <c r="L33" s="19" t="n">
        <f aca="false">ROUNDUP((2*(0))*Parametry!$C$15,0)</f>
        <v>0</v>
      </c>
      <c r="M33" s="19" t="n">
        <f aca="false">ROUNDUP((2*(0))*Parametry!$C$15,0)</f>
        <v>0</v>
      </c>
      <c r="N33" s="19" t="n">
        <f aca="false">ROUNDUP((2*(0))*Parametry!$C$15,0)</f>
        <v>0</v>
      </c>
      <c r="O33" s="19" t="n">
        <f aca="false">ROUNDUP(J33/H33,0)</f>
        <v>13</v>
      </c>
      <c r="P33" s="19" t="n">
        <f aca="false">ROUNDUP(K33/H33,0)</f>
        <v>5</v>
      </c>
      <c r="Q33" s="19" t="n">
        <f aca="false">ROUNDUP(L33/H33,0)</f>
        <v>0</v>
      </c>
      <c r="R33" s="19" t="n">
        <f aca="false">ROUNDUP(M33/H33,0)</f>
        <v>0</v>
      </c>
      <c r="S33" s="19" t="n">
        <f aca="false">ROUNDUP(N33/H33,0)</f>
        <v>0</v>
      </c>
      <c r="T33" s="19" t="n">
        <f aca="false">SUM(O33:S33)</f>
        <v>18</v>
      </c>
      <c r="U33" s="19" t="n">
        <f aca="false">ROUNDUP(T33/G33,0)</f>
        <v>3</v>
      </c>
      <c r="V33" s="19" t="n">
        <f aca="false">U33*Parametry!$C$11/(1+Parametry!$C$71*Parametry!$C$73)</f>
        <v>15</v>
      </c>
      <c r="W33" s="19" t="n">
        <f aca="false">2</f>
        <v>2</v>
      </c>
      <c r="X33" s="19" t="n">
        <f aca="false">V33*(W33-1)</f>
        <v>15</v>
      </c>
      <c r="Y33" s="19" t="n">
        <f aca="false">V33*W33</f>
        <v>30</v>
      </c>
      <c r="Z33" s="19" t="n">
        <f aca="false">SUM(J33:N33)</f>
        <v>1162</v>
      </c>
      <c r="AA33" s="19" t="s">
        <v>2350</v>
      </c>
    </row>
    <row r="34" customFormat="false" ht="69.75" hidden="false" customHeight="true" outlineLevel="0" collapsed="false">
      <c r="A34" s="20" t="s">
        <v>269</v>
      </c>
      <c r="B34" s="20" t="s">
        <v>2353</v>
      </c>
      <c r="C34" s="20" t="s">
        <v>2349</v>
      </c>
      <c r="D34" s="20" t="n">
        <v>3</v>
      </c>
      <c r="E34" s="20" t="n">
        <f aca="false">D34+1</f>
        <v>4</v>
      </c>
      <c r="F34" s="20" t="n">
        <v>3</v>
      </c>
      <c r="G34" s="60" t="n">
        <f aca="false">Parametry!$C$12</f>
        <v>6</v>
      </c>
      <c r="H34" s="20" t="n">
        <f aca="false">ROUNDDOWN(ROUNDDOWN(Parametry!$C$9*Parametry!$C$10^(F34-1),0)*(1+Parametry!$C$72*MAX(0,Parametry!$C$73-2)),0)</f>
        <v>72</v>
      </c>
      <c r="I34" s="20" t="n">
        <f aca="false">ROUNDUP((2*(0))*1,0)</f>
        <v>0</v>
      </c>
      <c r="J34" s="20" t="n">
        <f aca="false">ROUNDUP((2*(Parametry!$C$16*Parametry!$C$17*D34+Parametry!$C$16*Parametry!$C$19*D34))*1,0)</f>
        <v>1152</v>
      </c>
      <c r="K34" s="20" t="n">
        <f aca="false">ROUNDUP((2*(Parametry!$C$16*Parametry!$C$18*D34))*1,0)</f>
        <v>432</v>
      </c>
      <c r="L34" s="20" t="n">
        <f aca="false">ROUNDUP((2*(0))*1,0)</f>
        <v>0</v>
      </c>
      <c r="M34" s="20" t="n">
        <f aca="false">ROUNDUP((2*(0))*1,0)</f>
        <v>0</v>
      </c>
      <c r="N34" s="20" t="n">
        <f aca="false">ROUNDUP((2*(0))*1,0)</f>
        <v>0</v>
      </c>
      <c r="O34" s="20" t="n">
        <f aca="false">ROUNDUP(J34/H34,0)</f>
        <v>16</v>
      </c>
      <c r="P34" s="20" t="n">
        <f aca="false">ROUNDUP(K34/H34,0)</f>
        <v>6</v>
      </c>
      <c r="Q34" s="20" t="n">
        <f aca="false">ROUNDUP(L34/H34,0)</f>
        <v>0</v>
      </c>
      <c r="R34" s="20" t="n">
        <f aca="false">ROUNDUP(M34/H34,0)</f>
        <v>0</v>
      </c>
      <c r="S34" s="20" t="n">
        <f aca="false">ROUNDUP(N34/H34,0)</f>
        <v>0</v>
      </c>
      <c r="T34" s="20" t="n">
        <f aca="false">SUM(O34:S34)</f>
        <v>22</v>
      </c>
      <c r="U34" s="20" t="n">
        <f aca="false">ROUNDUP(T34/G34,0)</f>
        <v>4</v>
      </c>
      <c r="V34" s="20" t="n">
        <f aca="false">U34*Parametry!$C$11/(1+Parametry!$C$71*Parametry!$C$73)</f>
        <v>20</v>
      </c>
      <c r="W34" s="20" t="n">
        <f aca="false">2</f>
        <v>2</v>
      </c>
      <c r="X34" s="20" t="n">
        <f aca="false">V34*(W34-1)</f>
        <v>20</v>
      </c>
      <c r="Y34" s="20" t="n">
        <f aca="false">V34*W34</f>
        <v>40</v>
      </c>
      <c r="Z34" s="20" t="n">
        <f aca="false">SUM(J34:N34)</f>
        <v>1584</v>
      </c>
      <c r="AA34" s="20" t="s">
        <v>2350</v>
      </c>
    </row>
    <row r="35" customFormat="false" ht="69.75" hidden="false" customHeight="true" outlineLevel="0" collapsed="false">
      <c r="A35" s="19" t="s">
        <v>269</v>
      </c>
      <c r="B35" s="19" t="s">
        <v>2353</v>
      </c>
      <c r="C35" s="19" t="s">
        <v>2351</v>
      </c>
      <c r="D35" s="19" t="n">
        <v>3</v>
      </c>
      <c r="E35" s="19" t="n">
        <f aca="false">D35+1</f>
        <v>4</v>
      </c>
      <c r="F35" s="19" t="n">
        <v>3</v>
      </c>
      <c r="G35" s="61" t="n">
        <f aca="false">Parametry!$C$12</f>
        <v>6</v>
      </c>
      <c r="H35" s="19" t="n">
        <f aca="false">ROUNDDOWN(ROUNDDOWN(Parametry!$C$9*Parametry!$C$10^(F35-1),0)*(1+Parametry!$C$72*MAX(0,Parametry!$C$73-2)),0)</f>
        <v>72</v>
      </c>
      <c r="I35" s="19" t="n">
        <f aca="false">ROUNDUP((2*(0))*Parametry!$C$15,0)</f>
        <v>0</v>
      </c>
      <c r="J35" s="19" t="n">
        <f aca="false">ROUNDUP((2*(Parametry!$C$16*Parametry!$C$17*D35+Parametry!$C$16*Parametry!$C$19*D35))*Parametry!$C$15,0)</f>
        <v>1268</v>
      </c>
      <c r="K35" s="19" t="n">
        <f aca="false">ROUNDUP((2*(Parametry!$C$16*Parametry!$C$18*D35))*Parametry!$C$15,0)</f>
        <v>476</v>
      </c>
      <c r="L35" s="19" t="n">
        <f aca="false">ROUNDUP((2*(0))*Parametry!$C$15,0)</f>
        <v>0</v>
      </c>
      <c r="M35" s="19" t="n">
        <f aca="false">ROUNDUP((2*(0))*Parametry!$C$15,0)</f>
        <v>0</v>
      </c>
      <c r="N35" s="19" t="n">
        <f aca="false">ROUNDUP((2*(0))*Parametry!$C$15,0)</f>
        <v>0</v>
      </c>
      <c r="O35" s="19" t="n">
        <f aca="false">ROUNDUP(J35/H35,0)</f>
        <v>18</v>
      </c>
      <c r="P35" s="19" t="n">
        <f aca="false">ROUNDUP(K35/H35,0)</f>
        <v>7</v>
      </c>
      <c r="Q35" s="19" t="n">
        <f aca="false">ROUNDUP(L35/H35,0)</f>
        <v>0</v>
      </c>
      <c r="R35" s="19" t="n">
        <f aca="false">ROUNDUP(M35/H35,0)</f>
        <v>0</v>
      </c>
      <c r="S35" s="19" t="n">
        <f aca="false">ROUNDUP(N35/H35,0)</f>
        <v>0</v>
      </c>
      <c r="T35" s="19" t="n">
        <f aca="false">SUM(O35:S35)</f>
        <v>25</v>
      </c>
      <c r="U35" s="19" t="n">
        <f aca="false">ROUNDUP(T35/G35,0)</f>
        <v>5</v>
      </c>
      <c r="V35" s="19" t="n">
        <f aca="false">U35*Parametry!$C$11/(1+Parametry!$C$71*Parametry!$C$73)</f>
        <v>25</v>
      </c>
      <c r="W35" s="19" t="n">
        <f aca="false">2</f>
        <v>2</v>
      </c>
      <c r="X35" s="19" t="n">
        <f aca="false">V35*(W35-1)</f>
        <v>25</v>
      </c>
      <c r="Y35" s="19" t="n">
        <f aca="false">V35*W35</f>
        <v>50</v>
      </c>
      <c r="Z35" s="19" t="n">
        <f aca="false">SUM(J35:N35)</f>
        <v>1744</v>
      </c>
      <c r="AA35" s="19" t="s">
        <v>2350</v>
      </c>
    </row>
    <row r="36" customFormat="false" ht="69.75" hidden="false" customHeight="true" outlineLevel="0" collapsed="false">
      <c r="A36" s="20" t="s">
        <v>274</v>
      </c>
      <c r="B36" s="20" t="s">
        <v>2348</v>
      </c>
      <c r="C36" s="20" t="s">
        <v>2349</v>
      </c>
      <c r="D36" s="20" t="n">
        <v>1</v>
      </c>
      <c r="E36" s="20" t="n">
        <f aca="false">D36+1</f>
        <v>2</v>
      </c>
      <c r="F36" s="20" t="n">
        <v>1</v>
      </c>
      <c r="G36" s="60" t="n">
        <f aca="false">Parametry!$C$12</f>
        <v>6</v>
      </c>
      <c r="H36" s="20" t="n">
        <f aca="false">ROUNDDOWN(ROUNDDOWN(Parametry!$C$9*Parametry!$C$10^(F36-1),0)*(1+Parametry!$C$72*MAX(0,Parametry!$C$73-2)),0)</f>
        <v>60</v>
      </c>
      <c r="I36" s="20" t="n">
        <f aca="false">ROUNDUP((2*(0))*1,0)</f>
        <v>0</v>
      </c>
      <c r="J36" s="20" t="n">
        <f aca="false">ROUNDUP((2*(Parametry!$C$16*Parametry!$C$17*D36))*1,0)</f>
        <v>144</v>
      </c>
      <c r="K36" s="20" t="n">
        <f aca="false">ROUNDUP((2*(Parametry!$C$16*Parametry!$C$18*D36))*1,0)</f>
        <v>144</v>
      </c>
      <c r="L36" s="20" t="n">
        <f aca="false">ROUNDUP((2*(0))*1,0)</f>
        <v>0</v>
      </c>
      <c r="M36" s="20" t="n">
        <f aca="false">ROUNDUP((2*(0))*1,0)</f>
        <v>0</v>
      </c>
      <c r="N36" s="20" t="n">
        <f aca="false">ROUNDUP((2*(Parametry!$C$16*Parametry!$C$19*D36))*1,0)</f>
        <v>240</v>
      </c>
      <c r="O36" s="20" t="n">
        <f aca="false">ROUNDUP(J36/H36,0)</f>
        <v>3</v>
      </c>
      <c r="P36" s="20" t="n">
        <f aca="false">ROUNDUP(K36/H36,0)</f>
        <v>3</v>
      </c>
      <c r="Q36" s="20" t="n">
        <f aca="false">ROUNDUP(L36/H36,0)</f>
        <v>0</v>
      </c>
      <c r="R36" s="20" t="n">
        <f aca="false">ROUNDUP(M36/H36,0)</f>
        <v>0</v>
      </c>
      <c r="S36" s="20" t="n">
        <f aca="false">ROUNDUP(N36/H36,0)</f>
        <v>4</v>
      </c>
      <c r="T36" s="20" t="n">
        <f aca="false">SUM(O36:S36)</f>
        <v>10</v>
      </c>
      <c r="U36" s="20" t="n">
        <f aca="false">ROUNDUP(T36/G36,0)</f>
        <v>2</v>
      </c>
      <c r="V36" s="20" t="n">
        <f aca="false">U36*Parametry!$C$11/(1+Parametry!$C$71*Parametry!$C$73)</f>
        <v>10</v>
      </c>
      <c r="W36" s="20" t="n">
        <f aca="false">2</f>
        <v>2</v>
      </c>
      <c r="X36" s="20" t="n">
        <f aca="false">V36*(W36-1)</f>
        <v>10</v>
      </c>
      <c r="Y36" s="20" t="n">
        <f aca="false">V36*W36</f>
        <v>20</v>
      </c>
      <c r="Z36" s="20" t="n">
        <f aca="false">SUM(J36:N36)</f>
        <v>528</v>
      </c>
      <c r="AA36" s="20" t="s">
        <v>2350</v>
      </c>
    </row>
    <row r="37" customFormat="false" ht="69.75" hidden="false" customHeight="true" outlineLevel="0" collapsed="false">
      <c r="A37" s="19" t="s">
        <v>274</v>
      </c>
      <c r="B37" s="19" t="s">
        <v>2348</v>
      </c>
      <c r="C37" s="19" t="s">
        <v>2351</v>
      </c>
      <c r="D37" s="19" t="n">
        <v>1</v>
      </c>
      <c r="E37" s="19" t="n">
        <f aca="false">D37+1</f>
        <v>2</v>
      </c>
      <c r="F37" s="19" t="n">
        <v>1</v>
      </c>
      <c r="G37" s="61" t="n">
        <f aca="false">Parametry!$C$12</f>
        <v>6</v>
      </c>
      <c r="H37" s="19" t="n">
        <f aca="false">ROUNDDOWN(ROUNDDOWN(Parametry!$C$9*Parametry!$C$10^(F37-1),0)*(1+Parametry!$C$72*MAX(0,Parametry!$C$73-2)),0)</f>
        <v>60</v>
      </c>
      <c r="I37" s="19" t="n">
        <f aca="false">ROUNDUP((2*(0))*Parametry!$C$15,0)</f>
        <v>0</v>
      </c>
      <c r="J37" s="19" t="n">
        <f aca="false">ROUNDUP((2*(Parametry!$C$16*Parametry!$C$17*D37))*Parametry!$C$15,0)</f>
        <v>159</v>
      </c>
      <c r="K37" s="19" t="n">
        <f aca="false">ROUNDUP((2*(Parametry!$C$16*Parametry!$C$18*D37))*Parametry!$C$15,0)</f>
        <v>159</v>
      </c>
      <c r="L37" s="19" t="n">
        <f aca="false">ROUNDUP((2*(0))*Parametry!$C$15,0)</f>
        <v>0</v>
      </c>
      <c r="M37" s="19" t="n">
        <f aca="false">ROUNDUP((2*(0))*Parametry!$C$15,0)</f>
        <v>0</v>
      </c>
      <c r="N37" s="19" t="n">
        <f aca="false">ROUNDUP((2*(Parametry!$C$16*Parametry!$C$19*D37))*Parametry!$C$15,0)</f>
        <v>264</v>
      </c>
      <c r="O37" s="19" t="n">
        <f aca="false">ROUNDUP(J37/H37,0)</f>
        <v>3</v>
      </c>
      <c r="P37" s="19" t="n">
        <f aca="false">ROUNDUP(K37/H37,0)</f>
        <v>3</v>
      </c>
      <c r="Q37" s="19" t="n">
        <f aca="false">ROUNDUP(L37/H37,0)</f>
        <v>0</v>
      </c>
      <c r="R37" s="19" t="n">
        <f aca="false">ROUNDUP(M37/H37,0)</f>
        <v>0</v>
      </c>
      <c r="S37" s="19" t="n">
        <f aca="false">ROUNDUP(N37/H37,0)</f>
        <v>5</v>
      </c>
      <c r="T37" s="19" t="n">
        <f aca="false">SUM(O37:S37)</f>
        <v>11</v>
      </c>
      <c r="U37" s="19" t="n">
        <f aca="false">ROUNDUP(T37/G37,0)</f>
        <v>2</v>
      </c>
      <c r="V37" s="19" t="n">
        <f aca="false">U37*Parametry!$C$11/(1+Parametry!$C$71*Parametry!$C$73)</f>
        <v>10</v>
      </c>
      <c r="W37" s="19" t="n">
        <f aca="false">2</f>
        <v>2</v>
      </c>
      <c r="X37" s="19" t="n">
        <f aca="false">V37*(W37-1)</f>
        <v>10</v>
      </c>
      <c r="Y37" s="19" t="n">
        <f aca="false">V37*W37</f>
        <v>20</v>
      </c>
      <c r="Z37" s="19" t="n">
        <f aca="false">SUM(J37:N37)</f>
        <v>582</v>
      </c>
      <c r="AA37" s="19" t="s">
        <v>2350</v>
      </c>
    </row>
    <row r="38" customFormat="false" ht="69.75" hidden="false" customHeight="true" outlineLevel="0" collapsed="false">
      <c r="A38" s="20" t="s">
        <v>274</v>
      </c>
      <c r="B38" s="20" t="s">
        <v>2352</v>
      </c>
      <c r="C38" s="20" t="s">
        <v>2349</v>
      </c>
      <c r="D38" s="20" t="n">
        <v>2</v>
      </c>
      <c r="E38" s="20" t="n">
        <f aca="false">D38+1</f>
        <v>3</v>
      </c>
      <c r="F38" s="20" t="n">
        <v>2</v>
      </c>
      <c r="G38" s="60" t="n">
        <f aca="false">Parametry!$C$12</f>
        <v>6</v>
      </c>
      <c r="H38" s="20" t="n">
        <f aca="false">ROUNDDOWN(ROUNDDOWN(Parametry!$C$9*Parametry!$C$10^(F38-1),0)*(1+Parametry!$C$72*MAX(0,Parametry!$C$73-2)),0)</f>
        <v>66</v>
      </c>
      <c r="I38" s="20" t="n">
        <f aca="false">ROUNDUP((2*(0))*1,0)</f>
        <v>0</v>
      </c>
      <c r="J38" s="20" t="n">
        <f aca="false">ROUNDUP((2*(Parametry!$C$16*Parametry!$C$17*D38))*1,0)</f>
        <v>288</v>
      </c>
      <c r="K38" s="20" t="n">
        <f aca="false">ROUNDUP((2*(Parametry!$C$16*Parametry!$C$18*D38))*1,0)</f>
        <v>288</v>
      </c>
      <c r="L38" s="20" t="n">
        <f aca="false">ROUNDUP((2*(0))*1,0)</f>
        <v>0</v>
      </c>
      <c r="M38" s="20" t="n">
        <f aca="false">ROUNDUP((2*(0))*1,0)</f>
        <v>0</v>
      </c>
      <c r="N38" s="20" t="n">
        <f aca="false">ROUNDUP((2*(Parametry!$C$16*Parametry!$C$19*D38))*1,0)</f>
        <v>480</v>
      </c>
      <c r="O38" s="20" t="n">
        <f aca="false">ROUNDUP(J38/H38,0)</f>
        <v>5</v>
      </c>
      <c r="P38" s="20" t="n">
        <f aca="false">ROUNDUP(K38/H38,0)</f>
        <v>5</v>
      </c>
      <c r="Q38" s="20" t="n">
        <f aca="false">ROUNDUP(L38/H38,0)</f>
        <v>0</v>
      </c>
      <c r="R38" s="20" t="n">
        <f aca="false">ROUNDUP(M38/H38,0)</f>
        <v>0</v>
      </c>
      <c r="S38" s="20" t="n">
        <f aca="false">ROUNDUP(N38/H38,0)</f>
        <v>8</v>
      </c>
      <c r="T38" s="20" t="n">
        <f aca="false">SUM(O38:S38)</f>
        <v>18</v>
      </c>
      <c r="U38" s="20" t="n">
        <f aca="false">ROUNDUP(T38/G38,0)</f>
        <v>3</v>
      </c>
      <c r="V38" s="20" t="n">
        <f aca="false">U38*Parametry!$C$11/(1+Parametry!$C$71*Parametry!$C$73)</f>
        <v>15</v>
      </c>
      <c r="W38" s="20" t="n">
        <f aca="false">2</f>
        <v>2</v>
      </c>
      <c r="X38" s="20" t="n">
        <f aca="false">V38*(W38-1)</f>
        <v>15</v>
      </c>
      <c r="Y38" s="20" t="n">
        <f aca="false">V38*W38</f>
        <v>30</v>
      </c>
      <c r="Z38" s="20" t="n">
        <f aca="false">SUM(J38:N38)</f>
        <v>1056</v>
      </c>
      <c r="AA38" s="20" t="s">
        <v>2350</v>
      </c>
    </row>
    <row r="39" customFormat="false" ht="69.75" hidden="false" customHeight="true" outlineLevel="0" collapsed="false">
      <c r="A39" s="19" t="s">
        <v>274</v>
      </c>
      <c r="B39" s="19" t="s">
        <v>2352</v>
      </c>
      <c r="C39" s="19" t="s">
        <v>2351</v>
      </c>
      <c r="D39" s="19" t="n">
        <v>2</v>
      </c>
      <c r="E39" s="19" t="n">
        <f aca="false">D39+1</f>
        <v>3</v>
      </c>
      <c r="F39" s="19" t="n">
        <v>2</v>
      </c>
      <c r="G39" s="61" t="n">
        <f aca="false">Parametry!$C$12</f>
        <v>6</v>
      </c>
      <c r="H39" s="19" t="n">
        <f aca="false">ROUNDDOWN(ROUNDDOWN(Parametry!$C$9*Parametry!$C$10^(F39-1),0)*(1+Parametry!$C$72*MAX(0,Parametry!$C$73-2)),0)</f>
        <v>66</v>
      </c>
      <c r="I39" s="19" t="n">
        <f aca="false">ROUNDUP((2*(0))*Parametry!$C$15,0)</f>
        <v>0</v>
      </c>
      <c r="J39" s="19" t="n">
        <f aca="false">ROUNDUP((2*(Parametry!$C$16*Parametry!$C$17*D39))*Parametry!$C$15,0)</f>
        <v>317</v>
      </c>
      <c r="K39" s="19" t="n">
        <f aca="false">ROUNDUP((2*(Parametry!$C$16*Parametry!$C$18*D39))*Parametry!$C$15,0)</f>
        <v>317</v>
      </c>
      <c r="L39" s="19" t="n">
        <f aca="false">ROUNDUP((2*(0))*Parametry!$C$15,0)</f>
        <v>0</v>
      </c>
      <c r="M39" s="19" t="n">
        <f aca="false">ROUNDUP((2*(0))*Parametry!$C$15,0)</f>
        <v>0</v>
      </c>
      <c r="N39" s="19" t="n">
        <f aca="false">ROUNDUP((2*(Parametry!$C$16*Parametry!$C$19*D39))*Parametry!$C$15,0)</f>
        <v>528</v>
      </c>
      <c r="O39" s="19" t="n">
        <f aca="false">ROUNDUP(J39/H39,0)</f>
        <v>5</v>
      </c>
      <c r="P39" s="19" t="n">
        <f aca="false">ROUNDUP(K39/H39,0)</f>
        <v>5</v>
      </c>
      <c r="Q39" s="19" t="n">
        <f aca="false">ROUNDUP(L39/H39,0)</f>
        <v>0</v>
      </c>
      <c r="R39" s="19" t="n">
        <f aca="false">ROUNDUP(M39/H39,0)</f>
        <v>0</v>
      </c>
      <c r="S39" s="19" t="n">
        <f aca="false">ROUNDUP(N39/H39,0)</f>
        <v>8</v>
      </c>
      <c r="T39" s="19" t="n">
        <f aca="false">SUM(O39:S39)</f>
        <v>18</v>
      </c>
      <c r="U39" s="19" t="n">
        <f aca="false">ROUNDUP(T39/G39,0)</f>
        <v>3</v>
      </c>
      <c r="V39" s="19" t="n">
        <f aca="false">U39*Parametry!$C$11/(1+Parametry!$C$71*Parametry!$C$73)</f>
        <v>15</v>
      </c>
      <c r="W39" s="19" t="n">
        <f aca="false">2</f>
        <v>2</v>
      </c>
      <c r="X39" s="19" t="n">
        <f aca="false">V39*(W39-1)</f>
        <v>15</v>
      </c>
      <c r="Y39" s="19" t="n">
        <f aca="false">V39*W39</f>
        <v>30</v>
      </c>
      <c r="Z39" s="19" t="n">
        <f aca="false">SUM(J39:N39)</f>
        <v>1162</v>
      </c>
      <c r="AA39" s="19" t="s">
        <v>2350</v>
      </c>
    </row>
    <row r="40" customFormat="false" ht="69.75" hidden="false" customHeight="true" outlineLevel="0" collapsed="false">
      <c r="A40" s="20" t="s">
        <v>274</v>
      </c>
      <c r="B40" s="20" t="s">
        <v>2353</v>
      </c>
      <c r="C40" s="20" t="s">
        <v>2349</v>
      </c>
      <c r="D40" s="20" t="n">
        <v>3</v>
      </c>
      <c r="E40" s="20" t="n">
        <f aca="false">D40+1</f>
        <v>4</v>
      </c>
      <c r="F40" s="20" t="n">
        <v>3</v>
      </c>
      <c r="G40" s="60" t="n">
        <f aca="false">Parametry!$C$12</f>
        <v>6</v>
      </c>
      <c r="H40" s="20" t="n">
        <f aca="false">ROUNDDOWN(ROUNDDOWN(Parametry!$C$9*Parametry!$C$10^(F40-1),0)*(1+Parametry!$C$72*MAX(0,Parametry!$C$73-2)),0)</f>
        <v>72</v>
      </c>
      <c r="I40" s="20" t="n">
        <f aca="false">ROUNDUP((2*(0))*1,0)</f>
        <v>0</v>
      </c>
      <c r="J40" s="20" t="n">
        <f aca="false">ROUNDUP((2*(Parametry!$C$16*Parametry!$C$17*D40))*1,0)</f>
        <v>432</v>
      </c>
      <c r="K40" s="20" t="n">
        <f aca="false">ROUNDUP((2*(Parametry!$C$16*Parametry!$C$18*D40))*1,0)</f>
        <v>432</v>
      </c>
      <c r="L40" s="20" t="n">
        <f aca="false">ROUNDUP((2*(0))*1,0)</f>
        <v>0</v>
      </c>
      <c r="M40" s="20" t="n">
        <f aca="false">ROUNDUP((2*(0))*1,0)</f>
        <v>0</v>
      </c>
      <c r="N40" s="20" t="n">
        <f aca="false">ROUNDUP((2*(Parametry!$C$16*Parametry!$C$19*D40))*1,0)</f>
        <v>720</v>
      </c>
      <c r="O40" s="20" t="n">
        <f aca="false">ROUNDUP(J40/H40,0)</f>
        <v>6</v>
      </c>
      <c r="P40" s="20" t="n">
        <f aca="false">ROUNDUP(K40/H40,0)</f>
        <v>6</v>
      </c>
      <c r="Q40" s="20" t="n">
        <f aca="false">ROUNDUP(L40/H40,0)</f>
        <v>0</v>
      </c>
      <c r="R40" s="20" t="n">
        <f aca="false">ROUNDUP(M40/H40,0)</f>
        <v>0</v>
      </c>
      <c r="S40" s="20" t="n">
        <f aca="false">ROUNDUP(N40/H40,0)</f>
        <v>10</v>
      </c>
      <c r="T40" s="20" t="n">
        <f aca="false">SUM(O40:S40)</f>
        <v>22</v>
      </c>
      <c r="U40" s="20" t="n">
        <f aca="false">ROUNDUP(T40/G40,0)</f>
        <v>4</v>
      </c>
      <c r="V40" s="20" t="n">
        <f aca="false">U40*Parametry!$C$11/(1+Parametry!$C$71*Parametry!$C$73)</f>
        <v>20</v>
      </c>
      <c r="W40" s="20" t="n">
        <f aca="false">2</f>
        <v>2</v>
      </c>
      <c r="X40" s="20" t="n">
        <f aca="false">V40*(W40-1)</f>
        <v>20</v>
      </c>
      <c r="Y40" s="20" t="n">
        <f aca="false">V40*W40</f>
        <v>40</v>
      </c>
      <c r="Z40" s="20" t="n">
        <f aca="false">SUM(J40:N40)</f>
        <v>1584</v>
      </c>
      <c r="AA40" s="20" t="s">
        <v>2350</v>
      </c>
    </row>
    <row r="41" customFormat="false" ht="69.75" hidden="false" customHeight="true" outlineLevel="0" collapsed="false">
      <c r="A41" s="19" t="s">
        <v>274</v>
      </c>
      <c r="B41" s="19" t="s">
        <v>2353</v>
      </c>
      <c r="C41" s="19" t="s">
        <v>2351</v>
      </c>
      <c r="D41" s="19" t="n">
        <v>3</v>
      </c>
      <c r="E41" s="19" t="n">
        <f aca="false">D41+1</f>
        <v>4</v>
      </c>
      <c r="F41" s="19" t="n">
        <v>3</v>
      </c>
      <c r="G41" s="61" t="n">
        <f aca="false">Parametry!$C$12</f>
        <v>6</v>
      </c>
      <c r="H41" s="19" t="n">
        <f aca="false">ROUNDDOWN(ROUNDDOWN(Parametry!$C$9*Parametry!$C$10^(F41-1),0)*(1+Parametry!$C$72*MAX(0,Parametry!$C$73-2)),0)</f>
        <v>72</v>
      </c>
      <c r="I41" s="19" t="n">
        <f aca="false">ROUNDUP((2*(0))*Parametry!$C$15,0)</f>
        <v>0</v>
      </c>
      <c r="J41" s="19" t="n">
        <f aca="false">ROUNDUP((2*(Parametry!$C$16*Parametry!$C$17*D41))*Parametry!$C$15,0)</f>
        <v>476</v>
      </c>
      <c r="K41" s="19" t="n">
        <f aca="false">ROUNDUP((2*(Parametry!$C$16*Parametry!$C$18*D41))*Parametry!$C$15,0)</f>
        <v>476</v>
      </c>
      <c r="L41" s="19" t="n">
        <f aca="false">ROUNDUP((2*(0))*Parametry!$C$15,0)</f>
        <v>0</v>
      </c>
      <c r="M41" s="19" t="n">
        <f aca="false">ROUNDUP((2*(0))*Parametry!$C$15,0)</f>
        <v>0</v>
      </c>
      <c r="N41" s="19" t="n">
        <f aca="false">ROUNDUP((2*(Parametry!$C$16*Parametry!$C$19*D41))*Parametry!$C$15,0)</f>
        <v>792</v>
      </c>
      <c r="O41" s="19" t="n">
        <f aca="false">ROUNDUP(J41/H41,0)</f>
        <v>7</v>
      </c>
      <c r="P41" s="19" t="n">
        <f aca="false">ROUNDUP(K41/H41,0)</f>
        <v>7</v>
      </c>
      <c r="Q41" s="19" t="n">
        <f aca="false">ROUNDUP(L41/H41,0)</f>
        <v>0</v>
      </c>
      <c r="R41" s="19" t="n">
        <f aca="false">ROUNDUP(M41/H41,0)</f>
        <v>0</v>
      </c>
      <c r="S41" s="19" t="n">
        <f aca="false">ROUNDUP(N41/H41,0)</f>
        <v>11</v>
      </c>
      <c r="T41" s="19" t="n">
        <f aca="false">SUM(O41:S41)</f>
        <v>25</v>
      </c>
      <c r="U41" s="19" t="n">
        <f aca="false">ROUNDUP(T41/G41,0)</f>
        <v>5</v>
      </c>
      <c r="V41" s="19" t="n">
        <f aca="false">U41*Parametry!$C$11/(1+Parametry!$C$71*Parametry!$C$73)</f>
        <v>25</v>
      </c>
      <c r="W41" s="19" t="n">
        <f aca="false">2</f>
        <v>2</v>
      </c>
      <c r="X41" s="19" t="n">
        <f aca="false">V41*(W41-1)</f>
        <v>25</v>
      </c>
      <c r="Y41" s="19" t="n">
        <f aca="false">V41*W41</f>
        <v>50</v>
      </c>
      <c r="Z41" s="19" t="n">
        <f aca="false">SUM(J41:N41)</f>
        <v>1744</v>
      </c>
      <c r="AA41" s="19" t="s">
        <v>2350</v>
      </c>
    </row>
    <row r="42" customFormat="false" ht="69.75" hidden="false" customHeight="true" outlineLevel="0" collapsed="false">
      <c r="A42" s="20" t="s">
        <v>264</v>
      </c>
      <c r="B42" s="20" t="s">
        <v>2348</v>
      </c>
      <c r="C42" s="20" t="s">
        <v>2349</v>
      </c>
      <c r="D42" s="20" t="n">
        <v>1</v>
      </c>
      <c r="E42" s="20" t="n">
        <f aca="false">D42+1</f>
        <v>2</v>
      </c>
      <c r="F42" s="20" t="n">
        <v>1</v>
      </c>
      <c r="G42" s="60" t="n">
        <f aca="false">Parametry!$C$12</f>
        <v>6</v>
      </c>
      <c r="H42" s="20" t="n">
        <f aca="false">ROUNDDOWN(ROUNDDOWN(Parametry!$C$9*Parametry!$C$10^(F42-1),0)*(1+Parametry!$C$72*MAX(0,Parametry!$C$73-2)),0)</f>
        <v>60</v>
      </c>
      <c r="I42" s="20" t="n">
        <f aca="false">ROUNDUP((2*(0))*1,0)</f>
        <v>0</v>
      </c>
      <c r="J42" s="20" t="n">
        <f aca="false">ROUNDUP((2*(Parametry!$C$16*Parametry!$C$17*D42))*1,0)</f>
        <v>144</v>
      </c>
      <c r="K42" s="20" t="n">
        <f aca="false">ROUNDUP((2*(Parametry!$C$16*Parametry!$C$18*D42+Parametry!$C$16*Parametry!$C$19*D42))*1,0)</f>
        <v>384</v>
      </c>
      <c r="L42" s="20" t="n">
        <f aca="false">ROUNDUP((2*(0))*1,0)</f>
        <v>0</v>
      </c>
      <c r="M42" s="20" t="n">
        <f aca="false">ROUNDUP((2*(0))*1,0)</f>
        <v>0</v>
      </c>
      <c r="N42" s="20" t="n">
        <f aca="false">ROUNDUP((2*(0))*1,0)</f>
        <v>0</v>
      </c>
      <c r="O42" s="20" t="n">
        <f aca="false">ROUNDUP(J42/H42,0)</f>
        <v>3</v>
      </c>
      <c r="P42" s="20" t="n">
        <f aca="false">ROUNDUP(K42/H42,0)</f>
        <v>7</v>
      </c>
      <c r="Q42" s="20" t="n">
        <f aca="false">ROUNDUP(L42/H42,0)</f>
        <v>0</v>
      </c>
      <c r="R42" s="20" t="n">
        <f aca="false">ROUNDUP(M42/H42,0)</f>
        <v>0</v>
      </c>
      <c r="S42" s="20" t="n">
        <f aca="false">ROUNDUP(N42/H42,0)</f>
        <v>0</v>
      </c>
      <c r="T42" s="20" t="n">
        <f aca="false">SUM(O42:S42)</f>
        <v>10</v>
      </c>
      <c r="U42" s="20" t="n">
        <f aca="false">ROUNDUP(T42/G42,0)</f>
        <v>2</v>
      </c>
      <c r="V42" s="20" t="n">
        <f aca="false">U42*Parametry!$C$11/(1+Parametry!$C$71*Parametry!$C$73)</f>
        <v>10</v>
      </c>
      <c r="W42" s="20" t="n">
        <f aca="false">2</f>
        <v>2</v>
      </c>
      <c r="X42" s="20" t="n">
        <f aca="false">V42*(W42-1)</f>
        <v>10</v>
      </c>
      <c r="Y42" s="20" t="n">
        <f aca="false">V42*W42</f>
        <v>20</v>
      </c>
      <c r="Z42" s="20" t="n">
        <f aca="false">SUM(J42:N42)</f>
        <v>528</v>
      </c>
      <c r="AA42" s="20" t="s">
        <v>2350</v>
      </c>
    </row>
    <row r="43" customFormat="false" ht="69.75" hidden="false" customHeight="true" outlineLevel="0" collapsed="false">
      <c r="A43" s="19" t="s">
        <v>264</v>
      </c>
      <c r="B43" s="19" t="s">
        <v>2348</v>
      </c>
      <c r="C43" s="19" t="s">
        <v>2351</v>
      </c>
      <c r="D43" s="19" t="n">
        <v>1</v>
      </c>
      <c r="E43" s="19" t="n">
        <f aca="false">D43+1</f>
        <v>2</v>
      </c>
      <c r="F43" s="19" t="n">
        <v>1</v>
      </c>
      <c r="G43" s="61" t="n">
        <f aca="false">Parametry!$C$12</f>
        <v>6</v>
      </c>
      <c r="H43" s="19" t="n">
        <f aca="false">ROUNDDOWN(ROUNDDOWN(Parametry!$C$9*Parametry!$C$10^(F43-1),0)*(1+Parametry!$C$72*MAX(0,Parametry!$C$73-2)),0)</f>
        <v>60</v>
      </c>
      <c r="I43" s="19" t="n">
        <f aca="false">ROUNDUP((2*(0))*Parametry!$C$15,0)</f>
        <v>0</v>
      </c>
      <c r="J43" s="19" t="n">
        <f aca="false">ROUNDUP((2*(Parametry!$C$16*Parametry!$C$17*D43))*Parametry!$C$15,0)</f>
        <v>159</v>
      </c>
      <c r="K43" s="19" t="n">
        <f aca="false">ROUNDUP((2*(Parametry!$C$16*Parametry!$C$18*D43+Parametry!$C$16*Parametry!$C$19*D43))*Parametry!$C$15,0)</f>
        <v>423</v>
      </c>
      <c r="L43" s="19" t="n">
        <f aca="false">ROUNDUP((2*(0))*Parametry!$C$15,0)</f>
        <v>0</v>
      </c>
      <c r="M43" s="19" t="n">
        <f aca="false">ROUNDUP((2*(0))*Parametry!$C$15,0)</f>
        <v>0</v>
      </c>
      <c r="N43" s="19" t="n">
        <f aca="false">ROUNDUP((2*(0))*Parametry!$C$15,0)</f>
        <v>0</v>
      </c>
      <c r="O43" s="19" t="n">
        <f aca="false">ROUNDUP(J43/H43,0)</f>
        <v>3</v>
      </c>
      <c r="P43" s="19" t="n">
        <f aca="false">ROUNDUP(K43/H43,0)</f>
        <v>8</v>
      </c>
      <c r="Q43" s="19" t="n">
        <f aca="false">ROUNDUP(L43/H43,0)</f>
        <v>0</v>
      </c>
      <c r="R43" s="19" t="n">
        <f aca="false">ROUNDUP(M43/H43,0)</f>
        <v>0</v>
      </c>
      <c r="S43" s="19" t="n">
        <f aca="false">ROUNDUP(N43/H43,0)</f>
        <v>0</v>
      </c>
      <c r="T43" s="19" t="n">
        <f aca="false">SUM(O43:S43)</f>
        <v>11</v>
      </c>
      <c r="U43" s="19" t="n">
        <f aca="false">ROUNDUP(T43/G43,0)</f>
        <v>2</v>
      </c>
      <c r="V43" s="19" t="n">
        <f aca="false">U43*Parametry!$C$11/(1+Parametry!$C$71*Parametry!$C$73)</f>
        <v>10</v>
      </c>
      <c r="W43" s="19" t="n">
        <f aca="false">2</f>
        <v>2</v>
      </c>
      <c r="X43" s="19" t="n">
        <f aca="false">V43*(W43-1)</f>
        <v>10</v>
      </c>
      <c r="Y43" s="19" t="n">
        <f aca="false">V43*W43</f>
        <v>20</v>
      </c>
      <c r="Z43" s="19" t="n">
        <f aca="false">SUM(J43:N43)</f>
        <v>582</v>
      </c>
      <c r="AA43" s="19" t="s">
        <v>2350</v>
      </c>
    </row>
    <row r="44" customFormat="false" ht="69.75" hidden="false" customHeight="true" outlineLevel="0" collapsed="false">
      <c r="A44" s="20" t="s">
        <v>264</v>
      </c>
      <c r="B44" s="20" t="s">
        <v>2352</v>
      </c>
      <c r="C44" s="20" t="s">
        <v>2349</v>
      </c>
      <c r="D44" s="20" t="n">
        <v>2</v>
      </c>
      <c r="E44" s="20" t="n">
        <f aca="false">D44+1</f>
        <v>3</v>
      </c>
      <c r="F44" s="20" t="n">
        <v>2</v>
      </c>
      <c r="G44" s="60" t="n">
        <f aca="false">Parametry!$C$12</f>
        <v>6</v>
      </c>
      <c r="H44" s="20" t="n">
        <f aca="false">ROUNDDOWN(ROUNDDOWN(Parametry!$C$9*Parametry!$C$10^(F44-1),0)*(1+Parametry!$C$72*MAX(0,Parametry!$C$73-2)),0)</f>
        <v>66</v>
      </c>
      <c r="I44" s="20" t="n">
        <f aca="false">ROUNDUP((2*(0))*1,0)</f>
        <v>0</v>
      </c>
      <c r="J44" s="20" t="n">
        <f aca="false">ROUNDUP((2*(Parametry!$C$16*Parametry!$C$17*D44))*1,0)</f>
        <v>288</v>
      </c>
      <c r="K44" s="20" t="n">
        <f aca="false">ROUNDUP((2*(Parametry!$C$16*Parametry!$C$18*D44+Parametry!$C$16*Parametry!$C$19*D44))*1,0)</f>
        <v>768</v>
      </c>
      <c r="L44" s="20" t="n">
        <f aca="false">ROUNDUP((2*(0))*1,0)</f>
        <v>0</v>
      </c>
      <c r="M44" s="20" t="n">
        <f aca="false">ROUNDUP((2*(0))*1,0)</f>
        <v>0</v>
      </c>
      <c r="N44" s="20" t="n">
        <f aca="false">ROUNDUP((2*(0))*1,0)</f>
        <v>0</v>
      </c>
      <c r="O44" s="20" t="n">
        <f aca="false">ROUNDUP(J44/H44,0)</f>
        <v>5</v>
      </c>
      <c r="P44" s="20" t="n">
        <f aca="false">ROUNDUP(K44/H44,0)</f>
        <v>12</v>
      </c>
      <c r="Q44" s="20" t="n">
        <f aca="false">ROUNDUP(L44/H44,0)</f>
        <v>0</v>
      </c>
      <c r="R44" s="20" t="n">
        <f aca="false">ROUNDUP(M44/H44,0)</f>
        <v>0</v>
      </c>
      <c r="S44" s="20" t="n">
        <f aca="false">ROUNDUP(N44/H44,0)</f>
        <v>0</v>
      </c>
      <c r="T44" s="20" t="n">
        <f aca="false">SUM(O44:S44)</f>
        <v>17</v>
      </c>
      <c r="U44" s="20" t="n">
        <f aca="false">ROUNDUP(T44/G44,0)</f>
        <v>3</v>
      </c>
      <c r="V44" s="20" t="n">
        <f aca="false">U44*Parametry!$C$11/(1+Parametry!$C$71*Parametry!$C$73)</f>
        <v>15</v>
      </c>
      <c r="W44" s="20" t="n">
        <f aca="false">2</f>
        <v>2</v>
      </c>
      <c r="X44" s="20" t="n">
        <f aca="false">V44*(W44-1)</f>
        <v>15</v>
      </c>
      <c r="Y44" s="20" t="n">
        <f aca="false">V44*W44</f>
        <v>30</v>
      </c>
      <c r="Z44" s="20" t="n">
        <f aca="false">SUM(J44:N44)</f>
        <v>1056</v>
      </c>
      <c r="AA44" s="20" t="s">
        <v>2350</v>
      </c>
    </row>
    <row r="45" customFormat="false" ht="69.75" hidden="false" customHeight="true" outlineLevel="0" collapsed="false">
      <c r="A45" s="19" t="s">
        <v>264</v>
      </c>
      <c r="B45" s="19" t="s">
        <v>2352</v>
      </c>
      <c r="C45" s="19" t="s">
        <v>2351</v>
      </c>
      <c r="D45" s="19" t="n">
        <v>2</v>
      </c>
      <c r="E45" s="19" t="n">
        <f aca="false">D45+1</f>
        <v>3</v>
      </c>
      <c r="F45" s="19" t="n">
        <v>2</v>
      </c>
      <c r="G45" s="61" t="n">
        <f aca="false">Parametry!$C$12</f>
        <v>6</v>
      </c>
      <c r="H45" s="19" t="n">
        <f aca="false">ROUNDDOWN(ROUNDDOWN(Parametry!$C$9*Parametry!$C$10^(F45-1),0)*(1+Parametry!$C$72*MAX(0,Parametry!$C$73-2)),0)</f>
        <v>66</v>
      </c>
      <c r="I45" s="19" t="n">
        <f aca="false">ROUNDUP((2*(0))*Parametry!$C$15,0)</f>
        <v>0</v>
      </c>
      <c r="J45" s="19" t="n">
        <f aca="false">ROUNDUP((2*(Parametry!$C$16*Parametry!$C$17*D45))*Parametry!$C$15,0)</f>
        <v>317</v>
      </c>
      <c r="K45" s="19" t="n">
        <f aca="false">ROUNDUP((2*(Parametry!$C$16*Parametry!$C$18*D45+Parametry!$C$16*Parametry!$C$19*D45))*Parametry!$C$15,0)</f>
        <v>845</v>
      </c>
      <c r="L45" s="19" t="n">
        <f aca="false">ROUNDUP((2*(0))*Parametry!$C$15,0)</f>
        <v>0</v>
      </c>
      <c r="M45" s="19" t="n">
        <f aca="false">ROUNDUP((2*(0))*Parametry!$C$15,0)</f>
        <v>0</v>
      </c>
      <c r="N45" s="19" t="n">
        <f aca="false">ROUNDUP((2*(0))*Parametry!$C$15,0)</f>
        <v>0</v>
      </c>
      <c r="O45" s="19" t="n">
        <f aca="false">ROUNDUP(J45/H45,0)</f>
        <v>5</v>
      </c>
      <c r="P45" s="19" t="n">
        <f aca="false">ROUNDUP(K45/H45,0)</f>
        <v>13</v>
      </c>
      <c r="Q45" s="19" t="n">
        <f aca="false">ROUNDUP(L45/H45,0)</f>
        <v>0</v>
      </c>
      <c r="R45" s="19" t="n">
        <f aca="false">ROUNDUP(M45/H45,0)</f>
        <v>0</v>
      </c>
      <c r="S45" s="19" t="n">
        <f aca="false">ROUNDUP(N45/H45,0)</f>
        <v>0</v>
      </c>
      <c r="T45" s="19" t="n">
        <f aca="false">SUM(O45:S45)</f>
        <v>18</v>
      </c>
      <c r="U45" s="19" t="n">
        <f aca="false">ROUNDUP(T45/G45,0)</f>
        <v>3</v>
      </c>
      <c r="V45" s="19" t="n">
        <f aca="false">U45*Parametry!$C$11/(1+Parametry!$C$71*Parametry!$C$73)</f>
        <v>15</v>
      </c>
      <c r="W45" s="19" t="n">
        <f aca="false">2</f>
        <v>2</v>
      </c>
      <c r="X45" s="19" t="n">
        <f aca="false">V45*(W45-1)</f>
        <v>15</v>
      </c>
      <c r="Y45" s="19" t="n">
        <f aca="false">V45*W45</f>
        <v>30</v>
      </c>
      <c r="Z45" s="19" t="n">
        <f aca="false">SUM(J45:N45)</f>
        <v>1162</v>
      </c>
      <c r="AA45" s="19" t="s">
        <v>2350</v>
      </c>
    </row>
    <row r="46" customFormat="false" ht="69.75" hidden="false" customHeight="true" outlineLevel="0" collapsed="false">
      <c r="A46" s="20" t="s">
        <v>264</v>
      </c>
      <c r="B46" s="20" t="s">
        <v>2353</v>
      </c>
      <c r="C46" s="20" t="s">
        <v>2349</v>
      </c>
      <c r="D46" s="20" t="n">
        <v>3</v>
      </c>
      <c r="E46" s="20" t="n">
        <f aca="false">D46+1</f>
        <v>4</v>
      </c>
      <c r="F46" s="20" t="n">
        <v>3</v>
      </c>
      <c r="G46" s="60" t="n">
        <f aca="false">Parametry!$C$12</f>
        <v>6</v>
      </c>
      <c r="H46" s="20" t="n">
        <f aca="false">ROUNDDOWN(ROUNDDOWN(Parametry!$C$9*Parametry!$C$10^(F46-1),0)*(1+Parametry!$C$72*MAX(0,Parametry!$C$73-2)),0)</f>
        <v>72</v>
      </c>
      <c r="I46" s="20" t="n">
        <f aca="false">ROUNDUP((2*(0))*1,0)</f>
        <v>0</v>
      </c>
      <c r="J46" s="20" t="n">
        <f aca="false">ROUNDUP((2*(Parametry!$C$16*Parametry!$C$17*D46))*1,0)</f>
        <v>432</v>
      </c>
      <c r="K46" s="20" t="n">
        <f aca="false">ROUNDUP((2*(Parametry!$C$16*Parametry!$C$18*D46+Parametry!$C$16*Parametry!$C$19*D46))*1,0)</f>
        <v>1152</v>
      </c>
      <c r="L46" s="20" t="n">
        <f aca="false">ROUNDUP((2*(0))*1,0)</f>
        <v>0</v>
      </c>
      <c r="M46" s="20" t="n">
        <f aca="false">ROUNDUP((2*(0))*1,0)</f>
        <v>0</v>
      </c>
      <c r="N46" s="20" t="n">
        <f aca="false">ROUNDUP((2*(0))*1,0)</f>
        <v>0</v>
      </c>
      <c r="O46" s="20" t="n">
        <f aca="false">ROUNDUP(J46/H46,0)</f>
        <v>6</v>
      </c>
      <c r="P46" s="20" t="n">
        <f aca="false">ROUNDUP(K46/H46,0)</f>
        <v>16</v>
      </c>
      <c r="Q46" s="20" t="n">
        <f aca="false">ROUNDUP(L46/H46,0)</f>
        <v>0</v>
      </c>
      <c r="R46" s="20" t="n">
        <f aca="false">ROUNDUP(M46/H46,0)</f>
        <v>0</v>
      </c>
      <c r="S46" s="20" t="n">
        <f aca="false">ROUNDUP(N46/H46,0)</f>
        <v>0</v>
      </c>
      <c r="T46" s="20" t="n">
        <f aca="false">SUM(O46:S46)</f>
        <v>22</v>
      </c>
      <c r="U46" s="20" t="n">
        <f aca="false">ROUNDUP(T46/G46,0)</f>
        <v>4</v>
      </c>
      <c r="V46" s="20" t="n">
        <f aca="false">U46*Parametry!$C$11/(1+Parametry!$C$71*Parametry!$C$73)</f>
        <v>20</v>
      </c>
      <c r="W46" s="20" t="n">
        <f aca="false">2</f>
        <v>2</v>
      </c>
      <c r="X46" s="20" t="n">
        <f aca="false">V46*(W46-1)</f>
        <v>20</v>
      </c>
      <c r="Y46" s="20" t="n">
        <f aca="false">V46*W46</f>
        <v>40</v>
      </c>
      <c r="Z46" s="20" t="n">
        <f aca="false">SUM(J46:N46)</f>
        <v>1584</v>
      </c>
      <c r="AA46" s="20" t="s">
        <v>2350</v>
      </c>
    </row>
    <row r="47" customFormat="false" ht="69.75" hidden="false" customHeight="true" outlineLevel="0" collapsed="false">
      <c r="A47" s="19" t="s">
        <v>264</v>
      </c>
      <c r="B47" s="19" t="s">
        <v>2353</v>
      </c>
      <c r="C47" s="19" t="s">
        <v>2351</v>
      </c>
      <c r="D47" s="19" t="n">
        <v>3</v>
      </c>
      <c r="E47" s="19" t="n">
        <f aca="false">D47+1</f>
        <v>4</v>
      </c>
      <c r="F47" s="19" t="n">
        <v>3</v>
      </c>
      <c r="G47" s="61" t="n">
        <f aca="false">Parametry!$C$12</f>
        <v>6</v>
      </c>
      <c r="H47" s="19" t="n">
        <f aca="false">ROUNDDOWN(ROUNDDOWN(Parametry!$C$9*Parametry!$C$10^(F47-1),0)*(1+Parametry!$C$72*MAX(0,Parametry!$C$73-2)),0)</f>
        <v>72</v>
      </c>
      <c r="I47" s="19" t="n">
        <f aca="false">ROUNDUP((2*(0))*Parametry!$C$15,0)</f>
        <v>0</v>
      </c>
      <c r="J47" s="19" t="n">
        <f aca="false">ROUNDUP((2*(Parametry!$C$16*Parametry!$C$17*D47))*Parametry!$C$15,0)</f>
        <v>476</v>
      </c>
      <c r="K47" s="19" t="n">
        <f aca="false">ROUNDUP((2*(Parametry!$C$16*Parametry!$C$18*D47+Parametry!$C$16*Parametry!$C$19*D47))*Parametry!$C$15,0)</f>
        <v>1268</v>
      </c>
      <c r="L47" s="19" t="n">
        <f aca="false">ROUNDUP((2*(0))*Parametry!$C$15,0)</f>
        <v>0</v>
      </c>
      <c r="M47" s="19" t="n">
        <f aca="false">ROUNDUP((2*(0))*Parametry!$C$15,0)</f>
        <v>0</v>
      </c>
      <c r="N47" s="19" t="n">
        <f aca="false">ROUNDUP((2*(0))*Parametry!$C$15,0)</f>
        <v>0</v>
      </c>
      <c r="O47" s="19" t="n">
        <f aca="false">ROUNDUP(J47/H47,0)</f>
        <v>7</v>
      </c>
      <c r="P47" s="19" t="n">
        <f aca="false">ROUNDUP(K47/H47,0)</f>
        <v>18</v>
      </c>
      <c r="Q47" s="19" t="n">
        <f aca="false">ROUNDUP(L47/H47,0)</f>
        <v>0</v>
      </c>
      <c r="R47" s="19" t="n">
        <f aca="false">ROUNDUP(M47/H47,0)</f>
        <v>0</v>
      </c>
      <c r="S47" s="19" t="n">
        <f aca="false">ROUNDUP(N47/H47,0)</f>
        <v>0</v>
      </c>
      <c r="T47" s="19" t="n">
        <f aca="false">SUM(O47:S47)</f>
        <v>25</v>
      </c>
      <c r="U47" s="19" t="n">
        <f aca="false">ROUNDUP(T47/G47,0)</f>
        <v>5</v>
      </c>
      <c r="V47" s="19" t="n">
        <f aca="false">U47*Parametry!$C$11/(1+Parametry!$C$71*Parametry!$C$73)</f>
        <v>25</v>
      </c>
      <c r="W47" s="19" t="n">
        <f aca="false">2</f>
        <v>2</v>
      </c>
      <c r="X47" s="19" t="n">
        <f aca="false">V47*(W47-1)</f>
        <v>25</v>
      </c>
      <c r="Y47" s="19" t="n">
        <f aca="false">V47*W47</f>
        <v>50</v>
      </c>
      <c r="Z47" s="19" t="n">
        <f aca="false">SUM(J47:N47)</f>
        <v>1744</v>
      </c>
      <c r="AA47" s="19" t="s">
        <v>2350</v>
      </c>
    </row>
    <row r="48" customFormat="false" ht="69.75" hidden="false" customHeight="true" outlineLevel="0" collapsed="false">
      <c r="A48" s="20" t="s">
        <v>278</v>
      </c>
      <c r="B48" s="20" t="s">
        <v>2348</v>
      </c>
      <c r="C48" s="20" t="s">
        <v>2349</v>
      </c>
      <c r="D48" s="20" t="n">
        <v>1</v>
      </c>
      <c r="E48" s="20" t="n">
        <f aca="false">D48+1</f>
        <v>2</v>
      </c>
      <c r="F48" s="20" t="n">
        <v>1</v>
      </c>
      <c r="G48" s="60" t="n">
        <f aca="false">Parametry!$C$12</f>
        <v>6</v>
      </c>
      <c r="H48" s="20" t="n">
        <f aca="false">ROUNDDOWN(ROUNDDOWN(Parametry!$C$9*Parametry!$C$10^(F48-1),0)*(1+Parametry!$C$72*MAX(0,Parametry!$C$73-2)),0)</f>
        <v>60</v>
      </c>
      <c r="I48" s="20" t="n">
        <f aca="false">ROUNDUP((Parametry!$C$21*MAX(1,D48))*1,0)</f>
        <v>300</v>
      </c>
      <c r="J48" s="20" t="n">
        <f aca="false">ROUNDUP((Parametry!$C$21*MAX(1,D48))*1,0)</f>
        <v>300</v>
      </c>
      <c r="K48" s="20" t="n">
        <f aca="false">ROUNDUP((Parametry!$C$21*MAX(1,D48))*1,0)</f>
        <v>300</v>
      </c>
      <c r="L48" s="20" t="n">
        <f aca="false">ROUNDUP((Parametry!$C$21*MAX(1,D48))*1,0)</f>
        <v>300</v>
      </c>
      <c r="M48" s="20" t="n">
        <f aca="false">ROUNDUP((Parametry!$C$21*MAX(1,D48))*1,0)</f>
        <v>300</v>
      </c>
      <c r="N48" s="20" t="n">
        <f aca="false">ROUNDUP((Parametry!$C$21*MAX(1,D48))*1,0)</f>
        <v>300</v>
      </c>
      <c r="O48" s="20" t="n">
        <f aca="false">ROUNDUP(J48/H48,0)</f>
        <v>5</v>
      </c>
      <c r="P48" s="20" t="n">
        <f aca="false">ROUNDUP(K48/H48,0)</f>
        <v>5</v>
      </c>
      <c r="Q48" s="20" t="n">
        <f aca="false">ROUNDUP(L48/H48,0)</f>
        <v>5</v>
      </c>
      <c r="R48" s="20" t="n">
        <f aca="false">ROUNDUP(M48/H48,0)</f>
        <v>5</v>
      </c>
      <c r="S48" s="20" t="n">
        <f aca="false">ROUNDUP(N48/H48,0)</f>
        <v>5</v>
      </c>
      <c r="T48" s="20" t="n">
        <f aca="false">SUM(O48:S48)</f>
        <v>25</v>
      </c>
      <c r="U48" s="20" t="n">
        <f aca="false">ROUNDUP(T48/G48,0)</f>
        <v>5</v>
      </c>
      <c r="V48" s="20" t="n">
        <f aca="false">U48*Parametry!$C$11/(1+Parametry!$C$71*Parametry!$C$73)</f>
        <v>25</v>
      </c>
      <c r="W48" s="20" t="n">
        <f aca="false">2</f>
        <v>2</v>
      </c>
      <c r="X48" s="20" t="n">
        <f aca="false">V48*(W48-1)</f>
        <v>25</v>
      </c>
      <c r="Y48" s="20" t="n">
        <f aca="false">V48*W48</f>
        <v>50</v>
      </c>
      <c r="Z48" s="20" t="n">
        <f aca="false">SUM(J48:N48)</f>
        <v>1500</v>
      </c>
      <c r="AA48" s="20" t="s">
        <v>2350</v>
      </c>
    </row>
    <row r="49" customFormat="false" ht="69.75" hidden="false" customHeight="true" outlineLevel="0" collapsed="false">
      <c r="A49" s="19" t="s">
        <v>278</v>
      </c>
      <c r="B49" s="19" t="s">
        <v>2348</v>
      </c>
      <c r="C49" s="19" t="s">
        <v>2351</v>
      </c>
      <c r="D49" s="19" t="n">
        <v>1</v>
      </c>
      <c r="E49" s="19" t="n">
        <f aca="false">D49+1</f>
        <v>2</v>
      </c>
      <c r="F49" s="19" t="n">
        <v>1</v>
      </c>
      <c r="G49" s="61" t="n">
        <f aca="false">Parametry!$C$12</f>
        <v>6</v>
      </c>
      <c r="H49" s="19" t="n">
        <f aca="false">ROUNDDOWN(ROUNDDOWN(Parametry!$C$9*Parametry!$C$10^(F49-1),0)*(1+Parametry!$C$72*MAX(0,Parametry!$C$73-2)),0)</f>
        <v>60</v>
      </c>
      <c r="I49" s="19" t="n">
        <f aca="false">ROUNDUP((Parametry!$C$21*MAX(1,D49))*Parametry!$C$15,0)</f>
        <v>330</v>
      </c>
      <c r="J49" s="19" t="n">
        <f aca="false">ROUNDUP((Parametry!$C$21*MAX(1,D49))*Parametry!$C$15,0)</f>
        <v>330</v>
      </c>
      <c r="K49" s="19" t="n">
        <f aca="false">ROUNDUP((Parametry!$C$21*MAX(1,D49))*Parametry!$C$15,0)</f>
        <v>330</v>
      </c>
      <c r="L49" s="19" t="n">
        <f aca="false">ROUNDUP((Parametry!$C$21*MAX(1,D49))*Parametry!$C$15,0)</f>
        <v>330</v>
      </c>
      <c r="M49" s="19" t="n">
        <f aca="false">ROUNDUP((Parametry!$C$21*MAX(1,D49))*Parametry!$C$15,0)</f>
        <v>330</v>
      </c>
      <c r="N49" s="19" t="n">
        <f aca="false">ROUNDUP((Parametry!$C$21*MAX(1,D49))*Parametry!$C$15,0)</f>
        <v>330</v>
      </c>
      <c r="O49" s="19" t="n">
        <f aca="false">ROUNDUP(J49/H49,0)</f>
        <v>6</v>
      </c>
      <c r="P49" s="19" t="n">
        <f aca="false">ROUNDUP(K49/H49,0)</f>
        <v>6</v>
      </c>
      <c r="Q49" s="19" t="n">
        <f aca="false">ROUNDUP(L49/H49,0)</f>
        <v>6</v>
      </c>
      <c r="R49" s="19" t="n">
        <f aca="false">ROUNDUP(M49/H49,0)</f>
        <v>6</v>
      </c>
      <c r="S49" s="19" t="n">
        <f aca="false">ROUNDUP(N49/H49,0)</f>
        <v>6</v>
      </c>
      <c r="T49" s="19" t="n">
        <f aca="false">SUM(O49:S49)</f>
        <v>30</v>
      </c>
      <c r="U49" s="19" t="n">
        <f aca="false">ROUNDUP(T49/G49,0)</f>
        <v>5</v>
      </c>
      <c r="V49" s="19" t="n">
        <f aca="false">U49*Parametry!$C$11/(1+Parametry!$C$71*Parametry!$C$73)</f>
        <v>25</v>
      </c>
      <c r="W49" s="19" t="n">
        <f aca="false">2</f>
        <v>2</v>
      </c>
      <c r="X49" s="19" t="n">
        <f aca="false">V49*(W49-1)</f>
        <v>25</v>
      </c>
      <c r="Y49" s="19" t="n">
        <f aca="false">V49*W49</f>
        <v>50</v>
      </c>
      <c r="Z49" s="19" t="n">
        <f aca="false">SUM(J49:N49)</f>
        <v>1650</v>
      </c>
      <c r="AA49" s="19" t="s">
        <v>2350</v>
      </c>
    </row>
    <row r="50" customFormat="false" ht="69.75" hidden="false" customHeight="true" outlineLevel="0" collapsed="false">
      <c r="A50" s="20" t="s">
        <v>278</v>
      </c>
      <c r="B50" s="20" t="s">
        <v>2352</v>
      </c>
      <c r="C50" s="20" t="s">
        <v>2349</v>
      </c>
      <c r="D50" s="20" t="n">
        <v>2</v>
      </c>
      <c r="E50" s="20" t="n">
        <f aca="false">D50+1</f>
        <v>3</v>
      </c>
      <c r="F50" s="20" t="n">
        <v>2</v>
      </c>
      <c r="G50" s="60" t="n">
        <f aca="false">Parametry!$C$12</f>
        <v>6</v>
      </c>
      <c r="H50" s="20" t="n">
        <f aca="false">ROUNDDOWN(ROUNDDOWN(Parametry!$C$9*Parametry!$C$10^(F50-1),0)*(1+Parametry!$C$72*MAX(0,Parametry!$C$73-2)),0)</f>
        <v>66</v>
      </c>
      <c r="I50" s="20" t="n">
        <f aca="false">ROUNDUP((Parametry!$C$21*MAX(1,D50))*1,0)</f>
        <v>600</v>
      </c>
      <c r="J50" s="20" t="n">
        <f aca="false">ROUNDUP((Parametry!$C$21*MAX(1,D50))*1,0)</f>
        <v>600</v>
      </c>
      <c r="K50" s="20" t="n">
        <f aca="false">ROUNDUP((Parametry!$C$21*MAX(1,D50))*1,0)</f>
        <v>600</v>
      </c>
      <c r="L50" s="20" t="n">
        <f aca="false">ROUNDUP((Parametry!$C$21*MAX(1,D50))*1,0)</f>
        <v>600</v>
      </c>
      <c r="M50" s="20" t="n">
        <f aca="false">ROUNDUP((Parametry!$C$21*MAX(1,D50))*1,0)</f>
        <v>600</v>
      </c>
      <c r="N50" s="20" t="n">
        <f aca="false">ROUNDUP((Parametry!$C$21*MAX(1,D50))*1,0)</f>
        <v>600</v>
      </c>
      <c r="O50" s="20" t="n">
        <f aca="false">ROUNDUP(J50/H50,0)</f>
        <v>10</v>
      </c>
      <c r="P50" s="20" t="n">
        <f aca="false">ROUNDUP(K50/H50,0)</f>
        <v>10</v>
      </c>
      <c r="Q50" s="20" t="n">
        <f aca="false">ROUNDUP(L50/H50,0)</f>
        <v>10</v>
      </c>
      <c r="R50" s="20" t="n">
        <f aca="false">ROUNDUP(M50/H50,0)</f>
        <v>10</v>
      </c>
      <c r="S50" s="20" t="n">
        <f aca="false">ROUNDUP(N50/H50,0)</f>
        <v>10</v>
      </c>
      <c r="T50" s="20" t="n">
        <f aca="false">SUM(O50:S50)</f>
        <v>50</v>
      </c>
      <c r="U50" s="20" t="n">
        <f aca="false">ROUNDUP(T50/G50,0)</f>
        <v>9</v>
      </c>
      <c r="V50" s="20" t="n">
        <f aca="false">U50*Parametry!$C$11/(1+Parametry!$C$71*Parametry!$C$73)</f>
        <v>45</v>
      </c>
      <c r="W50" s="20" t="n">
        <f aca="false">2</f>
        <v>2</v>
      </c>
      <c r="X50" s="20" t="n">
        <f aca="false">V50*(W50-1)</f>
        <v>45</v>
      </c>
      <c r="Y50" s="20" t="n">
        <f aca="false">V50*W50</f>
        <v>90</v>
      </c>
      <c r="Z50" s="20" t="n">
        <f aca="false">SUM(J50:N50)</f>
        <v>3000</v>
      </c>
      <c r="AA50" s="20" t="s">
        <v>2350</v>
      </c>
    </row>
    <row r="51" customFormat="false" ht="69.75" hidden="false" customHeight="true" outlineLevel="0" collapsed="false">
      <c r="A51" s="19" t="s">
        <v>278</v>
      </c>
      <c r="B51" s="19" t="s">
        <v>2352</v>
      </c>
      <c r="C51" s="19" t="s">
        <v>2351</v>
      </c>
      <c r="D51" s="19" t="n">
        <v>2</v>
      </c>
      <c r="E51" s="19" t="n">
        <f aca="false">D51+1</f>
        <v>3</v>
      </c>
      <c r="F51" s="19" t="n">
        <v>2</v>
      </c>
      <c r="G51" s="61" t="n">
        <f aca="false">Parametry!$C$12</f>
        <v>6</v>
      </c>
      <c r="H51" s="19" t="n">
        <f aca="false">ROUNDDOWN(ROUNDDOWN(Parametry!$C$9*Parametry!$C$10^(F51-1),0)*(1+Parametry!$C$72*MAX(0,Parametry!$C$73-2)),0)</f>
        <v>66</v>
      </c>
      <c r="I51" s="19" t="n">
        <f aca="false">ROUNDUP((Parametry!$C$21*MAX(1,D51))*Parametry!$C$15,0)</f>
        <v>660</v>
      </c>
      <c r="J51" s="19" t="n">
        <f aca="false">ROUNDUP((Parametry!$C$21*MAX(1,D51))*Parametry!$C$15,0)</f>
        <v>660</v>
      </c>
      <c r="K51" s="19" t="n">
        <f aca="false">ROUNDUP((Parametry!$C$21*MAX(1,D51))*Parametry!$C$15,0)</f>
        <v>660</v>
      </c>
      <c r="L51" s="19" t="n">
        <f aca="false">ROUNDUP((Parametry!$C$21*MAX(1,D51))*Parametry!$C$15,0)</f>
        <v>660</v>
      </c>
      <c r="M51" s="19" t="n">
        <f aca="false">ROUNDUP((Parametry!$C$21*MAX(1,D51))*Parametry!$C$15,0)</f>
        <v>660</v>
      </c>
      <c r="N51" s="19" t="n">
        <f aca="false">ROUNDUP((Parametry!$C$21*MAX(1,D51))*Parametry!$C$15,0)</f>
        <v>660</v>
      </c>
      <c r="O51" s="19" t="n">
        <f aca="false">ROUNDUP(J51/H51,0)</f>
        <v>10</v>
      </c>
      <c r="P51" s="19" t="n">
        <f aca="false">ROUNDUP(K51/H51,0)</f>
        <v>10</v>
      </c>
      <c r="Q51" s="19" t="n">
        <f aca="false">ROUNDUP(L51/H51,0)</f>
        <v>10</v>
      </c>
      <c r="R51" s="19" t="n">
        <f aca="false">ROUNDUP(M51/H51,0)</f>
        <v>10</v>
      </c>
      <c r="S51" s="19" t="n">
        <f aca="false">ROUNDUP(N51/H51,0)</f>
        <v>10</v>
      </c>
      <c r="T51" s="19" t="n">
        <f aca="false">SUM(O51:S51)</f>
        <v>50</v>
      </c>
      <c r="U51" s="19" t="n">
        <f aca="false">ROUNDUP(T51/G51,0)</f>
        <v>9</v>
      </c>
      <c r="V51" s="19" t="n">
        <f aca="false">U51*Parametry!$C$11/(1+Parametry!$C$71*Parametry!$C$73)</f>
        <v>45</v>
      </c>
      <c r="W51" s="19" t="n">
        <f aca="false">2</f>
        <v>2</v>
      </c>
      <c r="X51" s="19" t="n">
        <f aca="false">V51*(W51-1)</f>
        <v>45</v>
      </c>
      <c r="Y51" s="19" t="n">
        <f aca="false">V51*W51</f>
        <v>90</v>
      </c>
      <c r="Z51" s="19" t="n">
        <f aca="false">SUM(J51:N51)</f>
        <v>3300</v>
      </c>
      <c r="AA51" s="19" t="s">
        <v>2350</v>
      </c>
    </row>
    <row r="52" customFormat="false" ht="69.75" hidden="false" customHeight="true" outlineLevel="0" collapsed="false">
      <c r="A52" s="20" t="s">
        <v>278</v>
      </c>
      <c r="B52" s="20" t="s">
        <v>2353</v>
      </c>
      <c r="C52" s="20" t="s">
        <v>2349</v>
      </c>
      <c r="D52" s="20" t="n">
        <v>3</v>
      </c>
      <c r="E52" s="20" t="n">
        <f aca="false">D52+1</f>
        <v>4</v>
      </c>
      <c r="F52" s="20" t="n">
        <v>3</v>
      </c>
      <c r="G52" s="60" t="n">
        <f aca="false">Parametry!$C$12</f>
        <v>6</v>
      </c>
      <c r="H52" s="20" t="n">
        <f aca="false">ROUNDDOWN(ROUNDDOWN(Parametry!$C$9*Parametry!$C$10^(F52-1),0)*(1+Parametry!$C$72*MAX(0,Parametry!$C$73-2)),0)</f>
        <v>72</v>
      </c>
      <c r="I52" s="20" t="n">
        <f aca="false">ROUNDUP((Parametry!$C$21*MAX(1,D52))*1,0)</f>
        <v>900</v>
      </c>
      <c r="J52" s="20" t="n">
        <f aca="false">ROUNDUP((Parametry!$C$21*MAX(1,D52))*1,0)</f>
        <v>900</v>
      </c>
      <c r="K52" s="20" t="n">
        <f aca="false">ROUNDUP((Parametry!$C$21*MAX(1,D52))*1,0)</f>
        <v>900</v>
      </c>
      <c r="L52" s="20" t="n">
        <f aca="false">ROUNDUP((Parametry!$C$21*MAX(1,D52))*1,0)</f>
        <v>900</v>
      </c>
      <c r="M52" s="20" t="n">
        <f aca="false">ROUNDUP((Parametry!$C$21*MAX(1,D52))*1,0)</f>
        <v>900</v>
      </c>
      <c r="N52" s="20" t="n">
        <f aca="false">ROUNDUP((Parametry!$C$21*MAX(1,D52))*1,0)</f>
        <v>900</v>
      </c>
      <c r="O52" s="20" t="n">
        <f aca="false">ROUNDUP(J52/H52,0)</f>
        <v>13</v>
      </c>
      <c r="P52" s="20" t="n">
        <f aca="false">ROUNDUP(K52/H52,0)</f>
        <v>13</v>
      </c>
      <c r="Q52" s="20" t="n">
        <f aca="false">ROUNDUP(L52/H52,0)</f>
        <v>13</v>
      </c>
      <c r="R52" s="20" t="n">
        <f aca="false">ROUNDUP(M52/H52,0)</f>
        <v>13</v>
      </c>
      <c r="S52" s="20" t="n">
        <f aca="false">ROUNDUP(N52/H52,0)</f>
        <v>13</v>
      </c>
      <c r="T52" s="20" t="n">
        <f aca="false">SUM(O52:S52)</f>
        <v>65</v>
      </c>
      <c r="U52" s="20" t="n">
        <f aca="false">ROUNDUP(T52/G52,0)</f>
        <v>11</v>
      </c>
      <c r="V52" s="20" t="n">
        <f aca="false">U52*Parametry!$C$11/(1+Parametry!$C$71*Parametry!$C$73)</f>
        <v>55</v>
      </c>
      <c r="W52" s="20" t="n">
        <f aca="false">2</f>
        <v>2</v>
      </c>
      <c r="X52" s="20" t="n">
        <f aca="false">V52*(W52-1)</f>
        <v>55</v>
      </c>
      <c r="Y52" s="20" t="n">
        <f aca="false">V52*W52</f>
        <v>110</v>
      </c>
      <c r="Z52" s="20" t="n">
        <f aca="false">SUM(J52:N52)</f>
        <v>4500</v>
      </c>
      <c r="AA52" s="20" t="s">
        <v>2350</v>
      </c>
    </row>
    <row r="53" customFormat="false" ht="69.75" hidden="false" customHeight="true" outlineLevel="0" collapsed="false">
      <c r="A53" s="19" t="s">
        <v>278</v>
      </c>
      <c r="B53" s="19" t="s">
        <v>2353</v>
      </c>
      <c r="C53" s="19" t="s">
        <v>2351</v>
      </c>
      <c r="D53" s="19" t="n">
        <v>3</v>
      </c>
      <c r="E53" s="19" t="n">
        <f aca="false">D53+1</f>
        <v>4</v>
      </c>
      <c r="F53" s="19" t="n">
        <v>3</v>
      </c>
      <c r="G53" s="61" t="n">
        <f aca="false">Parametry!$C$12</f>
        <v>6</v>
      </c>
      <c r="H53" s="19" t="n">
        <f aca="false">ROUNDDOWN(ROUNDDOWN(Parametry!$C$9*Parametry!$C$10^(F53-1),0)*(1+Parametry!$C$72*MAX(0,Parametry!$C$73-2)),0)</f>
        <v>72</v>
      </c>
      <c r="I53" s="19" t="n">
        <f aca="false">ROUNDUP((Parametry!$C$21*MAX(1,D53))*Parametry!$C$15,0)</f>
        <v>990</v>
      </c>
      <c r="J53" s="19" t="n">
        <f aca="false">ROUNDUP((Parametry!$C$21*MAX(1,D53))*Parametry!$C$15,0)</f>
        <v>990</v>
      </c>
      <c r="K53" s="19" t="n">
        <f aca="false">ROUNDUP((Parametry!$C$21*MAX(1,D53))*Parametry!$C$15,0)</f>
        <v>990</v>
      </c>
      <c r="L53" s="19" t="n">
        <f aca="false">ROUNDUP((Parametry!$C$21*MAX(1,D53))*Parametry!$C$15,0)</f>
        <v>990</v>
      </c>
      <c r="M53" s="19" t="n">
        <f aca="false">ROUNDUP((Parametry!$C$21*MAX(1,D53))*Parametry!$C$15,0)</f>
        <v>990</v>
      </c>
      <c r="N53" s="19" t="n">
        <f aca="false">ROUNDUP((Parametry!$C$21*MAX(1,D53))*Parametry!$C$15,0)</f>
        <v>990</v>
      </c>
      <c r="O53" s="19" t="n">
        <f aca="false">ROUNDUP(J53/H53,0)</f>
        <v>14</v>
      </c>
      <c r="P53" s="19" t="n">
        <f aca="false">ROUNDUP(K53/H53,0)</f>
        <v>14</v>
      </c>
      <c r="Q53" s="19" t="n">
        <f aca="false">ROUNDUP(L53/H53,0)</f>
        <v>14</v>
      </c>
      <c r="R53" s="19" t="n">
        <f aca="false">ROUNDUP(M53/H53,0)</f>
        <v>14</v>
      </c>
      <c r="S53" s="19" t="n">
        <f aca="false">ROUNDUP(N53/H53,0)</f>
        <v>14</v>
      </c>
      <c r="T53" s="19" t="n">
        <f aca="false">SUM(O53:S53)</f>
        <v>70</v>
      </c>
      <c r="U53" s="19" t="n">
        <f aca="false">ROUNDUP(T53/G53,0)</f>
        <v>12</v>
      </c>
      <c r="V53" s="19" t="n">
        <f aca="false">U53*Parametry!$C$11/(1+Parametry!$C$71*Parametry!$C$73)</f>
        <v>60</v>
      </c>
      <c r="W53" s="19" t="n">
        <f aca="false">2</f>
        <v>2</v>
      </c>
      <c r="X53" s="19" t="n">
        <f aca="false">V53*(W53-1)</f>
        <v>60</v>
      </c>
      <c r="Y53" s="19" t="n">
        <f aca="false">V53*W53</f>
        <v>120</v>
      </c>
      <c r="Z53" s="19" t="n">
        <f aca="false">SUM(J53:N53)</f>
        <v>4950</v>
      </c>
      <c r="AA53" s="19" t="s">
        <v>2350</v>
      </c>
    </row>
    <row r="54" customFormat="false" ht="69.75" hidden="false" customHeight="true" outlineLevel="0" collapsed="false">
      <c r="A54" s="20" t="s">
        <v>98</v>
      </c>
      <c r="B54" s="20" t="s">
        <v>2348</v>
      </c>
      <c r="C54" s="20" t="s">
        <v>2349</v>
      </c>
      <c r="D54" s="20" t="n">
        <v>1</v>
      </c>
      <c r="E54" s="20" t="n">
        <f aca="false">D54+1</f>
        <v>2</v>
      </c>
      <c r="F54" s="20" t="n">
        <v>1</v>
      </c>
      <c r="G54" s="60" t="n">
        <f aca="false">Parametry!$C$12</f>
        <v>6</v>
      </c>
      <c r="H54" s="20" t="n">
        <f aca="false">ROUNDDOWN(ROUNDDOWN(Parametry!$C$9*Parametry!$C$10^(F54-1),0)*(1+Parametry!$C$72*MAX(0,Parametry!$C$73-2)),0)</f>
        <v>60</v>
      </c>
      <c r="I54" s="20" t="n">
        <f aca="false">ROUNDUP((Parametry!$C$21*MAX(1,D54))*1,0)</f>
        <v>300</v>
      </c>
      <c r="J54" s="20" t="n">
        <f aca="false">ROUNDUP((Parametry!$C$21*MAX(1,D54))*1,0)</f>
        <v>300</v>
      </c>
      <c r="K54" s="20" t="n">
        <f aca="false">ROUNDUP((Parametry!$C$21*MAX(1,D54))*1,0)</f>
        <v>300</v>
      </c>
      <c r="L54" s="20" t="n">
        <f aca="false">ROUNDUP((Parametry!$C$21*MAX(1,D54))*1,0)</f>
        <v>300</v>
      </c>
      <c r="M54" s="20" t="n">
        <f aca="false">ROUNDUP((Parametry!$C$21*MAX(1,D54))*1,0)</f>
        <v>300</v>
      </c>
      <c r="N54" s="20" t="n">
        <f aca="false">ROUNDUP((Parametry!$C$21*MAX(1,D54))*1,0)</f>
        <v>300</v>
      </c>
      <c r="O54" s="20" t="n">
        <f aca="false">ROUNDUP(J54/H54,0)</f>
        <v>5</v>
      </c>
      <c r="P54" s="20" t="n">
        <f aca="false">ROUNDUP(K54/H54,0)</f>
        <v>5</v>
      </c>
      <c r="Q54" s="20" t="n">
        <f aca="false">ROUNDUP(L54/H54,0)</f>
        <v>5</v>
      </c>
      <c r="R54" s="20" t="n">
        <f aca="false">ROUNDUP(M54/H54,0)</f>
        <v>5</v>
      </c>
      <c r="S54" s="20" t="n">
        <f aca="false">ROUNDUP(N54/H54,0)</f>
        <v>5</v>
      </c>
      <c r="T54" s="20" t="n">
        <f aca="false">SUM(O54:S54)</f>
        <v>25</v>
      </c>
      <c r="U54" s="20" t="n">
        <f aca="false">ROUNDUP(T54/G54,0)</f>
        <v>5</v>
      </c>
      <c r="V54" s="20" t="n">
        <f aca="false">U54*Parametry!$C$11/(1+Parametry!$C$71*Parametry!$C$73)</f>
        <v>25</v>
      </c>
      <c r="W54" s="20" t="n">
        <f aca="false">2</f>
        <v>2</v>
      </c>
      <c r="X54" s="20" t="n">
        <f aca="false">V54*(W54-1)</f>
        <v>25</v>
      </c>
      <c r="Y54" s="20" t="n">
        <f aca="false">V54*W54</f>
        <v>50</v>
      </c>
      <c r="Z54" s="20" t="n">
        <f aca="false">SUM(J54:N54)</f>
        <v>1500</v>
      </c>
      <c r="AA54" s="20" t="s">
        <v>2350</v>
      </c>
    </row>
    <row r="55" customFormat="false" ht="69.75" hidden="false" customHeight="true" outlineLevel="0" collapsed="false">
      <c r="A55" s="19" t="s">
        <v>98</v>
      </c>
      <c r="B55" s="19" t="s">
        <v>2348</v>
      </c>
      <c r="C55" s="19" t="s">
        <v>2351</v>
      </c>
      <c r="D55" s="19" t="n">
        <v>1</v>
      </c>
      <c r="E55" s="19" t="n">
        <f aca="false">D55+1</f>
        <v>2</v>
      </c>
      <c r="F55" s="19" t="n">
        <v>1</v>
      </c>
      <c r="G55" s="61" t="n">
        <f aca="false">Parametry!$C$12</f>
        <v>6</v>
      </c>
      <c r="H55" s="19" t="n">
        <f aca="false">ROUNDDOWN(ROUNDDOWN(Parametry!$C$9*Parametry!$C$10^(F55-1),0)*(1+Parametry!$C$72*MAX(0,Parametry!$C$73-2)),0)</f>
        <v>60</v>
      </c>
      <c r="I55" s="19" t="n">
        <f aca="false">ROUNDUP((Parametry!$C$21*MAX(1,D55))*Parametry!$C$15,0)</f>
        <v>330</v>
      </c>
      <c r="J55" s="19" t="n">
        <f aca="false">ROUNDUP((Parametry!$C$21*MAX(1,D55))*Parametry!$C$15,0)</f>
        <v>330</v>
      </c>
      <c r="K55" s="19" t="n">
        <f aca="false">ROUNDUP((Parametry!$C$21*MAX(1,D55))*Parametry!$C$15,0)</f>
        <v>330</v>
      </c>
      <c r="L55" s="19" t="n">
        <f aca="false">ROUNDUP((Parametry!$C$21*MAX(1,D55))*Parametry!$C$15,0)</f>
        <v>330</v>
      </c>
      <c r="M55" s="19" t="n">
        <f aca="false">ROUNDUP((Parametry!$C$21*MAX(1,D55))*Parametry!$C$15,0)</f>
        <v>330</v>
      </c>
      <c r="N55" s="19" t="n">
        <f aca="false">ROUNDUP((Parametry!$C$21*MAX(1,D55))*Parametry!$C$15,0)</f>
        <v>330</v>
      </c>
      <c r="O55" s="19" t="n">
        <f aca="false">ROUNDUP(J55/H55,0)</f>
        <v>6</v>
      </c>
      <c r="P55" s="19" t="n">
        <f aca="false">ROUNDUP(K55/H55,0)</f>
        <v>6</v>
      </c>
      <c r="Q55" s="19" t="n">
        <f aca="false">ROUNDUP(L55/H55,0)</f>
        <v>6</v>
      </c>
      <c r="R55" s="19" t="n">
        <f aca="false">ROUNDUP(M55/H55,0)</f>
        <v>6</v>
      </c>
      <c r="S55" s="19" t="n">
        <f aca="false">ROUNDUP(N55/H55,0)</f>
        <v>6</v>
      </c>
      <c r="T55" s="19" t="n">
        <f aca="false">SUM(O55:S55)</f>
        <v>30</v>
      </c>
      <c r="U55" s="19" t="n">
        <f aca="false">ROUNDUP(T55/G55,0)</f>
        <v>5</v>
      </c>
      <c r="V55" s="19" t="n">
        <f aca="false">U55*Parametry!$C$11/(1+Parametry!$C$71*Parametry!$C$73)</f>
        <v>25</v>
      </c>
      <c r="W55" s="19" t="n">
        <f aca="false">2</f>
        <v>2</v>
      </c>
      <c r="X55" s="19" t="n">
        <f aca="false">V55*(W55-1)</f>
        <v>25</v>
      </c>
      <c r="Y55" s="19" t="n">
        <f aca="false">V55*W55</f>
        <v>50</v>
      </c>
      <c r="Z55" s="19" t="n">
        <f aca="false">SUM(J55:N55)</f>
        <v>1650</v>
      </c>
      <c r="AA55" s="19" t="s">
        <v>2350</v>
      </c>
    </row>
    <row r="56" customFormat="false" ht="69.75" hidden="false" customHeight="true" outlineLevel="0" collapsed="false">
      <c r="A56" s="20" t="s">
        <v>98</v>
      </c>
      <c r="B56" s="20" t="s">
        <v>2352</v>
      </c>
      <c r="C56" s="20" t="s">
        <v>2349</v>
      </c>
      <c r="D56" s="20" t="n">
        <v>2</v>
      </c>
      <c r="E56" s="20" t="n">
        <f aca="false">D56+1</f>
        <v>3</v>
      </c>
      <c r="F56" s="20" t="n">
        <v>2</v>
      </c>
      <c r="G56" s="60" t="n">
        <f aca="false">Parametry!$C$12</f>
        <v>6</v>
      </c>
      <c r="H56" s="20" t="n">
        <f aca="false">ROUNDDOWN(ROUNDDOWN(Parametry!$C$9*Parametry!$C$10^(F56-1),0)*(1+Parametry!$C$72*MAX(0,Parametry!$C$73-2)),0)</f>
        <v>66</v>
      </c>
      <c r="I56" s="20" t="n">
        <f aca="false">ROUNDUP((Parametry!$C$21*MAX(1,D56))*1,0)</f>
        <v>600</v>
      </c>
      <c r="J56" s="20" t="n">
        <f aca="false">ROUNDUP((Parametry!$C$21*MAX(1,D56))*1,0)</f>
        <v>600</v>
      </c>
      <c r="K56" s="20" t="n">
        <f aca="false">ROUNDUP((Parametry!$C$21*MAX(1,D56))*1,0)</f>
        <v>600</v>
      </c>
      <c r="L56" s="20" t="n">
        <f aca="false">ROUNDUP((Parametry!$C$21*MAX(1,D56))*1,0)</f>
        <v>600</v>
      </c>
      <c r="M56" s="20" t="n">
        <f aca="false">ROUNDUP((Parametry!$C$21*MAX(1,D56))*1,0)</f>
        <v>600</v>
      </c>
      <c r="N56" s="20" t="n">
        <f aca="false">ROUNDUP((Parametry!$C$21*MAX(1,D56))*1,0)</f>
        <v>600</v>
      </c>
      <c r="O56" s="20" t="n">
        <f aca="false">ROUNDUP(J56/H56,0)</f>
        <v>10</v>
      </c>
      <c r="P56" s="20" t="n">
        <f aca="false">ROUNDUP(K56/H56,0)</f>
        <v>10</v>
      </c>
      <c r="Q56" s="20" t="n">
        <f aca="false">ROUNDUP(L56/H56,0)</f>
        <v>10</v>
      </c>
      <c r="R56" s="20" t="n">
        <f aca="false">ROUNDUP(M56/H56,0)</f>
        <v>10</v>
      </c>
      <c r="S56" s="20" t="n">
        <f aca="false">ROUNDUP(N56/H56,0)</f>
        <v>10</v>
      </c>
      <c r="T56" s="20" t="n">
        <f aca="false">SUM(O56:S56)</f>
        <v>50</v>
      </c>
      <c r="U56" s="20" t="n">
        <f aca="false">ROUNDUP(T56/G56,0)</f>
        <v>9</v>
      </c>
      <c r="V56" s="20" t="n">
        <f aca="false">U56*Parametry!$C$11/(1+Parametry!$C$71*Parametry!$C$73)</f>
        <v>45</v>
      </c>
      <c r="W56" s="20" t="n">
        <f aca="false">2</f>
        <v>2</v>
      </c>
      <c r="X56" s="20" t="n">
        <f aca="false">V56*(W56-1)</f>
        <v>45</v>
      </c>
      <c r="Y56" s="20" t="n">
        <f aca="false">V56*W56</f>
        <v>90</v>
      </c>
      <c r="Z56" s="20" t="n">
        <f aca="false">SUM(J56:N56)</f>
        <v>3000</v>
      </c>
      <c r="AA56" s="20" t="s">
        <v>2350</v>
      </c>
    </row>
    <row r="57" customFormat="false" ht="69.75" hidden="false" customHeight="true" outlineLevel="0" collapsed="false">
      <c r="A57" s="19" t="s">
        <v>98</v>
      </c>
      <c r="B57" s="19" t="s">
        <v>2352</v>
      </c>
      <c r="C57" s="19" t="s">
        <v>2351</v>
      </c>
      <c r="D57" s="19" t="n">
        <v>2</v>
      </c>
      <c r="E57" s="19" t="n">
        <f aca="false">D57+1</f>
        <v>3</v>
      </c>
      <c r="F57" s="19" t="n">
        <v>2</v>
      </c>
      <c r="G57" s="61" t="n">
        <f aca="false">Parametry!$C$12</f>
        <v>6</v>
      </c>
      <c r="H57" s="19" t="n">
        <f aca="false">ROUNDDOWN(ROUNDDOWN(Parametry!$C$9*Parametry!$C$10^(F57-1),0)*(1+Parametry!$C$72*MAX(0,Parametry!$C$73-2)),0)</f>
        <v>66</v>
      </c>
      <c r="I57" s="19" t="n">
        <f aca="false">ROUNDUP((Parametry!$C$21*MAX(1,D57))*Parametry!$C$15,0)</f>
        <v>660</v>
      </c>
      <c r="J57" s="19" t="n">
        <f aca="false">ROUNDUP((Parametry!$C$21*MAX(1,D57))*Parametry!$C$15,0)</f>
        <v>660</v>
      </c>
      <c r="K57" s="19" t="n">
        <f aca="false">ROUNDUP((Parametry!$C$21*MAX(1,D57))*Parametry!$C$15,0)</f>
        <v>660</v>
      </c>
      <c r="L57" s="19" t="n">
        <f aca="false">ROUNDUP((Parametry!$C$21*MAX(1,D57))*Parametry!$C$15,0)</f>
        <v>660</v>
      </c>
      <c r="M57" s="19" t="n">
        <f aca="false">ROUNDUP((Parametry!$C$21*MAX(1,D57))*Parametry!$C$15,0)</f>
        <v>660</v>
      </c>
      <c r="N57" s="19" t="n">
        <f aca="false">ROUNDUP((Parametry!$C$21*MAX(1,D57))*Parametry!$C$15,0)</f>
        <v>660</v>
      </c>
      <c r="O57" s="19" t="n">
        <f aca="false">ROUNDUP(J57/H57,0)</f>
        <v>10</v>
      </c>
      <c r="P57" s="19" t="n">
        <f aca="false">ROUNDUP(K57/H57,0)</f>
        <v>10</v>
      </c>
      <c r="Q57" s="19" t="n">
        <f aca="false">ROUNDUP(L57/H57,0)</f>
        <v>10</v>
      </c>
      <c r="R57" s="19" t="n">
        <f aca="false">ROUNDUP(M57/H57,0)</f>
        <v>10</v>
      </c>
      <c r="S57" s="19" t="n">
        <f aca="false">ROUNDUP(N57/H57,0)</f>
        <v>10</v>
      </c>
      <c r="T57" s="19" t="n">
        <f aca="false">SUM(O57:S57)</f>
        <v>50</v>
      </c>
      <c r="U57" s="19" t="n">
        <f aca="false">ROUNDUP(T57/G57,0)</f>
        <v>9</v>
      </c>
      <c r="V57" s="19" t="n">
        <f aca="false">U57*Parametry!$C$11/(1+Parametry!$C$71*Parametry!$C$73)</f>
        <v>45</v>
      </c>
      <c r="W57" s="19" t="n">
        <f aca="false">2</f>
        <v>2</v>
      </c>
      <c r="X57" s="19" t="n">
        <f aca="false">V57*(W57-1)</f>
        <v>45</v>
      </c>
      <c r="Y57" s="19" t="n">
        <f aca="false">V57*W57</f>
        <v>90</v>
      </c>
      <c r="Z57" s="19" t="n">
        <f aca="false">SUM(J57:N57)</f>
        <v>3300</v>
      </c>
      <c r="AA57" s="19" t="s">
        <v>2350</v>
      </c>
    </row>
    <row r="58" customFormat="false" ht="69.75" hidden="false" customHeight="true" outlineLevel="0" collapsed="false">
      <c r="A58" s="20" t="s">
        <v>98</v>
      </c>
      <c r="B58" s="20" t="s">
        <v>2353</v>
      </c>
      <c r="C58" s="20" t="s">
        <v>2349</v>
      </c>
      <c r="D58" s="20" t="n">
        <v>3</v>
      </c>
      <c r="E58" s="20" t="n">
        <f aca="false">D58+1</f>
        <v>4</v>
      </c>
      <c r="F58" s="20" t="n">
        <v>3</v>
      </c>
      <c r="G58" s="60" t="n">
        <f aca="false">Parametry!$C$12</f>
        <v>6</v>
      </c>
      <c r="H58" s="20" t="n">
        <f aca="false">ROUNDDOWN(ROUNDDOWN(Parametry!$C$9*Parametry!$C$10^(F58-1),0)*(1+Parametry!$C$72*MAX(0,Parametry!$C$73-2)),0)</f>
        <v>72</v>
      </c>
      <c r="I58" s="20" t="n">
        <f aca="false">ROUNDUP((Parametry!$C$21*MAX(1,D58))*1,0)</f>
        <v>900</v>
      </c>
      <c r="J58" s="20" t="n">
        <f aca="false">ROUNDUP((Parametry!$C$21*MAX(1,D58))*1,0)</f>
        <v>900</v>
      </c>
      <c r="K58" s="20" t="n">
        <f aca="false">ROUNDUP((Parametry!$C$21*MAX(1,D58))*1,0)</f>
        <v>900</v>
      </c>
      <c r="L58" s="20" t="n">
        <f aca="false">ROUNDUP((Parametry!$C$21*MAX(1,D58))*1,0)</f>
        <v>900</v>
      </c>
      <c r="M58" s="20" t="n">
        <f aca="false">ROUNDUP((Parametry!$C$21*MAX(1,D58))*1,0)</f>
        <v>900</v>
      </c>
      <c r="N58" s="20" t="n">
        <f aca="false">ROUNDUP((Parametry!$C$21*MAX(1,D58))*1,0)</f>
        <v>900</v>
      </c>
      <c r="O58" s="20" t="n">
        <f aca="false">ROUNDUP(J58/H58,0)</f>
        <v>13</v>
      </c>
      <c r="P58" s="20" t="n">
        <f aca="false">ROUNDUP(K58/H58,0)</f>
        <v>13</v>
      </c>
      <c r="Q58" s="20" t="n">
        <f aca="false">ROUNDUP(L58/H58,0)</f>
        <v>13</v>
      </c>
      <c r="R58" s="20" t="n">
        <f aca="false">ROUNDUP(M58/H58,0)</f>
        <v>13</v>
      </c>
      <c r="S58" s="20" t="n">
        <f aca="false">ROUNDUP(N58/H58,0)</f>
        <v>13</v>
      </c>
      <c r="T58" s="20" t="n">
        <f aca="false">SUM(O58:S58)</f>
        <v>65</v>
      </c>
      <c r="U58" s="20" t="n">
        <f aca="false">ROUNDUP(T58/G58,0)</f>
        <v>11</v>
      </c>
      <c r="V58" s="20" t="n">
        <f aca="false">U58*Parametry!$C$11/(1+Parametry!$C$71*Parametry!$C$73)</f>
        <v>55</v>
      </c>
      <c r="W58" s="20" t="n">
        <f aca="false">2</f>
        <v>2</v>
      </c>
      <c r="X58" s="20" t="n">
        <f aca="false">V58*(W58-1)</f>
        <v>55</v>
      </c>
      <c r="Y58" s="20" t="n">
        <f aca="false">V58*W58</f>
        <v>110</v>
      </c>
      <c r="Z58" s="20" t="n">
        <f aca="false">SUM(J58:N58)</f>
        <v>4500</v>
      </c>
      <c r="AA58" s="20" t="s">
        <v>2350</v>
      </c>
    </row>
    <row r="59" customFormat="false" ht="69.75" hidden="false" customHeight="true" outlineLevel="0" collapsed="false">
      <c r="A59" s="19" t="s">
        <v>98</v>
      </c>
      <c r="B59" s="19" t="s">
        <v>2353</v>
      </c>
      <c r="C59" s="19" t="s">
        <v>2351</v>
      </c>
      <c r="D59" s="19" t="n">
        <v>3</v>
      </c>
      <c r="E59" s="19" t="n">
        <f aca="false">D59+1</f>
        <v>4</v>
      </c>
      <c r="F59" s="19" t="n">
        <v>3</v>
      </c>
      <c r="G59" s="61" t="n">
        <f aca="false">Parametry!$C$12</f>
        <v>6</v>
      </c>
      <c r="H59" s="19" t="n">
        <f aca="false">ROUNDDOWN(ROUNDDOWN(Parametry!$C$9*Parametry!$C$10^(F59-1),0)*(1+Parametry!$C$72*MAX(0,Parametry!$C$73-2)),0)</f>
        <v>72</v>
      </c>
      <c r="I59" s="19" t="n">
        <f aca="false">ROUNDUP((Parametry!$C$21*MAX(1,D59))*Parametry!$C$15,0)</f>
        <v>990</v>
      </c>
      <c r="J59" s="19" t="n">
        <f aca="false">ROUNDUP((Parametry!$C$21*MAX(1,D59))*Parametry!$C$15,0)</f>
        <v>990</v>
      </c>
      <c r="K59" s="19" t="n">
        <f aca="false">ROUNDUP((Parametry!$C$21*MAX(1,D59))*Parametry!$C$15,0)</f>
        <v>990</v>
      </c>
      <c r="L59" s="19" t="n">
        <f aca="false">ROUNDUP((Parametry!$C$21*MAX(1,D59))*Parametry!$C$15,0)</f>
        <v>990</v>
      </c>
      <c r="M59" s="19" t="n">
        <f aca="false">ROUNDUP((Parametry!$C$21*MAX(1,D59))*Parametry!$C$15,0)</f>
        <v>990</v>
      </c>
      <c r="N59" s="19" t="n">
        <f aca="false">ROUNDUP((Parametry!$C$21*MAX(1,D59))*Parametry!$C$15,0)</f>
        <v>990</v>
      </c>
      <c r="O59" s="19" t="n">
        <f aca="false">ROUNDUP(J59/H59,0)</f>
        <v>14</v>
      </c>
      <c r="P59" s="19" t="n">
        <f aca="false">ROUNDUP(K59/H59,0)</f>
        <v>14</v>
      </c>
      <c r="Q59" s="19" t="n">
        <f aca="false">ROUNDUP(L59/H59,0)</f>
        <v>14</v>
      </c>
      <c r="R59" s="19" t="n">
        <f aca="false">ROUNDUP(M59/H59,0)</f>
        <v>14</v>
      </c>
      <c r="S59" s="19" t="n">
        <f aca="false">ROUNDUP(N59/H59,0)</f>
        <v>14</v>
      </c>
      <c r="T59" s="19" t="n">
        <f aca="false">SUM(O59:S59)</f>
        <v>70</v>
      </c>
      <c r="U59" s="19" t="n">
        <f aca="false">ROUNDUP(T59/G59,0)</f>
        <v>12</v>
      </c>
      <c r="V59" s="19" t="n">
        <f aca="false">U59*Parametry!$C$11/(1+Parametry!$C$71*Parametry!$C$73)</f>
        <v>60</v>
      </c>
      <c r="W59" s="19" t="n">
        <f aca="false">2</f>
        <v>2</v>
      </c>
      <c r="X59" s="19" t="n">
        <f aca="false">V59*(W59-1)</f>
        <v>60</v>
      </c>
      <c r="Y59" s="19" t="n">
        <f aca="false">V59*W59</f>
        <v>120</v>
      </c>
      <c r="Z59" s="19" t="n">
        <f aca="false">SUM(J59:N59)</f>
        <v>4950</v>
      </c>
      <c r="AA59" s="19" t="s">
        <v>2350</v>
      </c>
    </row>
    <row r="60" customFormat="false" ht="69.75" hidden="false" customHeight="true" outlineLevel="0" collapsed="false">
      <c r="A60" s="20" t="s">
        <v>1143</v>
      </c>
      <c r="B60" s="20" t="s">
        <v>2348</v>
      </c>
      <c r="C60" s="20" t="s">
        <v>2349</v>
      </c>
      <c r="D60" s="20" t="n">
        <v>1</v>
      </c>
      <c r="E60" s="20" t="n">
        <f aca="false">D60+1</f>
        <v>2</v>
      </c>
      <c r="F60" s="20" t="n">
        <v>1</v>
      </c>
      <c r="G60" s="60" t="n">
        <f aca="false">Parametry!$C$12</f>
        <v>6</v>
      </c>
      <c r="H60" s="20" t="n">
        <f aca="false">ROUNDDOWN(ROUNDDOWN(Parametry!$C$9*Parametry!$C$10^(F60-1),0)*(1+Parametry!$C$72*MAX(0,Parametry!$C$73-2)),0)</f>
        <v>60</v>
      </c>
      <c r="I60" s="20" t="n">
        <f aca="false">ROUNDUP((Parametry!$C$22*MAX(1,D60))*1,0)</f>
        <v>400</v>
      </c>
      <c r="J60" s="20" t="n">
        <f aca="false">ROUNDUP((Parametry!$C$22*MAX(1,D60))*1,0)</f>
        <v>400</v>
      </c>
      <c r="K60" s="20" t="n">
        <f aca="false">ROUNDUP((Parametry!$C$22*MAX(1,D60))*1,0)</f>
        <v>400</v>
      </c>
      <c r="L60" s="20" t="n">
        <f aca="false">ROUNDUP((Parametry!$C$22*MAX(1,D60))*1,0)</f>
        <v>400</v>
      </c>
      <c r="M60" s="20" t="n">
        <f aca="false">ROUNDUP((Parametry!$C$22*MAX(1,D60))*1,0)</f>
        <v>400</v>
      </c>
      <c r="N60" s="20" t="n">
        <f aca="false">ROUNDUP((Parametry!$C$22*MAX(1,D60))*1,0)</f>
        <v>400</v>
      </c>
      <c r="O60" s="20" t="n">
        <f aca="false">ROUNDUP(J60/H60,0)</f>
        <v>7</v>
      </c>
      <c r="P60" s="20" t="n">
        <f aca="false">ROUNDUP(K60/H60,0)</f>
        <v>7</v>
      </c>
      <c r="Q60" s="20" t="n">
        <f aca="false">ROUNDUP(L60/H60,0)</f>
        <v>7</v>
      </c>
      <c r="R60" s="20" t="n">
        <f aca="false">ROUNDUP(M60/H60,0)</f>
        <v>7</v>
      </c>
      <c r="S60" s="20" t="n">
        <f aca="false">ROUNDUP(N60/H60,0)</f>
        <v>7</v>
      </c>
      <c r="T60" s="20" t="n">
        <f aca="false">SUM(O60:S60)</f>
        <v>35</v>
      </c>
      <c r="U60" s="20" t="n">
        <f aca="false">ROUNDUP(T60/G60,0)</f>
        <v>6</v>
      </c>
      <c r="V60" s="20" t="n">
        <f aca="false">U60*Parametry!$C$11/(1+Parametry!$C$71*Parametry!$C$73)</f>
        <v>30</v>
      </c>
      <c r="W60" s="20" t="n">
        <f aca="false">2</f>
        <v>2</v>
      </c>
      <c r="X60" s="20" t="n">
        <f aca="false">V60*(W60-1)</f>
        <v>30</v>
      </c>
      <c r="Y60" s="20" t="n">
        <f aca="false">V60*W60</f>
        <v>60</v>
      </c>
      <c r="Z60" s="20" t="n">
        <f aca="false">SUM(J60:N60)</f>
        <v>2000</v>
      </c>
      <c r="AA60" s="20" t="s">
        <v>2350</v>
      </c>
    </row>
    <row r="61" customFormat="false" ht="69.75" hidden="false" customHeight="true" outlineLevel="0" collapsed="false">
      <c r="A61" s="19" t="s">
        <v>1143</v>
      </c>
      <c r="B61" s="19" t="s">
        <v>2348</v>
      </c>
      <c r="C61" s="19" t="s">
        <v>2351</v>
      </c>
      <c r="D61" s="19" t="n">
        <v>1</v>
      </c>
      <c r="E61" s="19" t="n">
        <f aca="false">D61+1</f>
        <v>2</v>
      </c>
      <c r="F61" s="19" t="n">
        <v>1</v>
      </c>
      <c r="G61" s="61" t="n">
        <f aca="false">Parametry!$C$12</f>
        <v>6</v>
      </c>
      <c r="H61" s="19" t="n">
        <f aca="false">ROUNDDOWN(ROUNDDOWN(Parametry!$C$9*Parametry!$C$10^(F61-1),0)*(1+Parametry!$C$72*MAX(0,Parametry!$C$73-2)),0)</f>
        <v>60</v>
      </c>
      <c r="I61" s="19" t="n">
        <f aca="false">ROUNDUP((Parametry!$C$22*MAX(1,D61))*Parametry!$C$15,0)</f>
        <v>440</v>
      </c>
      <c r="J61" s="19" t="n">
        <f aca="false">ROUNDUP((Parametry!$C$22*MAX(1,D61))*Parametry!$C$15,0)</f>
        <v>440</v>
      </c>
      <c r="K61" s="19" t="n">
        <f aca="false">ROUNDUP((Parametry!$C$22*MAX(1,D61))*Parametry!$C$15,0)</f>
        <v>440</v>
      </c>
      <c r="L61" s="19" t="n">
        <f aca="false">ROUNDUP((Parametry!$C$22*MAX(1,D61))*Parametry!$C$15,0)</f>
        <v>440</v>
      </c>
      <c r="M61" s="19" t="n">
        <f aca="false">ROUNDUP((Parametry!$C$22*MAX(1,D61))*Parametry!$C$15,0)</f>
        <v>440</v>
      </c>
      <c r="N61" s="19" t="n">
        <f aca="false">ROUNDUP((Parametry!$C$22*MAX(1,D61))*Parametry!$C$15,0)</f>
        <v>440</v>
      </c>
      <c r="O61" s="19" t="n">
        <f aca="false">ROUNDUP(J61/H61,0)</f>
        <v>8</v>
      </c>
      <c r="P61" s="19" t="n">
        <f aca="false">ROUNDUP(K61/H61,0)</f>
        <v>8</v>
      </c>
      <c r="Q61" s="19" t="n">
        <f aca="false">ROUNDUP(L61/H61,0)</f>
        <v>8</v>
      </c>
      <c r="R61" s="19" t="n">
        <f aca="false">ROUNDUP(M61/H61,0)</f>
        <v>8</v>
      </c>
      <c r="S61" s="19" t="n">
        <f aca="false">ROUNDUP(N61/H61,0)</f>
        <v>8</v>
      </c>
      <c r="T61" s="19" t="n">
        <f aca="false">SUM(O61:S61)</f>
        <v>40</v>
      </c>
      <c r="U61" s="19" t="n">
        <f aca="false">ROUNDUP(T61/G61,0)</f>
        <v>7</v>
      </c>
      <c r="V61" s="19" t="n">
        <f aca="false">U61*Parametry!$C$11/(1+Parametry!$C$71*Parametry!$C$73)</f>
        <v>35</v>
      </c>
      <c r="W61" s="19" t="n">
        <f aca="false">2</f>
        <v>2</v>
      </c>
      <c r="X61" s="19" t="n">
        <f aca="false">V61*(W61-1)</f>
        <v>35</v>
      </c>
      <c r="Y61" s="19" t="n">
        <f aca="false">V61*W61</f>
        <v>70</v>
      </c>
      <c r="Z61" s="19" t="n">
        <f aca="false">SUM(J61:N61)</f>
        <v>2200</v>
      </c>
      <c r="AA61" s="19" t="s">
        <v>2350</v>
      </c>
    </row>
    <row r="62" customFormat="false" ht="69.75" hidden="false" customHeight="true" outlineLevel="0" collapsed="false">
      <c r="A62" s="20" t="s">
        <v>1143</v>
      </c>
      <c r="B62" s="20" t="s">
        <v>2352</v>
      </c>
      <c r="C62" s="20" t="s">
        <v>2349</v>
      </c>
      <c r="D62" s="20" t="n">
        <v>2</v>
      </c>
      <c r="E62" s="20" t="n">
        <f aca="false">D62+1</f>
        <v>3</v>
      </c>
      <c r="F62" s="20" t="n">
        <v>2</v>
      </c>
      <c r="G62" s="60" t="n">
        <f aca="false">Parametry!$C$12</f>
        <v>6</v>
      </c>
      <c r="H62" s="20" t="n">
        <f aca="false">ROUNDDOWN(ROUNDDOWN(Parametry!$C$9*Parametry!$C$10^(F62-1),0)*(1+Parametry!$C$72*MAX(0,Parametry!$C$73-2)),0)</f>
        <v>66</v>
      </c>
      <c r="I62" s="20" t="n">
        <f aca="false">ROUNDUP((Parametry!$C$22*MAX(1,D62))*1,0)</f>
        <v>800</v>
      </c>
      <c r="J62" s="20" t="n">
        <f aca="false">ROUNDUP((Parametry!$C$22*MAX(1,D62))*1,0)</f>
        <v>800</v>
      </c>
      <c r="K62" s="20" t="n">
        <f aca="false">ROUNDUP((Parametry!$C$22*MAX(1,D62))*1,0)</f>
        <v>800</v>
      </c>
      <c r="L62" s="20" t="n">
        <f aca="false">ROUNDUP((Parametry!$C$22*MAX(1,D62))*1,0)</f>
        <v>800</v>
      </c>
      <c r="M62" s="20" t="n">
        <f aca="false">ROUNDUP((Parametry!$C$22*MAX(1,D62))*1,0)</f>
        <v>800</v>
      </c>
      <c r="N62" s="20" t="n">
        <f aca="false">ROUNDUP((Parametry!$C$22*MAX(1,D62))*1,0)</f>
        <v>800</v>
      </c>
      <c r="O62" s="20" t="n">
        <f aca="false">ROUNDUP(J62/H62,0)</f>
        <v>13</v>
      </c>
      <c r="P62" s="20" t="n">
        <f aca="false">ROUNDUP(K62/H62,0)</f>
        <v>13</v>
      </c>
      <c r="Q62" s="20" t="n">
        <f aca="false">ROUNDUP(L62/H62,0)</f>
        <v>13</v>
      </c>
      <c r="R62" s="20" t="n">
        <f aca="false">ROUNDUP(M62/H62,0)</f>
        <v>13</v>
      </c>
      <c r="S62" s="20" t="n">
        <f aca="false">ROUNDUP(N62/H62,0)</f>
        <v>13</v>
      </c>
      <c r="T62" s="20" t="n">
        <f aca="false">SUM(O62:S62)</f>
        <v>65</v>
      </c>
      <c r="U62" s="20" t="n">
        <f aca="false">ROUNDUP(T62/G62,0)</f>
        <v>11</v>
      </c>
      <c r="V62" s="20" t="n">
        <f aca="false">U62*Parametry!$C$11/(1+Parametry!$C$71*Parametry!$C$73)</f>
        <v>55</v>
      </c>
      <c r="W62" s="20" t="n">
        <f aca="false">2</f>
        <v>2</v>
      </c>
      <c r="X62" s="20" t="n">
        <f aca="false">V62*(W62-1)</f>
        <v>55</v>
      </c>
      <c r="Y62" s="20" t="n">
        <f aca="false">V62*W62</f>
        <v>110</v>
      </c>
      <c r="Z62" s="20" t="n">
        <f aca="false">SUM(J62:N62)</f>
        <v>4000</v>
      </c>
      <c r="AA62" s="20" t="s">
        <v>2350</v>
      </c>
    </row>
    <row r="63" customFormat="false" ht="69.75" hidden="false" customHeight="true" outlineLevel="0" collapsed="false">
      <c r="A63" s="19" t="s">
        <v>1143</v>
      </c>
      <c r="B63" s="19" t="s">
        <v>2352</v>
      </c>
      <c r="C63" s="19" t="s">
        <v>2351</v>
      </c>
      <c r="D63" s="19" t="n">
        <v>2</v>
      </c>
      <c r="E63" s="19" t="n">
        <f aca="false">D63+1</f>
        <v>3</v>
      </c>
      <c r="F63" s="19" t="n">
        <v>2</v>
      </c>
      <c r="G63" s="61" t="n">
        <f aca="false">Parametry!$C$12</f>
        <v>6</v>
      </c>
      <c r="H63" s="19" t="n">
        <f aca="false">ROUNDDOWN(ROUNDDOWN(Parametry!$C$9*Parametry!$C$10^(F63-1),0)*(1+Parametry!$C$72*MAX(0,Parametry!$C$73-2)),0)</f>
        <v>66</v>
      </c>
      <c r="I63" s="19" t="n">
        <f aca="false">ROUNDUP((Parametry!$C$22*MAX(1,D63))*Parametry!$C$15,0)</f>
        <v>880</v>
      </c>
      <c r="J63" s="19" t="n">
        <f aca="false">ROUNDUP((Parametry!$C$22*MAX(1,D63))*Parametry!$C$15,0)</f>
        <v>880</v>
      </c>
      <c r="K63" s="19" t="n">
        <f aca="false">ROUNDUP((Parametry!$C$22*MAX(1,D63))*Parametry!$C$15,0)</f>
        <v>880</v>
      </c>
      <c r="L63" s="19" t="n">
        <f aca="false">ROUNDUP((Parametry!$C$22*MAX(1,D63))*Parametry!$C$15,0)</f>
        <v>880</v>
      </c>
      <c r="M63" s="19" t="n">
        <f aca="false">ROUNDUP((Parametry!$C$22*MAX(1,D63))*Parametry!$C$15,0)</f>
        <v>880</v>
      </c>
      <c r="N63" s="19" t="n">
        <f aca="false">ROUNDUP((Parametry!$C$22*MAX(1,D63))*Parametry!$C$15,0)</f>
        <v>880</v>
      </c>
      <c r="O63" s="19" t="n">
        <f aca="false">ROUNDUP(J63/H63,0)</f>
        <v>14</v>
      </c>
      <c r="P63" s="19" t="n">
        <f aca="false">ROUNDUP(K63/H63,0)</f>
        <v>14</v>
      </c>
      <c r="Q63" s="19" t="n">
        <f aca="false">ROUNDUP(L63/H63,0)</f>
        <v>14</v>
      </c>
      <c r="R63" s="19" t="n">
        <f aca="false">ROUNDUP(M63/H63,0)</f>
        <v>14</v>
      </c>
      <c r="S63" s="19" t="n">
        <f aca="false">ROUNDUP(N63/H63,0)</f>
        <v>14</v>
      </c>
      <c r="T63" s="19" t="n">
        <f aca="false">SUM(O63:S63)</f>
        <v>70</v>
      </c>
      <c r="U63" s="19" t="n">
        <f aca="false">ROUNDUP(T63/G63,0)</f>
        <v>12</v>
      </c>
      <c r="V63" s="19" t="n">
        <f aca="false">U63*Parametry!$C$11/(1+Parametry!$C$71*Parametry!$C$73)</f>
        <v>60</v>
      </c>
      <c r="W63" s="19" t="n">
        <f aca="false">2</f>
        <v>2</v>
      </c>
      <c r="X63" s="19" t="n">
        <f aca="false">V63*(W63-1)</f>
        <v>60</v>
      </c>
      <c r="Y63" s="19" t="n">
        <f aca="false">V63*W63</f>
        <v>120</v>
      </c>
      <c r="Z63" s="19" t="n">
        <f aca="false">SUM(J63:N63)</f>
        <v>4400</v>
      </c>
      <c r="AA63" s="19" t="s">
        <v>2350</v>
      </c>
    </row>
    <row r="64" customFormat="false" ht="69.75" hidden="false" customHeight="true" outlineLevel="0" collapsed="false">
      <c r="A64" s="20" t="s">
        <v>1143</v>
      </c>
      <c r="B64" s="20" t="s">
        <v>2353</v>
      </c>
      <c r="C64" s="20" t="s">
        <v>2349</v>
      </c>
      <c r="D64" s="20" t="n">
        <v>3</v>
      </c>
      <c r="E64" s="20" t="n">
        <f aca="false">D64+1</f>
        <v>4</v>
      </c>
      <c r="F64" s="20" t="n">
        <v>3</v>
      </c>
      <c r="G64" s="60" t="n">
        <f aca="false">Parametry!$C$12</f>
        <v>6</v>
      </c>
      <c r="H64" s="20" t="n">
        <f aca="false">ROUNDDOWN(ROUNDDOWN(Parametry!$C$9*Parametry!$C$10^(F64-1),0)*(1+Parametry!$C$72*MAX(0,Parametry!$C$73-2)),0)</f>
        <v>72</v>
      </c>
      <c r="I64" s="20" t="n">
        <f aca="false">ROUNDUP((Parametry!$C$22*MAX(1,D64))*1,0)</f>
        <v>1200</v>
      </c>
      <c r="J64" s="20" t="n">
        <f aca="false">ROUNDUP((Parametry!$C$22*MAX(1,D64))*1,0)</f>
        <v>1200</v>
      </c>
      <c r="K64" s="20" t="n">
        <f aca="false">ROUNDUP((Parametry!$C$22*MAX(1,D64))*1,0)</f>
        <v>1200</v>
      </c>
      <c r="L64" s="20" t="n">
        <f aca="false">ROUNDUP((Parametry!$C$22*MAX(1,D64))*1,0)</f>
        <v>1200</v>
      </c>
      <c r="M64" s="20" t="n">
        <f aca="false">ROUNDUP((Parametry!$C$22*MAX(1,D64))*1,0)</f>
        <v>1200</v>
      </c>
      <c r="N64" s="20" t="n">
        <f aca="false">ROUNDUP((Parametry!$C$22*MAX(1,D64))*1,0)</f>
        <v>1200</v>
      </c>
      <c r="O64" s="20" t="n">
        <f aca="false">ROUNDUP(J64/H64,0)</f>
        <v>17</v>
      </c>
      <c r="P64" s="20" t="n">
        <f aca="false">ROUNDUP(K64/H64,0)</f>
        <v>17</v>
      </c>
      <c r="Q64" s="20" t="n">
        <f aca="false">ROUNDUP(L64/H64,0)</f>
        <v>17</v>
      </c>
      <c r="R64" s="20" t="n">
        <f aca="false">ROUNDUP(M64/H64,0)</f>
        <v>17</v>
      </c>
      <c r="S64" s="20" t="n">
        <f aca="false">ROUNDUP(N64/H64,0)</f>
        <v>17</v>
      </c>
      <c r="T64" s="20" t="n">
        <f aca="false">SUM(O64:S64)</f>
        <v>85</v>
      </c>
      <c r="U64" s="20" t="n">
        <f aca="false">ROUNDUP(T64/G64,0)</f>
        <v>15</v>
      </c>
      <c r="V64" s="20" t="n">
        <f aca="false">U64*Parametry!$C$11/(1+Parametry!$C$71*Parametry!$C$73)</f>
        <v>75</v>
      </c>
      <c r="W64" s="20" t="n">
        <f aca="false">2</f>
        <v>2</v>
      </c>
      <c r="X64" s="20" t="n">
        <f aca="false">V64*(W64-1)</f>
        <v>75</v>
      </c>
      <c r="Y64" s="20" t="n">
        <f aca="false">V64*W64</f>
        <v>150</v>
      </c>
      <c r="Z64" s="20" t="n">
        <f aca="false">SUM(J64:N64)</f>
        <v>6000</v>
      </c>
      <c r="AA64" s="20" t="s">
        <v>2350</v>
      </c>
    </row>
    <row r="65" customFormat="false" ht="69.75" hidden="false" customHeight="true" outlineLevel="0" collapsed="false">
      <c r="A65" s="19" t="s">
        <v>1143</v>
      </c>
      <c r="B65" s="19" t="s">
        <v>2353</v>
      </c>
      <c r="C65" s="19" t="s">
        <v>2351</v>
      </c>
      <c r="D65" s="19" t="n">
        <v>3</v>
      </c>
      <c r="E65" s="19" t="n">
        <f aca="false">D65+1</f>
        <v>4</v>
      </c>
      <c r="F65" s="19" t="n">
        <v>3</v>
      </c>
      <c r="G65" s="61" t="n">
        <f aca="false">Parametry!$C$12</f>
        <v>6</v>
      </c>
      <c r="H65" s="19" t="n">
        <f aca="false">ROUNDDOWN(ROUNDDOWN(Parametry!$C$9*Parametry!$C$10^(F65-1),0)*(1+Parametry!$C$72*MAX(0,Parametry!$C$73-2)),0)</f>
        <v>72</v>
      </c>
      <c r="I65" s="19" t="n">
        <f aca="false">ROUNDUP((Parametry!$C$22*MAX(1,D65))*Parametry!$C$15,0)</f>
        <v>1320</v>
      </c>
      <c r="J65" s="19" t="n">
        <f aca="false">ROUNDUP((Parametry!$C$22*MAX(1,D65))*Parametry!$C$15,0)</f>
        <v>1320</v>
      </c>
      <c r="K65" s="19" t="n">
        <f aca="false">ROUNDUP((Parametry!$C$22*MAX(1,D65))*Parametry!$C$15,0)</f>
        <v>1320</v>
      </c>
      <c r="L65" s="19" t="n">
        <f aca="false">ROUNDUP((Parametry!$C$22*MAX(1,D65))*Parametry!$C$15,0)</f>
        <v>1320</v>
      </c>
      <c r="M65" s="19" t="n">
        <f aca="false">ROUNDUP((Parametry!$C$22*MAX(1,D65))*Parametry!$C$15,0)</f>
        <v>1320</v>
      </c>
      <c r="N65" s="19" t="n">
        <f aca="false">ROUNDUP((Parametry!$C$22*MAX(1,D65))*Parametry!$C$15,0)</f>
        <v>1320</v>
      </c>
      <c r="O65" s="19" t="n">
        <f aca="false">ROUNDUP(J65/H65,0)</f>
        <v>19</v>
      </c>
      <c r="P65" s="19" t="n">
        <f aca="false">ROUNDUP(K65/H65,0)</f>
        <v>19</v>
      </c>
      <c r="Q65" s="19" t="n">
        <f aca="false">ROUNDUP(L65/H65,0)</f>
        <v>19</v>
      </c>
      <c r="R65" s="19" t="n">
        <f aca="false">ROUNDUP(M65/H65,0)</f>
        <v>19</v>
      </c>
      <c r="S65" s="19" t="n">
        <f aca="false">ROUNDUP(N65/H65,0)</f>
        <v>19</v>
      </c>
      <c r="T65" s="19" t="n">
        <f aca="false">SUM(O65:S65)</f>
        <v>95</v>
      </c>
      <c r="U65" s="19" t="n">
        <f aca="false">ROUNDUP(T65/G65,0)</f>
        <v>16</v>
      </c>
      <c r="V65" s="19" t="n">
        <f aca="false">U65*Parametry!$C$11/(1+Parametry!$C$71*Parametry!$C$73)</f>
        <v>80</v>
      </c>
      <c r="W65" s="19" t="n">
        <f aca="false">2</f>
        <v>2</v>
      </c>
      <c r="X65" s="19" t="n">
        <f aca="false">V65*(W65-1)</f>
        <v>80</v>
      </c>
      <c r="Y65" s="19" t="n">
        <f aca="false">V65*W65</f>
        <v>160</v>
      </c>
      <c r="Z65" s="19" t="n">
        <f aca="false">SUM(J65:N65)</f>
        <v>6600</v>
      </c>
      <c r="AA65" s="19" t="s">
        <v>2350</v>
      </c>
    </row>
    <row r="66" customFormat="false" ht="69.75" hidden="false" customHeight="true" outlineLevel="0" collapsed="false">
      <c r="A66" s="20" t="s">
        <v>56</v>
      </c>
      <c r="B66" s="20" t="s">
        <v>2348</v>
      </c>
      <c r="C66" s="20" t="s">
        <v>2349</v>
      </c>
      <c r="D66" s="20" t="n">
        <v>1</v>
      </c>
      <c r="E66" s="20" t="n">
        <f aca="false">D66+1</f>
        <v>2</v>
      </c>
      <c r="F66" s="20" t="n">
        <v>1</v>
      </c>
      <c r="G66" s="60" t="n">
        <f aca="false">Parametry!$C$12</f>
        <v>6</v>
      </c>
      <c r="H66" s="20" t="n">
        <f aca="false">ROUNDDOWN(ROUNDDOWN(Parametry!$C$9*Parametry!$C$10^(F66-1),0)*(1+Parametry!$C$72*MAX(0,Parametry!$C$73-2)),0)</f>
        <v>60</v>
      </c>
      <c r="I66" s="20" t="n">
        <f aca="false">ROUNDUP((180*E66)*1,0)</f>
        <v>360</v>
      </c>
      <c r="J66" s="20" t="n">
        <f aca="false">ROUNDUP((20*E66)*1,0)</f>
        <v>40</v>
      </c>
      <c r="K66" s="20" t="n">
        <f aca="false">ROUNDUP((60*E66)*1,0)</f>
        <v>120</v>
      </c>
      <c r="L66" s="20" t="n">
        <f aca="false">ROUNDUP((0*E66)*1,0)</f>
        <v>0</v>
      </c>
      <c r="M66" s="20" t="n">
        <f aca="false">ROUNDUP((0*E66)*1,0)</f>
        <v>0</v>
      </c>
      <c r="N66" s="20" t="n">
        <f aca="false">ROUNDUP((10*E66)*1,0)</f>
        <v>20</v>
      </c>
      <c r="O66" s="20" t="n">
        <f aca="false">ROUNDUP(J66/H66,0)</f>
        <v>1</v>
      </c>
      <c r="P66" s="20" t="n">
        <f aca="false">ROUNDUP(K66/H66,0)</f>
        <v>2</v>
      </c>
      <c r="Q66" s="20" t="n">
        <f aca="false">ROUNDUP(L66/H66,0)</f>
        <v>0</v>
      </c>
      <c r="R66" s="20" t="n">
        <f aca="false">ROUNDUP(M66/H66,0)</f>
        <v>0</v>
      </c>
      <c r="S66" s="20" t="n">
        <f aca="false">ROUNDUP(N66/H66,0)</f>
        <v>1</v>
      </c>
      <c r="T66" s="20" t="n">
        <f aca="false">SUM(O66:S66)</f>
        <v>4</v>
      </c>
      <c r="U66" s="20" t="n">
        <f aca="false">ROUNDUP(T66/G66,0)</f>
        <v>1</v>
      </c>
      <c r="V66" s="20" t="n">
        <f aca="false">U66*Parametry!$C$11/(1+Parametry!$C$71*Parametry!$C$73)</f>
        <v>5</v>
      </c>
      <c r="W66" s="20" t="n">
        <f aca="false">1+3*(E66-1)</f>
        <v>4</v>
      </c>
      <c r="X66" s="20" t="n">
        <f aca="false">V66*(W66-1)</f>
        <v>15</v>
      </c>
      <c r="Y66" s="20" t="n">
        <f aca="false">V66*W66</f>
        <v>20</v>
      </c>
      <c r="Z66" s="20" t="n">
        <f aca="false">SUM(J66:N66)</f>
        <v>180</v>
      </c>
      <c r="AA66" s="20" t="s">
        <v>2350</v>
      </c>
    </row>
    <row r="67" customFormat="false" ht="69.75" hidden="false" customHeight="true" outlineLevel="0" collapsed="false">
      <c r="A67" s="19" t="s">
        <v>56</v>
      </c>
      <c r="B67" s="19" t="s">
        <v>2348</v>
      </c>
      <c r="C67" s="19" t="s">
        <v>2351</v>
      </c>
      <c r="D67" s="19" t="n">
        <v>1</v>
      </c>
      <c r="E67" s="19" t="n">
        <f aca="false">D67+1</f>
        <v>2</v>
      </c>
      <c r="F67" s="19" t="n">
        <v>1</v>
      </c>
      <c r="G67" s="61" t="n">
        <f aca="false">Parametry!$C$12</f>
        <v>6</v>
      </c>
      <c r="H67" s="19" t="n">
        <f aca="false">ROUNDDOWN(ROUNDDOWN(Parametry!$C$9*Parametry!$C$10^(F67-1),0)*(1+Parametry!$C$72*MAX(0,Parametry!$C$73-2)),0)</f>
        <v>60</v>
      </c>
      <c r="I67" s="19" t="n">
        <f aca="false">ROUNDUP((180*E67)*Parametry!$C$15,0)</f>
        <v>396</v>
      </c>
      <c r="J67" s="19" t="n">
        <f aca="false">ROUNDUP((20*E67)*Parametry!$C$15,0)</f>
        <v>44</v>
      </c>
      <c r="K67" s="19" t="n">
        <f aca="false">ROUNDUP((60*E67)*Parametry!$C$15,0)</f>
        <v>132</v>
      </c>
      <c r="L67" s="19" t="n">
        <f aca="false">ROUNDUP((0*E67)*Parametry!$C$15,0)</f>
        <v>0</v>
      </c>
      <c r="M67" s="19" t="n">
        <f aca="false">ROUNDUP((0*E67)*Parametry!$C$15,0)</f>
        <v>0</v>
      </c>
      <c r="N67" s="19" t="n">
        <f aca="false">ROUNDUP((10*E67)*Parametry!$C$15,0)</f>
        <v>22</v>
      </c>
      <c r="O67" s="19" t="n">
        <f aca="false">ROUNDUP(J67/H67,0)</f>
        <v>1</v>
      </c>
      <c r="P67" s="19" t="n">
        <f aca="false">ROUNDUP(K67/H67,0)</f>
        <v>3</v>
      </c>
      <c r="Q67" s="19" t="n">
        <f aca="false">ROUNDUP(L67/H67,0)</f>
        <v>0</v>
      </c>
      <c r="R67" s="19" t="n">
        <f aca="false">ROUNDUP(M67/H67,0)</f>
        <v>0</v>
      </c>
      <c r="S67" s="19" t="n">
        <f aca="false">ROUNDUP(N67/H67,0)</f>
        <v>1</v>
      </c>
      <c r="T67" s="19" t="n">
        <f aca="false">SUM(O67:S67)</f>
        <v>5</v>
      </c>
      <c r="U67" s="19" t="n">
        <f aca="false">ROUNDUP(T67/G67,0)</f>
        <v>1</v>
      </c>
      <c r="V67" s="19" t="n">
        <f aca="false">U67*Parametry!$C$11/(1+Parametry!$C$71*Parametry!$C$73)</f>
        <v>5</v>
      </c>
      <c r="W67" s="19" t="n">
        <f aca="false">1+3*(E67-1)</f>
        <v>4</v>
      </c>
      <c r="X67" s="19" t="n">
        <f aca="false">V67*(W67-1)</f>
        <v>15</v>
      </c>
      <c r="Y67" s="19" t="n">
        <f aca="false">V67*W67</f>
        <v>20</v>
      </c>
      <c r="Z67" s="19" t="n">
        <f aca="false">SUM(J67:N67)</f>
        <v>198</v>
      </c>
      <c r="AA67" s="19" t="s">
        <v>2350</v>
      </c>
    </row>
    <row r="68" customFormat="false" ht="69.75" hidden="false" customHeight="true" outlineLevel="0" collapsed="false">
      <c r="A68" s="20" t="s">
        <v>56</v>
      </c>
      <c r="B68" s="20" t="s">
        <v>2352</v>
      </c>
      <c r="C68" s="20" t="s">
        <v>2349</v>
      </c>
      <c r="D68" s="20" t="n">
        <v>2</v>
      </c>
      <c r="E68" s="20" t="n">
        <f aca="false">D68+1</f>
        <v>3</v>
      </c>
      <c r="F68" s="20" t="n">
        <v>2</v>
      </c>
      <c r="G68" s="60" t="n">
        <f aca="false">Parametry!$C$12</f>
        <v>6</v>
      </c>
      <c r="H68" s="20" t="n">
        <f aca="false">ROUNDDOWN(ROUNDDOWN(Parametry!$C$9*Parametry!$C$10^(F68-1),0)*(1+Parametry!$C$72*MAX(0,Parametry!$C$73-2)),0)</f>
        <v>66</v>
      </c>
      <c r="I68" s="20" t="n">
        <f aca="false">ROUNDUP((180*E68)*1,0)</f>
        <v>540</v>
      </c>
      <c r="J68" s="20" t="n">
        <f aca="false">ROUNDUP((20*E68)*1,0)</f>
        <v>60</v>
      </c>
      <c r="K68" s="20" t="n">
        <f aca="false">ROUNDUP((60*E68)*1,0)</f>
        <v>180</v>
      </c>
      <c r="L68" s="20" t="n">
        <f aca="false">ROUNDUP((0*E68)*1,0)</f>
        <v>0</v>
      </c>
      <c r="M68" s="20" t="n">
        <f aca="false">ROUNDUP((0*E68)*1,0)</f>
        <v>0</v>
      </c>
      <c r="N68" s="20" t="n">
        <f aca="false">ROUNDUP((10*E68)*1,0)</f>
        <v>30</v>
      </c>
      <c r="O68" s="20" t="n">
        <f aca="false">ROUNDUP(J68/H68,0)</f>
        <v>1</v>
      </c>
      <c r="P68" s="20" t="n">
        <f aca="false">ROUNDUP(K68/H68,0)</f>
        <v>3</v>
      </c>
      <c r="Q68" s="20" t="n">
        <f aca="false">ROUNDUP(L68/H68,0)</f>
        <v>0</v>
      </c>
      <c r="R68" s="20" t="n">
        <f aca="false">ROUNDUP(M68/H68,0)</f>
        <v>0</v>
      </c>
      <c r="S68" s="20" t="n">
        <f aca="false">ROUNDUP(N68/H68,0)</f>
        <v>1</v>
      </c>
      <c r="T68" s="20" t="n">
        <f aca="false">SUM(O68:S68)</f>
        <v>5</v>
      </c>
      <c r="U68" s="20" t="n">
        <f aca="false">ROUNDUP(T68/G68,0)</f>
        <v>1</v>
      </c>
      <c r="V68" s="20" t="n">
        <f aca="false">U68*Parametry!$C$11/(1+Parametry!$C$71*Parametry!$C$73)</f>
        <v>5</v>
      </c>
      <c r="W68" s="20" t="n">
        <f aca="false">1+3*(E68-1)</f>
        <v>7</v>
      </c>
      <c r="X68" s="20" t="n">
        <f aca="false">V68*(W68-1)</f>
        <v>30</v>
      </c>
      <c r="Y68" s="20" t="n">
        <f aca="false">V68*W68</f>
        <v>35</v>
      </c>
      <c r="Z68" s="20" t="n">
        <f aca="false">SUM(J68:N68)</f>
        <v>270</v>
      </c>
      <c r="AA68" s="20" t="s">
        <v>2350</v>
      </c>
    </row>
    <row r="69" customFormat="false" ht="69.75" hidden="false" customHeight="true" outlineLevel="0" collapsed="false">
      <c r="A69" s="19" t="s">
        <v>56</v>
      </c>
      <c r="B69" s="19" t="s">
        <v>2352</v>
      </c>
      <c r="C69" s="19" t="s">
        <v>2351</v>
      </c>
      <c r="D69" s="19" t="n">
        <v>2</v>
      </c>
      <c r="E69" s="19" t="n">
        <f aca="false">D69+1</f>
        <v>3</v>
      </c>
      <c r="F69" s="19" t="n">
        <v>2</v>
      </c>
      <c r="G69" s="61" t="n">
        <f aca="false">Parametry!$C$12</f>
        <v>6</v>
      </c>
      <c r="H69" s="19" t="n">
        <f aca="false">ROUNDDOWN(ROUNDDOWN(Parametry!$C$9*Parametry!$C$10^(F69-1),0)*(1+Parametry!$C$72*MAX(0,Parametry!$C$73-2)),0)</f>
        <v>66</v>
      </c>
      <c r="I69" s="19" t="n">
        <f aca="false">ROUNDUP((180*E69)*Parametry!$C$15,0)</f>
        <v>594</v>
      </c>
      <c r="J69" s="19" t="n">
        <f aca="false">ROUNDUP((20*E69)*Parametry!$C$15,0)</f>
        <v>66</v>
      </c>
      <c r="K69" s="19" t="n">
        <f aca="false">ROUNDUP((60*E69)*Parametry!$C$15,0)</f>
        <v>198</v>
      </c>
      <c r="L69" s="19" t="n">
        <f aca="false">ROUNDUP((0*E69)*Parametry!$C$15,0)</f>
        <v>0</v>
      </c>
      <c r="M69" s="19" t="n">
        <f aca="false">ROUNDUP((0*E69)*Parametry!$C$15,0)</f>
        <v>0</v>
      </c>
      <c r="N69" s="19" t="n">
        <f aca="false">ROUNDUP((10*E69)*Parametry!$C$15,0)</f>
        <v>33</v>
      </c>
      <c r="O69" s="19" t="n">
        <f aca="false">ROUNDUP(J69/H69,0)</f>
        <v>1</v>
      </c>
      <c r="P69" s="19" t="n">
        <f aca="false">ROUNDUP(K69/H69,0)</f>
        <v>3</v>
      </c>
      <c r="Q69" s="19" t="n">
        <f aca="false">ROUNDUP(L69/H69,0)</f>
        <v>0</v>
      </c>
      <c r="R69" s="19" t="n">
        <f aca="false">ROUNDUP(M69/H69,0)</f>
        <v>0</v>
      </c>
      <c r="S69" s="19" t="n">
        <f aca="false">ROUNDUP(N69/H69,0)</f>
        <v>1</v>
      </c>
      <c r="T69" s="19" t="n">
        <f aca="false">SUM(O69:S69)</f>
        <v>5</v>
      </c>
      <c r="U69" s="19" t="n">
        <f aca="false">ROUNDUP(T69/G69,0)</f>
        <v>1</v>
      </c>
      <c r="V69" s="19" t="n">
        <f aca="false">U69*Parametry!$C$11/(1+Parametry!$C$71*Parametry!$C$73)</f>
        <v>5</v>
      </c>
      <c r="W69" s="19" t="n">
        <f aca="false">1+3*(E69-1)</f>
        <v>7</v>
      </c>
      <c r="X69" s="19" t="n">
        <f aca="false">V69*(W69-1)</f>
        <v>30</v>
      </c>
      <c r="Y69" s="19" t="n">
        <f aca="false">V69*W69</f>
        <v>35</v>
      </c>
      <c r="Z69" s="19" t="n">
        <f aca="false">SUM(J69:N69)</f>
        <v>297</v>
      </c>
      <c r="AA69" s="19" t="s">
        <v>2350</v>
      </c>
    </row>
    <row r="70" customFormat="false" ht="69.75" hidden="false" customHeight="true" outlineLevel="0" collapsed="false">
      <c r="A70" s="20" t="s">
        <v>56</v>
      </c>
      <c r="B70" s="20" t="s">
        <v>2353</v>
      </c>
      <c r="C70" s="20" t="s">
        <v>2349</v>
      </c>
      <c r="D70" s="20" t="n">
        <v>3</v>
      </c>
      <c r="E70" s="20" t="n">
        <f aca="false">D70+1</f>
        <v>4</v>
      </c>
      <c r="F70" s="20" t="n">
        <v>3</v>
      </c>
      <c r="G70" s="60" t="n">
        <f aca="false">Parametry!$C$12</f>
        <v>6</v>
      </c>
      <c r="H70" s="20" t="n">
        <f aca="false">ROUNDDOWN(ROUNDDOWN(Parametry!$C$9*Parametry!$C$10^(F70-1),0)*(1+Parametry!$C$72*MAX(0,Parametry!$C$73-2)),0)</f>
        <v>72</v>
      </c>
      <c r="I70" s="20" t="n">
        <f aca="false">ROUNDUP((180*E70)*1,0)</f>
        <v>720</v>
      </c>
      <c r="J70" s="20" t="n">
        <f aca="false">ROUNDUP((20*E70)*1,0)</f>
        <v>80</v>
      </c>
      <c r="K70" s="20" t="n">
        <f aca="false">ROUNDUP((60*E70)*1,0)</f>
        <v>240</v>
      </c>
      <c r="L70" s="20" t="n">
        <f aca="false">ROUNDUP((0*E70)*1,0)</f>
        <v>0</v>
      </c>
      <c r="M70" s="20" t="n">
        <f aca="false">ROUNDUP((0*E70)*1,0)</f>
        <v>0</v>
      </c>
      <c r="N70" s="20" t="n">
        <f aca="false">ROUNDUP((10*E70)*1,0)</f>
        <v>40</v>
      </c>
      <c r="O70" s="20" t="n">
        <f aca="false">ROUNDUP(J70/H70,0)</f>
        <v>2</v>
      </c>
      <c r="P70" s="20" t="n">
        <f aca="false">ROUNDUP(K70/H70,0)</f>
        <v>4</v>
      </c>
      <c r="Q70" s="20" t="n">
        <f aca="false">ROUNDUP(L70/H70,0)</f>
        <v>0</v>
      </c>
      <c r="R70" s="20" t="n">
        <f aca="false">ROUNDUP(M70/H70,0)</f>
        <v>0</v>
      </c>
      <c r="S70" s="20" t="n">
        <f aca="false">ROUNDUP(N70/H70,0)</f>
        <v>1</v>
      </c>
      <c r="T70" s="20" t="n">
        <f aca="false">SUM(O70:S70)</f>
        <v>7</v>
      </c>
      <c r="U70" s="20" t="n">
        <f aca="false">ROUNDUP(T70/G70,0)</f>
        <v>2</v>
      </c>
      <c r="V70" s="20" t="n">
        <f aca="false">U70*Parametry!$C$11/(1+Parametry!$C$71*Parametry!$C$73)</f>
        <v>10</v>
      </c>
      <c r="W70" s="20" t="n">
        <f aca="false">1+3*(E70-1)</f>
        <v>10</v>
      </c>
      <c r="X70" s="20" t="n">
        <f aca="false">V70*(W70-1)</f>
        <v>90</v>
      </c>
      <c r="Y70" s="20" t="n">
        <f aca="false">V70*W70</f>
        <v>100</v>
      </c>
      <c r="Z70" s="20" t="n">
        <f aca="false">SUM(J70:N70)</f>
        <v>360</v>
      </c>
      <c r="AA70" s="20" t="s">
        <v>2350</v>
      </c>
    </row>
    <row r="71" customFormat="false" ht="69.75" hidden="false" customHeight="true" outlineLevel="0" collapsed="false">
      <c r="A71" s="19" t="s">
        <v>56</v>
      </c>
      <c r="B71" s="19" t="s">
        <v>2353</v>
      </c>
      <c r="C71" s="19" t="s">
        <v>2351</v>
      </c>
      <c r="D71" s="19" t="n">
        <v>3</v>
      </c>
      <c r="E71" s="19" t="n">
        <f aca="false">D71+1</f>
        <v>4</v>
      </c>
      <c r="F71" s="19" t="n">
        <v>3</v>
      </c>
      <c r="G71" s="61" t="n">
        <f aca="false">Parametry!$C$12</f>
        <v>6</v>
      </c>
      <c r="H71" s="19" t="n">
        <f aca="false">ROUNDDOWN(ROUNDDOWN(Parametry!$C$9*Parametry!$C$10^(F71-1),0)*(1+Parametry!$C$72*MAX(0,Parametry!$C$73-2)),0)</f>
        <v>72</v>
      </c>
      <c r="I71" s="19" t="n">
        <f aca="false">ROUNDUP((180*E71)*Parametry!$C$15,0)</f>
        <v>792</v>
      </c>
      <c r="J71" s="19" t="n">
        <f aca="false">ROUNDUP((20*E71)*Parametry!$C$15,0)</f>
        <v>88</v>
      </c>
      <c r="K71" s="19" t="n">
        <f aca="false">ROUNDUP((60*E71)*Parametry!$C$15,0)</f>
        <v>264</v>
      </c>
      <c r="L71" s="19" t="n">
        <f aca="false">ROUNDUP((0*E71)*Parametry!$C$15,0)</f>
        <v>0</v>
      </c>
      <c r="M71" s="19" t="n">
        <f aca="false">ROUNDUP((0*E71)*Parametry!$C$15,0)</f>
        <v>0</v>
      </c>
      <c r="N71" s="19" t="n">
        <f aca="false">ROUNDUP((10*E71)*Parametry!$C$15,0)</f>
        <v>44</v>
      </c>
      <c r="O71" s="19" t="n">
        <f aca="false">ROUNDUP(J71/H71,0)</f>
        <v>2</v>
      </c>
      <c r="P71" s="19" t="n">
        <f aca="false">ROUNDUP(K71/H71,0)</f>
        <v>4</v>
      </c>
      <c r="Q71" s="19" t="n">
        <f aca="false">ROUNDUP(L71/H71,0)</f>
        <v>0</v>
      </c>
      <c r="R71" s="19" t="n">
        <f aca="false">ROUNDUP(M71/H71,0)</f>
        <v>0</v>
      </c>
      <c r="S71" s="19" t="n">
        <f aca="false">ROUNDUP(N71/H71,0)</f>
        <v>1</v>
      </c>
      <c r="T71" s="19" t="n">
        <f aca="false">SUM(O71:S71)</f>
        <v>7</v>
      </c>
      <c r="U71" s="19" t="n">
        <f aca="false">ROUNDUP(T71/G71,0)</f>
        <v>2</v>
      </c>
      <c r="V71" s="19" t="n">
        <f aca="false">U71*Parametry!$C$11/(1+Parametry!$C$71*Parametry!$C$73)</f>
        <v>10</v>
      </c>
      <c r="W71" s="19" t="n">
        <f aca="false">1+3*(E71-1)</f>
        <v>10</v>
      </c>
      <c r="X71" s="19" t="n">
        <f aca="false">V71*(W71-1)</f>
        <v>90</v>
      </c>
      <c r="Y71" s="19" t="n">
        <f aca="false">V71*W71</f>
        <v>100</v>
      </c>
      <c r="Z71" s="19" t="n">
        <f aca="false">SUM(J71:N71)</f>
        <v>396</v>
      </c>
      <c r="AA71" s="19" t="s">
        <v>2350</v>
      </c>
    </row>
    <row r="72" customFormat="false" ht="69.75" hidden="false" customHeight="true" outlineLevel="0" collapsed="false">
      <c r="A72" s="20" t="s">
        <v>62</v>
      </c>
      <c r="B72" s="20" t="s">
        <v>2348</v>
      </c>
      <c r="C72" s="20" t="s">
        <v>2349</v>
      </c>
      <c r="D72" s="20" t="n">
        <v>1</v>
      </c>
      <c r="E72" s="20" t="n">
        <f aca="false">D72+1</f>
        <v>2</v>
      </c>
      <c r="F72" s="20" t="n">
        <v>1</v>
      </c>
      <c r="G72" s="60" t="n">
        <f aca="false">Parametry!$C$12</f>
        <v>6</v>
      </c>
      <c r="H72" s="20" t="n">
        <f aca="false">ROUNDDOWN(ROUNDDOWN(Parametry!$C$9*Parametry!$C$10^(F72-1),0)*(1+Parametry!$C$72*MAX(0,Parametry!$C$73-2)),0)</f>
        <v>60</v>
      </c>
      <c r="I72" s="20" t="n">
        <f aca="false">ROUNDUP((Parametry!$C$23*MAX(1,D72))*1,0)</f>
        <v>500</v>
      </c>
      <c r="J72" s="20" t="n">
        <f aca="false">ROUNDUP((Parametry!$C$23*MAX(1,D72))*1,0)</f>
        <v>500</v>
      </c>
      <c r="K72" s="20" t="n">
        <f aca="false">ROUNDUP((Parametry!$C$23*MAX(1,D72))*1,0)</f>
        <v>500</v>
      </c>
      <c r="L72" s="20" t="n">
        <f aca="false">ROUNDUP((Parametry!$C$23*MAX(1,D72))*1,0)</f>
        <v>500</v>
      </c>
      <c r="M72" s="20" t="n">
        <f aca="false">ROUNDUP((Parametry!$C$23*MAX(1,D72))*1,0)</f>
        <v>500</v>
      </c>
      <c r="N72" s="20" t="n">
        <f aca="false">ROUNDUP((Parametry!$C$23*MAX(1,D72))*1,0)</f>
        <v>500</v>
      </c>
      <c r="O72" s="20" t="n">
        <f aca="false">ROUNDUP(J72/H72,0)</f>
        <v>9</v>
      </c>
      <c r="P72" s="20" t="n">
        <f aca="false">ROUNDUP(K72/H72,0)</f>
        <v>9</v>
      </c>
      <c r="Q72" s="20" t="n">
        <f aca="false">ROUNDUP(L72/H72,0)</f>
        <v>9</v>
      </c>
      <c r="R72" s="20" t="n">
        <f aca="false">ROUNDUP(M72/H72,0)</f>
        <v>9</v>
      </c>
      <c r="S72" s="20" t="n">
        <f aca="false">ROUNDUP(N72/H72,0)</f>
        <v>9</v>
      </c>
      <c r="T72" s="20" t="n">
        <f aca="false">SUM(O72:S72)</f>
        <v>45</v>
      </c>
      <c r="U72" s="20" t="n">
        <f aca="false">ROUNDUP(T72/G72,0)</f>
        <v>8</v>
      </c>
      <c r="V72" s="20" t="n">
        <f aca="false">U72*Parametry!$C$11/(1+Parametry!$C$71*Parametry!$C$73)</f>
        <v>40</v>
      </c>
      <c r="W72" s="20" t="n">
        <f aca="false">5</f>
        <v>5</v>
      </c>
      <c r="X72" s="20" t="n">
        <f aca="false">V72*(W72-1)</f>
        <v>160</v>
      </c>
      <c r="Y72" s="20" t="n">
        <f aca="false">V72*W72</f>
        <v>200</v>
      </c>
      <c r="Z72" s="20" t="n">
        <f aca="false">SUM(J72:N72)</f>
        <v>2500</v>
      </c>
      <c r="AA72" s="20" t="s">
        <v>2350</v>
      </c>
    </row>
    <row r="73" customFormat="false" ht="69.75" hidden="false" customHeight="true" outlineLevel="0" collapsed="false">
      <c r="A73" s="19" t="s">
        <v>62</v>
      </c>
      <c r="B73" s="19" t="s">
        <v>2348</v>
      </c>
      <c r="C73" s="19" t="s">
        <v>2351</v>
      </c>
      <c r="D73" s="19" t="n">
        <v>1</v>
      </c>
      <c r="E73" s="19" t="n">
        <f aca="false">D73+1</f>
        <v>2</v>
      </c>
      <c r="F73" s="19" t="n">
        <v>1</v>
      </c>
      <c r="G73" s="61" t="n">
        <f aca="false">Parametry!$C$12</f>
        <v>6</v>
      </c>
      <c r="H73" s="19" t="n">
        <f aca="false">ROUNDDOWN(ROUNDDOWN(Parametry!$C$9*Parametry!$C$10^(F73-1),0)*(1+Parametry!$C$72*MAX(0,Parametry!$C$73-2)),0)</f>
        <v>60</v>
      </c>
      <c r="I73" s="19" t="n">
        <f aca="false">ROUNDUP((Parametry!$C$23*MAX(1,D73))*Parametry!$C$15,0)</f>
        <v>550</v>
      </c>
      <c r="J73" s="19" t="n">
        <f aca="false">ROUNDUP((Parametry!$C$23*MAX(1,D73))*Parametry!$C$15,0)</f>
        <v>550</v>
      </c>
      <c r="K73" s="19" t="n">
        <f aca="false">ROUNDUP((Parametry!$C$23*MAX(1,D73))*Parametry!$C$15,0)</f>
        <v>550</v>
      </c>
      <c r="L73" s="19" t="n">
        <f aca="false">ROUNDUP((Parametry!$C$23*MAX(1,D73))*Parametry!$C$15,0)</f>
        <v>550</v>
      </c>
      <c r="M73" s="19" t="n">
        <f aca="false">ROUNDUP((Parametry!$C$23*MAX(1,D73))*Parametry!$C$15,0)</f>
        <v>550</v>
      </c>
      <c r="N73" s="19" t="n">
        <f aca="false">ROUNDUP((Parametry!$C$23*MAX(1,D73))*Parametry!$C$15,0)</f>
        <v>550</v>
      </c>
      <c r="O73" s="19" t="n">
        <f aca="false">ROUNDUP(J73/H73,0)</f>
        <v>10</v>
      </c>
      <c r="P73" s="19" t="n">
        <f aca="false">ROUNDUP(K73/H73,0)</f>
        <v>10</v>
      </c>
      <c r="Q73" s="19" t="n">
        <f aca="false">ROUNDUP(L73/H73,0)</f>
        <v>10</v>
      </c>
      <c r="R73" s="19" t="n">
        <f aca="false">ROUNDUP(M73/H73,0)</f>
        <v>10</v>
      </c>
      <c r="S73" s="19" t="n">
        <f aca="false">ROUNDUP(N73/H73,0)</f>
        <v>10</v>
      </c>
      <c r="T73" s="19" t="n">
        <f aca="false">SUM(O73:S73)</f>
        <v>50</v>
      </c>
      <c r="U73" s="19" t="n">
        <f aca="false">ROUNDUP(T73/G73,0)</f>
        <v>9</v>
      </c>
      <c r="V73" s="19" t="n">
        <f aca="false">U73*Parametry!$C$11/(1+Parametry!$C$71*Parametry!$C$73)</f>
        <v>45</v>
      </c>
      <c r="W73" s="19" t="n">
        <f aca="false">5</f>
        <v>5</v>
      </c>
      <c r="X73" s="19" t="n">
        <f aca="false">V73*(W73-1)</f>
        <v>180</v>
      </c>
      <c r="Y73" s="19" t="n">
        <f aca="false">V73*W73</f>
        <v>225</v>
      </c>
      <c r="Z73" s="19" t="n">
        <f aca="false">SUM(J73:N73)</f>
        <v>2750</v>
      </c>
      <c r="AA73" s="19" t="s">
        <v>2350</v>
      </c>
    </row>
    <row r="74" customFormat="false" ht="69.75" hidden="false" customHeight="true" outlineLevel="0" collapsed="false">
      <c r="A74" s="20" t="s">
        <v>62</v>
      </c>
      <c r="B74" s="20" t="s">
        <v>2352</v>
      </c>
      <c r="C74" s="20" t="s">
        <v>2349</v>
      </c>
      <c r="D74" s="20" t="n">
        <v>2</v>
      </c>
      <c r="E74" s="20" t="n">
        <f aca="false">D74+1</f>
        <v>3</v>
      </c>
      <c r="F74" s="20" t="n">
        <v>2</v>
      </c>
      <c r="G74" s="60" t="n">
        <f aca="false">Parametry!$C$12</f>
        <v>6</v>
      </c>
      <c r="H74" s="20" t="n">
        <f aca="false">ROUNDDOWN(ROUNDDOWN(Parametry!$C$9*Parametry!$C$10^(F74-1),0)*(1+Parametry!$C$72*MAX(0,Parametry!$C$73-2)),0)</f>
        <v>66</v>
      </c>
      <c r="I74" s="20" t="n">
        <f aca="false">ROUNDUP((Parametry!$C$23*MAX(1,D74))*1,0)</f>
        <v>1000</v>
      </c>
      <c r="J74" s="20" t="n">
        <f aca="false">ROUNDUP((Parametry!$C$23*MAX(1,D74))*1,0)</f>
        <v>1000</v>
      </c>
      <c r="K74" s="20" t="n">
        <f aca="false">ROUNDUP((Parametry!$C$23*MAX(1,D74))*1,0)</f>
        <v>1000</v>
      </c>
      <c r="L74" s="20" t="n">
        <f aca="false">ROUNDUP((Parametry!$C$23*MAX(1,D74))*1,0)</f>
        <v>1000</v>
      </c>
      <c r="M74" s="20" t="n">
        <f aca="false">ROUNDUP((Parametry!$C$23*MAX(1,D74))*1,0)</f>
        <v>1000</v>
      </c>
      <c r="N74" s="20" t="n">
        <f aca="false">ROUNDUP((Parametry!$C$23*MAX(1,D74))*1,0)</f>
        <v>1000</v>
      </c>
      <c r="O74" s="20" t="n">
        <f aca="false">ROUNDUP(J74/H74,0)</f>
        <v>16</v>
      </c>
      <c r="P74" s="20" t="n">
        <f aca="false">ROUNDUP(K74/H74,0)</f>
        <v>16</v>
      </c>
      <c r="Q74" s="20" t="n">
        <f aca="false">ROUNDUP(L74/H74,0)</f>
        <v>16</v>
      </c>
      <c r="R74" s="20" t="n">
        <f aca="false">ROUNDUP(M74/H74,0)</f>
        <v>16</v>
      </c>
      <c r="S74" s="20" t="n">
        <f aca="false">ROUNDUP(N74/H74,0)</f>
        <v>16</v>
      </c>
      <c r="T74" s="20" t="n">
        <f aca="false">SUM(O74:S74)</f>
        <v>80</v>
      </c>
      <c r="U74" s="20" t="n">
        <f aca="false">ROUNDUP(T74/G74,0)</f>
        <v>14</v>
      </c>
      <c r="V74" s="20" t="n">
        <f aca="false">U74*Parametry!$C$11/(1+Parametry!$C$71*Parametry!$C$73)</f>
        <v>70</v>
      </c>
      <c r="W74" s="20" t="n">
        <f aca="false">5</f>
        <v>5</v>
      </c>
      <c r="X74" s="20" t="n">
        <f aca="false">V74*(W74-1)</f>
        <v>280</v>
      </c>
      <c r="Y74" s="20" t="n">
        <f aca="false">V74*W74</f>
        <v>350</v>
      </c>
      <c r="Z74" s="20" t="n">
        <f aca="false">SUM(J74:N74)</f>
        <v>5000</v>
      </c>
      <c r="AA74" s="20" t="s">
        <v>2350</v>
      </c>
    </row>
    <row r="75" customFormat="false" ht="69.75" hidden="false" customHeight="true" outlineLevel="0" collapsed="false">
      <c r="A75" s="19" t="s">
        <v>62</v>
      </c>
      <c r="B75" s="19" t="s">
        <v>2352</v>
      </c>
      <c r="C75" s="19" t="s">
        <v>2351</v>
      </c>
      <c r="D75" s="19" t="n">
        <v>2</v>
      </c>
      <c r="E75" s="19" t="n">
        <f aca="false">D75+1</f>
        <v>3</v>
      </c>
      <c r="F75" s="19" t="n">
        <v>2</v>
      </c>
      <c r="G75" s="61" t="n">
        <f aca="false">Parametry!$C$12</f>
        <v>6</v>
      </c>
      <c r="H75" s="19" t="n">
        <f aca="false">ROUNDDOWN(ROUNDDOWN(Parametry!$C$9*Parametry!$C$10^(F75-1),0)*(1+Parametry!$C$72*MAX(0,Parametry!$C$73-2)),0)</f>
        <v>66</v>
      </c>
      <c r="I75" s="19" t="n">
        <f aca="false">ROUNDUP((Parametry!$C$23*MAX(1,D75))*Parametry!$C$15,0)</f>
        <v>1100</v>
      </c>
      <c r="J75" s="19" t="n">
        <f aca="false">ROUNDUP((Parametry!$C$23*MAX(1,D75))*Parametry!$C$15,0)</f>
        <v>1100</v>
      </c>
      <c r="K75" s="19" t="n">
        <f aca="false">ROUNDUP((Parametry!$C$23*MAX(1,D75))*Parametry!$C$15,0)</f>
        <v>1100</v>
      </c>
      <c r="L75" s="19" t="n">
        <f aca="false">ROUNDUP((Parametry!$C$23*MAX(1,D75))*Parametry!$C$15,0)</f>
        <v>1100</v>
      </c>
      <c r="M75" s="19" t="n">
        <f aca="false">ROUNDUP((Parametry!$C$23*MAX(1,D75))*Parametry!$C$15,0)</f>
        <v>1100</v>
      </c>
      <c r="N75" s="19" t="n">
        <f aca="false">ROUNDUP((Parametry!$C$23*MAX(1,D75))*Parametry!$C$15,0)</f>
        <v>1100</v>
      </c>
      <c r="O75" s="19" t="n">
        <f aca="false">ROUNDUP(J75/H75,0)</f>
        <v>17</v>
      </c>
      <c r="P75" s="19" t="n">
        <f aca="false">ROUNDUP(K75/H75,0)</f>
        <v>17</v>
      </c>
      <c r="Q75" s="19" t="n">
        <f aca="false">ROUNDUP(L75/H75,0)</f>
        <v>17</v>
      </c>
      <c r="R75" s="19" t="n">
        <f aca="false">ROUNDUP(M75/H75,0)</f>
        <v>17</v>
      </c>
      <c r="S75" s="19" t="n">
        <f aca="false">ROUNDUP(N75/H75,0)</f>
        <v>17</v>
      </c>
      <c r="T75" s="19" t="n">
        <f aca="false">SUM(O75:S75)</f>
        <v>85</v>
      </c>
      <c r="U75" s="19" t="n">
        <f aca="false">ROUNDUP(T75/G75,0)</f>
        <v>15</v>
      </c>
      <c r="V75" s="19" t="n">
        <f aca="false">U75*Parametry!$C$11/(1+Parametry!$C$71*Parametry!$C$73)</f>
        <v>75</v>
      </c>
      <c r="W75" s="19" t="n">
        <f aca="false">5</f>
        <v>5</v>
      </c>
      <c r="X75" s="19" t="n">
        <f aca="false">V75*(W75-1)</f>
        <v>300</v>
      </c>
      <c r="Y75" s="19" t="n">
        <f aca="false">V75*W75</f>
        <v>375</v>
      </c>
      <c r="Z75" s="19" t="n">
        <f aca="false">SUM(J75:N75)</f>
        <v>5500</v>
      </c>
      <c r="AA75" s="19" t="s">
        <v>2350</v>
      </c>
    </row>
    <row r="76" customFormat="false" ht="69.75" hidden="false" customHeight="true" outlineLevel="0" collapsed="false">
      <c r="A76" s="20" t="s">
        <v>62</v>
      </c>
      <c r="B76" s="20" t="s">
        <v>2353</v>
      </c>
      <c r="C76" s="20" t="s">
        <v>2349</v>
      </c>
      <c r="D76" s="20" t="n">
        <v>3</v>
      </c>
      <c r="E76" s="20" t="n">
        <f aca="false">D76+1</f>
        <v>4</v>
      </c>
      <c r="F76" s="20" t="n">
        <v>3</v>
      </c>
      <c r="G76" s="60" t="n">
        <f aca="false">Parametry!$C$12</f>
        <v>6</v>
      </c>
      <c r="H76" s="20" t="n">
        <f aca="false">ROUNDDOWN(ROUNDDOWN(Parametry!$C$9*Parametry!$C$10^(F76-1),0)*(1+Parametry!$C$72*MAX(0,Parametry!$C$73-2)),0)</f>
        <v>72</v>
      </c>
      <c r="I76" s="20" t="n">
        <f aca="false">ROUNDUP((Parametry!$C$23*MAX(1,D76))*1,0)</f>
        <v>1500</v>
      </c>
      <c r="J76" s="20" t="n">
        <f aca="false">ROUNDUP((Parametry!$C$23*MAX(1,D76))*1,0)</f>
        <v>1500</v>
      </c>
      <c r="K76" s="20" t="n">
        <f aca="false">ROUNDUP((Parametry!$C$23*MAX(1,D76))*1,0)</f>
        <v>1500</v>
      </c>
      <c r="L76" s="20" t="n">
        <f aca="false">ROUNDUP((Parametry!$C$23*MAX(1,D76))*1,0)</f>
        <v>1500</v>
      </c>
      <c r="M76" s="20" t="n">
        <f aca="false">ROUNDUP((Parametry!$C$23*MAX(1,D76))*1,0)</f>
        <v>1500</v>
      </c>
      <c r="N76" s="20" t="n">
        <f aca="false">ROUNDUP((Parametry!$C$23*MAX(1,D76))*1,0)</f>
        <v>1500</v>
      </c>
      <c r="O76" s="20" t="n">
        <f aca="false">ROUNDUP(J76/H76,0)</f>
        <v>21</v>
      </c>
      <c r="P76" s="20" t="n">
        <f aca="false">ROUNDUP(K76/H76,0)</f>
        <v>21</v>
      </c>
      <c r="Q76" s="20" t="n">
        <f aca="false">ROUNDUP(L76/H76,0)</f>
        <v>21</v>
      </c>
      <c r="R76" s="20" t="n">
        <f aca="false">ROUNDUP(M76/H76,0)</f>
        <v>21</v>
      </c>
      <c r="S76" s="20" t="n">
        <f aca="false">ROUNDUP(N76/H76,0)</f>
        <v>21</v>
      </c>
      <c r="T76" s="20" t="n">
        <f aca="false">SUM(O76:S76)</f>
        <v>105</v>
      </c>
      <c r="U76" s="20" t="n">
        <f aca="false">ROUNDUP(T76/G76,0)</f>
        <v>18</v>
      </c>
      <c r="V76" s="20" t="n">
        <f aca="false">U76*Parametry!$C$11/(1+Parametry!$C$71*Parametry!$C$73)</f>
        <v>90</v>
      </c>
      <c r="W76" s="20" t="n">
        <f aca="false">5</f>
        <v>5</v>
      </c>
      <c r="X76" s="20" t="n">
        <f aca="false">V76*(W76-1)</f>
        <v>360</v>
      </c>
      <c r="Y76" s="20" t="n">
        <f aca="false">V76*W76</f>
        <v>450</v>
      </c>
      <c r="Z76" s="20" t="n">
        <f aca="false">SUM(J76:N76)</f>
        <v>7500</v>
      </c>
      <c r="AA76" s="20" t="s">
        <v>2350</v>
      </c>
    </row>
    <row r="77" customFormat="false" ht="69.75" hidden="false" customHeight="true" outlineLevel="0" collapsed="false">
      <c r="A77" s="19" t="s">
        <v>62</v>
      </c>
      <c r="B77" s="19" t="s">
        <v>2353</v>
      </c>
      <c r="C77" s="19" t="s">
        <v>2351</v>
      </c>
      <c r="D77" s="19" t="n">
        <v>3</v>
      </c>
      <c r="E77" s="19" t="n">
        <f aca="false">D77+1</f>
        <v>4</v>
      </c>
      <c r="F77" s="19" t="n">
        <v>3</v>
      </c>
      <c r="G77" s="61" t="n">
        <f aca="false">Parametry!$C$12</f>
        <v>6</v>
      </c>
      <c r="H77" s="19" t="n">
        <f aca="false">ROUNDDOWN(ROUNDDOWN(Parametry!$C$9*Parametry!$C$10^(F77-1),0)*(1+Parametry!$C$72*MAX(0,Parametry!$C$73-2)),0)</f>
        <v>72</v>
      </c>
      <c r="I77" s="19" t="n">
        <f aca="false">ROUNDUP((Parametry!$C$23*MAX(1,D77))*Parametry!$C$15,0)</f>
        <v>1650</v>
      </c>
      <c r="J77" s="19" t="n">
        <f aca="false">ROUNDUP((Parametry!$C$23*MAX(1,D77))*Parametry!$C$15,0)</f>
        <v>1650</v>
      </c>
      <c r="K77" s="19" t="n">
        <f aca="false">ROUNDUP((Parametry!$C$23*MAX(1,D77))*Parametry!$C$15,0)</f>
        <v>1650</v>
      </c>
      <c r="L77" s="19" t="n">
        <f aca="false">ROUNDUP((Parametry!$C$23*MAX(1,D77))*Parametry!$C$15,0)</f>
        <v>1650</v>
      </c>
      <c r="M77" s="19" t="n">
        <f aca="false">ROUNDUP((Parametry!$C$23*MAX(1,D77))*Parametry!$C$15,0)</f>
        <v>1650</v>
      </c>
      <c r="N77" s="19" t="n">
        <f aca="false">ROUNDUP((Parametry!$C$23*MAX(1,D77))*Parametry!$C$15,0)</f>
        <v>1650</v>
      </c>
      <c r="O77" s="19" t="n">
        <f aca="false">ROUNDUP(J77/H77,0)</f>
        <v>23</v>
      </c>
      <c r="P77" s="19" t="n">
        <f aca="false">ROUNDUP(K77/H77,0)</f>
        <v>23</v>
      </c>
      <c r="Q77" s="19" t="n">
        <f aca="false">ROUNDUP(L77/H77,0)</f>
        <v>23</v>
      </c>
      <c r="R77" s="19" t="n">
        <f aca="false">ROUNDUP(M77/H77,0)</f>
        <v>23</v>
      </c>
      <c r="S77" s="19" t="n">
        <f aca="false">ROUNDUP(N77/H77,0)</f>
        <v>23</v>
      </c>
      <c r="T77" s="19" t="n">
        <f aca="false">SUM(O77:S77)</f>
        <v>115</v>
      </c>
      <c r="U77" s="19" t="n">
        <f aca="false">ROUNDUP(T77/G77,0)</f>
        <v>20</v>
      </c>
      <c r="V77" s="19" t="n">
        <f aca="false">U77*Parametry!$C$11/(1+Parametry!$C$71*Parametry!$C$73)</f>
        <v>100</v>
      </c>
      <c r="W77" s="19" t="n">
        <f aca="false">5</f>
        <v>5</v>
      </c>
      <c r="X77" s="19" t="n">
        <f aca="false">V77*(W77-1)</f>
        <v>400</v>
      </c>
      <c r="Y77" s="19" t="n">
        <f aca="false">V77*W77</f>
        <v>500</v>
      </c>
      <c r="Z77" s="19" t="n">
        <f aca="false">SUM(J77:N77)</f>
        <v>8250</v>
      </c>
      <c r="AA77" s="19" t="s">
        <v>2350</v>
      </c>
    </row>
    <row r="78" customFormat="false" ht="69.75" hidden="false" customHeight="true" outlineLevel="0" collapsed="false">
      <c r="A78" s="20" t="s">
        <v>62</v>
      </c>
      <c r="B78" s="20" t="s">
        <v>2354</v>
      </c>
      <c r="C78" s="20" t="s">
        <v>2349</v>
      </c>
      <c r="D78" s="20" t="n">
        <v>0</v>
      </c>
      <c r="E78" s="20" t="n">
        <f aca="false">D78+1</f>
        <v>1</v>
      </c>
      <c r="F78" s="20" t="n">
        <v>1</v>
      </c>
      <c r="G78" s="60" t="n">
        <f aca="false">Parametry!$C$12</f>
        <v>6</v>
      </c>
      <c r="H78" s="20" t="n">
        <f aca="false">ROUNDDOWN(ROUNDDOWN(Parametry!$C$9*Parametry!$C$10^(F78-1),0)*(1+Parametry!$C$72*MAX(0,Parametry!$C$73-2)),0)</f>
        <v>60</v>
      </c>
      <c r="I78" s="20" t="n">
        <f aca="false">ROUNDUP((Parametry!$C$23*MAX(1,D78))*1,0)</f>
        <v>500</v>
      </c>
      <c r="J78" s="20" t="n">
        <f aca="false">ROUNDUP((Parametry!$C$23*MAX(1,D78))*1,0)</f>
        <v>500</v>
      </c>
      <c r="K78" s="20" t="n">
        <f aca="false">ROUNDUP((Parametry!$C$23*MAX(1,D78))*1,0)</f>
        <v>500</v>
      </c>
      <c r="L78" s="20" t="n">
        <f aca="false">ROUNDUP((Parametry!$C$23*MAX(1,D78))*1,0)</f>
        <v>500</v>
      </c>
      <c r="M78" s="20" t="n">
        <f aca="false">ROUNDUP((Parametry!$C$23*MAX(1,D78))*1,0)</f>
        <v>500</v>
      </c>
      <c r="N78" s="20" t="n">
        <f aca="false">ROUNDUP((Parametry!$C$23*MAX(1,D78))*1,0)</f>
        <v>500</v>
      </c>
      <c r="O78" s="20" t="n">
        <f aca="false">ROUNDUP(J78/H78,0)</f>
        <v>9</v>
      </c>
      <c r="P78" s="20" t="n">
        <f aca="false">ROUNDUP(K78/H78,0)</f>
        <v>9</v>
      </c>
      <c r="Q78" s="20" t="n">
        <f aca="false">ROUNDUP(L78/H78,0)</f>
        <v>9</v>
      </c>
      <c r="R78" s="20" t="n">
        <f aca="false">ROUNDUP(M78/H78,0)</f>
        <v>9</v>
      </c>
      <c r="S78" s="20" t="n">
        <f aca="false">ROUNDUP(N78/H78,0)</f>
        <v>9</v>
      </c>
      <c r="T78" s="20" t="n">
        <f aca="false">SUM(O78:S78)</f>
        <v>45</v>
      </c>
      <c r="U78" s="20" t="n">
        <f aca="false">ROUNDUP(T78/G78,0)</f>
        <v>8</v>
      </c>
      <c r="V78" s="20" t="n">
        <f aca="false">U78*Parametry!$C$11/(1+Parametry!$C$71*Parametry!$C$73)</f>
        <v>40</v>
      </c>
      <c r="W78" s="20" t="n">
        <f aca="false">5</f>
        <v>5</v>
      </c>
      <c r="X78" s="20" t="n">
        <f aca="false">V78*(W78-1)</f>
        <v>160</v>
      </c>
      <c r="Y78" s="20" t="n">
        <f aca="false">V78*W78</f>
        <v>200</v>
      </c>
      <c r="Z78" s="20" t="n">
        <f aca="false">SUM(J78:N78)</f>
        <v>2500</v>
      </c>
      <c r="AA78" s="20" t="s">
        <v>2350</v>
      </c>
    </row>
    <row r="79" customFormat="false" ht="69.75" hidden="false" customHeight="true" outlineLevel="0" collapsed="false">
      <c r="A79" s="19" t="s">
        <v>62</v>
      </c>
      <c r="B79" s="19" t="s">
        <v>2354</v>
      </c>
      <c r="C79" s="19" t="s">
        <v>2351</v>
      </c>
      <c r="D79" s="19" t="n">
        <v>0</v>
      </c>
      <c r="E79" s="19" t="n">
        <f aca="false">D79+1</f>
        <v>1</v>
      </c>
      <c r="F79" s="19" t="n">
        <v>1</v>
      </c>
      <c r="G79" s="61" t="n">
        <f aca="false">Parametry!$C$12</f>
        <v>6</v>
      </c>
      <c r="H79" s="19" t="n">
        <f aca="false">ROUNDDOWN(ROUNDDOWN(Parametry!$C$9*Parametry!$C$10^(F79-1),0)*(1+Parametry!$C$72*MAX(0,Parametry!$C$73-2)),0)</f>
        <v>60</v>
      </c>
      <c r="I79" s="19" t="n">
        <f aca="false">ROUNDUP((Parametry!$C$23*MAX(1,D79))*Parametry!$C$15,0)</f>
        <v>550</v>
      </c>
      <c r="J79" s="19" t="n">
        <f aca="false">ROUNDUP((Parametry!$C$23*MAX(1,D79))*Parametry!$C$15,0)</f>
        <v>550</v>
      </c>
      <c r="K79" s="19" t="n">
        <f aca="false">ROUNDUP((Parametry!$C$23*MAX(1,D79))*Parametry!$C$15,0)</f>
        <v>550</v>
      </c>
      <c r="L79" s="19" t="n">
        <f aca="false">ROUNDUP((Parametry!$C$23*MAX(1,D79))*Parametry!$C$15,0)</f>
        <v>550</v>
      </c>
      <c r="M79" s="19" t="n">
        <f aca="false">ROUNDUP((Parametry!$C$23*MAX(1,D79))*Parametry!$C$15,0)</f>
        <v>550</v>
      </c>
      <c r="N79" s="19" t="n">
        <f aca="false">ROUNDUP((Parametry!$C$23*MAX(1,D79))*Parametry!$C$15,0)</f>
        <v>550</v>
      </c>
      <c r="O79" s="19" t="n">
        <f aca="false">ROUNDUP(J79/H79,0)</f>
        <v>10</v>
      </c>
      <c r="P79" s="19" t="n">
        <f aca="false">ROUNDUP(K79/H79,0)</f>
        <v>10</v>
      </c>
      <c r="Q79" s="19" t="n">
        <f aca="false">ROUNDUP(L79/H79,0)</f>
        <v>10</v>
      </c>
      <c r="R79" s="19" t="n">
        <f aca="false">ROUNDUP(M79/H79,0)</f>
        <v>10</v>
      </c>
      <c r="S79" s="19" t="n">
        <f aca="false">ROUNDUP(N79/H79,0)</f>
        <v>10</v>
      </c>
      <c r="T79" s="19" t="n">
        <f aca="false">SUM(O79:S79)</f>
        <v>50</v>
      </c>
      <c r="U79" s="19" t="n">
        <f aca="false">ROUNDUP(T79/G79,0)</f>
        <v>9</v>
      </c>
      <c r="V79" s="19" t="n">
        <f aca="false">U79*Parametry!$C$11/(1+Parametry!$C$71*Parametry!$C$73)</f>
        <v>45</v>
      </c>
      <c r="W79" s="19" t="n">
        <f aca="false">5</f>
        <v>5</v>
      </c>
      <c r="X79" s="19" t="n">
        <f aca="false">V79*(W79-1)</f>
        <v>180</v>
      </c>
      <c r="Y79" s="19" t="n">
        <f aca="false">V79*W79</f>
        <v>225</v>
      </c>
      <c r="Z79" s="19" t="n">
        <f aca="false">SUM(J79:N79)</f>
        <v>2750</v>
      </c>
      <c r="AA79" s="19" t="s">
        <v>2350</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4"/>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35"/>
    <col collapsed="false" customWidth="true" hidden="false" outlineLevel="0" max="3" min="2" style="10" width="120"/>
    <col collapsed="false" customWidth="true" hidden="false" outlineLevel="0" max="4" min="4" style="10" width="55"/>
  </cols>
  <sheetData>
    <row r="1" customFormat="false" ht="33.75" hidden="false" customHeight="true" outlineLevel="0" collapsed="false">
      <c r="A1" s="54" t="s">
        <v>2355</v>
      </c>
      <c r="B1" s="54"/>
      <c r="C1" s="54"/>
      <c r="D1" s="54"/>
    </row>
    <row r="2" customFormat="false" ht="24.75" hidden="false" customHeight="true" outlineLevel="0" collapsed="false">
      <c r="A2" s="55" t="s">
        <v>2356</v>
      </c>
      <c r="B2" s="55"/>
      <c r="C2" s="55"/>
      <c r="D2" s="55"/>
    </row>
    <row r="3" customFormat="false" ht="24.75" hidden="false" customHeight="true" outlineLevel="0" collapsed="false">
      <c r="A3" s="55"/>
      <c r="B3" s="55"/>
      <c r="C3" s="55"/>
      <c r="D3" s="55"/>
    </row>
    <row r="5" customFormat="false" ht="48" hidden="false" customHeight="true" outlineLevel="0" collapsed="false">
      <c r="A5" s="22" t="s">
        <v>329</v>
      </c>
      <c r="B5" s="22" t="s">
        <v>1178</v>
      </c>
      <c r="C5" s="22" t="s">
        <v>481</v>
      </c>
      <c r="D5" s="22" t="s">
        <v>310</v>
      </c>
    </row>
    <row r="6" customFormat="false" ht="105" hidden="false" customHeight="true" outlineLevel="0" collapsed="false">
      <c r="A6" s="20" t="s">
        <v>2357</v>
      </c>
      <c r="B6" s="20" t="s">
        <v>2358</v>
      </c>
      <c r="C6" s="20" t="s">
        <v>2359</v>
      </c>
      <c r="D6" s="20" t="s">
        <v>1792</v>
      </c>
    </row>
    <row r="7" customFormat="false" ht="105" hidden="false" customHeight="true" outlineLevel="0" collapsed="false">
      <c r="A7" s="19" t="s">
        <v>2360</v>
      </c>
      <c r="B7" s="19" t="s">
        <v>2361</v>
      </c>
      <c r="C7" s="19" t="s">
        <v>2362</v>
      </c>
      <c r="D7" s="19" t="s">
        <v>1792</v>
      </c>
    </row>
    <row r="8" customFormat="false" ht="105" hidden="false" customHeight="true" outlineLevel="0" collapsed="false">
      <c r="A8" s="20" t="s">
        <v>2363</v>
      </c>
      <c r="B8" s="20" t="s">
        <v>2364</v>
      </c>
      <c r="C8" s="20" t="s">
        <v>2365</v>
      </c>
      <c r="D8" s="20" t="s">
        <v>1792</v>
      </c>
    </row>
    <row r="9" customFormat="false" ht="105" hidden="false" customHeight="true" outlineLevel="0" collapsed="false">
      <c r="A9" s="19" t="s">
        <v>2366</v>
      </c>
      <c r="B9" s="19" t="s">
        <v>2367</v>
      </c>
      <c r="C9" s="19" t="s">
        <v>2368</v>
      </c>
      <c r="D9" s="19" t="s">
        <v>2369</v>
      </c>
    </row>
    <row r="10" customFormat="false" ht="105" hidden="false" customHeight="true" outlineLevel="0" collapsed="false">
      <c r="A10" s="20" t="s">
        <v>2370</v>
      </c>
      <c r="B10" s="20" t="s">
        <v>2371</v>
      </c>
      <c r="C10" s="20" t="s">
        <v>2372</v>
      </c>
      <c r="D10" s="20" t="s">
        <v>1228</v>
      </c>
    </row>
    <row r="11" customFormat="false" ht="105" hidden="false" customHeight="true" outlineLevel="0" collapsed="false">
      <c r="A11" s="19" t="s">
        <v>2373</v>
      </c>
      <c r="B11" s="19" t="s">
        <v>2374</v>
      </c>
      <c r="C11" s="19" t="s">
        <v>2375</v>
      </c>
      <c r="D11" s="19" t="s">
        <v>1792</v>
      </c>
    </row>
    <row r="12" customFormat="false" ht="105" hidden="false" customHeight="true" outlineLevel="0" collapsed="false">
      <c r="A12" s="20" t="s">
        <v>2376</v>
      </c>
      <c r="B12" s="20" t="s">
        <v>2377</v>
      </c>
      <c r="C12" s="20" t="s">
        <v>2378</v>
      </c>
      <c r="D12" s="20" t="s">
        <v>1228</v>
      </c>
    </row>
    <row r="13" customFormat="false" ht="105" hidden="false" customHeight="true" outlineLevel="0" collapsed="false">
      <c r="A13" s="19" t="s">
        <v>98</v>
      </c>
      <c r="B13" s="19" t="s">
        <v>2379</v>
      </c>
      <c r="C13" s="19" t="s">
        <v>2380</v>
      </c>
      <c r="D13" s="19" t="s">
        <v>2381</v>
      </c>
    </row>
    <row r="14" customFormat="false" ht="105" hidden="false" customHeight="true" outlineLevel="0" collapsed="false">
      <c r="A14" s="20" t="s">
        <v>2382</v>
      </c>
      <c r="B14" s="20" t="s">
        <v>2383</v>
      </c>
      <c r="C14" s="20" t="s">
        <v>2384</v>
      </c>
      <c r="D14" s="20" t="s">
        <v>1792</v>
      </c>
    </row>
    <row r="15" customFormat="false" ht="105" hidden="false" customHeight="true" outlineLevel="0" collapsed="false">
      <c r="A15" s="19" t="s">
        <v>2385</v>
      </c>
      <c r="B15" s="19" t="s">
        <v>2386</v>
      </c>
      <c r="C15" s="19" t="s">
        <v>2387</v>
      </c>
      <c r="D15" s="19" t="s">
        <v>1315</v>
      </c>
    </row>
    <row r="16" customFormat="false" ht="105" hidden="false" customHeight="true" outlineLevel="0" collapsed="false">
      <c r="A16" s="20" t="s">
        <v>2388</v>
      </c>
      <c r="B16" s="20" t="s">
        <v>2389</v>
      </c>
      <c r="C16" s="20" t="s">
        <v>2390</v>
      </c>
      <c r="D16" s="20" t="s">
        <v>1792</v>
      </c>
    </row>
    <row r="17" customFormat="false" ht="105" hidden="false" customHeight="true" outlineLevel="0" collapsed="false">
      <c r="A17" s="19" t="s">
        <v>2391</v>
      </c>
      <c r="B17" s="19" t="s">
        <v>2392</v>
      </c>
      <c r="C17" s="19" t="s">
        <v>1070</v>
      </c>
      <c r="D17" s="19" t="s">
        <v>1275</v>
      </c>
    </row>
    <row r="18" customFormat="false" ht="105" hidden="false" customHeight="true" outlineLevel="0" collapsed="false">
      <c r="A18" s="20" t="s">
        <v>2393</v>
      </c>
      <c r="B18" s="20" t="s">
        <v>2394</v>
      </c>
      <c r="C18" s="20" t="s">
        <v>2395</v>
      </c>
      <c r="D18" s="20" t="s">
        <v>1275</v>
      </c>
    </row>
    <row r="19" customFormat="false" ht="105" hidden="false" customHeight="true" outlineLevel="0" collapsed="false">
      <c r="A19" s="19" t="s">
        <v>653</v>
      </c>
      <c r="B19" s="19" t="s">
        <v>2396</v>
      </c>
      <c r="C19" s="19" t="s">
        <v>2397</v>
      </c>
      <c r="D19" s="19" t="s">
        <v>2398</v>
      </c>
    </row>
    <row r="20" customFormat="false" ht="63.75" hidden="false" customHeight="true" outlineLevel="0" collapsed="false">
      <c r="A20" s="19" t="s">
        <v>2399</v>
      </c>
      <c r="B20" s="19" t="s">
        <v>2400</v>
      </c>
      <c r="C20" s="19" t="s">
        <v>2401</v>
      </c>
      <c r="D20" s="19" t="s">
        <v>1328</v>
      </c>
    </row>
    <row r="21" customFormat="false" ht="63.75" hidden="false" customHeight="true" outlineLevel="0" collapsed="false">
      <c r="A21" s="19" t="s">
        <v>807</v>
      </c>
      <c r="B21" s="19" t="s">
        <v>2402</v>
      </c>
      <c r="C21" s="19" t="s">
        <v>2403</v>
      </c>
      <c r="D21" s="19" t="s">
        <v>1328</v>
      </c>
    </row>
    <row r="22" customFormat="false" ht="63.75" hidden="false" customHeight="true" outlineLevel="0" collapsed="false">
      <c r="A22" s="19" t="s">
        <v>2404</v>
      </c>
      <c r="B22" s="19" t="s">
        <v>2405</v>
      </c>
      <c r="C22" s="19" t="s">
        <v>2406</v>
      </c>
      <c r="D22" s="19" t="s">
        <v>1328</v>
      </c>
    </row>
    <row r="23" customFormat="false" ht="63.75" hidden="false" customHeight="true" outlineLevel="0" collapsed="false">
      <c r="A23" s="19" t="s">
        <v>2407</v>
      </c>
      <c r="B23" s="19" t="s">
        <v>2408</v>
      </c>
      <c r="C23" s="19" t="s">
        <v>2409</v>
      </c>
      <c r="D23" s="19" t="s">
        <v>1328</v>
      </c>
    </row>
    <row r="24" customFormat="false" ht="63.75" hidden="false" customHeight="true" outlineLevel="0" collapsed="false">
      <c r="A24" s="19" t="s">
        <v>74</v>
      </c>
      <c r="B24" s="19" t="s">
        <v>2410</v>
      </c>
      <c r="C24" s="19" t="s">
        <v>2411</v>
      </c>
      <c r="D24" s="19" t="s">
        <v>1328</v>
      </c>
    </row>
  </sheetData>
  <autoFilter ref="A5:D24"/>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83"/>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23"/>
    <col collapsed="false" customWidth="true" hidden="false" outlineLevel="0" max="2" min="2" style="10" width="65"/>
    <col collapsed="false" customWidth="true" hidden="false" outlineLevel="0" max="3" min="3" style="10" width="19"/>
    <col collapsed="false" customWidth="true" hidden="false" outlineLevel="0" max="4" min="4" style="10" width="29"/>
    <col collapsed="false" customWidth="true" hidden="false" outlineLevel="0" max="5" min="5" style="10" width="40"/>
    <col collapsed="false" customWidth="true" hidden="false" outlineLevel="0" max="6" min="6" style="10" width="100"/>
  </cols>
  <sheetData>
    <row r="1" customFormat="false" ht="33.75" hidden="false" customHeight="true" outlineLevel="0" collapsed="false">
      <c r="A1" s="54" t="s">
        <v>2412</v>
      </c>
      <c r="B1" s="54"/>
      <c r="C1" s="54"/>
      <c r="D1" s="54"/>
      <c r="E1" s="54"/>
      <c r="F1" s="54"/>
    </row>
    <row r="2" customFormat="false" ht="24.75" hidden="false" customHeight="true" outlineLevel="0" collapsed="false">
      <c r="A2" s="55" t="s">
        <v>2413</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2414</v>
      </c>
      <c r="C5" s="22" t="s">
        <v>331</v>
      </c>
      <c r="D5" s="22" t="s">
        <v>332</v>
      </c>
      <c r="E5" s="22" t="s">
        <v>310</v>
      </c>
      <c r="F5" s="22" t="s">
        <v>1417</v>
      </c>
    </row>
    <row r="6" customFormat="false" ht="54.75" hidden="false" customHeight="true" outlineLevel="0" collapsed="false">
      <c r="A6" s="20" t="s">
        <v>2415</v>
      </c>
      <c r="B6" s="20" t="s">
        <v>2416</v>
      </c>
      <c r="C6" s="62" t="n">
        <v>12</v>
      </c>
      <c r="D6" s="20" t="s">
        <v>341</v>
      </c>
      <c r="E6" s="20" t="s">
        <v>2417</v>
      </c>
      <c r="F6" s="20" t="s">
        <v>2418</v>
      </c>
    </row>
    <row r="7" customFormat="false" ht="54.75" hidden="false" customHeight="true" outlineLevel="0" collapsed="false">
      <c r="A7" s="19" t="s">
        <v>2419</v>
      </c>
      <c r="B7" s="19" t="s">
        <v>2420</v>
      </c>
      <c r="C7" s="62" t="n">
        <v>24</v>
      </c>
      <c r="D7" s="19" t="s">
        <v>341</v>
      </c>
      <c r="E7" s="19" t="s">
        <v>2417</v>
      </c>
      <c r="F7" s="19" t="s">
        <v>2421</v>
      </c>
    </row>
    <row r="8" customFormat="false" ht="54.75" hidden="false" customHeight="true" outlineLevel="0" collapsed="false">
      <c r="A8" s="20" t="s">
        <v>2422</v>
      </c>
      <c r="B8" s="20" t="s">
        <v>2423</v>
      </c>
      <c r="C8" s="62" t="n">
        <v>12</v>
      </c>
      <c r="D8" s="20" t="s">
        <v>341</v>
      </c>
      <c r="E8" s="20" t="s">
        <v>2424</v>
      </c>
      <c r="F8" s="20" t="s">
        <v>2425</v>
      </c>
    </row>
    <row r="9" customFormat="false" ht="54.75" hidden="false" customHeight="true" outlineLevel="0" collapsed="false">
      <c r="A9" s="19" t="s">
        <v>2426</v>
      </c>
      <c r="B9" s="19" t="s">
        <v>2427</v>
      </c>
      <c r="C9" s="62" t="n">
        <v>60</v>
      </c>
      <c r="D9" s="19" t="s">
        <v>2428</v>
      </c>
      <c r="E9" s="19" t="s">
        <v>1792</v>
      </c>
      <c r="F9" s="19" t="s">
        <v>2429</v>
      </c>
    </row>
    <row r="10" customFormat="false" ht="54.75" hidden="false" customHeight="true" outlineLevel="0" collapsed="false">
      <c r="A10" s="20" t="s">
        <v>2430</v>
      </c>
      <c r="B10" s="20" t="s">
        <v>2431</v>
      </c>
      <c r="C10" s="63" t="n">
        <v>1.1</v>
      </c>
      <c r="D10" s="20" t="s">
        <v>2432</v>
      </c>
      <c r="E10" s="20" t="s">
        <v>2433</v>
      </c>
      <c r="F10" s="20" t="s">
        <v>2434</v>
      </c>
    </row>
    <row r="11" customFormat="false" ht="54.75" hidden="false" customHeight="true" outlineLevel="0" collapsed="false">
      <c r="A11" s="19" t="s">
        <v>2435</v>
      </c>
      <c r="B11" s="19" t="s">
        <v>2436</v>
      </c>
      <c r="C11" s="62" t="n">
        <v>5</v>
      </c>
      <c r="D11" s="19" t="s">
        <v>363</v>
      </c>
      <c r="E11" s="19" t="s">
        <v>2398</v>
      </c>
      <c r="F11" s="19" t="s">
        <v>2437</v>
      </c>
    </row>
    <row r="12" customFormat="false" ht="54.75" hidden="false" customHeight="true" outlineLevel="0" collapsed="false">
      <c r="A12" s="20" t="s">
        <v>2438</v>
      </c>
      <c r="B12" s="20" t="s">
        <v>2439</v>
      </c>
      <c r="C12" s="62" t="n">
        <v>6</v>
      </c>
      <c r="D12" s="20" t="s">
        <v>341</v>
      </c>
      <c r="E12" s="20" t="s">
        <v>2440</v>
      </c>
      <c r="F12" s="20" t="s">
        <v>2441</v>
      </c>
    </row>
    <row r="13" customFormat="false" ht="54.75" hidden="false" customHeight="true" outlineLevel="0" collapsed="false">
      <c r="A13" s="19" t="s">
        <v>2442</v>
      </c>
      <c r="B13" s="19" t="s">
        <v>2443</v>
      </c>
      <c r="C13" s="62" t="n">
        <v>50</v>
      </c>
      <c r="D13" s="19" t="s">
        <v>2444</v>
      </c>
      <c r="E13" s="19" t="s">
        <v>2445</v>
      </c>
      <c r="F13" s="19" t="s">
        <v>2446</v>
      </c>
    </row>
    <row r="14" customFormat="false" ht="54.75" hidden="false" customHeight="true" outlineLevel="0" collapsed="false">
      <c r="A14" s="20" t="s">
        <v>2447</v>
      </c>
      <c r="B14" s="20" t="s">
        <v>2448</v>
      </c>
      <c r="C14" s="62" t="n">
        <v>5</v>
      </c>
      <c r="D14" s="20" t="s">
        <v>2449</v>
      </c>
      <c r="E14" s="20" t="s">
        <v>2424</v>
      </c>
      <c r="F14" s="20" t="s">
        <v>2450</v>
      </c>
    </row>
    <row r="15" customFormat="false" ht="54.75" hidden="false" customHeight="true" outlineLevel="0" collapsed="false">
      <c r="A15" s="19" t="s">
        <v>2451</v>
      </c>
      <c r="B15" s="19" t="s">
        <v>2452</v>
      </c>
      <c r="C15" s="63" t="n">
        <v>1.1</v>
      </c>
      <c r="D15" s="19" t="s">
        <v>2453</v>
      </c>
      <c r="E15" s="19" t="s">
        <v>2445</v>
      </c>
      <c r="F15" s="19" t="s">
        <v>2454</v>
      </c>
    </row>
    <row r="16" customFormat="false" ht="54.75" hidden="false" customHeight="true" outlineLevel="0" collapsed="false">
      <c r="A16" s="20" t="s">
        <v>2455</v>
      </c>
      <c r="B16" s="20" t="s">
        <v>2456</v>
      </c>
      <c r="C16" s="62" t="n">
        <v>240</v>
      </c>
      <c r="D16" s="20" t="s">
        <v>2457</v>
      </c>
      <c r="E16" s="20" t="s">
        <v>2417</v>
      </c>
      <c r="F16" s="20" t="s">
        <v>2458</v>
      </c>
    </row>
    <row r="17" customFormat="false" ht="54.75" hidden="false" customHeight="true" outlineLevel="0" collapsed="false">
      <c r="A17" s="19" t="s">
        <v>2459</v>
      </c>
      <c r="B17" s="19" t="s">
        <v>2460</v>
      </c>
      <c r="C17" s="63" t="n">
        <v>0.3</v>
      </c>
      <c r="D17" s="19" t="s">
        <v>401</v>
      </c>
      <c r="E17" s="19" t="s">
        <v>2417</v>
      </c>
      <c r="F17" s="19" t="s">
        <v>2461</v>
      </c>
    </row>
    <row r="18" customFormat="false" ht="54.75" hidden="false" customHeight="true" outlineLevel="0" collapsed="false">
      <c r="A18" s="20" t="s">
        <v>2462</v>
      </c>
      <c r="B18" s="20" t="s">
        <v>2463</v>
      </c>
      <c r="C18" s="63" t="n">
        <v>0.3</v>
      </c>
      <c r="D18" s="20" t="s">
        <v>401</v>
      </c>
      <c r="E18" s="20" t="s">
        <v>2417</v>
      </c>
      <c r="F18" s="20" t="s">
        <v>2464</v>
      </c>
    </row>
    <row r="19" customFormat="false" ht="54.75" hidden="false" customHeight="true" outlineLevel="0" collapsed="false">
      <c r="A19" s="19" t="s">
        <v>2465</v>
      </c>
      <c r="B19" s="19" t="s">
        <v>2466</v>
      </c>
      <c r="C19" s="63" t="n">
        <v>0.5</v>
      </c>
      <c r="D19" s="19" t="s">
        <v>401</v>
      </c>
      <c r="E19" s="19" t="s">
        <v>2417</v>
      </c>
      <c r="F19" s="19" t="s">
        <v>2467</v>
      </c>
    </row>
    <row r="20" customFormat="false" ht="54.75" hidden="false" customHeight="true" outlineLevel="0" collapsed="false">
      <c r="A20" s="20" t="s">
        <v>2468</v>
      </c>
      <c r="B20" s="20" t="s">
        <v>2469</v>
      </c>
      <c r="C20" s="62" t="n">
        <v>500</v>
      </c>
      <c r="D20" s="20" t="s">
        <v>2470</v>
      </c>
      <c r="E20" s="20" t="s">
        <v>2417</v>
      </c>
      <c r="F20" s="20" t="s">
        <v>2471</v>
      </c>
    </row>
    <row r="21" customFormat="false" ht="54.75" hidden="false" customHeight="true" outlineLevel="0" collapsed="false">
      <c r="A21" s="19" t="s">
        <v>2472</v>
      </c>
      <c r="B21" s="19" t="s">
        <v>2473</v>
      </c>
      <c r="C21" s="62" t="n">
        <v>300</v>
      </c>
      <c r="D21" s="19" t="s">
        <v>2470</v>
      </c>
      <c r="E21" s="19" t="s">
        <v>2474</v>
      </c>
      <c r="F21" s="19" t="s">
        <v>2475</v>
      </c>
    </row>
    <row r="22" customFormat="false" ht="54.75" hidden="false" customHeight="true" outlineLevel="0" collapsed="false">
      <c r="A22" s="20" t="s">
        <v>2476</v>
      </c>
      <c r="B22" s="20" t="s">
        <v>2477</v>
      </c>
      <c r="C22" s="62" t="n">
        <v>400</v>
      </c>
      <c r="D22" s="20" t="s">
        <v>2470</v>
      </c>
      <c r="E22" s="20" t="s">
        <v>2474</v>
      </c>
      <c r="F22" s="20" t="s">
        <v>2475</v>
      </c>
    </row>
    <row r="23" customFormat="false" ht="54.75" hidden="false" customHeight="true" outlineLevel="0" collapsed="false">
      <c r="A23" s="19" t="s">
        <v>2478</v>
      </c>
      <c r="B23" s="19" t="s">
        <v>2479</v>
      </c>
      <c r="C23" s="62" t="n">
        <v>500</v>
      </c>
      <c r="D23" s="19" t="s">
        <v>2480</v>
      </c>
      <c r="E23" s="19" t="s">
        <v>2417</v>
      </c>
      <c r="F23" s="19" t="s">
        <v>2481</v>
      </c>
    </row>
    <row r="24" customFormat="false" ht="54.75" hidden="false" customHeight="true" outlineLevel="0" collapsed="false">
      <c r="A24" s="20" t="s">
        <v>2482</v>
      </c>
      <c r="B24" s="20" t="s">
        <v>2483</v>
      </c>
      <c r="C24" s="62" t="n">
        <v>1000</v>
      </c>
      <c r="D24" s="20" t="s">
        <v>345</v>
      </c>
      <c r="E24" s="20" t="s">
        <v>2417</v>
      </c>
      <c r="F24" s="20" t="s">
        <v>2484</v>
      </c>
    </row>
    <row r="25" customFormat="false" ht="54.75" hidden="false" customHeight="true" outlineLevel="0" collapsed="false">
      <c r="A25" s="19" t="s">
        <v>2485</v>
      </c>
      <c r="B25" s="19" t="s">
        <v>2486</v>
      </c>
      <c r="C25" s="62" t="n">
        <v>4000</v>
      </c>
      <c r="D25" s="19" t="s">
        <v>345</v>
      </c>
      <c r="E25" s="19" t="s">
        <v>2417</v>
      </c>
      <c r="F25" s="19" t="s">
        <v>2487</v>
      </c>
    </row>
    <row r="26" customFormat="false" ht="54.75" hidden="false" customHeight="true" outlineLevel="0" collapsed="false">
      <c r="A26" s="20" t="s">
        <v>2488</v>
      </c>
      <c r="B26" s="20" t="s">
        <v>2489</v>
      </c>
      <c r="C26" s="63" t="n">
        <v>1.5</v>
      </c>
      <c r="D26" s="20" t="s">
        <v>2490</v>
      </c>
      <c r="E26" s="20" t="s">
        <v>2417</v>
      </c>
      <c r="F26" s="20" t="s">
        <v>2491</v>
      </c>
    </row>
    <row r="27" customFormat="false" ht="54.75" hidden="false" customHeight="true" outlineLevel="0" collapsed="false">
      <c r="A27" s="19" t="s">
        <v>2492</v>
      </c>
      <c r="B27" s="19" t="s">
        <v>2493</v>
      </c>
      <c r="C27" s="62" t="n">
        <v>1</v>
      </c>
      <c r="D27" s="19" t="s">
        <v>2494</v>
      </c>
      <c r="E27" s="19" t="s">
        <v>2417</v>
      </c>
      <c r="F27" s="19" t="s">
        <v>2495</v>
      </c>
    </row>
    <row r="28" customFormat="false" ht="54.75" hidden="false" customHeight="true" outlineLevel="0" collapsed="false">
      <c r="A28" s="20" t="s">
        <v>2496</v>
      </c>
      <c r="B28" s="20" t="s">
        <v>2497</v>
      </c>
      <c r="C28" s="62" t="n">
        <v>1</v>
      </c>
      <c r="D28" s="20" t="s">
        <v>2498</v>
      </c>
      <c r="E28" s="20" t="s">
        <v>2417</v>
      </c>
      <c r="F28" s="20" t="s">
        <v>2499</v>
      </c>
    </row>
    <row r="29" customFormat="false" ht="54.75" hidden="false" customHeight="true" outlineLevel="0" collapsed="false">
      <c r="A29" s="19" t="s">
        <v>2500</v>
      </c>
      <c r="B29" s="19" t="s">
        <v>2501</v>
      </c>
      <c r="C29" s="62" t="n">
        <v>12</v>
      </c>
      <c r="D29" s="19" t="s">
        <v>2502</v>
      </c>
      <c r="E29" s="19" t="s">
        <v>2417</v>
      </c>
      <c r="F29" s="19" t="s">
        <v>2503</v>
      </c>
    </row>
    <row r="30" customFormat="false" ht="54.75" hidden="false" customHeight="true" outlineLevel="0" collapsed="false">
      <c r="A30" s="20" t="s">
        <v>2504</v>
      </c>
      <c r="B30" s="20" t="s">
        <v>2505</v>
      </c>
      <c r="C30" s="62" t="n">
        <v>5</v>
      </c>
      <c r="D30" s="20" t="s">
        <v>2506</v>
      </c>
      <c r="E30" s="20" t="s">
        <v>2417</v>
      </c>
      <c r="F30" s="20" t="s">
        <v>2507</v>
      </c>
    </row>
    <row r="31" customFormat="false" ht="54.75" hidden="false" customHeight="true" outlineLevel="0" collapsed="false">
      <c r="A31" s="19" t="s">
        <v>2508</v>
      </c>
      <c r="B31" s="19" t="s">
        <v>2509</v>
      </c>
      <c r="C31" s="62" t="n">
        <v>40</v>
      </c>
      <c r="D31" s="19" t="s">
        <v>368</v>
      </c>
      <c r="E31" s="19" t="s">
        <v>1792</v>
      </c>
      <c r="F31" s="19" t="s">
        <v>2510</v>
      </c>
    </row>
    <row r="32" customFormat="false" ht="54.75" hidden="false" customHeight="true" outlineLevel="0" collapsed="false">
      <c r="A32" s="20" t="s">
        <v>2511</v>
      </c>
      <c r="B32" s="20" t="s">
        <v>2512</v>
      </c>
      <c r="C32" s="62" t="n">
        <v>50</v>
      </c>
      <c r="D32" s="20" t="s">
        <v>368</v>
      </c>
      <c r="E32" s="20" t="s">
        <v>1792</v>
      </c>
      <c r="F32" s="20" t="s">
        <v>2513</v>
      </c>
    </row>
    <row r="33" customFormat="false" ht="54.75" hidden="false" customHeight="true" outlineLevel="0" collapsed="false">
      <c r="A33" s="19" t="s">
        <v>2514</v>
      </c>
      <c r="B33" s="19" t="s">
        <v>2515</v>
      </c>
      <c r="C33" s="62" t="n">
        <v>140</v>
      </c>
      <c r="D33" s="19" t="s">
        <v>368</v>
      </c>
      <c r="E33" s="19" t="s">
        <v>2516</v>
      </c>
      <c r="F33" s="19" t="s">
        <v>2517</v>
      </c>
    </row>
    <row r="34" customFormat="false" ht="54.75" hidden="false" customHeight="true" outlineLevel="0" collapsed="false">
      <c r="A34" s="20" t="s">
        <v>2518</v>
      </c>
      <c r="B34" s="20" t="s">
        <v>2519</v>
      </c>
      <c r="C34" s="62" t="n">
        <v>150</v>
      </c>
      <c r="D34" s="20" t="s">
        <v>368</v>
      </c>
      <c r="E34" s="20" t="s">
        <v>2516</v>
      </c>
      <c r="F34" s="20" t="s">
        <v>2520</v>
      </c>
    </row>
    <row r="35" customFormat="false" ht="54.75" hidden="false" customHeight="true" outlineLevel="0" collapsed="false">
      <c r="A35" s="19" t="s">
        <v>2521</v>
      </c>
      <c r="B35" s="19" t="s">
        <v>2522</v>
      </c>
      <c r="C35" s="63" t="n">
        <v>0.1</v>
      </c>
      <c r="D35" s="19" t="s">
        <v>2523</v>
      </c>
      <c r="E35" s="19" t="s">
        <v>2524</v>
      </c>
      <c r="F35" s="19" t="s">
        <v>1078</v>
      </c>
    </row>
    <row r="36" customFormat="false" ht="54.75" hidden="false" customHeight="true" outlineLevel="0" collapsed="false">
      <c r="A36" s="20" t="s">
        <v>2525</v>
      </c>
      <c r="B36" s="20" t="s">
        <v>2526</v>
      </c>
      <c r="C36" s="62" t="n">
        <v>3</v>
      </c>
      <c r="D36" s="20" t="s">
        <v>2502</v>
      </c>
      <c r="E36" s="20" t="s">
        <v>1792</v>
      </c>
      <c r="F36" s="20" t="s">
        <v>2527</v>
      </c>
    </row>
    <row r="37" customFormat="false" ht="54.75" hidden="false" customHeight="true" outlineLevel="0" collapsed="false">
      <c r="A37" s="19" t="s">
        <v>2528</v>
      </c>
      <c r="B37" s="19" t="s">
        <v>2529</v>
      </c>
      <c r="C37" s="62" t="n">
        <v>24</v>
      </c>
      <c r="D37" s="19" t="s">
        <v>2502</v>
      </c>
      <c r="E37" s="19" t="s">
        <v>2445</v>
      </c>
      <c r="F37" s="19" t="s">
        <v>2530</v>
      </c>
    </row>
    <row r="38" customFormat="false" ht="54.75" hidden="false" customHeight="true" outlineLevel="0" collapsed="false">
      <c r="A38" s="20" t="s">
        <v>2531</v>
      </c>
      <c r="B38" s="20" t="s">
        <v>2532</v>
      </c>
      <c r="C38" s="63" t="n">
        <v>0.1</v>
      </c>
      <c r="D38" s="20" t="s">
        <v>401</v>
      </c>
      <c r="E38" s="20" t="s">
        <v>2417</v>
      </c>
      <c r="F38" s="20" t="s">
        <v>2533</v>
      </c>
    </row>
    <row r="39" customFormat="false" ht="54.75" hidden="false" customHeight="true" outlineLevel="0" collapsed="false">
      <c r="A39" s="19" t="s">
        <v>2534</v>
      </c>
      <c r="B39" s="19" t="s">
        <v>2535</v>
      </c>
      <c r="C39" s="62" t="n">
        <v>1</v>
      </c>
      <c r="D39" s="19" t="s">
        <v>2502</v>
      </c>
      <c r="E39" s="19" t="s">
        <v>2536</v>
      </c>
      <c r="F39" s="19" t="s">
        <v>2537</v>
      </c>
    </row>
    <row r="40" customFormat="false" ht="54.75" hidden="false" customHeight="true" outlineLevel="0" collapsed="false">
      <c r="A40" s="20" t="s">
        <v>2538</v>
      </c>
      <c r="B40" s="20" t="s">
        <v>2539</v>
      </c>
      <c r="C40" s="62" t="n">
        <v>6</v>
      </c>
      <c r="D40" s="20" t="s">
        <v>341</v>
      </c>
      <c r="E40" s="20" t="s">
        <v>2417</v>
      </c>
      <c r="F40" s="20" t="s">
        <v>2540</v>
      </c>
    </row>
    <row r="41" customFormat="false" ht="64.5" hidden="false" customHeight="true" outlineLevel="0" collapsed="false">
      <c r="A41" s="19" t="s">
        <v>2541</v>
      </c>
      <c r="B41" s="19" t="s">
        <v>2542</v>
      </c>
      <c r="C41" s="64" t="n">
        <v>10</v>
      </c>
      <c r="D41" s="19" t="s">
        <v>2543</v>
      </c>
      <c r="E41" s="19" t="s">
        <v>1233</v>
      </c>
      <c r="F41" s="19" t="s">
        <v>2544</v>
      </c>
    </row>
    <row r="42" customFormat="false" ht="64.5" hidden="false" customHeight="true" outlineLevel="0" collapsed="false">
      <c r="A42" s="20" t="s">
        <v>2545</v>
      </c>
      <c r="B42" s="20" t="s">
        <v>2546</v>
      </c>
      <c r="C42" s="64" t="n">
        <v>1</v>
      </c>
      <c r="D42" s="20" t="s">
        <v>2547</v>
      </c>
      <c r="E42" s="20" t="s">
        <v>1233</v>
      </c>
      <c r="F42" s="20" t="s">
        <v>1062</v>
      </c>
    </row>
    <row r="43" customFormat="false" ht="64.5" hidden="false" customHeight="true" outlineLevel="0" collapsed="false">
      <c r="A43" s="19" t="s">
        <v>2548</v>
      </c>
      <c r="B43" s="19" t="s">
        <v>2549</v>
      </c>
      <c r="C43" s="64" t="n">
        <v>10</v>
      </c>
      <c r="D43" s="19" t="s">
        <v>2550</v>
      </c>
      <c r="E43" s="19" t="s">
        <v>1233</v>
      </c>
      <c r="F43" s="19" t="s">
        <v>2551</v>
      </c>
    </row>
    <row r="44" customFormat="false" ht="64.5" hidden="false" customHeight="true" outlineLevel="0" collapsed="false">
      <c r="A44" s="20" t="s">
        <v>2552</v>
      </c>
      <c r="B44" s="20" t="s">
        <v>2553</v>
      </c>
      <c r="C44" s="64" t="n">
        <v>1.25</v>
      </c>
      <c r="D44" s="20" t="s">
        <v>2432</v>
      </c>
      <c r="E44" s="20" t="s">
        <v>1233</v>
      </c>
      <c r="F44" s="20" t="s">
        <v>2554</v>
      </c>
    </row>
    <row r="45" customFormat="false" ht="64.5" hidden="false" customHeight="true" outlineLevel="0" collapsed="false">
      <c r="A45" s="19" t="s">
        <v>2555</v>
      </c>
      <c r="B45" s="19" t="s">
        <v>2556</v>
      </c>
      <c r="C45" s="64" t="n">
        <v>6</v>
      </c>
      <c r="D45" s="19" t="s">
        <v>2502</v>
      </c>
      <c r="E45" s="19" t="s">
        <v>2557</v>
      </c>
      <c r="F45" s="19" t="s">
        <v>1038</v>
      </c>
    </row>
    <row r="46" customFormat="false" ht="64.5" hidden="false" customHeight="true" outlineLevel="0" collapsed="false">
      <c r="A46" s="20" t="s">
        <v>2558</v>
      </c>
      <c r="B46" s="20" t="s">
        <v>2559</v>
      </c>
      <c r="C46" s="64" t="n">
        <v>15</v>
      </c>
      <c r="D46" s="20" t="s">
        <v>2560</v>
      </c>
      <c r="E46" s="20" t="s">
        <v>1233</v>
      </c>
      <c r="F46" s="20" t="s">
        <v>2561</v>
      </c>
    </row>
    <row r="47" customFormat="false" ht="64.5" hidden="false" customHeight="true" outlineLevel="0" collapsed="false">
      <c r="A47" s="19" t="s">
        <v>2562</v>
      </c>
      <c r="B47" s="19" t="s">
        <v>2563</v>
      </c>
      <c r="C47" s="64" t="n">
        <v>5</v>
      </c>
      <c r="D47" s="19" t="s">
        <v>2564</v>
      </c>
      <c r="E47" s="19" t="s">
        <v>1233</v>
      </c>
      <c r="F47" s="19" t="s">
        <v>2565</v>
      </c>
    </row>
    <row r="48" customFormat="false" ht="64.5" hidden="false" customHeight="true" outlineLevel="0" collapsed="false">
      <c r="A48" s="20" t="s">
        <v>2566</v>
      </c>
      <c r="B48" s="20" t="s">
        <v>2567</v>
      </c>
      <c r="C48" s="64" t="n">
        <v>50</v>
      </c>
      <c r="D48" s="20" t="s">
        <v>368</v>
      </c>
      <c r="E48" s="20" t="s">
        <v>1233</v>
      </c>
      <c r="F48" s="20" t="s">
        <v>2568</v>
      </c>
    </row>
    <row r="49" customFormat="false" ht="64.5" hidden="false" customHeight="true" outlineLevel="0" collapsed="false">
      <c r="A49" s="19" t="s">
        <v>2569</v>
      </c>
      <c r="B49" s="19" t="s">
        <v>2570</v>
      </c>
      <c r="C49" s="64" t="n">
        <v>2</v>
      </c>
      <c r="D49" s="19" t="s">
        <v>2432</v>
      </c>
      <c r="E49" s="19" t="s">
        <v>1233</v>
      </c>
      <c r="F49" s="19" t="s">
        <v>2571</v>
      </c>
    </row>
    <row r="50" customFormat="false" ht="64.5" hidden="false" customHeight="true" outlineLevel="0" collapsed="false">
      <c r="A50" s="20" t="s">
        <v>2572</v>
      </c>
      <c r="B50" s="20" t="s">
        <v>2573</v>
      </c>
      <c r="C50" s="64" t="n">
        <v>30</v>
      </c>
      <c r="D50" s="20" t="s">
        <v>2560</v>
      </c>
      <c r="E50" s="20" t="s">
        <v>1233</v>
      </c>
      <c r="F50" s="20" t="s">
        <v>2574</v>
      </c>
    </row>
    <row r="51" customFormat="false" ht="64.5" hidden="false" customHeight="true" outlineLevel="0" collapsed="false">
      <c r="A51" s="19" t="s">
        <v>2575</v>
      </c>
      <c r="B51" s="19" t="s">
        <v>2576</v>
      </c>
      <c r="C51" s="64" t="n">
        <v>1</v>
      </c>
      <c r="D51" s="19" t="s">
        <v>2577</v>
      </c>
      <c r="E51" s="19" t="s">
        <v>1233</v>
      </c>
      <c r="F51" s="19" t="s">
        <v>2578</v>
      </c>
    </row>
    <row r="52" customFormat="false" ht="105" hidden="false" customHeight="true" outlineLevel="0" collapsed="false">
      <c r="A52" s="20" t="s">
        <v>2579</v>
      </c>
      <c r="B52" s="20" t="s">
        <v>2580</v>
      </c>
      <c r="C52" s="20" t="n">
        <v>5</v>
      </c>
      <c r="D52" s="20" t="s">
        <v>368</v>
      </c>
      <c r="E52" s="20" t="s">
        <v>2581</v>
      </c>
      <c r="F52" s="20" t="s">
        <v>1062</v>
      </c>
    </row>
    <row r="53" customFormat="false" ht="105" hidden="false" customHeight="true" outlineLevel="0" collapsed="false">
      <c r="A53" s="19" t="s">
        <v>2582</v>
      </c>
      <c r="B53" s="19" t="s">
        <v>2583</v>
      </c>
      <c r="C53" s="19" t="n">
        <v>1000</v>
      </c>
      <c r="D53" s="19" t="s">
        <v>2584</v>
      </c>
      <c r="E53" s="19" t="s">
        <v>2585</v>
      </c>
      <c r="F53" s="19" t="s">
        <v>1050</v>
      </c>
    </row>
    <row r="54" customFormat="false" ht="105" hidden="false" customHeight="true" outlineLevel="0" collapsed="false">
      <c r="A54" s="20" t="s">
        <v>2586</v>
      </c>
      <c r="B54" s="20" t="s">
        <v>2587</v>
      </c>
      <c r="C54" s="20" t="n">
        <v>24</v>
      </c>
      <c r="D54" s="20" t="s">
        <v>2588</v>
      </c>
      <c r="E54" s="20" t="s">
        <v>2585</v>
      </c>
      <c r="F54" s="20" t="s">
        <v>2589</v>
      </c>
    </row>
    <row r="55" customFormat="false" ht="105" hidden="false" customHeight="true" outlineLevel="0" collapsed="false">
      <c r="A55" s="19" t="s">
        <v>2590</v>
      </c>
      <c r="B55" s="19" t="s">
        <v>2591</v>
      </c>
      <c r="C55" s="19" t="n">
        <v>0.25</v>
      </c>
      <c r="D55" s="19" t="s">
        <v>401</v>
      </c>
      <c r="E55" s="19" t="s">
        <v>2592</v>
      </c>
      <c r="F55" s="19" t="s">
        <v>1054</v>
      </c>
    </row>
    <row r="56" customFormat="false" ht="105" hidden="false" customHeight="true" outlineLevel="0" collapsed="false">
      <c r="A56" s="20" t="s">
        <v>2593</v>
      </c>
      <c r="B56" s="20" t="s">
        <v>2594</v>
      </c>
      <c r="C56" s="20" t="n">
        <v>10</v>
      </c>
      <c r="D56" s="20" t="s">
        <v>405</v>
      </c>
      <c r="E56" s="20" t="s">
        <v>2595</v>
      </c>
      <c r="F56" s="20" t="s">
        <v>1058</v>
      </c>
    </row>
    <row r="57" customFormat="false" ht="105" hidden="false" customHeight="true" outlineLevel="0" collapsed="false">
      <c r="A57" s="19" t="s">
        <v>2596</v>
      </c>
      <c r="B57" s="19" t="s">
        <v>2597</v>
      </c>
      <c r="C57" s="19" t="n">
        <v>24</v>
      </c>
      <c r="D57" s="19" t="s">
        <v>2588</v>
      </c>
      <c r="E57" s="19" t="s">
        <v>2598</v>
      </c>
      <c r="F57" s="19" t="s">
        <v>1066</v>
      </c>
    </row>
    <row r="58" customFormat="false" ht="105" hidden="false" customHeight="true" outlineLevel="0" collapsed="false">
      <c r="A58" s="20" t="s">
        <v>2599</v>
      </c>
      <c r="B58" s="20" t="s">
        <v>2600</v>
      </c>
      <c r="C58" s="20" t="n">
        <v>4</v>
      </c>
      <c r="D58" s="20" t="s">
        <v>2588</v>
      </c>
      <c r="E58" s="20" t="s">
        <v>1792</v>
      </c>
      <c r="F58" s="20" t="s">
        <v>2601</v>
      </c>
    </row>
    <row r="59" customFormat="false" ht="105" hidden="false" customHeight="true" outlineLevel="0" collapsed="false">
      <c r="A59" s="19" t="s">
        <v>2602</v>
      </c>
      <c r="B59" s="19" t="s">
        <v>2603</v>
      </c>
      <c r="C59" s="19" t="n">
        <v>10</v>
      </c>
      <c r="D59" s="19" t="s">
        <v>394</v>
      </c>
      <c r="E59" s="19" t="s">
        <v>2604</v>
      </c>
      <c r="F59" s="19" t="s">
        <v>2605</v>
      </c>
    </row>
    <row r="60" customFormat="false" ht="105" hidden="false" customHeight="true" outlineLevel="0" collapsed="false">
      <c r="A60" s="20" t="s">
        <v>2606</v>
      </c>
      <c r="B60" s="20" t="s">
        <v>2607</v>
      </c>
      <c r="C60" s="20" t="n">
        <v>6</v>
      </c>
      <c r="D60" s="20" t="s">
        <v>2608</v>
      </c>
      <c r="E60" s="20" t="s">
        <v>2604</v>
      </c>
      <c r="F60" s="20" t="s">
        <v>1019</v>
      </c>
    </row>
    <row r="61" customFormat="false" ht="105" hidden="false" customHeight="true" outlineLevel="0" collapsed="false">
      <c r="A61" s="19" t="s">
        <v>2609</v>
      </c>
      <c r="B61" s="19" t="s">
        <v>2610</v>
      </c>
      <c r="C61" s="19" t="n">
        <v>24</v>
      </c>
      <c r="D61" s="19" t="s">
        <v>2608</v>
      </c>
      <c r="E61" s="19" t="s">
        <v>1792</v>
      </c>
      <c r="F61" s="19" t="s">
        <v>2611</v>
      </c>
    </row>
    <row r="62" customFormat="false" ht="105" hidden="false" customHeight="true" outlineLevel="0" collapsed="false">
      <c r="A62" s="20" t="s">
        <v>2612</v>
      </c>
      <c r="B62" s="20" t="s">
        <v>2613</v>
      </c>
      <c r="C62" s="20" t="n">
        <v>2</v>
      </c>
      <c r="D62" s="20" t="s">
        <v>2614</v>
      </c>
      <c r="E62" s="20" t="s">
        <v>2615</v>
      </c>
      <c r="F62" s="20" t="s">
        <v>1023</v>
      </c>
    </row>
    <row r="63" customFormat="false" ht="105" hidden="false" customHeight="true" outlineLevel="0" collapsed="false">
      <c r="A63" s="19" t="s">
        <v>2616</v>
      </c>
      <c r="B63" s="19" t="s">
        <v>2617</v>
      </c>
      <c r="C63" s="19" t="n">
        <v>2</v>
      </c>
      <c r="D63" s="19" t="s">
        <v>2618</v>
      </c>
      <c r="E63" s="19" t="s">
        <v>2615</v>
      </c>
      <c r="F63" s="19" t="s">
        <v>1023</v>
      </c>
    </row>
    <row r="64" customFormat="false" ht="105" hidden="false" customHeight="true" outlineLevel="0" collapsed="false">
      <c r="A64" s="20" t="s">
        <v>2619</v>
      </c>
      <c r="B64" s="20" t="s">
        <v>2620</v>
      </c>
      <c r="C64" s="20" t="n">
        <v>4</v>
      </c>
      <c r="D64" s="20" t="s">
        <v>2621</v>
      </c>
      <c r="E64" s="20" t="s">
        <v>2622</v>
      </c>
      <c r="F64" s="20" t="s">
        <v>1074</v>
      </c>
    </row>
    <row r="65" customFormat="false" ht="105" hidden="false" customHeight="true" outlineLevel="0" collapsed="false">
      <c r="A65" s="19" t="s">
        <v>2623</v>
      </c>
      <c r="B65" s="19" t="s">
        <v>2624</v>
      </c>
      <c r="C65" s="19" t="n">
        <v>468</v>
      </c>
      <c r="D65" s="19" t="s">
        <v>2625</v>
      </c>
      <c r="E65" s="19" t="s">
        <v>2626</v>
      </c>
      <c r="F65" s="19" t="s">
        <v>1042</v>
      </c>
    </row>
    <row r="66" customFormat="false" ht="105" hidden="false" customHeight="true" outlineLevel="0" collapsed="false">
      <c r="A66" s="20" t="s">
        <v>2627</v>
      </c>
      <c r="B66" s="20" t="s">
        <v>2628</v>
      </c>
      <c r="C66" s="20" t="n">
        <v>1438</v>
      </c>
      <c r="D66" s="20" t="s">
        <v>363</v>
      </c>
      <c r="E66" s="20" t="s">
        <v>2629</v>
      </c>
      <c r="F66" s="20" t="s">
        <v>1031</v>
      </c>
    </row>
    <row r="67" customFormat="false" ht="48" hidden="false" customHeight="true" outlineLevel="0" collapsed="false">
      <c r="A67" s="20" t="s">
        <v>2630</v>
      </c>
      <c r="B67" s="20" t="s">
        <v>2631</v>
      </c>
      <c r="C67" s="65" t="n">
        <v>200</v>
      </c>
      <c r="D67" s="20" t="s">
        <v>2632</v>
      </c>
      <c r="E67" s="20" t="s">
        <v>1328</v>
      </c>
      <c r="F67" s="20" t="s">
        <v>2633</v>
      </c>
    </row>
    <row r="68" customFormat="false" ht="48" hidden="false" customHeight="true" outlineLevel="0" collapsed="false">
      <c r="A68" s="20" t="s">
        <v>2634</v>
      </c>
      <c r="B68" s="20" t="s">
        <v>2635</v>
      </c>
      <c r="C68" s="65" t="n">
        <v>100</v>
      </c>
      <c r="D68" s="20" t="s">
        <v>449</v>
      </c>
      <c r="E68" s="20" t="s">
        <v>1328</v>
      </c>
      <c r="F68" s="20" t="s">
        <v>2636</v>
      </c>
    </row>
    <row r="69" customFormat="false" ht="48" hidden="false" customHeight="true" outlineLevel="0" collapsed="false">
      <c r="A69" s="20" t="s">
        <v>2637</v>
      </c>
      <c r="B69" s="20" t="s">
        <v>2638</v>
      </c>
      <c r="C69" s="65" t="n">
        <v>5</v>
      </c>
      <c r="D69" s="20" t="s">
        <v>337</v>
      </c>
      <c r="E69" s="20" t="s">
        <v>1328</v>
      </c>
      <c r="F69" s="20" t="s">
        <v>2639</v>
      </c>
    </row>
    <row r="70" customFormat="false" ht="48" hidden="false" customHeight="true" outlineLevel="0" collapsed="false">
      <c r="A70" s="20" t="s">
        <v>2640</v>
      </c>
      <c r="B70" s="20" t="s">
        <v>2641</v>
      </c>
      <c r="C70" s="65" t="n">
        <v>100</v>
      </c>
      <c r="D70" s="20" t="s">
        <v>451</v>
      </c>
      <c r="E70" s="20" t="s">
        <v>1328</v>
      </c>
      <c r="F70" s="20" t="s">
        <v>2642</v>
      </c>
    </row>
    <row r="71" customFormat="false" ht="48" hidden="false" customHeight="true" outlineLevel="0" collapsed="false">
      <c r="A71" s="20" t="s">
        <v>2643</v>
      </c>
      <c r="B71" s="20" t="s">
        <v>2644</v>
      </c>
      <c r="C71" s="66" t="n">
        <v>0.1</v>
      </c>
      <c r="D71" s="20" t="s">
        <v>401</v>
      </c>
      <c r="E71" s="20" t="s">
        <v>1328</v>
      </c>
      <c r="F71" s="20" t="s">
        <v>2645</v>
      </c>
    </row>
    <row r="72" customFormat="false" ht="48" hidden="false" customHeight="true" outlineLevel="0" collapsed="false">
      <c r="A72" s="20" t="s">
        <v>2646</v>
      </c>
      <c r="B72" s="20" t="s">
        <v>2647</v>
      </c>
      <c r="C72" s="66" t="n">
        <v>0.1</v>
      </c>
      <c r="D72" s="20" t="s">
        <v>401</v>
      </c>
      <c r="E72" s="20" t="s">
        <v>1328</v>
      </c>
      <c r="F72" s="20" t="s">
        <v>2648</v>
      </c>
    </row>
    <row r="73" customFormat="false" ht="48" hidden="false" customHeight="true" outlineLevel="0" collapsed="false">
      <c r="A73" s="20" t="s">
        <v>2649</v>
      </c>
      <c r="B73" s="20" t="s">
        <v>2650</v>
      </c>
      <c r="C73" s="65" t="n">
        <v>0</v>
      </c>
      <c r="D73" s="20" t="s">
        <v>339</v>
      </c>
      <c r="E73" s="20" t="s">
        <v>1328</v>
      </c>
      <c r="F73" s="20" t="s">
        <v>2651</v>
      </c>
    </row>
    <row r="74" customFormat="false" ht="48" hidden="false" customHeight="true" outlineLevel="0" collapsed="false">
      <c r="A74" s="20" t="s">
        <v>2652</v>
      </c>
      <c r="B74" s="20" t="s">
        <v>2653</v>
      </c>
      <c r="C74" s="65" t="n">
        <v>5</v>
      </c>
      <c r="D74" s="20" t="s">
        <v>2654</v>
      </c>
      <c r="E74" s="20" t="s">
        <v>1328</v>
      </c>
      <c r="F74" s="20" t="s">
        <v>2655</v>
      </c>
    </row>
    <row r="75" customFormat="false" ht="48" hidden="false" customHeight="true" outlineLevel="0" collapsed="false">
      <c r="A75" s="20" t="s">
        <v>2656</v>
      </c>
      <c r="B75" s="20" t="s">
        <v>2657</v>
      </c>
      <c r="C75" s="65" t="n">
        <v>100</v>
      </c>
      <c r="D75" s="20" t="s">
        <v>2654</v>
      </c>
      <c r="E75" s="20" t="s">
        <v>1328</v>
      </c>
      <c r="F75" s="20" t="s">
        <v>2658</v>
      </c>
    </row>
    <row r="76" customFormat="false" ht="48" hidden="false" customHeight="true" outlineLevel="0" collapsed="false">
      <c r="A76" s="20" t="s">
        <v>2659</v>
      </c>
      <c r="B76" s="20" t="s">
        <v>2660</v>
      </c>
      <c r="C76" s="65" t="n">
        <v>6</v>
      </c>
      <c r="D76" s="20" t="s">
        <v>2588</v>
      </c>
      <c r="E76" s="20" t="s">
        <v>1328</v>
      </c>
      <c r="F76" s="20" t="s">
        <v>2661</v>
      </c>
    </row>
    <row r="77" customFormat="false" ht="48" hidden="false" customHeight="true" outlineLevel="0" collapsed="false">
      <c r="A77" s="20" t="s">
        <v>2662</v>
      </c>
      <c r="B77" s="20" t="s">
        <v>2663</v>
      </c>
      <c r="C77" s="65" t="n">
        <v>24</v>
      </c>
      <c r="D77" s="20" t="s">
        <v>2588</v>
      </c>
      <c r="E77" s="20" t="s">
        <v>1328</v>
      </c>
      <c r="F77" s="20" t="s">
        <v>2664</v>
      </c>
    </row>
    <row r="78" customFormat="false" ht="48" hidden="false" customHeight="true" outlineLevel="0" collapsed="false">
      <c r="A78" s="20" t="s">
        <v>2665</v>
      </c>
      <c r="B78" s="20" t="s">
        <v>2666</v>
      </c>
      <c r="C78" s="65" t="n">
        <v>24</v>
      </c>
      <c r="D78" s="20" t="s">
        <v>2588</v>
      </c>
      <c r="E78" s="20" t="s">
        <v>1328</v>
      </c>
      <c r="F78" s="20" t="s">
        <v>2667</v>
      </c>
    </row>
    <row r="79" customFormat="false" ht="48" hidden="false" customHeight="true" outlineLevel="0" collapsed="false">
      <c r="A79" s="20" t="s">
        <v>2668</v>
      </c>
      <c r="B79" s="20" t="s">
        <v>2669</v>
      </c>
      <c r="C79" s="65" t="n">
        <v>20</v>
      </c>
      <c r="D79" s="20" t="s">
        <v>472</v>
      </c>
      <c r="E79" s="20" t="s">
        <v>1328</v>
      </c>
      <c r="F79" s="20" t="s">
        <v>2670</v>
      </c>
    </row>
    <row r="80" customFormat="false" ht="48" hidden="false" customHeight="true" outlineLevel="0" collapsed="false">
      <c r="A80" s="20" t="s">
        <v>2671</v>
      </c>
      <c r="B80" s="20" t="s">
        <v>2672</v>
      </c>
      <c r="C80" s="65" t="n">
        <v>5</v>
      </c>
      <c r="D80" s="20" t="s">
        <v>2673</v>
      </c>
      <c r="E80" s="20" t="s">
        <v>1328</v>
      </c>
      <c r="F80" s="20" t="s">
        <v>2674</v>
      </c>
    </row>
    <row r="81" customFormat="false" ht="48" hidden="false" customHeight="true" outlineLevel="0" collapsed="false">
      <c r="A81" s="20" t="s">
        <v>2675</v>
      </c>
      <c r="B81" s="20" t="s">
        <v>2676</v>
      </c>
      <c r="C81" s="65" t="n">
        <v>500</v>
      </c>
      <c r="D81" s="20" t="s">
        <v>368</v>
      </c>
      <c r="E81" s="20" t="s">
        <v>1328</v>
      </c>
      <c r="F81" s="20" t="s">
        <v>2677</v>
      </c>
    </row>
    <row r="82" customFormat="false" ht="48" hidden="false" customHeight="true" outlineLevel="0" collapsed="false">
      <c r="A82" s="20" t="s">
        <v>2678</v>
      </c>
      <c r="B82" s="20" t="s">
        <v>2679</v>
      </c>
      <c r="C82" s="65" t="n">
        <v>10000</v>
      </c>
      <c r="D82" s="20" t="s">
        <v>368</v>
      </c>
      <c r="E82" s="20" t="s">
        <v>1328</v>
      </c>
      <c r="F82" s="20" t="s">
        <v>2680</v>
      </c>
    </row>
    <row r="83" customFormat="false" ht="48" hidden="false" customHeight="true" outlineLevel="0" collapsed="false">
      <c r="A83" s="20" t="s">
        <v>2681</v>
      </c>
      <c r="B83" s="20" t="s">
        <v>2682</v>
      </c>
      <c r="C83" s="65" t="n">
        <v>3</v>
      </c>
      <c r="D83" s="20" t="s">
        <v>2683</v>
      </c>
      <c r="E83" s="20" t="s">
        <v>1328</v>
      </c>
      <c r="F83" s="20" t="s">
        <v>2684</v>
      </c>
    </row>
  </sheetData>
  <autoFilter ref="A5:F83"/>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AAB5B9"/>
    <pageSetUpPr fitToPage="true"/>
  </sheetPr>
  <dimension ref="A1:G45"/>
  <sheetViews>
    <sheetView showFormulas="false" showGridLines="false" showRowColHeaders="true" showZeros="true" rightToLeft="false" tabSelected="true" showOutlineSymbols="true" defaultGridColor="true" view="normal" topLeftCell="A1" colorId="64" zoomScale="112" zoomScaleNormal="112"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15"/>
    <col collapsed="false" customWidth="true" hidden="false" outlineLevel="0" max="2" min="2" style="10" width="37"/>
    <col collapsed="false" customWidth="true" hidden="false" outlineLevel="0" max="3" min="3" style="10" width="39"/>
    <col collapsed="false" customWidth="true" hidden="false" outlineLevel="0" max="4" min="4" style="10" width="39.85"/>
    <col collapsed="false" customWidth="true" hidden="false" outlineLevel="0" max="5" min="5" style="10" width="59.29"/>
  </cols>
  <sheetData>
    <row r="1" customFormat="false" ht="33.75" hidden="false" customHeight="true" outlineLevel="0" collapsed="false">
      <c r="A1" s="67" t="s">
        <v>2685</v>
      </c>
      <c r="B1" s="67"/>
      <c r="C1" s="67"/>
      <c r="D1" s="67"/>
      <c r="E1" s="67"/>
    </row>
    <row r="2" customFormat="false" ht="24.75" hidden="false" customHeight="true" outlineLevel="0" collapsed="false">
      <c r="A2" s="55" t="s">
        <v>2686</v>
      </c>
      <c r="B2" s="55"/>
      <c r="C2" s="55"/>
      <c r="D2" s="55"/>
      <c r="E2" s="55"/>
    </row>
    <row r="3" customFormat="false" ht="24.75" hidden="false" customHeight="true" outlineLevel="0" collapsed="false">
      <c r="A3" s="55"/>
      <c r="B3" s="55"/>
      <c r="C3" s="55"/>
      <c r="D3" s="55"/>
      <c r="E3" s="55"/>
    </row>
    <row r="5" customFormat="false" ht="48" hidden="false" customHeight="true" outlineLevel="0" collapsed="false">
      <c r="A5" s="68" t="s">
        <v>307</v>
      </c>
      <c r="B5" s="68" t="s">
        <v>924</v>
      </c>
      <c r="C5" s="68" t="s">
        <v>308</v>
      </c>
      <c r="D5" s="68" t="s">
        <v>2687</v>
      </c>
      <c r="E5" s="68" t="s">
        <v>2688</v>
      </c>
      <c r="G5" s="48" t="s">
        <v>1092</v>
      </c>
    </row>
    <row r="6" customFormat="false" ht="105" hidden="true" customHeight="true" outlineLevel="0" collapsed="false">
      <c r="A6" s="20" t="s">
        <v>2689</v>
      </c>
      <c r="B6" s="69" t="s">
        <v>2690</v>
      </c>
      <c r="C6" s="20" t="s">
        <v>2691</v>
      </c>
      <c r="D6" s="20" t="s">
        <v>2692</v>
      </c>
      <c r="E6" s="20" t="s">
        <v>2693</v>
      </c>
    </row>
    <row r="7" customFormat="false" ht="105" hidden="true" customHeight="true" outlineLevel="0" collapsed="false">
      <c r="A7" s="19" t="s">
        <v>2694</v>
      </c>
      <c r="B7" s="69" t="s">
        <v>2690</v>
      </c>
      <c r="C7" s="19" t="s">
        <v>62</v>
      </c>
      <c r="D7" s="19" t="s">
        <v>2695</v>
      </c>
      <c r="E7" s="19" t="s">
        <v>2696</v>
      </c>
    </row>
    <row r="8" customFormat="false" ht="105" hidden="true" customHeight="true" outlineLevel="0" collapsed="false">
      <c r="A8" s="20" t="s">
        <v>2697</v>
      </c>
      <c r="B8" s="69" t="s">
        <v>2690</v>
      </c>
      <c r="C8" s="20" t="s">
        <v>56</v>
      </c>
      <c r="D8" s="20" t="s">
        <v>2698</v>
      </c>
      <c r="E8" s="20" t="s">
        <v>2696</v>
      </c>
    </row>
    <row r="9" customFormat="false" ht="105" hidden="true" customHeight="true" outlineLevel="0" collapsed="false">
      <c r="A9" s="19" t="s">
        <v>2699</v>
      </c>
      <c r="B9" s="69" t="s">
        <v>2690</v>
      </c>
      <c r="C9" s="19" t="s">
        <v>2357</v>
      </c>
      <c r="D9" s="19" t="s">
        <v>2700</v>
      </c>
      <c r="E9" s="19" t="s">
        <v>2701</v>
      </c>
    </row>
    <row r="10" customFormat="false" ht="105" hidden="true" customHeight="true" outlineLevel="0" collapsed="false">
      <c r="A10" s="20" t="s">
        <v>2702</v>
      </c>
      <c r="B10" s="69" t="s">
        <v>2690</v>
      </c>
      <c r="C10" s="20" t="s">
        <v>663</v>
      </c>
      <c r="D10" s="20" t="s">
        <v>2703</v>
      </c>
      <c r="E10" s="20" t="s">
        <v>2704</v>
      </c>
    </row>
    <row r="11" customFormat="false" ht="105" hidden="true" customHeight="true" outlineLevel="0" collapsed="false">
      <c r="A11" s="19" t="s">
        <v>2705</v>
      </c>
      <c r="B11" s="69" t="s">
        <v>2690</v>
      </c>
      <c r="C11" s="19" t="s">
        <v>653</v>
      </c>
      <c r="D11" s="19" t="s">
        <v>2706</v>
      </c>
      <c r="E11" s="19" t="s">
        <v>2707</v>
      </c>
    </row>
    <row r="12" customFormat="false" ht="105" hidden="false" customHeight="true" outlineLevel="0" collapsed="false">
      <c r="A12" s="20" t="s">
        <v>2708</v>
      </c>
      <c r="B12" s="70" t="s">
        <v>1275</v>
      </c>
      <c r="C12" s="20" t="s">
        <v>2709</v>
      </c>
      <c r="D12" s="20" t="s">
        <v>1070</v>
      </c>
      <c r="E12" s="20" t="s">
        <v>2710</v>
      </c>
    </row>
    <row r="13" customFormat="false" ht="105" hidden="true" customHeight="true" outlineLevel="0" collapsed="false">
      <c r="A13" s="19" t="s">
        <v>2711</v>
      </c>
      <c r="B13" s="70" t="s">
        <v>1204</v>
      </c>
      <c r="C13" s="19" t="s">
        <v>2712</v>
      </c>
      <c r="D13" s="19" t="s">
        <v>2713</v>
      </c>
      <c r="E13" s="19" t="s">
        <v>2714</v>
      </c>
    </row>
    <row r="14" customFormat="false" ht="105" hidden="false" customHeight="true" outlineLevel="0" collapsed="false">
      <c r="A14" s="20" t="s">
        <v>2715</v>
      </c>
      <c r="B14" s="70" t="s">
        <v>1275</v>
      </c>
      <c r="C14" s="20" t="s">
        <v>2716</v>
      </c>
      <c r="D14" s="20" t="s">
        <v>1309</v>
      </c>
      <c r="E14" s="20" t="s">
        <v>2717</v>
      </c>
      <c r="G14" s="71" t="s">
        <v>2718</v>
      </c>
    </row>
    <row r="15" customFormat="false" ht="105" hidden="false" customHeight="true" outlineLevel="0" collapsed="false">
      <c r="A15" s="19" t="s">
        <v>2719</v>
      </c>
      <c r="B15" s="70" t="s">
        <v>1275</v>
      </c>
      <c r="C15" s="19" t="s">
        <v>2720</v>
      </c>
      <c r="D15" s="19" t="s">
        <v>1078</v>
      </c>
      <c r="E15" s="19" t="s">
        <v>2721</v>
      </c>
      <c r="G15" s="72" t="s">
        <v>2722</v>
      </c>
    </row>
    <row r="16" customFormat="false" ht="105" hidden="false" customHeight="true" outlineLevel="0" collapsed="false">
      <c r="A16" s="20" t="s">
        <v>2723</v>
      </c>
      <c r="B16" s="70" t="s">
        <v>1275</v>
      </c>
      <c r="C16" s="20" t="s">
        <v>2724</v>
      </c>
      <c r="D16" s="20" t="s">
        <v>1062</v>
      </c>
      <c r="E16" s="20" t="s">
        <v>2725</v>
      </c>
      <c r="G16" s="71" t="s">
        <v>2726</v>
      </c>
    </row>
    <row r="17" customFormat="false" ht="105" hidden="false" customHeight="true" outlineLevel="0" collapsed="false">
      <c r="A17" s="19" t="s">
        <v>2727</v>
      </c>
      <c r="B17" s="70" t="s">
        <v>1275</v>
      </c>
      <c r="C17" s="19" t="s">
        <v>2728</v>
      </c>
      <c r="D17" s="19" t="s">
        <v>2729</v>
      </c>
      <c r="E17" s="19" t="s">
        <v>2730</v>
      </c>
      <c r="G17" s="72" t="s">
        <v>2731</v>
      </c>
    </row>
    <row r="18" customFormat="false" ht="105" hidden="false" customHeight="true" outlineLevel="0" collapsed="false">
      <c r="A18" s="20" t="s">
        <v>2732</v>
      </c>
      <c r="B18" s="70" t="s">
        <v>1275</v>
      </c>
      <c r="C18" s="20" t="s">
        <v>2733</v>
      </c>
      <c r="D18" s="20" t="s">
        <v>1074</v>
      </c>
      <c r="E18" s="20" t="s">
        <v>2734</v>
      </c>
      <c r="G18" s="71" t="s">
        <v>2735</v>
      </c>
    </row>
    <row r="19" customFormat="false" ht="105" hidden="false" customHeight="true" outlineLevel="0" collapsed="false">
      <c r="A19" s="19" t="s">
        <v>2736</v>
      </c>
      <c r="B19" s="70" t="s">
        <v>1275</v>
      </c>
      <c r="C19" s="19" t="s">
        <v>2737</v>
      </c>
      <c r="D19" s="19" t="s">
        <v>1082</v>
      </c>
      <c r="E19" s="19" t="s">
        <v>2738</v>
      </c>
    </row>
    <row r="20" customFormat="false" ht="99.75" hidden="false" customHeight="true" outlineLevel="0" collapsed="false">
      <c r="A20" s="20" t="s">
        <v>2739</v>
      </c>
      <c r="B20" s="20" t="s">
        <v>1275</v>
      </c>
      <c r="C20" s="20" t="s">
        <v>2740</v>
      </c>
      <c r="D20" s="20" t="s">
        <v>2741</v>
      </c>
      <c r="E20" s="20" t="s">
        <v>2742</v>
      </c>
      <c r="G20" s="71" t="s">
        <v>2743</v>
      </c>
    </row>
    <row r="21" customFormat="false" ht="99.75" hidden="false" customHeight="true" outlineLevel="0" collapsed="false">
      <c r="A21" s="19" t="s">
        <v>2744</v>
      </c>
      <c r="B21" s="19" t="s">
        <v>1275</v>
      </c>
      <c r="C21" s="19" t="s">
        <v>2745</v>
      </c>
      <c r="D21" s="19" t="s">
        <v>1062</v>
      </c>
      <c r="E21" s="19" t="s">
        <v>2746</v>
      </c>
      <c r="G21" s="73" t="s">
        <v>2747</v>
      </c>
    </row>
    <row r="22" customFormat="false" ht="99.75" hidden="false" customHeight="true" outlineLevel="0" collapsed="false">
      <c r="A22" s="20" t="s">
        <v>2748</v>
      </c>
      <c r="B22" s="20" t="s">
        <v>1275</v>
      </c>
      <c r="C22" s="20" t="s">
        <v>2749</v>
      </c>
      <c r="D22" s="20" t="s">
        <v>1062</v>
      </c>
      <c r="E22" s="20" t="s">
        <v>2750</v>
      </c>
      <c r="G22" s="73" t="s">
        <v>2747</v>
      </c>
    </row>
    <row r="23" customFormat="false" ht="99.75" hidden="true" customHeight="true" outlineLevel="0" collapsed="false">
      <c r="A23" s="19" t="s">
        <v>2751</v>
      </c>
      <c r="B23" s="19" t="s">
        <v>2690</v>
      </c>
      <c r="C23" s="19" t="s">
        <v>2752</v>
      </c>
      <c r="D23" s="19" t="s">
        <v>2753</v>
      </c>
      <c r="E23" s="19" t="s">
        <v>2754</v>
      </c>
    </row>
    <row r="24" customFormat="false" ht="99.75" hidden="false" customHeight="true" outlineLevel="0" collapsed="false">
      <c r="A24" s="20" t="s">
        <v>2755</v>
      </c>
      <c r="B24" s="20" t="s">
        <v>1275</v>
      </c>
      <c r="C24" s="20" t="s">
        <v>2756</v>
      </c>
      <c r="D24" s="20" t="s">
        <v>1058</v>
      </c>
      <c r="E24" s="20" t="s">
        <v>2757</v>
      </c>
      <c r="G24" s="73" t="s">
        <v>2758</v>
      </c>
    </row>
    <row r="25" customFormat="false" ht="99.75" hidden="true" customHeight="true" outlineLevel="0" collapsed="false">
      <c r="A25" s="19" t="s">
        <v>2759</v>
      </c>
      <c r="B25" s="19" t="s">
        <v>2690</v>
      </c>
      <c r="C25" s="19" t="s">
        <v>2760</v>
      </c>
      <c r="D25" s="19" t="s">
        <v>2761</v>
      </c>
      <c r="E25" s="19" t="s">
        <v>2762</v>
      </c>
    </row>
    <row r="26" customFormat="false" ht="99.75" hidden="false" customHeight="true" outlineLevel="0" collapsed="false">
      <c r="A26" s="20" t="s">
        <v>2763</v>
      </c>
      <c r="B26" s="20" t="s">
        <v>2764</v>
      </c>
      <c r="C26" s="20" t="s">
        <v>2765</v>
      </c>
      <c r="D26" s="20" t="s">
        <v>2766</v>
      </c>
      <c r="E26" s="20" t="s">
        <v>2767</v>
      </c>
      <c r="G26" s="73" t="s">
        <v>2768</v>
      </c>
    </row>
    <row r="27" customFormat="false" ht="99.75" hidden="false" customHeight="true" outlineLevel="0" collapsed="false">
      <c r="A27" s="19" t="s">
        <v>2769</v>
      </c>
      <c r="B27" s="19" t="s">
        <v>2764</v>
      </c>
      <c r="C27" s="19" t="s">
        <v>2770</v>
      </c>
      <c r="D27" s="19" t="s">
        <v>2771</v>
      </c>
      <c r="E27" s="19" t="s">
        <v>2767</v>
      </c>
      <c r="G27" s="72" t="s">
        <v>2768</v>
      </c>
    </row>
    <row r="28" customFormat="false" ht="99.75" hidden="false" customHeight="true" outlineLevel="0" collapsed="false">
      <c r="A28" s="20" t="s">
        <v>2772</v>
      </c>
      <c r="B28" s="20" t="s">
        <v>2764</v>
      </c>
      <c r="C28" s="20" t="s">
        <v>2773</v>
      </c>
      <c r="D28" s="20" t="s">
        <v>2774</v>
      </c>
      <c r="E28" s="20" t="s">
        <v>2767</v>
      </c>
      <c r="G28" s="71" t="s">
        <v>2768</v>
      </c>
    </row>
    <row r="29" customFormat="false" ht="99.75" hidden="false" customHeight="true" outlineLevel="0" collapsed="false">
      <c r="A29" s="19" t="s">
        <v>2775</v>
      </c>
      <c r="B29" s="19" t="s">
        <v>2764</v>
      </c>
      <c r="C29" s="19" t="s">
        <v>2776</v>
      </c>
      <c r="D29" s="19" t="s">
        <v>2777</v>
      </c>
      <c r="E29" s="19" t="s">
        <v>2767</v>
      </c>
      <c r="G29" s="73" t="s">
        <v>2778</v>
      </c>
    </row>
    <row r="30" customFormat="false" ht="99.75" hidden="false" customHeight="true" outlineLevel="0" collapsed="false">
      <c r="A30" s="20" t="s">
        <v>2779</v>
      </c>
      <c r="B30" s="20" t="s">
        <v>2764</v>
      </c>
      <c r="C30" s="20" t="s">
        <v>2780</v>
      </c>
      <c r="D30" s="20" t="s">
        <v>2781</v>
      </c>
      <c r="E30" s="20" t="s">
        <v>2767</v>
      </c>
      <c r="G30" s="73" t="s">
        <v>2782</v>
      </c>
    </row>
    <row r="31" customFormat="false" ht="99.75" hidden="false" customHeight="true" outlineLevel="0" collapsed="false">
      <c r="A31" s="19" t="s">
        <v>2783</v>
      </c>
      <c r="B31" s="19" t="s">
        <v>1275</v>
      </c>
      <c r="C31" s="19" t="s">
        <v>2784</v>
      </c>
      <c r="D31" s="19" t="s">
        <v>2785</v>
      </c>
      <c r="E31" s="19" t="s">
        <v>2786</v>
      </c>
      <c r="G31" s="73" t="s">
        <v>2787</v>
      </c>
    </row>
    <row r="32" customFormat="false" ht="99.75" hidden="false" customHeight="true" outlineLevel="0" collapsed="false">
      <c r="A32" s="20" t="s">
        <v>2788</v>
      </c>
      <c r="B32" s="20" t="s">
        <v>1275</v>
      </c>
      <c r="C32" s="20" t="s">
        <v>2789</v>
      </c>
      <c r="D32" s="20" t="s">
        <v>2790</v>
      </c>
      <c r="E32" s="20" t="s">
        <v>2791</v>
      </c>
      <c r="G32" s="73" t="s">
        <v>2726</v>
      </c>
    </row>
    <row r="33" customFormat="false" ht="99.75" hidden="false" customHeight="true" outlineLevel="0" collapsed="false">
      <c r="A33" s="19" t="s">
        <v>2792</v>
      </c>
      <c r="B33" s="19" t="s">
        <v>1275</v>
      </c>
      <c r="C33" s="19" t="s">
        <v>2793</v>
      </c>
      <c r="D33" s="19" t="s">
        <v>1034</v>
      </c>
      <c r="E33" s="19" t="s">
        <v>2794</v>
      </c>
      <c r="G33" s="73" t="s">
        <v>2795</v>
      </c>
    </row>
    <row r="34" customFormat="false" ht="99.75" hidden="true" customHeight="true" outlineLevel="0" collapsed="false">
      <c r="A34" s="20" t="s">
        <v>2796</v>
      </c>
      <c r="B34" s="20" t="s">
        <v>1275</v>
      </c>
      <c r="C34" s="20" t="s">
        <v>2797</v>
      </c>
      <c r="D34" s="20" t="s">
        <v>2798</v>
      </c>
      <c r="E34" s="20" t="s">
        <v>2799</v>
      </c>
    </row>
    <row r="35" customFormat="false" ht="99.75" hidden="false" customHeight="true" outlineLevel="0" collapsed="false">
      <c r="A35" s="19" t="s">
        <v>2800</v>
      </c>
      <c r="B35" s="19" t="s">
        <v>1275</v>
      </c>
      <c r="C35" s="19" t="s">
        <v>2801</v>
      </c>
      <c r="D35" s="19" t="s">
        <v>1038</v>
      </c>
      <c r="E35" s="19" t="s">
        <v>2802</v>
      </c>
      <c r="G35" s="73" t="s">
        <v>2803</v>
      </c>
    </row>
    <row r="36" customFormat="false" ht="99.75" hidden="false" customHeight="true" outlineLevel="0" collapsed="false">
      <c r="A36" s="20" t="s">
        <v>2804</v>
      </c>
      <c r="B36" s="20" t="s">
        <v>1275</v>
      </c>
      <c r="C36" s="20" t="s">
        <v>2805</v>
      </c>
      <c r="D36" s="20" t="s">
        <v>1042</v>
      </c>
      <c r="E36" s="20" t="s">
        <v>2806</v>
      </c>
      <c r="G36" s="73" t="s">
        <v>2807</v>
      </c>
    </row>
    <row r="37" customFormat="false" ht="99.75" hidden="false" customHeight="true" outlineLevel="0" collapsed="false">
      <c r="A37" s="19" t="s">
        <v>2808</v>
      </c>
      <c r="B37" s="19" t="s">
        <v>1275</v>
      </c>
      <c r="C37" s="19" t="s">
        <v>2809</v>
      </c>
      <c r="D37" s="19" t="s">
        <v>2071</v>
      </c>
      <c r="E37" s="19" t="s">
        <v>2810</v>
      </c>
      <c r="G37" s="73" t="s">
        <v>2811</v>
      </c>
    </row>
    <row r="38" customFormat="false" ht="99.75" hidden="false" customHeight="true" outlineLevel="0" collapsed="false">
      <c r="A38" s="20" t="s">
        <v>2812</v>
      </c>
      <c r="B38" s="20" t="s">
        <v>1275</v>
      </c>
      <c r="C38" s="20" t="s">
        <v>2813</v>
      </c>
      <c r="D38" s="20" t="s">
        <v>2101</v>
      </c>
      <c r="E38" s="20" t="s">
        <v>2814</v>
      </c>
      <c r="G38" s="73" t="s">
        <v>2815</v>
      </c>
    </row>
    <row r="39" customFormat="false" ht="120" hidden="false" customHeight="true" outlineLevel="0" collapsed="false">
      <c r="A39" s="19" t="s">
        <v>2816</v>
      </c>
      <c r="B39" s="19" t="s">
        <v>1275</v>
      </c>
      <c r="C39" s="19" t="s">
        <v>2817</v>
      </c>
      <c r="D39" s="19" t="s">
        <v>1070</v>
      </c>
      <c r="E39" s="19" t="s">
        <v>2818</v>
      </c>
      <c r="G39" s="73" t="s">
        <v>2819</v>
      </c>
    </row>
    <row r="40" customFormat="false" ht="120" hidden="false" customHeight="true" outlineLevel="0" collapsed="false">
      <c r="A40" s="20" t="s">
        <v>2820</v>
      </c>
      <c r="B40" s="20" t="s">
        <v>1275</v>
      </c>
      <c r="C40" s="20" t="s">
        <v>2821</v>
      </c>
      <c r="D40" s="20" t="s">
        <v>1309</v>
      </c>
      <c r="E40" s="20" t="s">
        <v>2822</v>
      </c>
      <c r="G40" s="73" t="s">
        <v>2823</v>
      </c>
    </row>
    <row r="41" customFormat="false" ht="120" hidden="false" customHeight="true" outlineLevel="0" collapsed="false">
      <c r="A41" s="19" t="s">
        <v>2824</v>
      </c>
      <c r="B41" s="19" t="s">
        <v>1275</v>
      </c>
      <c r="C41" s="19" t="s">
        <v>2825</v>
      </c>
      <c r="D41" s="19" t="s">
        <v>2826</v>
      </c>
      <c r="E41" s="19" t="s">
        <v>2827</v>
      </c>
      <c r="G41" s="73" t="s">
        <v>2811</v>
      </c>
    </row>
    <row r="42" customFormat="false" ht="120" hidden="false" customHeight="true" outlineLevel="0" collapsed="false">
      <c r="A42" s="20" t="s">
        <v>2828</v>
      </c>
      <c r="B42" s="20" t="s">
        <v>1275</v>
      </c>
      <c r="C42" s="20" t="s">
        <v>2829</v>
      </c>
      <c r="D42" s="20" t="s">
        <v>1066</v>
      </c>
      <c r="E42" s="20" t="s">
        <v>2830</v>
      </c>
      <c r="G42" s="73" t="s">
        <v>2831</v>
      </c>
    </row>
    <row r="43" customFormat="false" ht="120" hidden="false" customHeight="true" outlineLevel="0" collapsed="false">
      <c r="A43" s="19" t="s">
        <v>2832</v>
      </c>
      <c r="B43" s="19" t="s">
        <v>1275</v>
      </c>
      <c r="C43" s="19" t="s">
        <v>2833</v>
      </c>
      <c r="D43" s="19" t="s">
        <v>2834</v>
      </c>
      <c r="E43" s="19" t="s">
        <v>2835</v>
      </c>
      <c r="G43" s="73" t="s">
        <v>2836</v>
      </c>
    </row>
    <row r="44" customFormat="false" ht="120" hidden="false" customHeight="true" outlineLevel="0" collapsed="false">
      <c r="A44" s="20" t="s">
        <v>2837</v>
      </c>
      <c r="B44" s="20" t="s">
        <v>1275</v>
      </c>
      <c r="C44" s="20" t="s">
        <v>2838</v>
      </c>
      <c r="D44" s="20" t="s">
        <v>1074</v>
      </c>
      <c r="E44" s="20" t="s">
        <v>2839</v>
      </c>
      <c r="G44" s="73" t="s">
        <v>2840</v>
      </c>
    </row>
    <row r="45" customFormat="false" ht="120" hidden="false" customHeight="true" outlineLevel="0" collapsed="false">
      <c r="A45" s="19" t="s">
        <v>2841</v>
      </c>
      <c r="B45" s="19" t="s">
        <v>1275</v>
      </c>
      <c r="C45" s="19" t="s">
        <v>2842</v>
      </c>
      <c r="D45" s="19" t="s">
        <v>2843</v>
      </c>
      <c r="E45" s="19" t="s">
        <v>2844</v>
      </c>
    </row>
  </sheetData>
  <autoFilter ref="A5:G45">
    <filterColumn colId="1">
      <filters>
        <filter val="CZĘŚCIOWO ROZSTRZYGNIĘTE"/>
        <filter val="CZĘŚCIOWO ROZSTRZYGNIĘTE V5"/>
        <filter val="DO DOPRECYZOWANIA"/>
        <filter val="DO USTALENIA"/>
        <filter val="DO USTALENIA — ŚREDNI"/>
        <filter val="DO USTALENIA — WYSOKI"/>
        <filter val="MODEL DO POTWIERDZENIA"/>
        <filter val="SZCZEGÓŁ NA PÓŹNIEJ"/>
        <filter val="WYJAŚNIENIE „NIEROZUMIEM”"/>
        <filter val="WYMAGANIE UI ROZSTRZYGNIĘTE V5"/>
      </filters>
    </filterColumn>
  </autoFilter>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7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0" width="13"/>
    <col collapsed="false" customWidth="true" hidden="false" outlineLevel="0" max="2" min="2" style="10" width="29"/>
    <col collapsed="false" customWidth="true" hidden="false" outlineLevel="0" max="3" min="3" style="10" width="53"/>
    <col collapsed="false" customWidth="true" hidden="false" outlineLevel="0" max="4" min="4" style="10" width="48"/>
    <col collapsed="false" customWidth="true" hidden="false" outlineLevel="0" max="6" min="5" style="10" width="115"/>
  </cols>
  <sheetData>
    <row r="1" customFormat="false" ht="33.75" hidden="false" customHeight="true" outlineLevel="0" collapsed="false">
      <c r="A1" s="54" t="s">
        <v>2845</v>
      </c>
      <c r="B1" s="54"/>
      <c r="C1" s="54"/>
      <c r="D1" s="54"/>
      <c r="E1" s="54"/>
      <c r="F1" s="54"/>
    </row>
    <row r="2" customFormat="false" ht="24.75" hidden="false" customHeight="true" outlineLevel="0" collapsed="false">
      <c r="A2" s="55" t="s">
        <v>2846</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329</v>
      </c>
      <c r="C5" s="22" t="s">
        <v>2847</v>
      </c>
      <c r="D5" s="22" t="s">
        <v>310</v>
      </c>
      <c r="E5" s="22" t="s">
        <v>1178</v>
      </c>
      <c r="F5" s="22" t="s">
        <v>732</v>
      </c>
    </row>
    <row r="6" customFormat="false" ht="99.75" hidden="false" customHeight="true" outlineLevel="0" collapsed="false">
      <c r="A6" s="20" t="s">
        <v>2848</v>
      </c>
      <c r="B6" s="20" t="s">
        <v>8</v>
      </c>
      <c r="C6" s="20" t="s">
        <v>735</v>
      </c>
      <c r="D6" s="20" t="s">
        <v>2417</v>
      </c>
      <c r="E6" s="20" t="s">
        <v>2849</v>
      </c>
      <c r="F6" s="20" t="s">
        <v>2850</v>
      </c>
    </row>
    <row r="7" customFormat="false" ht="99.75" hidden="false" customHeight="true" outlineLevel="0" collapsed="false">
      <c r="A7" s="19" t="s">
        <v>2851</v>
      </c>
      <c r="B7" s="19" t="s">
        <v>8</v>
      </c>
      <c r="C7" s="19" t="s">
        <v>2852</v>
      </c>
      <c r="D7" s="19" t="s">
        <v>2853</v>
      </c>
      <c r="E7" s="19" t="s">
        <v>2854</v>
      </c>
      <c r="F7" s="19" t="s">
        <v>2855</v>
      </c>
    </row>
    <row r="8" customFormat="false" ht="99.75" hidden="false" customHeight="true" outlineLevel="0" collapsed="false">
      <c r="A8" s="20" t="s">
        <v>2856</v>
      </c>
      <c r="B8" s="20" t="s">
        <v>8</v>
      </c>
      <c r="C8" s="20" t="s">
        <v>735</v>
      </c>
      <c r="D8" s="20" t="s">
        <v>2417</v>
      </c>
      <c r="E8" s="20" t="s">
        <v>2857</v>
      </c>
      <c r="F8" s="20" t="s">
        <v>2858</v>
      </c>
    </row>
    <row r="9" customFormat="false" ht="99.75" hidden="false" customHeight="true" outlineLevel="0" collapsed="false">
      <c r="A9" s="19" t="s">
        <v>2859</v>
      </c>
      <c r="B9" s="19" t="s">
        <v>2860</v>
      </c>
      <c r="C9" s="19" t="s">
        <v>239</v>
      </c>
      <c r="D9" s="19" t="s">
        <v>2417</v>
      </c>
      <c r="E9" s="19" t="s">
        <v>2861</v>
      </c>
      <c r="F9" s="19" t="s">
        <v>2862</v>
      </c>
    </row>
    <row r="10" customFormat="false" ht="99.75" hidden="false" customHeight="true" outlineLevel="0" collapsed="false">
      <c r="A10" s="20" t="s">
        <v>2863</v>
      </c>
      <c r="B10" s="20" t="s">
        <v>2860</v>
      </c>
      <c r="C10" s="20" t="s">
        <v>735</v>
      </c>
      <c r="D10" s="20" t="s">
        <v>2417</v>
      </c>
      <c r="E10" s="20" t="s">
        <v>2864</v>
      </c>
      <c r="F10" s="20" t="s">
        <v>2865</v>
      </c>
    </row>
    <row r="11" customFormat="false" ht="99.75" hidden="false" customHeight="true" outlineLevel="0" collapsed="false">
      <c r="A11" s="19" t="s">
        <v>2866</v>
      </c>
      <c r="B11" s="19" t="s">
        <v>2867</v>
      </c>
      <c r="C11" s="19" t="s">
        <v>239</v>
      </c>
      <c r="D11" s="19" t="s">
        <v>2417</v>
      </c>
      <c r="E11" s="19" t="s">
        <v>2868</v>
      </c>
      <c r="F11" s="19" t="s">
        <v>2869</v>
      </c>
    </row>
    <row r="12" customFormat="false" ht="99.75" hidden="false" customHeight="true" outlineLevel="0" collapsed="false">
      <c r="A12" s="20" t="s">
        <v>2870</v>
      </c>
      <c r="B12" s="20" t="s">
        <v>2871</v>
      </c>
      <c r="C12" s="20" t="s">
        <v>247</v>
      </c>
      <c r="D12" s="20" t="s">
        <v>2417</v>
      </c>
      <c r="E12" s="20" t="s">
        <v>2872</v>
      </c>
      <c r="F12" s="20" t="s">
        <v>2873</v>
      </c>
    </row>
    <row r="13" customFormat="false" ht="99.75" hidden="false" customHeight="true" outlineLevel="0" collapsed="false">
      <c r="A13" s="19" t="s">
        <v>2874</v>
      </c>
      <c r="B13" s="19" t="s">
        <v>2871</v>
      </c>
      <c r="C13" s="19" t="s">
        <v>2875</v>
      </c>
      <c r="D13" s="19" t="s">
        <v>2417</v>
      </c>
      <c r="E13" s="19" t="s">
        <v>2876</v>
      </c>
      <c r="F13" s="19" t="s">
        <v>2877</v>
      </c>
    </row>
    <row r="14" customFormat="false" ht="99.75" hidden="false" customHeight="true" outlineLevel="0" collapsed="false">
      <c r="A14" s="20" t="s">
        <v>2878</v>
      </c>
      <c r="B14" s="20" t="s">
        <v>2871</v>
      </c>
      <c r="C14" s="20" t="s">
        <v>2875</v>
      </c>
      <c r="D14" s="20" t="s">
        <v>2417</v>
      </c>
      <c r="E14" s="20" t="s">
        <v>2879</v>
      </c>
      <c r="F14" s="20" t="s">
        <v>2880</v>
      </c>
    </row>
    <row r="15" customFormat="false" ht="99.75" hidden="false" customHeight="true" outlineLevel="0" collapsed="false">
      <c r="A15" s="19" t="s">
        <v>2881</v>
      </c>
      <c r="B15" s="19" t="s">
        <v>2882</v>
      </c>
      <c r="C15" s="19" t="s">
        <v>2883</v>
      </c>
      <c r="D15" s="19" t="s">
        <v>2884</v>
      </c>
      <c r="E15" s="19" t="s">
        <v>2885</v>
      </c>
      <c r="F15" s="19" t="s">
        <v>2886</v>
      </c>
    </row>
    <row r="16" customFormat="false" ht="99.75" hidden="false" customHeight="true" outlineLevel="0" collapsed="false">
      <c r="A16" s="20" t="s">
        <v>2887</v>
      </c>
      <c r="B16" s="20" t="s">
        <v>2882</v>
      </c>
      <c r="C16" s="20" t="s">
        <v>2883</v>
      </c>
      <c r="D16" s="20" t="s">
        <v>2888</v>
      </c>
      <c r="E16" s="20" t="s">
        <v>2889</v>
      </c>
      <c r="F16" s="20" t="s">
        <v>2890</v>
      </c>
    </row>
    <row r="17" customFormat="false" ht="99.75" hidden="false" customHeight="true" outlineLevel="0" collapsed="false">
      <c r="A17" s="19" t="s">
        <v>2891</v>
      </c>
      <c r="B17" s="19" t="s">
        <v>2892</v>
      </c>
      <c r="C17" s="19" t="s">
        <v>2852</v>
      </c>
      <c r="D17" s="19" t="s">
        <v>2417</v>
      </c>
      <c r="E17" s="19" t="s">
        <v>2893</v>
      </c>
      <c r="F17" s="19" t="s">
        <v>2894</v>
      </c>
    </row>
    <row r="18" customFormat="false" ht="99.75" hidden="false" customHeight="true" outlineLevel="0" collapsed="false">
      <c r="A18" s="20" t="s">
        <v>2895</v>
      </c>
      <c r="B18" s="20" t="s">
        <v>2896</v>
      </c>
      <c r="C18" s="20" t="s">
        <v>2852</v>
      </c>
      <c r="D18" s="20" t="s">
        <v>2417</v>
      </c>
      <c r="E18" s="20" t="s">
        <v>2897</v>
      </c>
      <c r="F18" s="20" t="s">
        <v>2898</v>
      </c>
    </row>
    <row r="19" customFormat="false" ht="99.75" hidden="false" customHeight="true" outlineLevel="0" collapsed="false">
      <c r="A19" s="19" t="s">
        <v>2899</v>
      </c>
      <c r="B19" s="19" t="s">
        <v>2900</v>
      </c>
      <c r="C19" s="19" t="s">
        <v>2852</v>
      </c>
      <c r="D19" s="19" t="s">
        <v>2884</v>
      </c>
      <c r="E19" s="19" t="s">
        <v>2901</v>
      </c>
      <c r="F19" s="19" t="s">
        <v>2902</v>
      </c>
    </row>
    <row r="20" customFormat="false" ht="99.75" hidden="false" customHeight="true" outlineLevel="0" collapsed="false">
      <c r="A20" s="20" t="s">
        <v>2903</v>
      </c>
      <c r="B20" s="20" t="s">
        <v>2904</v>
      </c>
      <c r="C20" s="20" t="s">
        <v>2852</v>
      </c>
      <c r="D20" s="20" t="s">
        <v>2888</v>
      </c>
      <c r="E20" s="20" t="s">
        <v>2905</v>
      </c>
      <c r="F20" s="20" t="s">
        <v>2906</v>
      </c>
    </row>
    <row r="21" customFormat="false" ht="99.75" hidden="false" customHeight="true" outlineLevel="0" collapsed="false">
      <c r="A21" s="19" t="s">
        <v>2907</v>
      </c>
      <c r="B21" s="19" t="s">
        <v>23</v>
      </c>
      <c r="C21" s="19" t="s">
        <v>2908</v>
      </c>
      <c r="D21" s="19" t="s">
        <v>2398</v>
      </c>
      <c r="E21" s="19" t="s">
        <v>2909</v>
      </c>
      <c r="F21" s="19" t="s">
        <v>2910</v>
      </c>
    </row>
    <row r="22" customFormat="false" ht="99.75" hidden="false" customHeight="true" outlineLevel="0" collapsed="false">
      <c r="A22" s="20" t="s">
        <v>2911</v>
      </c>
      <c r="B22" s="20" t="s">
        <v>23</v>
      </c>
      <c r="C22" s="20" t="s">
        <v>2912</v>
      </c>
      <c r="D22" s="20" t="s">
        <v>2417</v>
      </c>
      <c r="E22" s="20" t="s">
        <v>2913</v>
      </c>
      <c r="F22" s="20" t="s">
        <v>2914</v>
      </c>
    </row>
    <row r="23" customFormat="false" ht="99.75" hidden="false" customHeight="true" outlineLevel="0" collapsed="false">
      <c r="A23" s="19" t="s">
        <v>2915</v>
      </c>
      <c r="B23" s="19" t="s">
        <v>2916</v>
      </c>
      <c r="C23" s="19" t="s">
        <v>252</v>
      </c>
      <c r="D23" s="19" t="s">
        <v>2417</v>
      </c>
      <c r="E23" s="19" t="s">
        <v>2917</v>
      </c>
      <c r="F23" s="19" t="s">
        <v>2918</v>
      </c>
    </row>
    <row r="24" customFormat="false" ht="99.75" hidden="false" customHeight="true" outlineLevel="0" collapsed="false">
      <c r="A24" s="20" t="s">
        <v>2919</v>
      </c>
      <c r="B24" s="20" t="s">
        <v>1215</v>
      </c>
      <c r="C24" s="20" t="s">
        <v>259</v>
      </c>
      <c r="D24" s="20" t="s">
        <v>2417</v>
      </c>
      <c r="E24" s="20" t="s">
        <v>2920</v>
      </c>
      <c r="F24" s="20" t="s">
        <v>2921</v>
      </c>
    </row>
    <row r="25" customFormat="false" ht="99.75" hidden="false" customHeight="true" outlineLevel="0" collapsed="false">
      <c r="A25" s="19" t="s">
        <v>2922</v>
      </c>
      <c r="B25" s="19" t="s">
        <v>1215</v>
      </c>
      <c r="C25" s="19" t="s">
        <v>274</v>
      </c>
      <c r="D25" s="19" t="s">
        <v>2417</v>
      </c>
      <c r="E25" s="19" t="s">
        <v>2923</v>
      </c>
      <c r="F25" s="19" t="s">
        <v>2921</v>
      </c>
    </row>
    <row r="26" customFormat="false" ht="99.75" hidden="false" customHeight="true" outlineLevel="0" collapsed="false">
      <c r="A26" s="20" t="s">
        <v>2924</v>
      </c>
      <c r="B26" s="20" t="s">
        <v>2916</v>
      </c>
      <c r="C26" s="20" t="s">
        <v>2925</v>
      </c>
      <c r="D26" s="20" t="s">
        <v>2417</v>
      </c>
      <c r="E26" s="20" t="s">
        <v>2926</v>
      </c>
      <c r="F26" s="20" t="s">
        <v>2927</v>
      </c>
    </row>
    <row r="27" customFormat="false" ht="99.75" hidden="false" customHeight="true" outlineLevel="0" collapsed="false">
      <c r="A27" s="19" t="s">
        <v>2928</v>
      </c>
      <c r="B27" s="19" t="s">
        <v>2929</v>
      </c>
      <c r="C27" s="19" t="s">
        <v>2908</v>
      </c>
      <c r="D27" s="19" t="s">
        <v>2417</v>
      </c>
      <c r="E27" s="19" t="s">
        <v>2930</v>
      </c>
      <c r="F27" s="19" t="s">
        <v>2931</v>
      </c>
    </row>
    <row r="28" customFormat="false" ht="99.75" hidden="false" customHeight="true" outlineLevel="0" collapsed="false">
      <c r="A28" s="20" t="s">
        <v>2932</v>
      </c>
      <c r="B28" s="20" t="s">
        <v>2933</v>
      </c>
      <c r="C28" s="20" t="s">
        <v>2934</v>
      </c>
      <c r="D28" s="20" t="s">
        <v>2417</v>
      </c>
      <c r="E28" s="20" t="s">
        <v>2935</v>
      </c>
      <c r="F28" s="20" t="s">
        <v>2936</v>
      </c>
    </row>
    <row r="29" customFormat="false" ht="99.75" hidden="false" customHeight="true" outlineLevel="0" collapsed="false">
      <c r="A29" s="19" t="s">
        <v>2937</v>
      </c>
      <c r="B29" s="19" t="s">
        <v>2933</v>
      </c>
      <c r="C29" s="19" t="s">
        <v>2934</v>
      </c>
      <c r="D29" s="19" t="s">
        <v>2938</v>
      </c>
      <c r="E29" s="19" t="s">
        <v>1070</v>
      </c>
      <c r="F29" s="19" t="s">
        <v>2939</v>
      </c>
    </row>
    <row r="30" customFormat="false" ht="99.75" hidden="false" customHeight="true" outlineLevel="0" collapsed="false">
      <c r="A30" s="20" t="s">
        <v>2940</v>
      </c>
      <c r="B30" s="20" t="s">
        <v>1090</v>
      </c>
      <c r="C30" s="20" t="s">
        <v>2941</v>
      </c>
      <c r="D30" s="20" t="s">
        <v>2942</v>
      </c>
      <c r="E30" s="20" t="s">
        <v>2943</v>
      </c>
      <c r="F30" s="20" t="s">
        <v>2944</v>
      </c>
    </row>
    <row r="31" customFormat="false" ht="99.75" hidden="false" customHeight="true" outlineLevel="0" collapsed="false">
      <c r="A31" s="19" t="s">
        <v>2945</v>
      </c>
      <c r="B31" s="19" t="s">
        <v>278</v>
      </c>
      <c r="C31" s="19" t="s">
        <v>278</v>
      </c>
      <c r="D31" s="19" t="s">
        <v>2417</v>
      </c>
      <c r="E31" s="19" t="s">
        <v>2946</v>
      </c>
      <c r="F31" s="19" t="s">
        <v>2947</v>
      </c>
    </row>
    <row r="32" customFormat="false" ht="99.75" hidden="false" customHeight="true" outlineLevel="0" collapsed="false">
      <c r="A32" s="20" t="s">
        <v>2948</v>
      </c>
      <c r="B32" s="20" t="s">
        <v>278</v>
      </c>
      <c r="C32" s="20" t="s">
        <v>278</v>
      </c>
      <c r="D32" s="20" t="s">
        <v>2417</v>
      </c>
      <c r="E32" s="20" t="s">
        <v>2949</v>
      </c>
      <c r="F32" s="20" t="s">
        <v>2950</v>
      </c>
    </row>
    <row r="33" customFormat="false" ht="99.75" hidden="false" customHeight="true" outlineLevel="0" collapsed="false">
      <c r="A33" s="19" t="s">
        <v>2951</v>
      </c>
      <c r="B33" s="19" t="s">
        <v>660</v>
      </c>
      <c r="C33" s="19" t="s">
        <v>278</v>
      </c>
      <c r="D33" s="19" t="s">
        <v>2884</v>
      </c>
      <c r="E33" s="19" t="s">
        <v>2952</v>
      </c>
      <c r="F33" s="19" t="s">
        <v>2953</v>
      </c>
    </row>
    <row r="34" customFormat="false" ht="99.75" hidden="false" customHeight="true" outlineLevel="0" collapsed="false">
      <c r="A34" s="20" t="s">
        <v>2954</v>
      </c>
      <c r="B34" s="20" t="s">
        <v>660</v>
      </c>
      <c r="C34" s="20" t="s">
        <v>278</v>
      </c>
      <c r="D34" s="20" t="s">
        <v>2955</v>
      </c>
      <c r="E34" s="20" t="s">
        <v>2956</v>
      </c>
      <c r="F34" s="20" t="s">
        <v>2957</v>
      </c>
    </row>
    <row r="35" customFormat="false" ht="99.75" hidden="false" customHeight="true" outlineLevel="0" collapsed="false">
      <c r="A35" s="19" t="s">
        <v>2958</v>
      </c>
      <c r="B35" s="19" t="s">
        <v>660</v>
      </c>
      <c r="C35" s="19" t="s">
        <v>2959</v>
      </c>
      <c r="D35" s="19" t="s">
        <v>2884</v>
      </c>
      <c r="E35" s="19" t="s">
        <v>2960</v>
      </c>
      <c r="F35" s="19" t="s">
        <v>2961</v>
      </c>
    </row>
    <row r="36" customFormat="false" ht="99.75" hidden="false" customHeight="true" outlineLevel="0" collapsed="false">
      <c r="A36" s="20" t="s">
        <v>2962</v>
      </c>
      <c r="B36" s="20" t="s">
        <v>35</v>
      </c>
      <c r="C36" s="20" t="s">
        <v>2963</v>
      </c>
      <c r="D36" s="20" t="s">
        <v>2417</v>
      </c>
      <c r="E36" s="20" t="s">
        <v>2964</v>
      </c>
      <c r="F36" s="20" t="s">
        <v>2965</v>
      </c>
    </row>
    <row r="37" customFormat="false" ht="99.75" hidden="false" customHeight="true" outlineLevel="0" collapsed="false">
      <c r="A37" s="19" t="s">
        <v>2966</v>
      </c>
      <c r="B37" s="19" t="s">
        <v>2967</v>
      </c>
      <c r="C37" s="19" t="s">
        <v>2968</v>
      </c>
      <c r="D37" s="19" t="s">
        <v>2884</v>
      </c>
      <c r="E37" s="19" t="s">
        <v>2969</v>
      </c>
      <c r="F37" s="19" t="s">
        <v>2970</v>
      </c>
    </row>
    <row r="38" customFormat="false" ht="99.75" hidden="false" customHeight="true" outlineLevel="0" collapsed="false">
      <c r="A38" s="20" t="s">
        <v>2971</v>
      </c>
      <c r="B38" s="20" t="s">
        <v>2967</v>
      </c>
      <c r="C38" s="20" t="s">
        <v>2972</v>
      </c>
      <c r="D38" s="20" t="s">
        <v>2973</v>
      </c>
      <c r="E38" s="20" t="s">
        <v>2974</v>
      </c>
      <c r="F38" s="20" t="s">
        <v>2975</v>
      </c>
    </row>
    <row r="39" customFormat="false" ht="99.75" hidden="false" customHeight="true" outlineLevel="0" collapsed="false">
      <c r="A39" s="19" t="s">
        <v>2976</v>
      </c>
      <c r="B39" s="19" t="s">
        <v>41</v>
      </c>
      <c r="C39" s="19" t="s">
        <v>2852</v>
      </c>
      <c r="D39" s="19" t="s">
        <v>2417</v>
      </c>
      <c r="E39" s="19" t="s">
        <v>2977</v>
      </c>
      <c r="F39" s="19" t="s">
        <v>2978</v>
      </c>
    </row>
    <row r="40" customFormat="false" ht="99.75" hidden="false" customHeight="true" outlineLevel="0" collapsed="false">
      <c r="A40" s="20" t="s">
        <v>2979</v>
      </c>
      <c r="B40" s="20" t="s">
        <v>41</v>
      </c>
      <c r="C40" s="20" t="s">
        <v>2852</v>
      </c>
      <c r="D40" s="20" t="s">
        <v>2938</v>
      </c>
      <c r="E40" s="20" t="s">
        <v>2980</v>
      </c>
      <c r="F40" s="20" t="s">
        <v>2939</v>
      </c>
    </row>
    <row r="41" customFormat="false" ht="99.75" hidden="false" customHeight="true" outlineLevel="0" collapsed="false">
      <c r="A41" s="19" t="s">
        <v>2981</v>
      </c>
      <c r="B41" s="19" t="s">
        <v>41</v>
      </c>
      <c r="C41" s="19" t="s">
        <v>2852</v>
      </c>
      <c r="D41" s="19" t="s">
        <v>2417</v>
      </c>
      <c r="E41" s="19" t="s">
        <v>2982</v>
      </c>
      <c r="F41" s="19" t="s">
        <v>2983</v>
      </c>
    </row>
    <row r="42" customFormat="false" ht="99.75" hidden="false" customHeight="true" outlineLevel="0" collapsed="false">
      <c r="A42" s="20" t="s">
        <v>2984</v>
      </c>
      <c r="B42" s="20" t="s">
        <v>41</v>
      </c>
      <c r="C42" s="20" t="s">
        <v>2852</v>
      </c>
      <c r="D42" s="20" t="s">
        <v>2417</v>
      </c>
      <c r="E42" s="20" t="s">
        <v>2985</v>
      </c>
      <c r="F42" s="20" t="s">
        <v>2986</v>
      </c>
    </row>
    <row r="43" customFormat="false" ht="99.75" hidden="false" customHeight="true" outlineLevel="0" collapsed="false">
      <c r="A43" s="19" t="s">
        <v>2987</v>
      </c>
      <c r="B43" s="19" t="s">
        <v>41</v>
      </c>
      <c r="C43" s="19" t="s">
        <v>2852</v>
      </c>
      <c r="D43" s="19" t="s">
        <v>2417</v>
      </c>
      <c r="E43" s="19" t="s">
        <v>2988</v>
      </c>
      <c r="F43" s="19" t="s">
        <v>2989</v>
      </c>
    </row>
    <row r="44" customFormat="false" ht="99.75" hidden="false" customHeight="true" outlineLevel="0" collapsed="false">
      <c r="A44" s="20" t="s">
        <v>2990</v>
      </c>
      <c r="B44" s="20" t="s">
        <v>41</v>
      </c>
      <c r="C44" s="20" t="s">
        <v>2852</v>
      </c>
      <c r="D44" s="20" t="s">
        <v>2417</v>
      </c>
      <c r="E44" s="20" t="s">
        <v>2991</v>
      </c>
      <c r="F44" s="20" t="s">
        <v>2992</v>
      </c>
    </row>
    <row r="45" customFormat="false" ht="99.75" hidden="false" customHeight="true" outlineLevel="0" collapsed="false">
      <c r="A45" s="19" t="s">
        <v>2993</v>
      </c>
      <c r="B45" s="19" t="s">
        <v>1254</v>
      </c>
      <c r="C45" s="19" t="s">
        <v>2852</v>
      </c>
      <c r="D45" s="19" t="s">
        <v>2938</v>
      </c>
      <c r="E45" s="19" t="s">
        <v>2994</v>
      </c>
      <c r="F45" s="19" t="s">
        <v>2939</v>
      </c>
    </row>
    <row r="46" customFormat="false" ht="99.75" hidden="false" customHeight="true" outlineLevel="0" collapsed="false">
      <c r="A46" s="20" t="s">
        <v>2995</v>
      </c>
      <c r="B46" s="20" t="s">
        <v>2691</v>
      </c>
      <c r="C46" s="20" t="s">
        <v>2996</v>
      </c>
      <c r="D46" s="20" t="s">
        <v>2938</v>
      </c>
      <c r="E46" s="20" t="s">
        <v>2997</v>
      </c>
      <c r="F46" s="20" t="s">
        <v>2939</v>
      </c>
    </row>
    <row r="47" customFormat="false" ht="99.75" hidden="false" customHeight="true" outlineLevel="0" collapsed="false">
      <c r="A47" s="19" t="s">
        <v>2998</v>
      </c>
      <c r="B47" s="19" t="s">
        <v>776</v>
      </c>
      <c r="C47" s="19" t="s">
        <v>2999</v>
      </c>
      <c r="D47" s="19" t="s">
        <v>2938</v>
      </c>
      <c r="E47" s="19" t="s">
        <v>3000</v>
      </c>
      <c r="F47" s="19" t="s">
        <v>2939</v>
      </c>
    </row>
    <row r="48" customFormat="false" ht="99.75" hidden="false" customHeight="true" outlineLevel="0" collapsed="false">
      <c r="A48" s="20" t="s">
        <v>3001</v>
      </c>
      <c r="B48" s="20" t="s">
        <v>776</v>
      </c>
      <c r="C48" s="20" t="s">
        <v>3002</v>
      </c>
      <c r="D48" s="20" t="s">
        <v>2417</v>
      </c>
      <c r="E48" s="20" t="s">
        <v>3003</v>
      </c>
      <c r="F48" s="20" t="s">
        <v>3004</v>
      </c>
    </row>
    <row r="49" customFormat="false" ht="99.75" hidden="false" customHeight="true" outlineLevel="0" collapsed="false">
      <c r="A49" s="19" t="s">
        <v>3005</v>
      </c>
      <c r="B49" s="19" t="s">
        <v>3006</v>
      </c>
      <c r="C49" s="19" t="s">
        <v>2852</v>
      </c>
      <c r="D49" s="19" t="s">
        <v>2417</v>
      </c>
      <c r="E49" s="19" t="s">
        <v>3007</v>
      </c>
      <c r="F49" s="19" t="s">
        <v>3008</v>
      </c>
    </row>
    <row r="50" customFormat="false" ht="99.75" hidden="false" customHeight="true" outlineLevel="0" collapsed="false">
      <c r="A50" s="20" t="s">
        <v>3009</v>
      </c>
      <c r="B50" s="20" t="s">
        <v>3010</v>
      </c>
      <c r="C50" s="20" t="s">
        <v>2999</v>
      </c>
      <c r="D50" s="20" t="s">
        <v>2417</v>
      </c>
      <c r="E50" s="20" t="s">
        <v>3011</v>
      </c>
      <c r="F50" s="20" t="s">
        <v>3012</v>
      </c>
    </row>
    <row r="51" customFormat="false" ht="99.75" hidden="false" customHeight="true" outlineLevel="0" collapsed="false">
      <c r="A51" s="19" t="s">
        <v>3013</v>
      </c>
      <c r="B51" s="19" t="s">
        <v>3010</v>
      </c>
      <c r="C51" s="19" t="s">
        <v>2852</v>
      </c>
      <c r="D51" s="19" t="s">
        <v>2417</v>
      </c>
      <c r="E51" s="19" t="s">
        <v>3014</v>
      </c>
      <c r="F51" s="19" t="s">
        <v>3015</v>
      </c>
    </row>
    <row r="52" customFormat="false" ht="99.75" hidden="false" customHeight="true" outlineLevel="0" collapsed="false">
      <c r="A52" s="20" t="s">
        <v>3016</v>
      </c>
      <c r="B52" s="20" t="s">
        <v>3010</v>
      </c>
      <c r="C52" s="20" t="s">
        <v>2852</v>
      </c>
      <c r="D52" s="20" t="s">
        <v>2417</v>
      </c>
      <c r="E52" s="20" t="s">
        <v>3017</v>
      </c>
      <c r="F52" s="20" t="s">
        <v>3018</v>
      </c>
    </row>
    <row r="53" customFormat="false" ht="99.75" hidden="false" customHeight="true" outlineLevel="0" collapsed="false">
      <c r="A53" s="19" t="s">
        <v>3019</v>
      </c>
      <c r="B53" s="19" t="s">
        <v>3010</v>
      </c>
      <c r="C53" s="19" t="s">
        <v>2999</v>
      </c>
      <c r="D53" s="19" t="s">
        <v>2417</v>
      </c>
      <c r="E53" s="19" t="s">
        <v>3020</v>
      </c>
      <c r="F53" s="19" t="s">
        <v>3021</v>
      </c>
    </row>
    <row r="54" customFormat="false" ht="99.75" hidden="false" customHeight="true" outlineLevel="0" collapsed="false">
      <c r="A54" s="20" t="s">
        <v>3022</v>
      </c>
      <c r="B54" s="20" t="s">
        <v>1339</v>
      </c>
      <c r="C54" s="20" t="s">
        <v>735</v>
      </c>
      <c r="D54" s="20" t="s">
        <v>2938</v>
      </c>
      <c r="E54" s="20" t="s">
        <v>3023</v>
      </c>
      <c r="F54" s="20" t="s">
        <v>2939</v>
      </c>
    </row>
    <row r="55" customFormat="false" ht="99.75" hidden="false" customHeight="true" outlineLevel="0" collapsed="false">
      <c r="A55" s="19" t="s">
        <v>3024</v>
      </c>
      <c r="B55" s="19" t="s">
        <v>98</v>
      </c>
      <c r="C55" s="19" t="s">
        <v>98</v>
      </c>
      <c r="D55" s="19" t="s">
        <v>2417</v>
      </c>
      <c r="E55" s="19" t="s">
        <v>3025</v>
      </c>
      <c r="F55" s="19" t="s">
        <v>3026</v>
      </c>
    </row>
    <row r="56" customFormat="false" ht="99.75" hidden="false" customHeight="true" outlineLevel="0" collapsed="false">
      <c r="A56" s="20" t="s">
        <v>3027</v>
      </c>
      <c r="B56" s="20" t="s">
        <v>98</v>
      </c>
      <c r="C56" s="20" t="s">
        <v>98</v>
      </c>
      <c r="D56" s="20" t="s">
        <v>2417</v>
      </c>
      <c r="E56" s="20" t="s">
        <v>3028</v>
      </c>
      <c r="F56" s="20" t="s">
        <v>3029</v>
      </c>
    </row>
    <row r="57" customFormat="false" ht="99.75" hidden="false" customHeight="true" outlineLevel="0" collapsed="false">
      <c r="A57" s="19" t="s">
        <v>3030</v>
      </c>
      <c r="B57" s="19" t="s">
        <v>98</v>
      </c>
      <c r="C57" s="19" t="s">
        <v>98</v>
      </c>
      <c r="D57" s="19" t="s">
        <v>2417</v>
      </c>
      <c r="E57" s="19" t="s">
        <v>3031</v>
      </c>
      <c r="F57" s="19" t="s">
        <v>3032</v>
      </c>
    </row>
    <row r="58" customFormat="false" ht="99.75" hidden="false" customHeight="true" outlineLevel="0" collapsed="false">
      <c r="A58" s="20" t="s">
        <v>3033</v>
      </c>
      <c r="B58" s="20" t="s">
        <v>98</v>
      </c>
      <c r="C58" s="20" t="s">
        <v>98</v>
      </c>
      <c r="D58" s="20" t="s">
        <v>2417</v>
      </c>
      <c r="E58" s="20" t="s">
        <v>3034</v>
      </c>
      <c r="F58" s="20" t="s">
        <v>3035</v>
      </c>
    </row>
    <row r="59" customFormat="false" ht="99.75" hidden="false" customHeight="true" outlineLevel="0" collapsed="false">
      <c r="A59" s="19" t="s">
        <v>3036</v>
      </c>
      <c r="B59" s="19" t="s">
        <v>98</v>
      </c>
      <c r="C59" s="19" t="s">
        <v>3037</v>
      </c>
      <c r="D59" s="19" t="s">
        <v>2884</v>
      </c>
      <c r="E59" s="19" t="s">
        <v>3038</v>
      </c>
      <c r="F59" s="19" t="s">
        <v>3039</v>
      </c>
    </row>
    <row r="60" customFormat="false" ht="99.75" hidden="false" customHeight="true" outlineLevel="0" collapsed="false">
      <c r="A60" s="20" t="s">
        <v>3040</v>
      </c>
      <c r="B60" s="20" t="s">
        <v>98</v>
      </c>
      <c r="C60" s="20" t="s">
        <v>3037</v>
      </c>
      <c r="D60" s="20" t="s">
        <v>2884</v>
      </c>
      <c r="E60" s="20" t="s">
        <v>3041</v>
      </c>
      <c r="F60" s="20" t="s">
        <v>3042</v>
      </c>
    </row>
    <row r="61" customFormat="false" ht="99.75" hidden="false" customHeight="true" outlineLevel="0" collapsed="false">
      <c r="A61" s="19" t="s">
        <v>3043</v>
      </c>
      <c r="B61" s="19" t="s">
        <v>56</v>
      </c>
      <c r="C61" s="19" t="s">
        <v>56</v>
      </c>
      <c r="D61" s="19" t="s">
        <v>2417</v>
      </c>
      <c r="E61" s="19" t="s">
        <v>3044</v>
      </c>
      <c r="F61" s="19" t="s">
        <v>3045</v>
      </c>
    </row>
    <row r="62" customFormat="false" ht="99.75" hidden="false" customHeight="true" outlineLevel="0" collapsed="false">
      <c r="A62" s="20" t="s">
        <v>3046</v>
      </c>
      <c r="B62" s="20" t="s">
        <v>3047</v>
      </c>
      <c r="C62" s="20" t="s">
        <v>3048</v>
      </c>
      <c r="D62" s="20" t="s">
        <v>2938</v>
      </c>
      <c r="E62" s="20" t="s">
        <v>3049</v>
      </c>
      <c r="F62" s="20" t="s">
        <v>2939</v>
      </c>
    </row>
    <row r="63" customFormat="false" ht="99.75" hidden="false" customHeight="true" outlineLevel="0" collapsed="false">
      <c r="A63" s="19" t="s">
        <v>3050</v>
      </c>
      <c r="B63" s="19" t="s">
        <v>3047</v>
      </c>
      <c r="C63" s="19" t="s">
        <v>3051</v>
      </c>
      <c r="D63" s="19" t="s">
        <v>326</v>
      </c>
      <c r="E63" s="19" t="s">
        <v>3052</v>
      </c>
      <c r="F63" s="19" t="s">
        <v>3053</v>
      </c>
    </row>
    <row r="64" customFormat="false" ht="99.75" hidden="false" customHeight="true" outlineLevel="0" collapsed="false">
      <c r="A64" s="20" t="s">
        <v>3054</v>
      </c>
      <c r="B64" s="20" t="s">
        <v>3055</v>
      </c>
      <c r="C64" s="20" t="s">
        <v>3051</v>
      </c>
      <c r="D64" s="20" t="s">
        <v>326</v>
      </c>
      <c r="E64" s="20" t="s">
        <v>3056</v>
      </c>
      <c r="F64" s="20" t="s">
        <v>3057</v>
      </c>
    </row>
    <row r="65" customFormat="false" ht="99.75" hidden="false" customHeight="true" outlineLevel="0" collapsed="false">
      <c r="A65" s="19" t="s">
        <v>3058</v>
      </c>
      <c r="B65" s="19" t="s">
        <v>146</v>
      </c>
      <c r="C65" s="19" t="s">
        <v>2883</v>
      </c>
      <c r="D65" s="19" t="s">
        <v>3059</v>
      </c>
      <c r="E65" s="19" t="s">
        <v>3060</v>
      </c>
      <c r="F65" s="19" t="s">
        <v>3061</v>
      </c>
    </row>
    <row r="66" customFormat="false" ht="99.75" hidden="false" customHeight="true" outlineLevel="0" collapsed="false">
      <c r="A66" s="20" t="s">
        <v>3062</v>
      </c>
      <c r="B66" s="20" t="s">
        <v>3063</v>
      </c>
      <c r="C66" s="20" t="s">
        <v>2908</v>
      </c>
      <c r="D66" s="20" t="s">
        <v>3064</v>
      </c>
      <c r="E66" s="20" t="s">
        <v>3065</v>
      </c>
      <c r="F66" s="20" t="s">
        <v>3066</v>
      </c>
    </row>
    <row r="67" customFormat="false" ht="99.75" hidden="false" customHeight="true" outlineLevel="0" collapsed="false">
      <c r="A67" s="19" t="s">
        <v>3067</v>
      </c>
      <c r="B67" s="19" t="s">
        <v>3063</v>
      </c>
      <c r="C67" s="19" t="s">
        <v>2925</v>
      </c>
      <c r="D67" s="19" t="s">
        <v>3064</v>
      </c>
      <c r="E67" s="19" t="s">
        <v>3068</v>
      </c>
      <c r="F67" s="19" t="s">
        <v>3069</v>
      </c>
    </row>
    <row r="68" customFormat="false" ht="99.75" hidden="false" customHeight="true" outlineLevel="0" collapsed="false">
      <c r="A68" s="20" t="s">
        <v>3070</v>
      </c>
      <c r="B68" s="20" t="s">
        <v>657</v>
      </c>
      <c r="C68" s="20" t="s">
        <v>3071</v>
      </c>
      <c r="D68" s="20" t="s">
        <v>2884</v>
      </c>
      <c r="E68" s="20" t="s">
        <v>3072</v>
      </c>
      <c r="F68" s="20" t="s">
        <v>3073</v>
      </c>
    </row>
    <row r="69" customFormat="false" ht="99.75" hidden="false" customHeight="true" outlineLevel="0" collapsed="false">
      <c r="A69" s="19" t="s">
        <v>3074</v>
      </c>
      <c r="B69" s="19" t="s">
        <v>657</v>
      </c>
      <c r="C69" s="19" t="s">
        <v>56</v>
      </c>
      <c r="D69" s="19" t="s">
        <v>2938</v>
      </c>
      <c r="E69" s="19" t="s">
        <v>1082</v>
      </c>
      <c r="F69" s="19" t="s">
        <v>2939</v>
      </c>
    </row>
    <row r="70" customFormat="false" ht="99.75" hidden="false" customHeight="true" outlineLevel="0" collapsed="false">
      <c r="A70" s="20" t="s">
        <v>3075</v>
      </c>
      <c r="B70" s="20" t="s">
        <v>657</v>
      </c>
      <c r="C70" s="20" t="s">
        <v>62</v>
      </c>
      <c r="D70" s="20" t="s">
        <v>2417</v>
      </c>
      <c r="E70" s="20" t="s">
        <v>3076</v>
      </c>
      <c r="F70" s="20" t="s">
        <v>3077</v>
      </c>
    </row>
    <row r="71" customFormat="false" ht="99.75" hidden="false" customHeight="true" outlineLevel="0" collapsed="false">
      <c r="A71" s="19" t="s">
        <v>3078</v>
      </c>
      <c r="B71" s="19" t="s">
        <v>3079</v>
      </c>
      <c r="C71" s="19" t="s">
        <v>735</v>
      </c>
      <c r="D71" s="19" t="s">
        <v>2417</v>
      </c>
      <c r="E71" s="19" t="s">
        <v>3080</v>
      </c>
      <c r="F71" s="19" t="s">
        <v>3081</v>
      </c>
    </row>
    <row r="72" customFormat="false" ht="99.75" hidden="false" customHeight="true" outlineLevel="0" collapsed="false">
      <c r="A72" s="20" t="s">
        <v>3082</v>
      </c>
      <c r="B72" s="20" t="s">
        <v>3083</v>
      </c>
      <c r="C72" s="20" t="s">
        <v>735</v>
      </c>
      <c r="D72" s="20" t="s">
        <v>2417</v>
      </c>
      <c r="E72" s="20" t="s">
        <v>3084</v>
      </c>
      <c r="F72" s="20" t="s">
        <v>3085</v>
      </c>
    </row>
    <row r="73" customFormat="false" ht="99.75" hidden="false" customHeight="true" outlineLevel="0" collapsed="false">
      <c r="A73" s="19" t="s">
        <v>3086</v>
      </c>
      <c r="B73" s="19" t="s">
        <v>3087</v>
      </c>
      <c r="C73" s="19" t="s">
        <v>735</v>
      </c>
      <c r="D73" s="19" t="s">
        <v>2853</v>
      </c>
      <c r="E73" s="19" t="s">
        <v>3088</v>
      </c>
      <c r="F73" s="19" t="s">
        <v>3089</v>
      </c>
    </row>
    <row r="74" customFormat="false" ht="99.75" hidden="false" customHeight="true" outlineLevel="0" collapsed="false">
      <c r="A74" s="20" t="s">
        <v>3090</v>
      </c>
      <c r="B74" s="20" t="s">
        <v>3087</v>
      </c>
      <c r="C74" s="20" t="s">
        <v>3091</v>
      </c>
      <c r="D74" s="20" t="s">
        <v>2884</v>
      </c>
      <c r="E74" s="20" t="s">
        <v>3092</v>
      </c>
      <c r="F74" s="20" t="s">
        <v>3093</v>
      </c>
    </row>
    <row r="75" customFormat="false" ht="99.75" hidden="false" customHeight="true" outlineLevel="0" collapsed="false">
      <c r="A75" s="19" t="s">
        <v>3094</v>
      </c>
      <c r="B75" s="19" t="s">
        <v>3087</v>
      </c>
      <c r="C75" s="19" t="s">
        <v>2941</v>
      </c>
      <c r="D75" s="19" t="s">
        <v>2417</v>
      </c>
      <c r="E75" s="19" t="s">
        <v>3095</v>
      </c>
      <c r="F75" s="19" t="s">
        <v>3096</v>
      </c>
    </row>
    <row r="76" customFormat="false" ht="99.75" hidden="false" customHeight="true" outlineLevel="0" collapsed="false">
      <c r="A76" s="20" t="s">
        <v>3097</v>
      </c>
      <c r="B76" s="20" t="s">
        <v>3087</v>
      </c>
      <c r="C76" s="20" t="s">
        <v>56</v>
      </c>
      <c r="D76" s="20" t="s">
        <v>2398</v>
      </c>
      <c r="E76" s="20" t="s">
        <v>3098</v>
      </c>
      <c r="F76" s="20" t="s">
        <v>3099</v>
      </c>
    </row>
    <row r="77" customFormat="false" ht="99.75" hidden="false" customHeight="true" outlineLevel="0" collapsed="false">
      <c r="A77" s="19" t="s">
        <v>3100</v>
      </c>
      <c r="B77" s="19" t="s">
        <v>3087</v>
      </c>
      <c r="C77" s="19" t="s">
        <v>62</v>
      </c>
      <c r="D77" s="19" t="s">
        <v>2398</v>
      </c>
      <c r="E77" s="19" t="s">
        <v>3101</v>
      </c>
      <c r="F77" s="19" t="s">
        <v>3102</v>
      </c>
    </row>
    <row r="78" customFormat="false" ht="99.75" hidden="false" customHeight="true" outlineLevel="0" collapsed="false">
      <c r="A78" s="20" t="s">
        <v>3103</v>
      </c>
      <c r="B78" s="20" t="s">
        <v>3104</v>
      </c>
      <c r="C78" s="20" t="s">
        <v>735</v>
      </c>
      <c r="D78" s="20" t="s">
        <v>2417</v>
      </c>
      <c r="E78" s="20" t="s">
        <v>3105</v>
      </c>
      <c r="F78" s="20" t="s">
        <v>3106</v>
      </c>
    </row>
    <row r="79" customFormat="false" ht="99.75" hidden="false" customHeight="true" outlineLevel="0" collapsed="false">
      <c r="A79" s="19" t="s">
        <v>3107</v>
      </c>
      <c r="B79" s="19" t="s">
        <v>647</v>
      </c>
      <c r="C79" s="19" t="s">
        <v>3108</v>
      </c>
      <c r="D79" s="19" t="s">
        <v>2417</v>
      </c>
      <c r="E79" s="19" t="s">
        <v>3109</v>
      </c>
      <c r="F79" s="19" t="s">
        <v>3110</v>
      </c>
    </row>
    <row r="80" customFormat="false" ht="99.75" hidden="false" customHeight="true" outlineLevel="0" collapsed="false">
      <c r="A80" s="20" t="s">
        <v>3111</v>
      </c>
      <c r="B80" s="20" t="s">
        <v>647</v>
      </c>
      <c r="C80" s="20" t="s">
        <v>735</v>
      </c>
      <c r="D80" s="20" t="s">
        <v>2417</v>
      </c>
      <c r="E80" s="20" t="s">
        <v>3112</v>
      </c>
      <c r="F80" s="20" t="s">
        <v>3113</v>
      </c>
    </row>
    <row r="81" customFormat="false" ht="99.75" hidden="false" customHeight="true" outlineLevel="0" collapsed="false">
      <c r="A81" s="19" t="s">
        <v>3114</v>
      </c>
      <c r="B81" s="19" t="s">
        <v>3115</v>
      </c>
      <c r="C81" s="19" t="s">
        <v>735</v>
      </c>
      <c r="D81" s="19" t="s">
        <v>2938</v>
      </c>
      <c r="E81" s="19" t="s">
        <v>1050</v>
      </c>
      <c r="F81" s="19" t="s">
        <v>2939</v>
      </c>
    </row>
    <row r="82" customFormat="false" ht="99.75" hidden="false" customHeight="true" outlineLevel="0" collapsed="false">
      <c r="A82" s="20" t="s">
        <v>3116</v>
      </c>
      <c r="B82" s="20" t="s">
        <v>3115</v>
      </c>
      <c r="C82" s="20" t="s">
        <v>735</v>
      </c>
      <c r="D82" s="20" t="s">
        <v>2938</v>
      </c>
      <c r="E82" s="20" t="s">
        <v>1054</v>
      </c>
      <c r="F82" s="20" t="s">
        <v>2939</v>
      </c>
    </row>
    <row r="83" customFormat="false" ht="99.75" hidden="false" customHeight="true" outlineLevel="0" collapsed="false">
      <c r="A83" s="19" t="s">
        <v>3117</v>
      </c>
      <c r="B83" s="19" t="s">
        <v>3115</v>
      </c>
      <c r="C83" s="19" t="s">
        <v>735</v>
      </c>
      <c r="D83" s="19" t="s">
        <v>2938</v>
      </c>
      <c r="E83" s="19" t="s">
        <v>3118</v>
      </c>
      <c r="F83" s="19" t="s">
        <v>2939</v>
      </c>
    </row>
    <row r="84" customFormat="false" ht="99.75" hidden="false" customHeight="true" outlineLevel="0" collapsed="false">
      <c r="A84" s="20" t="s">
        <v>3119</v>
      </c>
      <c r="B84" s="20" t="s">
        <v>62</v>
      </c>
      <c r="C84" s="20" t="s">
        <v>3120</v>
      </c>
      <c r="D84" s="20" t="s">
        <v>2938</v>
      </c>
      <c r="E84" s="20" t="s">
        <v>3121</v>
      </c>
      <c r="F84" s="20" t="s">
        <v>2939</v>
      </c>
    </row>
    <row r="85" customFormat="false" ht="99.75" hidden="false" customHeight="true" outlineLevel="0" collapsed="false">
      <c r="A85" s="19" t="s">
        <v>3122</v>
      </c>
      <c r="B85" s="19" t="s">
        <v>62</v>
      </c>
      <c r="C85" s="19" t="s">
        <v>62</v>
      </c>
      <c r="D85" s="19" t="s">
        <v>2938</v>
      </c>
      <c r="E85" s="19" t="s">
        <v>3123</v>
      </c>
      <c r="F85" s="19" t="s">
        <v>2939</v>
      </c>
    </row>
    <row r="86" customFormat="false" ht="99.75" hidden="false" customHeight="true" outlineLevel="0" collapsed="false">
      <c r="A86" s="20" t="s">
        <v>3124</v>
      </c>
      <c r="B86" s="20" t="s">
        <v>1143</v>
      </c>
      <c r="C86" s="20" t="s">
        <v>1143</v>
      </c>
      <c r="D86" s="20" t="s">
        <v>2369</v>
      </c>
      <c r="E86" s="20" t="s">
        <v>3125</v>
      </c>
      <c r="F86" s="20" t="s">
        <v>3126</v>
      </c>
    </row>
    <row r="87" customFormat="false" ht="99.75" hidden="false" customHeight="true" outlineLevel="0" collapsed="false">
      <c r="A87" s="19" t="s">
        <v>3127</v>
      </c>
      <c r="B87" s="19" t="s">
        <v>1143</v>
      </c>
      <c r="C87" s="19" t="s">
        <v>1143</v>
      </c>
      <c r="D87" s="19" t="s">
        <v>3128</v>
      </c>
      <c r="E87" s="19" t="s">
        <v>3129</v>
      </c>
      <c r="F87" s="19" t="s">
        <v>3130</v>
      </c>
    </row>
    <row r="88" customFormat="false" ht="99.75" hidden="false" customHeight="true" outlineLevel="0" collapsed="false">
      <c r="A88" s="20" t="s">
        <v>3131</v>
      </c>
      <c r="B88" s="20" t="s">
        <v>1143</v>
      </c>
      <c r="C88" s="20" t="s">
        <v>1143</v>
      </c>
      <c r="D88" s="20" t="s">
        <v>2524</v>
      </c>
      <c r="E88" s="20" t="s">
        <v>3132</v>
      </c>
      <c r="F88" s="20" t="s">
        <v>3133</v>
      </c>
    </row>
    <row r="89" customFormat="false" ht="99.75" hidden="false" customHeight="true" outlineLevel="0" collapsed="false">
      <c r="A89" s="19" t="s">
        <v>3134</v>
      </c>
      <c r="B89" s="19" t="s">
        <v>1143</v>
      </c>
      <c r="C89" s="19" t="s">
        <v>1143</v>
      </c>
      <c r="D89" s="19" t="s">
        <v>2938</v>
      </c>
      <c r="E89" s="19" t="s">
        <v>3135</v>
      </c>
      <c r="F89" s="19" t="s">
        <v>2939</v>
      </c>
    </row>
    <row r="90" customFormat="false" ht="99.75" hidden="false" customHeight="true" outlineLevel="0" collapsed="false">
      <c r="A90" s="20" t="s">
        <v>3136</v>
      </c>
      <c r="B90" s="20" t="s">
        <v>1143</v>
      </c>
      <c r="C90" s="20" t="s">
        <v>1143</v>
      </c>
      <c r="D90" s="20" t="s">
        <v>2369</v>
      </c>
      <c r="E90" s="20" t="s">
        <v>3137</v>
      </c>
      <c r="F90" s="20" t="s">
        <v>3138</v>
      </c>
    </row>
    <row r="91" customFormat="false" ht="99.75" hidden="false" customHeight="true" outlineLevel="0" collapsed="false">
      <c r="A91" s="19" t="s">
        <v>3139</v>
      </c>
      <c r="B91" s="19" t="s">
        <v>1143</v>
      </c>
      <c r="C91" s="19" t="s">
        <v>1143</v>
      </c>
      <c r="D91" s="19" t="s">
        <v>2888</v>
      </c>
      <c r="E91" s="19" t="s">
        <v>3140</v>
      </c>
      <c r="F91" s="19" t="s">
        <v>3141</v>
      </c>
    </row>
    <row r="92" customFormat="false" ht="99.75" hidden="false" customHeight="true" outlineLevel="0" collapsed="false">
      <c r="A92" s="20" t="s">
        <v>3142</v>
      </c>
      <c r="B92" s="20" t="s">
        <v>1143</v>
      </c>
      <c r="C92" s="20" t="s">
        <v>1143</v>
      </c>
      <c r="D92" s="20" t="s">
        <v>3143</v>
      </c>
      <c r="E92" s="20" t="s">
        <v>3144</v>
      </c>
      <c r="F92" s="20" t="s">
        <v>3145</v>
      </c>
    </row>
    <row r="93" customFormat="false" ht="99.75" hidden="false" customHeight="true" outlineLevel="0" collapsed="false">
      <c r="A93" s="19" t="s">
        <v>3146</v>
      </c>
      <c r="B93" s="19" t="s">
        <v>915</v>
      </c>
      <c r="C93" s="19" t="s">
        <v>735</v>
      </c>
      <c r="D93" s="19" t="s">
        <v>3147</v>
      </c>
      <c r="E93" s="19" t="s">
        <v>3148</v>
      </c>
      <c r="F93" s="19" t="s">
        <v>3149</v>
      </c>
    </row>
    <row r="94" customFormat="false" ht="99.75" hidden="false" customHeight="true" outlineLevel="0" collapsed="false">
      <c r="A94" s="20" t="s">
        <v>3150</v>
      </c>
      <c r="B94" s="20" t="s">
        <v>915</v>
      </c>
      <c r="C94" s="20" t="s">
        <v>2875</v>
      </c>
      <c r="D94" s="20" t="s">
        <v>2369</v>
      </c>
      <c r="E94" s="20" t="s">
        <v>3151</v>
      </c>
      <c r="F94" s="20" t="s">
        <v>3152</v>
      </c>
    </row>
    <row r="95" customFormat="false" ht="99.75" hidden="false" customHeight="true" outlineLevel="0" collapsed="false">
      <c r="A95" s="19" t="s">
        <v>3153</v>
      </c>
      <c r="B95" s="19" t="s">
        <v>3154</v>
      </c>
      <c r="C95" s="19" t="s">
        <v>3155</v>
      </c>
      <c r="D95" s="19" t="s">
        <v>3156</v>
      </c>
      <c r="E95" s="19" t="s">
        <v>3157</v>
      </c>
      <c r="F95" s="19" t="s">
        <v>3158</v>
      </c>
    </row>
    <row r="96" customFormat="false" ht="99.75" hidden="false" customHeight="true" outlineLevel="0" collapsed="false">
      <c r="A96" s="20" t="s">
        <v>3159</v>
      </c>
      <c r="B96" s="20" t="s">
        <v>3160</v>
      </c>
      <c r="C96" s="20" t="s">
        <v>2908</v>
      </c>
      <c r="D96" s="20" t="s">
        <v>3161</v>
      </c>
      <c r="E96" s="20" t="s">
        <v>3162</v>
      </c>
      <c r="F96" s="20" t="s">
        <v>3163</v>
      </c>
    </row>
    <row r="97" customFormat="false" ht="99.75" hidden="false" customHeight="true" outlineLevel="0" collapsed="false">
      <c r="A97" s="19" t="s">
        <v>3164</v>
      </c>
      <c r="B97" s="19" t="s">
        <v>3160</v>
      </c>
      <c r="C97" s="19" t="s">
        <v>735</v>
      </c>
      <c r="D97" s="19" t="s">
        <v>3165</v>
      </c>
      <c r="E97" s="19" t="s">
        <v>3166</v>
      </c>
      <c r="F97" s="19" t="s">
        <v>3167</v>
      </c>
    </row>
    <row r="98" customFormat="false" ht="114.75" hidden="false" customHeight="true" outlineLevel="0" collapsed="false">
      <c r="A98" s="20" t="s">
        <v>3168</v>
      </c>
      <c r="B98" s="20" t="s">
        <v>1449</v>
      </c>
      <c r="C98" s="20" t="s">
        <v>735</v>
      </c>
      <c r="D98" s="20" t="s">
        <v>3169</v>
      </c>
      <c r="E98" s="20" t="s">
        <v>3170</v>
      </c>
      <c r="F98" s="20" t="s">
        <v>3171</v>
      </c>
    </row>
    <row r="99" customFormat="false" ht="114.75" hidden="false" customHeight="true" outlineLevel="0" collapsed="false">
      <c r="A99" s="19" t="s">
        <v>3172</v>
      </c>
      <c r="B99" s="19" t="s">
        <v>3173</v>
      </c>
      <c r="C99" s="19" t="s">
        <v>3174</v>
      </c>
      <c r="D99" s="19" t="s">
        <v>1195</v>
      </c>
      <c r="E99" s="19" t="s">
        <v>3175</v>
      </c>
      <c r="F99" s="19" t="s">
        <v>3176</v>
      </c>
    </row>
    <row r="100" customFormat="false" ht="114.75" hidden="false" customHeight="true" outlineLevel="0" collapsed="false">
      <c r="A100" s="20" t="s">
        <v>3177</v>
      </c>
      <c r="B100" s="20" t="s">
        <v>247</v>
      </c>
      <c r="C100" s="20" t="s">
        <v>2875</v>
      </c>
      <c r="D100" s="20" t="s">
        <v>2938</v>
      </c>
      <c r="E100" s="20" t="s">
        <v>3178</v>
      </c>
      <c r="F100" s="20" t="s">
        <v>2939</v>
      </c>
    </row>
    <row r="101" customFormat="false" ht="114.75" hidden="false" customHeight="true" outlineLevel="0" collapsed="false">
      <c r="A101" s="19" t="s">
        <v>3179</v>
      </c>
      <c r="B101" s="19" t="s">
        <v>23</v>
      </c>
      <c r="C101" s="19" t="s">
        <v>2908</v>
      </c>
      <c r="D101" s="19" t="s">
        <v>1209</v>
      </c>
      <c r="E101" s="19" t="s">
        <v>3180</v>
      </c>
      <c r="F101" s="19" t="s">
        <v>3181</v>
      </c>
    </row>
    <row r="102" customFormat="false" ht="114.75" hidden="false" customHeight="true" outlineLevel="0" collapsed="false">
      <c r="A102" s="20" t="s">
        <v>3182</v>
      </c>
      <c r="B102" s="20" t="s">
        <v>47</v>
      </c>
      <c r="C102" s="20" t="s">
        <v>3183</v>
      </c>
      <c r="D102" s="20" t="s">
        <v>2938</v>
      </c>
      <c r="E102" s="20" t="s">
        <v>1070</v>
      </c>
      <c r="F102" s="20" t="s">
        <v>2939</v>
      </c>
    </row>
    <row r="103" customFormat="false" ht="114.75" hidden="false" customHeight="true" outlineLevel="0" collapsed="false">
      <c r="A103" s="19" t="s">
        <v>3184</v>
      </c>
      <c r="B103" s="19" t="s">
        <v>3185</v>
      </c>
      <c r="C103" s="19" t="s">
        <v>2852</v>
      </c>
      <c r="D103" s="19" t="s">
        <v>1219</v>
      </c>
      <c r="E103" s="19" t="s">
        <v>3186</v>
      </c>
      <c r="F103" s="19" t="s">
        <v>3187</v>
      </c>
    </row>
    <row r="104" customFormat="false" ht="114.75" hidden="false" customHeight="true" outlineLevel="0" collapsed="false">
      <c r="A104" s="20" t="s">
        <v>3188</v>
      </c>
      <c r="B104" s="20" t="s">
        <v>660</v>
      </c>
      <c r="C104" s="20" t="s">
        <v>3189</v>
      </c>
      <c r="D104" s="20" t="s">
        <v>1209</v>
      </c>
      <c r="E104" s="20" t="s">
        <v>3190</v>
      </c>
      <c r="F104" s="20" t="s">
        <v>3191</v>
      </c>
    </row>
    <row r="105" customFormat="false" ht="114.75" hidden="false" customHeight="true" outlineLevel="0" collapsed="false">
      <c r="A105" s="19" t="s">
        <v>3192</v>
      </c>
      <c r="B105" s="19" t="s">
        <v>3193</v>
      </c>
      <c r="C105" s="19" t="s">
        <v>3189</v>
      </c>
      <c r="D105" s="19" t="s">
        <v>3194</v>
      </c>
      <c r="E105" s="19" t="s">
        <v>3195</v>
      </c>
      <c r="F105" s="19" t="s">
        <v>3196</v>
      </c>
    </row>
    <row r="106" customFormat="false" ht="114.75" hidden="false" customHeight="true" outlineLevel="0" collapsed="false">
      <c r="A106" s="20" t="s">
        <v>3197</v>
      </c>
      <c r="B106" s="20" t="s">
        <v>802</v>
      </c>
      <c r="C106" s="20" t="s">
        <v>278</v>
      </c>
      <c r="D106" s="20" t="s">
        <v>2369</v>
      </c>
      <c r="E106" s="20" t="s">
        <v>3198</v>
      </c>
      <c r="F106" s="20" t="s">
        <v>3199</v>
      </c>
    </row>
    <row r="107" customFormat="false" ht="114.75" hidden="false" customHeight="true" outlineLevel="0" collapsed="false">
      <c r="A107" s="19" t="s">
        <v>3200</v>
      </c>
      <c r="B107" s="19" t="s">
        <v>3201</v>
      </c>
      <c r="C107" s="19" t="s">
        <v>278</v>
      </c>
      <c r="D107" s="19" t="s">
        <v>1204</v>
      </c>
      <c r="E107" s="19" t="s">
        <v>3202</v>
      </c>
      <c r="F107" s="19" t="s">
        <v>3203</v>
      </c>
    </row>
    <row r="108" customFormat="false" ht="114.75" hidden="false" customHeight="true" outlineLevel="0" collapsed="false">
      <c r="A108" s="20" t="s">
        <v>3204</v>
      </c>
      <c r="B108" s="20" t="s">
        <v>2967</v>
      </c>
      <c r="C108" s="20" t="s">
        <v>3205</v>
      </c>
      <c r="D108" s="20" t="s">
        <v>3206</v>
      </c>
      <c r="E108" s="20" t="s">
        <v>3207</v>
      </c>
      <c r="F108" s="20" t="s">
        <v>3208</v>
      </c>
    </row>
    <row r="109" customFormat="false" ht="114.75" hidden="false" customHeight="true" outlineLevel="0" collapsed="false">
      <c r="A109" s="19" t="s">
        <v>3209</v>
      </c>
      <c r="B109" s="19" t="s">
        <v>3210</v>
      </c>
      <c r="C109" s="19" t="s">
        <v>278</v>
      </c>
      <c r="D109" s="19" t="s">
        <v>3206</v>
      </c>
      <c r="E109" s="19" t="s">
        <v>3211</v>
      </c>
      <c r="F109" s="19" t="s">
        <v>3212</v>
      </c>
    </row>
    <row r="110" customFormat="false" ht="114.75" hidden="false" customHeight="true" outlineLevel="0" collapsed="false">
      <c r="A110" s="20" t="s">
        <v>3213</v>
      </c>
      <c r="B110" s="20" t="s">
        <v>3210</v>
      </c>
      <c r="C110" s="20" t="s">
        <v>98</v>
      </c>
      <c r="D110" s="20" t="s">
        <v>3206</v>
      </c>
      <c r="E110" s="20" t="s">
        <v>3214</v>
      </c>
      <c r="F110" s="20" t="s">
        <v>3215</v>
      </c>
    </row>
    <row r="111" customFormat="false" ht="114.75" hidden="false" customHeight="true" outlineLevel="0" collapsed="false">
      <c r="A111" s="19" t="s">
        <v>3216</v>
      </c>
      <c r="B111" s="19" t="s">
        <v>3210</v>
      </c>
      <c r="C111" s="19" t="s">
        <v>1143</v>
      </c>
      <c r="D111" s="19" t="s">
        <v>3206</v>
      </c>
      <c r="E111" s="19" t="s">
        <v>3217</v>
      </c>
      <c r="F111" s="19" t="s">
        <v>3218</v>
      </c>
    </row>
    <row r="112" customFormat="false" ht="114.75" hidden="false" customHeight="true" outlineLevel="0" collapsed="false">
      <c r="A112" s="20" t="s">
        <v>3219</v>
      </c>
      <c r="B112" s="20" t="s">
        <v>647</v>
      </c>
      <c r="C112" s="20" t="s">
        <v>3108</v>
      </c>
      <c r="D112" s="20" t="s">
        <v>2369</v>
      </c>
      <c r="E112" s="20" t="s">
        <v>3220</v>
      </c>
      <c r="F112" s="20" t="s">
        <v>3221</v>
      </c>
    </row>
    <row r="113" customFormat="false" ht="114.75" hidden="false" customHeight="true" outlineLevel="0" collapsed="false">
      <c r="A113" s="19" t="s">
        <v>3222</v>
      </c>
      <c r="B113" s="19" t="s">
        <v>3223</v>
      </c>
      <c r="C113" s="19" t="s">
        <v>239</v>
      </c>
      <c r="D113" s="19" t="s">
        <v>2938</v>
      </c>
      <c r="E113" s="19" t="s">
        <v>3224</v>
      </c>
      <c r="F113" s="19" t="s">
        <v>2939</v>
      </c>
    </row>
    <row r="114" customFormat="false" ht="114.75" hidden="false" customHeight="true" outlineLevel="0" collapsed="false">
      <c r="A114" s="20" t="s">
        <v>3225</v>
      </c>
      <c r="B114" s="20" t="s">
        <v>3226</v>
      </c>
      <c r="C114" s="20" t="s">
        <v>735</v>
      </c>
      <c r="D114" s="20" t="s">
        <v>2369</v>
      </c>
      <c r="E114" s="20" t="s">
        <v>3227</v>
      </c>
      <c r="F114" s="20" t="s">
        <v>3228</v>
      </c>
    </row>
    <row r="115" customFormat="false" ht="114.75" hidden="false" customHeight="true" outlineLevel="0" collapsed="false">
      <c r="A115" s="19" t="s">
        <v>3229</v>
      </c>
      <c r="B115" s="19" t="s">
        <v>1339</v>
      </c>
      <c r="C115" s="19" t="s">
        <v>3091</v>
      </c>
      <c r="D115" s="19" t="s">
        <v>3206</v>
      </c>
      <c r="E115" s="19" t="s">
        <v>3230</v>
      </c>
      <c r="F115" s="19" t="s">
        <v>3231</v>
      </c>
    </row>
    <row r="116" customFormat="false" ht="114.75" hidden="false" customHeight="true" outlineLevel="0" collapsed="false">
      <c r="A116" s="20" t="s">
        <v>3232</v>
      </c>
      <c r="B116" s="20" t="s">
        <v>1339</v>
      </c>
      <c r="C116" s="20" t="s">
        <v>56</v>
      </c>
      <c r="D116" s="20" t="s">
        <v>1209</v>
      </c>
      <c r="E116" s="20" t="s">
        <v>3233</v>
      </c>
      <c r="F116" s="20" t="s">
        <v>3234</v>
      </c>
    </row>
    <row r="117" customFormat="false" ht="114.75" hidden="false" customHeight="true" outlineLevel="0" collapsed="false">
      <c r="A117" s="19" t="s">
        <v>3235</v>
      </c>
      <c r="B117" s="19" t="s">
        <v>1339</v>
      </c>
      <c r="C117" s="19" t="s">
        <v>62</v>
      </c>
      <c r="D117" s="19" t="s">
        <v>1209</v>
      </c>
      <c r="E117" s="19" t="s">
        <v>3236</v>
      </c>
      <c r="F117" s="19" t="s">
        <v>3237</v>
      </c>
    </row>
    <row r="118" customFormat="false" ht="114.75" hidden="false" customHeight="true" outlineLevel="0" collapsed="false">
      <c r="A118" s="20" t="s">
        <v>3238</v>
      </c>
      <c r="B118" s="20" t="s">
        <v>1311</v>
      </c>
      <c r="C118" s="20" t="s">
        <v>735</v>
      </c>
      <c r="D118" s="20" t="s">
        <v>1209</v>
      </c>
      <c r="E118" s="20" t="s">
        <v>3239</v>
      </c>
      <c r="F118" s="20" t="s">
        <v>3240</v>
      </c>
    </row>
    <row r="119" customFormat="false" ht="114.75" hidden="false" customHeight="true" outlineLevel="0" collapsed="false">
      <c r="A119" s="19" t="s">
        <v>3241</v>
      </c>
      <c r="B119" s="19" t="s">
        <v>2724</v>
      </c>
      <c r="C119" s="19" t="s">
        <v>735</v>
      </c>
      <c r="D119" s="19" t="s">
        <v>2938</v>
      </c>
      <c r="E119" s="19" t="s">
        <v>3242</v>
      </c>
      <c r="F119" s="19" t="s">
        <v>2939</v>
      </c>
    </row>
    <row r="120" customFormat="false" ht="114.75" hidden="false" customHeight="true" outlineLevel="0" collapsed="false">
      <c r="A120" s="20" t="s">
        <v>3243</v>
      </c>
      <c r="B120" s="20" t="s">
        <v>98</v>
      </c>
      <c r="C120" s="20" t="s">
        <v>3037</v>
      </c>
      <c r="D120" s="20" t="s">
        <v>3206</v>
      </c>
      <c r="E120" s="20" t="s">
        <v>3244</v>
      </c>
      <c r="F120" s="20" t="s">
        <v>3245</v>
      </c>
    </row>
    <row r="121" customFormat="false" ht="114.75" hidden="false" customHeight="true" outlineLevel="0" collapsed="false">
      <c r="A121" s="19" t="s">
        <v>3246</v>
      </c>
      <c r="B121" s="19" t="s">
        <v>3247</v>
      </c>
      <c r="C121" s="19" t="s">
        <v>98</v>
      </c>
      <c r="D121" s="19" t="s">
        <v>2938</v>
      </c>
      <c r="E121" s="19" t="s">
        <v>3248</v>
      </c>
      <c r="F121" s="19" t="s">
        <v>2939</v>
      </c>
    </row>
    <row r="122" customFormat="false" ht="114.75" hidden="false" customHeight="true" outlineLevel="0" collapsed="false">
      <c r="A122" s="20" t="s">
        <v>3249</v>
      </c>
      <c r="B122" s="20" t="s">
        <v>3250</v>
      </c>
      <c r="C122" s="20" t="s">
        <v>98</v>
      </c>
      <c r="D122" s="20" t="s">
        <v>3251</v>
      </c>
      <c r="E122" s="20" t="s">
        <v>3252</v>
      </c>
      <c r="F122" s="20" t="s">
        <v>3253</v>
      </c>
    </row>
    <row r="123" customFormat="false" ht="114.75" hidden="false" customHeight="true" outlineLevel="0" collapsed="false">
      <c r="A123" s="19" t="s">
        <v>3254</v>
      </c>
      <c r="B123" s="19" t="s">
        <v>3255</v>
      </c>
      <c r="C123" s="19" t="s">
        <v>1143</v>
      </c>
      <c r="D123" s="19" t="s">
        <v>2938</v>
      </c>
      <c r="E123" s="19" t="s">
        <v>3256</v>
      </c>
      <c r="F123" s="19" t="s">
        <v>2939</v>
      </c>
    </row>
    <row r="124" customFormat="false" ht="114.75" hidden="false" customHeight="true" outlineLevel="0" collapsed="false">
      <c r="A124" s="20" t="s">
        <v>3257</v>
      </c>
      <c r="B124" s="20" t="s">
        <v>3258</v>
      </c>
      <c r="C124" s="20" t="s">
        <v>1143</v>
      </c>
      <c r="D124" s="20" t="s">
        <v>2369</v>
      </c>
      <c r="E124" s="20" t="s">
        <v>3259</v>
      </c>
      <c r="F124" s="20" t="s">
        <v>3260</v>
      </c>
    </row>
    <row r="125" customFormat="false" ht="114.75" hidden="false" customHeight="true" outlineLevel="0" collapsed="false">
      <c r="A125" s="19" t="s">
        <v>3261</v>
      </c>
      <c r="B125" s="19" t="s">
        <v>3262</v>
      </c>
      <c r="C125" s="19" t="s">
        <v>1143</v>
      </c>
      <c r="D125" s="19" t="s">
        <v>3263</v>
      </c>
      <c r="E125" s="19" t="s">
        <v>3264</v>
      </c>
      <c r="F125" s="19" t="s">
        <v>3265</v>
      </c>
    </row>
    <row r="126" customFormat="false" ht="114.75" hidden="false" customHeight="true" outlineLevel="0" collapsed="false">
      <c r="A126" s="20" t="s">
        <v>3266</v>
      </c>
      <c r="B126" s="20" t="s">
        <v>3267</v>
      </c>
      <c r="C126" s="20" t="s">
        <v>1143</v>
      </c>
      <c r="D126" s="20" t="s">
        <v>2938</v>
      </c>
      <c r="E126" s="20" t="s">
        <v>1078</v>
      </c>
      <c r="F126" s="20" t="s">
        <v>2939</v>
      </c>
    </row>
    <row r="127" customFormat="false" ht="114.75" hidden="false" customHeight="true" outlineLevel="0" collapsed="false">
      <c r="A127" s="19" t="s">
        <v>3268</v>
      </c>
      <c r="B127" s="19" t="s">
        <v>3269</v>
      </c>
      <c r="C127" s="19" t="s">
        <v>1143</v>
      </c>
      <c r="D127" s="19" t="s">
        <v>3206</v>
      </c>
      <c r="E127" s="19" t="s">
        <v>3270</v>
      </c>
      <c r="F127" s="19" t="s">
        <v>3271</v>
      </c>
    </row>
    <row r="128" customFormat="false" ht="114.75" hidden="false" customHeight="true" outlineLevel="0" collapsed="false">
      <c r="A128" s="20" t="s">
        <v>3272</v>
      </c>
      <c r="B128" s="20" t="s">
        <v>3273</v>
      </c>
      <c r="C128" s="20" t="s">
        <v>3051</v>
      </c>
      <c r="D128" s="20" t="s">
        <v>3274</v>
      </c>
      <c r="E128" s="20" t="s">
        <v>3275</v>
      </c>
      <c r="F128" s="20" t="s">
        <v>3276</v>
      </c>
    </row>
    <row r="129" customFormat="false" ht="114.75" hidden="false" customHeight="true" outlineLevel="0" collapsed="false">
      <c r="A129" s="19" t="s">
        <v>3277</v>
      </c>
      <c r="B129" s="19" t="s">
        <v>3278</v>
      </c>
      <c r="C129" s="19" t="s">
        <v>3120</v>
      </c>
      <c r="D129" s="19" t="s">
        <v>2938</v>
      </c>
      <c r="E129" s="19" t="s">
        <v>3279</v>
      </c>
      <c r="F129" s="19" t="s">
        <v>2939</v>
      </c>
    </row>
    <row r="130" customFormat="false" ht="114.75" hidden="false" customHeight="true" outlineLevel="0" collapsed="false">
      <c r="A130" s="20" t="s">
        <v>3280</v>
      </c>
      <c r="B130" s="20" t="s">
        <v>1316</v>
      </c>
      <c r="C130" s="20" t="s">
        <v>3108</v>
      </c>
      <c r="D130" s="20" t="s">
        <v>1219</v>
      </c>
      <c r="E130" s="20" t="s">
        <v>3281</v>
      </c>
      <c r="F130" s="20" t="s">
        <v>3282</v>
      </c>
    </row>
    <row r="131" customFormat="false" ht="114.75" hidden="false" customHeight="true" outlineLevel="0" collapsed="false">
      <c r="A131" s="19" t="s">
        <v>3283</v>
      </c>
      <c r="B131" s="19" t="s">
        <v>3284</v>
      </c>
      <c r="C131" s="19" t="s">
        <v>2875</v>
      </c>
      <c r="D131" s="19" t="s">
        <v>2369</v>
      </c>
      <c r="E131" s="19" t="s">
        <v>3285</v>
      </c>
      <c r="F131" s="19" t="s">
        <v>3286</v>
      </c>
    </row>
    <row r="132" customFormat="false" ht="114.75" hidden="false" customHeight="true" outlineLevel="0" collapsed="false">
      <c r="A132" s="20" t="s">
        <v>3287</v>
      </c>
      <c r="B132" s="20" t="s">
        <v>2716</v>
      </c>
      <c r="C132" s="20" t="s">
        <v>2852</v>
      </c>
      <c r="D132" s="20" t="s">
        <v>3274</v>
      </c>
      <c r="E132" s="20" t="s">
        <v>3288</v>
      </c>
      <c r="F132" s="20" t="s">
        <v>3289</v>
      </c>
    </row>
    <row r="133" customFormat="false" ht="114.75" hidden="false" customHeight="true" outlineLevel="0" collapsed="false">
      <c r="A133" s="19" t="s">
        <v>3290</v>
      </c>
      <c r="B133" s="19" t="s">
        <v>3291</v>
      </c>
      <c r="C133" s="19" t="s">
        <v>3292</v>
      </c>
      <c r="D133" s="19" t="s">
        <v>2938</v>
      </c>
      <c r="E133" s="19" t="s">
        <v>1309</v>
      </c>
      <c r="F133" s="19" t="s">
        <v>2939</v>
      </c>
    </row>
    <row r="134" customFormat="false" ht="114.75" hidden="false" customHeight="true" outlineLevel="0" collapsed="false">
      <c r="A134" s="20" t="s">
        <v>3293</v>
      </c>
      <c r="B134" s="20" t="s">
        <v>672</v>
      </c>
      <c r="C134" s="20" t="s">
        <v>735</v>
      </c>
      <c r="D134" s="20" t="s">
        <v>2938</v>
      </c>
      <c r="E134" s="20" t="s">
        <v>673</v>
      </c>
      <c r="F134" s="20" t="s">
        <v>2939</v>
      </c>
    </row>
    <row r="135" customFormat="false" ht="114.75" hidden="false" customHeight="true" outlineLevel="0" collapsed="false">
      <c r="A135" s="19" t="s">
        <v>3294</v>
      </c>
      <c r="B135" s="19" t="s">
        <v>3295</v>
      </c>
      <c r="C135" s="19" t="s">
        <v>3296</v>
      </c>
      <c r="D135" s="19" t="s">
        <v>2938</v>
      </c>
      <c r="E135" s="19" t="s">
        <v>3297</v>
      </c>
      <c r="F135" s="19" t="s">
        <v>2939</v>
      </c>
    </row>
    <row r="136" customFormat="false" ht="114.75" hidden="false" customHeight="true" outlineLevel="0" collapsed="false">
      <c r="A136" s="20" t="s">
        <v>3298</v>
      </c>
      <c r="B136" s="20" t="s">
        <v>672</v>
      </c>
      <c r="C136" s="20" t="s">
        <v>3299</v>
      </c>
      <c r="D136" s="20" t="s">
        <v>2938</v>
      </c>
      <c r="E136" s="20" t="s">
        <v>3300</v>
      </c>
      <c r="F136" s="20" t="s">
        <v>2939</v>
      </c>
    </row>
    <row r="137" customFormat="false" ht="114.75" hidden="false" customHeight="true" outlineLevel="0" collapsed="false">
      <c r="A137" s="19" t="s">
        <v>3301</v>
      </c>
      <c r="B137" s="19" t="s">
        <v>672</v>
      </c>
      <c r="C137" s="19" t="s">
        <v>3299</v>
      </c>
      <c r="D137" s="19" t="s">
        <v>2938</v>
      </c>
      <c r="E137" s="19" t="s">
        <v>3302</v>
      </c>
      <c r="F137" s="19" t="s">
        <v>2939</v>
      </c>
    </row>
    <row r="138" customFormat="false" ht="114.75" hidden="false" customHeight="true" outlineLevel="0" collapsed="false">
      <c r="A138" s="20" t="s">
        <v>3303</v>
      </c>
      <c r="B138" s="20" t="s">
        <v>672</v>
      </c>
      <c r="C138" s="20" t="s">
        <v>3299</v>
      </c>
      <c r="D138" s="20" t="s">
        <v>2938</v>
      </c>
      <c r="E138" s="20" t="s">
        <v>1062</v>
      </c>
      <c r="F138" s="20" t="s">
        <v>2939</v>
      </c>
    </row>
    <row r="139" customFormat="false" ht="114.75" hidden="false" customHeight="true" outlineLevel="0" collapsed="false">
      <c r="A139" s="19" t="s">
        <v>3304</v>
      </c>
      <c r="B139" s="19" t="s">
        <v>672</v>
      </c>
      <c r="C139" s="19" t="s">
        <v>3299</v>
      </c>
      <c r="D139" s="19" t="s">
        <v>2938</v>
      </c>
      <c r="E139" s="19" t="s">
        <v>1062</v>
      </c>
      <c r="F139" s="19" t="s">
        <v>2939</v>
      </c>
    </row>
    <row r="140" customFormat="false" ht="114.75" hidden="false" customHeight="true" outlineLevel="0" collapsed="false">
      <c r="A140" s="20" t="s">
        <v>3305</v>
      </c>
      <c r="B140" s="20" t="s">
        <v>672</v>
      </c>
      <c r="C140" s="20" t="s">
        <v>3299</v>
      </c>
      <c r="D140" s="20" t="s">
        <v>2938</v>
      </c>
      <c r="E140" s="20" t="s">
        <v>1062</v>
      </c>
      <c r="F140" s="20" t="s">
        <v>2939</v>
      </c>
    </row>
    <row r="141" customFormat="false" ht="114.75" hidden="false" customHeight="true" outlineLevel="0" collapsed="false">
      <c r="A141" s="19" t="s">
        <v>3306</v>
      </c>
      <c r="B141" s="19" t="s">
        <v>672</v>
      </c>
      <c r="C141" s="19" t="s">
        <v>3299</v>
      </c>
      <c r="D141" s="19" t="s">
        <v>2938</v>
      </c>
      <c r="E141" s="19" t="s">
        <v>1062</v>
      </c>
      <c r="F141" s="19" t="s">
        <v>2939</v>
      </c>
    </row>
    <row r="142" customFormat="false" ht="114.75" hidden="false" customHeight="true" outlineLevel="0" collapsed="false">
      <c r="A142" s="20" t="s">
        <v>3307</v>
      </c>
      <c r="B142" s="20" t="s">
        <v>672</v>
      </c>
      <c r="C142" s="20" t="s">
        <v>3299</v>
      </c>
      <c r="D142" s="20" t="s">
        <v>1792</v>
      </c>
      <c r="E142" s="20" t="s">
        <v>3308</v>
      </c>
      <c r="F142" s="20" t="s">
        <v>3309</v>
      </c>
    </row>
    <row r="143" customFormat="false" ht="114.75" hidden="false" customHeight="true" outlineLevel="0" collapsed="false">
      <c r="A143" s="19" t="s">
        <v>3310</v>
      </c>
      <c r="B143" s="19" t="s">
        <v>672</v>
      </c>
      <c r="C143" s="19" t="s">
        <v>3299</v>
      </c>
      <c r="D143" s="19" t="s">
        <v>2938</v>
      </c>
      <c r="E143" s="19" t="s">
        <v>3311</v>
      </c>
      <c r="F143" s="19" t="s">
        <v>2939</v>
      </c>
    </row>
    <row r="144" customFormat="false" ht="114.75" hidden="false" customHeight="true" outlineLevel="0" collapsed="false">
      <c r="A144" s="20" t="s">
        <v>3312</v>
      </c>
      <c r="B144" s="20" t="s">
        <v>672</v>
      </c>
      <c r="C144" s="20" t="s">
        <v>3299</v>
      </c>
      <c r="D144" s="20" t="s">
        <v>2938</v>
      </c>
      <c r="E144" s="20" t="s">
        <v>3313</v>
      </c>
      <c r="F144" s="20" t="s">
        <v>2939</v>
      </c>
    </row>
    <row r="145" customFormat="false" ht="114.75" hidden="false" customHeight="true" outlineLevel="0" collapsed="false">
      <c r="A145" s="19" t="s">
        <v>3314</v>
      </c>
      <c r="B145" s="19" t="s">
        <v>672</v>
      </c>
      <c r="C145" s="19" t="s">
        <v>3299</v>
      </c>
      <c r="D145" s="19" t="s">
        <v>2938</v>
      </c>
      <c r="E145" s="19" t="s">
        <v>3315</v>
      </c>
      <c r="F145" s="19" t="s">
        <v>2939</v>
      </c>
    </row>
    <row r="146" customFormat="false" ht="114.75" hidden="false" customHeight="true" outlineLevel="0" collapsed="false">
      <c r="A146" s="20" t="s">
        <v>3316</v>
      </c>
      <c r="B146" s="20" t="s">
        <v>672</v>
      </c>
      <c r="C146" s="20" t="s">
        <v>3299</v>
      </c>
      <c r="D146" s="20" t="s">
        <v>2938</v>
      </c>
      <c r="E146" s="20" t="s">
        <v>1058</v>
      </c>
      <c r="F146" s="20" t="s">
        <v>2939</v>
      </c>
    </row>
    <row r="147" customFormat="false" ht="114.75" hidden="false" customHeight="true" outlineLevel="0" collapsed="false">
      <c r="A147" s="19" t="s">
        <v>3317</v>
      </c>
      <c r="B147" s="19" t="s">
        <v>672</v>
      </c>
      <c r="C147" s="19" t="s">
        <v>3299</v>
      </c>
      <c r="D147" s="19" t="s">
        <v>2938</v>
      </c>
      <c r="E147" s="19" t="s">
        <v>3318</v>
      </c>
      <c r="F147" s="19" t="s">
        <v>2939</v>
      </c>
    </row>
    <row r="148" customFormat="false" ht="114.75" hidden="false" customHeight="true" outlineLevel="0" collapsed="false">
      <c r="A148" s="20" t="s">
        <v>3319</v>
      </c>
      <c r="B148" s="20" t="s">
        <v>672</v>
      </c>
      <c r="C148" s="20" t="s">
        <v>3299</v>
      </c>
      <c r="D148" s="20" t="s">
        <v>2938</v>
      </c>
      <c r="E148" s="20" t="s">
        <v>1050</v>
      </c>
      <c r="F148" s="20" t="s">
        <v>2939</v>
      </c>
    </row>
    <row r="149" customFormat="false" ht="114.75" hidden="false" customHeight="true" outlineLevel="0" collapsed="false">
      <c r="A149" s="19" t="s">
        <v>3320</v>
      </c>
      <c r="B149" s="19" t="s">
        <v>672</v>
      </c>
      <c r="C149" s="19" t="s">
        <v>3299</v>
      </c>
      <c r="D149" s="19" t="s">
        <v>326</v>
      </c>
      <c r="E149" s="19" t="s">
        <v>3321</v>
      </c>
      <c r="F149" s="19" t="s">
        <v>3322</v>
      </c>
    </row>
    <row r="150" customFormat="false" ht="114.75" hidden="false" customHeight="true" outlineLevel="0" collapsed="false">
      <c r="A150" s="20" t="s">
        <v>3323</v>
      </c>
      <c r="B150" s="20" t="s">
        <v>3324</v>
      </c>
      <c r="C150" s="20" t="s">
        <v>3325</v>
      </c>
      <c r="D150" s="20" t="s">
        <v>3326</v>
      </c>
      <c r="E150" s="20" t="s">
        <v>3327</v>
      </c>
      <c r="F150" s="20" t="s">
        <v>3328</v>
      </c>
    </row>
    <row r="151" customFormat="false" ht="114.75" hidden="false" customHeight="true" outlineLevel="0" collapsed="false">
      <c r="A151" s="19" t="s">
        <v>3329</v>
      </c>
      <c r="B151" s="19" t="s">
        <v>3324</v>
      </c>
      <c r="C151" s="19" t="s">
        <v>3325</v>
      </c>
      <c r="D151" s="19" t="s">
        <v>3326</v>
      </c>
      <c r="E151" s="19" t="s">
        <v>3330</v>
      </c>
      <c r="F151" s="19" t="s">
        <v>3331</v>
      </c>
    </row>
    <row r="152" customFormat="false" ht="114.75" hidden="false" customHeight="true" outlineLevel="0" collapsed="false">
      <c r="A152" s="20" t="s">
        <v>3332</v>
      </c>
      <c r="B152" s="20" t="s">
        <v>3324</v>
      </c>
      <c r="C152" s="20" t="s">
        <v>3325</v>
      </c>
      <c r="D152" s="20" t="s">
        <v>3326</v>
      </c>
      <c r="E152" s="20" t="s">
        <v>3333</v>
      </c>
      <c r="F152" s="20" t="s">
        <v>3334</v>
      </c>
    </row>
    <row r="153" customFormat="false" ht="114.75" hidden="false" customHeight="true" outlineLevel="0" collapsed="false">
      <c r="A153" s="19" t="s">
        <v>3335</v>
      </c>
      <c r="B153" s="19" t="s">
        <v>3324</v>
      </c>
      <c r="C153" s="19" t="s">
        <v>3325</v>
      </c>
      <c r="D153" s="19" t="s">
        <v>3326</v>
      </c>
      <c r="E153" s="19" t="s">
        <v>3336</v>
      </c>
      <c r="F153" s="19" t="s">
        <v>3337</v>
      </c>
    </row>
    <row r="154" customFormat="false" ht="114.75" hidden="false" customHeight="true" outlineLevel="0" collapsed="false">
      <c r="A154" s="20" t="s">
        <v>3338</v>
      </c>
      <c r="B154" s="20" t="s">
        <v>3324</v>
      </c>
      <c r="C154" s="20" t="s">
        <v>3325</v>
      </c>
      <c r="D154" s="20" t="s">
        <v>3326</v>
      </c>
      <c r="E154" s="20" t="s">
        <v>3339</v>
      </c>
      <c r="F154" s="20" t="s">
        <v>3340</v>
      </c>
    </row>
    <row r="155" customFormat="false" ht="114.75" hidden="false" customHeight="true" outlineLevel="0" collapsed="false">
      <c r="A155" s="19" t="s">
        <v>3341</v>
      </c>
      <c r="B155" s="19" t="s">
        <v>107</v>
      </c>
      <c r="C155" s="19" t="s">
        <v>62</v>
      </c>
      <c r="D155" s="19" t="s">
        <v>2938</v>
      </c>
      <c r="E155" s="19" t="s">
        <v>1034</v>
      </c>
      <c r="F155" s="19" t="s">
        <v>2939</v>
      </c>
    </row>
    <row r="156" customFormat="false" ht="114.75" hidden="false" customHeight="true" outlineLevel="0" collapsed="false">
      <c r="A156" s="20" t="s">
        <v>3342</v>
      </c>
      <c r="B156" s="20" t="s">
        <v>107</v>
      </c>
      <c r="C156" s="20" t="s">
        <v>62</v>
      </c>
      <c r="D156" s="20" t="s">
        <v>1233</v>
      </c>
      <c r="E156" s="20" t="s">
        <v>3343</v>
      </c>
      <c r="F156" s="20" t="s">
        <v>3344</v>
      </c>
    </row>
    <row r="157" customFormat="false" ht="114.75" hidden="false" customHeight="true" outlineLevel="0" collapsed="false">
      <c r="A157" s="19" t="s">
        <v>3345</v>
      </c>
      <c r="B157" s="19" t="s">
        <v>107</v>
      </c>
      <c r="C157" s="19" t="s">
        <v>62</v>
      </c>
      <c r="D157" s="19" t="s">
        <v>2938</v>
      </c>
      <c r="E157" s="19" t="s">
        <v>3346</v>
      </c>
      <c r="F157" s="19" t="s">
        <v>2939</v>
      </c>
    </row>
    <row r="158" customFormat="false" ht="114.75" hidden="false" customHeight="true" outlineLevel="0" collapsed="false">
      <c r="A158" s="20" t="s">
        <v>3347</v>
      </c>
      <c r="B158" s="20" t="s">
        <v>107</v>
      </c>
      <c r="C158" s="20" t="s">
        <v>62</v>
      </c>
      <c r="D158" s="20" t="s">
        <v>1233</v>
      </c>
      <c r="E158" s="20" t="s">
        <v>3348</v>
      </c>
      <c r="F158" s="20" t="s">
        <v>3349</v>
      </c>
    </row>
    <row r="159" customFormat="false" ht="114.75" hidden="false" customHeight="true" outlineLevel="0" collapsed="false">
      <c r="A159" s="19" t="s">
        <v>3350</v>
      </c>
      <c r="B159" s="19" t="s">
        <v>107</v>
      </c>
      <c r="C159" s="19" t="s">
        <v>62</v>
      </c>
      <c r="D159" s="19" t="s">
        <v>2938</v>
      </c>
      <c r="E159" s="19" t="s">
        <v>3351</v>
      </c>
      <c r="F159" s="19" t="s">
        <v>2939</v>
      </c>
    </row>
    <row r="160" customFormat="false" ht="114.75" hidden="false" customHeight="true" outlineLevel="0" collapsed="false">
      <c r="A160" s="20" t="s">
        <v>3352</v>
      </c>
      <c r="B160" s="20" t="s">
        <v>107</v>
      </c>
      <c r="C160" s="20" t="s">
        <v>62</v>
      </c>
      <c r="D160" s="20" t="s">
        <v>2938</v>
      </c>
      <c r="E160" s="20" t="s">
        <v>3353</v>
      </c>
      <c r="F160" s="20" t="s">
        <v>2939</v>
      </c>
    </row>
    <row r="161" customFormat="false" ht="114.75" hidden="false" customHeight="true" outlineLevel="0" collapsed="false">
      <c r="A161" s="19" t="s">
        <v>3354</v>
      </c>
      <c r="B161" s="19" t="s">
        <v>107</v>
      </c>
      <c r="C161" s="19" t="s">
        <v>62</v>
      </c>
      <c r="D161" s="19" t="s">
        <v>2938</v>
      </c>
      <c r="E161" s="19" t="s">
        <v>3355</v>
      </c>
      <c r="F161" s="19" t="s">
        <v>2939</v>
      </c>
    </row>
    <row r="162" customFormat="false" ht="114.75" hidden="false" customHeight="true" outlineLevel="0" collapsed="false">
      <c r="A162" s="20" t="s">
        <v>3356</v>
      </c>
      <c r="B162" s="20" t="s">
        <v>107</v>
      </c>
      <c r="C162" s="20" t="s">
        <v>62</v>
      </c>
      <c r="D162" s="20" t="s">
        <v>2938</v>
      </c>
      <c r="E162" s="20" t="s">
        <v>1042</v>
      </c>
      <c r="F162" s="20" t="s">
        <v>2939</v>
      </c>
    </row>
    <row r="163" customFormat="false" ht="114.75" hidden="false" customHeight="true" outlineLevel="0" collapsed="false">
      <c r="A163" s="19" t="s">
        <v>3357</v>
      </c>
      <c r="B163" s="19" t="s">
        <v>107</v>
      </c>
      <c r="C163" s="19" t="s">
        <v>62</v>
      </c>
      <c r="D163" s="19" t="s">
        <v>2938</v>
      </c>
      <c r="E163" s="19" t="s">
        <v>1042</v>
      </c>
      <c r="F163" s="19" t="s">
        <v>2939</v>
      </c>
    </row>
    <row r="164" customFormat="false" ht="114.75" hidden="false" customHeight="true" outlineLevel="0" collapsed="false">
      <c r="A164" s="20" t="s">
        <v>3358</v>
      </c>
      <c r="B164" s="20" t="s">
        <v>107</v>
      </c>
      <c r="C164" s="20" t="s">
        <v>62</v>
      </c>
      <c r="D164" s="20" t="s">
        <v>1233</v>
      </c>
      <c r="E164" s="20" t="s">
        <v>3359</v>
      </c>
      <c r="F164" s="20" t="s">
        <v>3360</v>
      </c>
    </row>
    <row r="165" customFormat="false" ht="114.75" hidden="false" customHeight="true" outlineLevel="0" collapsed="false">
      <c r="A165" s="19" t="s">
        <v>3361</v>
      </c>
      <c r="B165" s="19" t="s">
        <v>107</v>
      </c>
      <c r="C165" s="19" t="s">
        <v>62</v>
      </c>
      <c r="D165" s="19" t="s">
        <v>2938</v>
      </c>
      <c r="E165" s="19" t="s">
        <v>3362</v>
      </c>
      <c r="F165" s="19" t="s">
        <v>2939</v>
      </c>
    </row>
    <row r="166" customFormat="false" ht="114.75" hidden="false" customHeight="true" outlineLevel="0" collapsed="false">
      <c r="A166" s="20" t="s">
        <v>3363</v>
      </c>
      <c r="B166" s="20" t="s">
        <v>107</v>
      </c>
      <c r="C166" s="20" t="s">
        <v>62</v>
      </c>
      <c r="D166" s="20" t="s">
        <v>2938</v>
      </c>
      <c r="E166" s="20" t="s">
        <v>1038</v>
      </c>
      <c r="F166" s="20" t="s">
        <v>2939</v>
      </c>
    </row>
    <row r="167" customFormat="false" ht="114.75" hidden="false" customHeight="true" outlineLevel="0" collapsed="false">
      <c r="A167" s="19" t="s">
        <v>3364</v>
      </c>
      <c r="B167" s="19" t="s">
        <v>107</v>
      </c>
      <c r="C167" s="19" t="s">
        <v>62</v>
      </c>
      <c r="D167" s="19" t="s">
        <v>2938</v>
      </c>
      <c r="E167" s="19" t="s">
        <v>3365</v>
      </c>
      <c r="F167" s="19" t="s">
        <v>2939</v>
      </c>
    </row>
    <row r="168" customFormat="false" ht="114.75" hidden="false" customHeight="true" outlineLevel="0" collapsed="false">
      <c r="A168" s="20" t="s">
        <v>3366</v>
      </c>
      <c r="B168" s="20" t="s">
        <v>107</v>
      </c>
      <c r="C168" s="20" t="s">
        <v>62</v>
      </c>
      <c r="D168" s="20" t="s">
        <v>2938</v>
      </c>
      <c r="E168" s="20" t="s">
        <v>3367</v>
      </c>
      <c r="F168" s="20" t="s">
        <v>2939</v>
      </c>
    </row>
    <row r="169" customFormat="false" ht="114.75" hidden="false" customHeight="true" outlineLevel="0" collapsed="false">
      <c r="A169" s="19" t="s">
        <v>3368</v>
      </c>
      <c r="B169" s="19" t="s">
        <v>107</v>
      </c>
      <c r="C169" s="19" t="s">
        <v>62</v>
      </c>
      <c r="D169" s="19" t="s">
        <v>1233</v>
      </c>
      <c r="E169" s="19" t="s">
        <v>3369</v>
      </c>
      <c r="F169" s="19" t="s">
        <v>3370</v>
      </c>
    </row>
    <row r="170" customFormat="false" ht="114.75" hidden="false" customHeight="true" outlineLevel="0" collapsed="false">
      <c r="A170" s="20" t="s">
        <v>3371</v>
      </c>
      <c r="B170" s="20" t="s">
        <v>107</v>
      </c>
      <c r="C170" s="20" t="s">
        <v>62</v>
      </c>
      <c r="D170" s="20" t="s">
        <v>1233</v>
      </c>
      <c r="E170" s="20" t="s">
        <v>3372</v>
      </c>
      <c r="F170" s="20" t="s">
        <v>3373</v>
      </c>
    </row>
    <row r="171" customFormat="false" ht="114.75" hidden="false" customHeight="true" outlineLevel="0" collapsed="false">
      <c r="A171" s="19" t="s">
        <v>3374</v>
      </c>
      <c r="B171" s="19" t="s">
        <v>107</v>
      </c>
      <c r="C171" s="19" t="s">
        <v>62</v>
      </c>
      <c r="D171" s="19" t="s">
        <v>2938</v>
      </c>
      <c r="E171" s="19" t="s">
        <v>2101</v>
      </c>
      <c r="F171" s="19" t="s">
        <v>2939</v>
      </c>
    </row>
    <row r="172" customFormat="false" ht="114.75" hidden="false" customHeight="true" outlineLevel="0" collapsed="false">
      <c r="A172" s="20" t="s">
        <v>3375</v>
      </c>
      <c r="B172" s="20" t="s">
        <v>107</v>
      </c>
      <c r="C172" s="20" t="s">
        <v>62</v>
      </c>
      <c r="D172" s="20" t="s">
        <v>2938</v>
      </c>
      <c r="E172" s="20" t="s">
        <v>2071</v>
      </c>
      <c r="F172" s="20" t="s">
        <v>2939</v>
      </c>
    </row>
    <row r="173" customFormat="false" ht="114.75" hidden="false" customHeight="true" outlineLevel="0" collapsed="false">
      <c r="A173" s="19" t="s">
        <v>3376</v>
      </c>
      <c r="B173" s="19" t="s">
        <v>107</v>
      </c>
      <c r="C173" s="19" t="s">
        <v>62</v>
      </c>
      <c r="D173" s="19" t="s">
        <v>3377</v>
      </c>
      <c r="E173" s="19" t="s">
        <v>3378</v>
      </c>
      <c r="F173" s="19" t="s">
        <v>3379</v>
      </c>
    </row>
    <row r="174" customFormat="false" ht="114.75" hidden="false" customHeight="true" outlineLevel="0" collapsed="false">
      <c r="A174" s="20" t="s">
        <v>3380</v>
      </c>
      <c r="B174" s="20" t="s">
        <v>107</v>
      </c>
      <c r="C174" s="20" t="s">
        <v>62</v>
      </c>
      <c r="D174" s="20" t="s">
        <v>2938</v>
      </c>
      <c r="E174" s="20" t="s">
        <v>1042</v>
      </c>
      <c r="F174" s="20" t="s">
        <v>2939</v>
      </c>
    </row>
    <row r="175" customFormat="false" ht="114.75" hidden="false" customHeight="true" outlineLevel="0" collapsed="false">
      <c r="A175" s="19" t="s">
        <v>3381</v>
      </c>
      <c r="B175" s="19" t="s">
        <v>107</v>
      </c>
      <c r="C175" s="19" t="s">
        <v>62</v>
      </c>
      <c r="D175" s="19" t="s">
        <v>3382</v>
      </c>
      <c r="E175" s="19" t="s">
        <v>3383</v>
      </c>
      <c r="F175" s="19" t="s">
        <v>3384</v>
      </c>
    </row>
    <row r="176" customFormat="false" ht="114.75" hidden="false" customHeight="true" outlineLevel="0" collapsed="false">
      <c r="A176" s="20" t="s">
        <v>3385</v>
      </c>
      <c r="B176" s="20" t="s">
        <v>691</v>
      </c>
      <c r="C176" s="20" t="s">
        <v>3386</v>
      </c>
      <c r="D176" s="20" t="s">
        <v>2233</v>
      </c>
      <c r="E176" s="20" t="s">
        <v>2231</v>
      </c>
      <c r="F176" s="20" t="s">
        <v>3387</v>
      </c>
    </row>
    <row r="177" customFormat="false" ht="114.75" hidden="false" customHeight="true" outlineLevel="0" collapsed="false">
      <c r="A177" s="19" t="s">
        <v>3388</v>
      </c>
      <c r="B177" s="19" t="s">
        <v>691</v>
      </c>
      <c r="C177" s="19" t="s">
        <v>3386</v>
      </c>
      <c r="D177" s="19" t="s">
        <v>2237</v>
      </c>
      <c r="E177" s="19" t="s">
        <v>2235</v>
      </c>
      <c r="F177" s="19" t="s">
        <v>3389</v>
      </c>
    </row>
    <row r="178" customFormat="false" ht="114.75" hidden="false" customHeight="true" outlineLevel="0" collapsed="false">
      <c r="A178" s="20" t="s">
        <v>3390</v>
      </c>
      <c r="B178" s="20" t="s">
        <v>691</v>
      </c>
      <c r="C178" s="20" t="s">
        <v>3386</v>
      </c>
      <c r="D178" s="20" t="s">
        <v>2938</v>
      </c>
      <c r="E178" s="20" t="s">
        <v>3391</v>
      </c>
      <c r="F178" s="20" t="s">
        <v>2939</v>
      </c>
    </row>
    <row r="179" customFormat="false" ht="114.75" hidden="false" customHeight="true" outlineLevel="0" collapsed="false">
      <c r="A179" s="19" t="s">
        <v>3392</v>
      </c>
      <c r="B179" s="19" t="s">
        <v>691</v>
      </c>
      <c r="C179" s="19" t="s">
        <v>3386</v>
      </c>
      <c r="D179" s="19" t="s">
        <v>1792</v>
      </c>
      <c r="E179" s="19" t="s">
        <v>2241</v>
      </c>
      <c r="F179" s="19" t="s">
        <v>3393</v>
      </c>
    </row>
    <row r="180" customFormat="false" ht="114.75" hidden="false" customHeight="true" outlineLevel="0" collapsed="false">
      <c r="A180" s="20" t="s">
        <v>3394</v>
      </c>
      <c r="B180" s="20" t="s">
        <v>691</v>
      </c>
      <c r="C180" s="20" t="s">
        <v>3386</v>
      </c>
      <c r="D180" s="20" t="s">
        <v>1792</v>
      </c>
      <c r="E180" s="20" t="s">
        <v>2244</v>
      </c>
      <c r="F180" s="20" t="s">
        <v>3395</v>
      </c>
    </row>
    <row r="181" customFormat="false" ht="114.75" hidden="false" customHeight="true" outlineLevel="0" collapsed="false">
      <c r="A181" s="19" t="s">
        <v>3396</v>
      </c>
      <c r="B181" s="19" t="s">
        <v>691</v>
      </c>
      <c r="C181" s="19" t="s">
        <v>3386</v>
      </c>
      <c r="D181" s="19" t="s">
        <v>2249</v>
      </c>
      <c r="E181" s="19" t="s">
        <v>2247</v>
      </c>
      <c r="F181" s="19" t="s">
        <v>3397</v>
      </c>
    </row>
    <row r="182" customFormat="false" ht="114.75" hidden="false" customHeight="true" outlineLevel="0" collapsed="false">
      <c r="A182" s="20" t="s">
        <v>3398</v>
      </c>
      <c r="B182" s="20" t="s">
        <v>691</v>
      </c>
      <c r="C182" s="20" t="s">
        <v>3386</v>
      </c>
      <c r="D182" s="20" t="s">
        <v>2253</v>
      </c>
      <c r="E182" s="20" t="s">
        <v>2251</v>
      </c>
      <c r="F182" s="20" t="s">
        <v>3399</v>
      </c>
    </row>
    <row r="183" customFormat="false" ht="114.75" hidden="false" customHeight="true" outlineLevel="0" collapsed="false">
      <c r="A183" s="19" t="s">
        <v>3400</v>
      </c>
      <c r="B183" s="19" t="s">
        <v>691</v>
      </c>
      <c r="C183" s="19" t="s">
        <v>3386</v>
      </c>
      <c r="D183" s="19" t="s">
        <v>2257</v>
      </c>
      <c r="E183" s="19" t="s">
        <v>2255</v>
      </c>
      <c r="F183" s="19" t="s">
        <v>3401</v>
      </c>
    </row>
    <row r="184" customFormat="false" ht="114.75" hidden="false" customHeight="true" outlineLevel="0" collapsed="false">
      <c r="A184" s="20" t="s">
        <v>3402</v>
      </c>
      <c r="B184" s="20" t="s">
        <v>691</v>
      </c>
      <c r="C184" s="20" t="s">
        <v>3386</v>
      </c>
      <c r="D184" s="20" t="s">
        <v>2261</v>
      </c>
      <c r="E184" s="20" t="s">
        <v>2259</v>
      </c>
      <c r="F184" s="20" t="s">
        <v>3403</v>
      </c>
    </row>
    <row r="185" customFormat="false" ht="114.75" hidden="false" customHeight="true" outlineLevel="0" collapsed="false">
      <c r="A185" s="19" t="s">
        <v>3404</v>
      </c>
      <c r="B185" s="19" t="s">
        <v>691</v>
      </c>
      <c r="C185" s="19" t="s">
        <v>3386</v>
      </c>
      <c r="D185" s="19" t="s">
        <v>1792</v>
      </c>
      <c r="E185" s="19" t="s">
        <v>2263</v>
      </c>
      <c r="F185" s="19" t="s">
        <v>3405</v>
      </c>
    </row>
    <row r="186" customFormat="false" ht="114.75" hidden="false" customHeight="true" outlineLevel="0" collapsed="false">
      <c r="A186" s="20" t="s">
        <v>3406</v>
      </c>
      <c r="B186" s="20" t="s">
        <v>691</v>
      </c>
      <c r="C186" s="20" t="s">
        <v>3386</v>
      </c>
      <c r="D186" s="20" t="s">
        <v>2268</v>
      </c>
      <c r="E186" s="20" t="s">
        <v>2266</v>
      </c>
      <c r="F186" s="20" t="s">
        <v>3407</v>
      </c>
    </row>
    <row r="187" customFormat="false" ht="114.75" hidden="false" customHeight="true" outlineLevel="0" collapsed="false">
      <c r="A187" s="19" t="s">
        <v>3408</v>
      </c>
      <c r="B187" s="19" t="s">
        <v>691</v>
      </c>
      <c r="C187" s="19" t="s">
        <v>3386</v>
      </c>
      <c r="D187" s="19" t="s">
        <v>2272</v>
      </c>
      <c r="E187" s="19" t="s">
        <v>2270</v>
      </c>
      <c r="F187" s="19" t="s">
        <v>3409</v>
      </c>
    </row>
    <row r="188" customFormat="false" ht="120" hidden="false" customHeight="true" outlineLevel="0" collapsed="false">
      <c r="A188" s="20" t="s">
        <v>3410</v>
      </c>
      <c r="B188" s="20" t="s">
        <v>3411</v>
      </c>
      <c r="C188" s="20" t="s">
        <v>3412</v>
      </c>
      <c r="D188" s="20" t="s">
        <v>3413</v>
      </c>
      <c r="E188" s="20" t="s">
        <v>3414</v>
      </c>
      <c r="F188" s="20" t="s">
        <v>3415</v>
      </c>
    </row>
    <row r="189" customFormat="false" ht="120" hidden="false" customHeight="true" outlineLevel="0" collapsed="false">
      <c r="A189" s="19" t="s">
        <v>3416</v>
      </c>
      <c r="B189" s="19" t="s">
        <v>672</v>
      </c>
      <c r="C189" s="19" t="s">
        <v>3412</v>
      </c>
      <c r="D189" s="19" t="s">
        <v>3417</v>
      </c>
      <c r="E189" s="19" t="s">
        <v>3418</v>
      </c>
      <c r="F189" s="19" t="s">
        <v>3419</v>
      </c>
    </row>
    <row r="190" customFormat="false" ht="120" hidden="false" customHeight="true" outlineLevel="0" collapsed="false">
      <c r="A190" s="20" t="s">
        <v>3420</v>
      </c>
      <c r="B190" s="20" t="s">
        <v>3421</v>
      </c>
      <c r="C190" s="20" t="s">
        <v>3412</v>
      </c>
      <c r="D190" s="20" t="s">
        <v>3422</v>
      </c>
      <c r="E190" s="20" t="s">
        <v>3423</v>
      </c>
      <c r="F190" s="20" t="s">
        <v>3424</v>
      </c>
    </row>
    <row r="191" customFormat="false" ht="120" hidden="false" customHeight="true" outlineLevel="0" collapsed="false">
      <c r="A191" s="19" t="s">
        <v>3425</v>
      </c>
      <c r="B191" s="19" t="s">
        <v>3426</v>
      </c>
      <c r="C191" s="19" t="s">
        <v>3412</v>
      </c>
      <c r="D191" s="19" t="s">
        <v>2690</v>
      </c>
      <c r="E191" s="19" t="s">
        <v>3427</v>
      </c>
      <c r="F191" s="19" t="s">
        <v>3428</v>
      </c>
    </row>
    <row r="192" customFormat="false" ht="120" hidden="false" customHeight="true" outlineLevel="0" collapsed="false">
      <c r="A192" s="20" t="s">
        <v>3429</v>
      </c>
      <c r="B192" s="20" t="s">
        <v>3430</v>
      </c>
      <c r="C192" s="20" t="s">
        <v>3412</v>
      </c>
      <c r="D192" s="20" t="s">
        <v>2938</v>
      </c>
      <c r="E192" s="20" t="s">
        <v>1070</v>
      </c>
      <c r="F192" s="20" t="s">
        <v>2939</v>
      </c>
    </row>
    <row r="193" customFormat="false" ht="120" hidden="false" customHeight="true" outlineLevel="0" collapsed="false">
      <c r="A193" s="19" t="s">
        <v>3431</v>
      </c>
      <c r="B193" s="19" t="s">
        <v>3432</v>
      </c>
      <c r="C193" s="19" t="s">
        <v>3412</v>
      </c>
      <c r="D193" s="19" t="s">
        <v>2690</v>
      </c>
      <c r="E193" s="19" t="s">
        <v>3433</v>
      </c>
      <c r="F193" s="19" t="s">
        <v>3434</v>
      </c>
    </row>
    <row r="194" customFormat="false" ht="120" hidden="false" customHeight="true" outlineLevel="0" collapsed="false">
      <c r="A194" s="20" t="s">
        <v>3435</v>
      </c>
      <c r="B194" s="20" t="s">
        <v>3436</v>
      </c>
      <c r="C194" s="20" t="s">
        <v>3412</v>
      </c>
      <c r="D194" s="20" t="s">
        <v>2938</v>
      </c>
      <c r="E194" s="20" t="s">
        <v>1070</v>
      </c>
      <c r="F194" s="20" t="s">
        <v>2939</v>
      </c>
    </row>
    <row r="195" customFormat="false" ht="120" hidden="false" customHeight="true" outlineLevel="0" collapsed="false">
      <c r="A195" s="19" t="s">
        <v>3437</v>
      </c>
      <c r="B195" s="19" t="s">
        <v>3438</v>
      </c>
      <c r="C195" s="19" t="s">
        <v>3412</v>
      </c>
      <c r="D195" s="19" t="s">
        <v>2938</v>
      </c>
      <c r="E195" s="19" t="s">
        <v>1070</v>
      </c>
      <c r="F195" s="19" t="s">
        <v>2939</v>
      </c>
    </row>
    <row r="196" customFormat="false" ht="120" hidden="false" customHeight="true" outlineLevel="0" collapsed="false">
      <c r="A196" s="20" t="s">
        <v>3439</v>
      </c>
      <c r="B196" s="20" t="s">
        <v>3440</v>
      </c>
      <c r="C196" s="20" t="s">
        <v>3412</v>
      </c>
      <c r="D196" s="20" t="s">
        <v>2938</v>
      </c>
      <c r="E196" s="20" t="s">
        <v>1309</v>
      </c>
      <c r="F196" s="20" t="s">
        <v>2939</v>
      </c>
    </row>
    <row r="197" customFormat="false" ht="120" hidden="false" customHeight="true" outlineLevel="0" collapsed="false">
      <c r="A197" s="19" t="s">
        <v>3441</v>
      </c>
      <c r="B197" s="19" t="s">
        <v>3442</v>
      </c>
      <c r="C197" s="19" t="s">
        <v>3412</v>
      </c>
      <c r="D197" s="19" t="s">
        <v>2938</v>
      </c>
      <c r="E197" s="19" t="s">
        <v>3443</v>
      </c>
      <c r="F197" s="19" t="s">
        <v>2939</v>
      </c>
    </row>
    <row r="198" customFormat="false" ht="120" hidden="false" customHeight="true" outlineLevel="0" collapsed="false">
      <c r="A198" s="20" t="s">
        <v>3444</v>
      </c>
      <c r="B198" s="20" t="s">
        <v>2376</v>
      </c>
      <c r="C198" s="20" t="s">
        <v>3412</v>
      </c>
      <c r="D198" s="20" t="s">
        <v>1792</v>
      </c>
      <c r="E198" s="20" t="s">
        <v>3445</v>
      </c>
      <c r="F198" s="20" t="s">
        <v>3446</v>
      </c>
    </row>
    <row r="199" customFormat="false" ht="120" hidden="false" customHeight="true" outlineLevel="0" collapsed="false">
      <c r="A199" s="19" t="s">
        <v>3447</v>
      </c>
      <c r="B199" s="19" t="s">
        <v>3448</v>
      </c>
      <c r="C199" s="19" t="s">
        <v>3412</v>
      </c>
      <c r="D199" s="19" t="s">
        <v>3449</v>
      </c>
      <c r="E199" s="19" t="s">
        <v>3450</v>
      </c>
      <c r="F199" s="19" t="s">
        <v>3451</v>
      </c>
    </row>
    <row r="200" customFormat="false" ht="120" hidden="false" customHeight="true" outlineLevel="0" collapsed="false">
      <c r="A200" s="20" t="s">
        <v>3452</v>
      </c>
      <c r="B200" s="20" t="s">
        <v>3453</v>
      </c>
      <c r="C200" s="20" t="s">
        <v>3412</v>
      </c>
      <c r="D200" s="20" t="s">
        <v>2938</v>
      </c>
      <c r="E200" s="20" t="s">
        <v>3454</v>
      </c>
      <c r="F200" s="20" t="s">
        <v>2939</v>
      </c>
    </row>
    <row r="201" customFormat="false" ht="120" hidden="false" customHeight="true" outlineLevel="0" collapsed="false">
      <c r="A201" s="19" t="s">
        <v>3455</v>
      </c>
      <c r="B201" s="19" t="s">
        <v>3456</v>
      </c>
      <c r="C201" s="19" t="s">
        <v>3412</v>
      </c>
      <c r="D201" s="19" t="s">
        <v>2938</v>
      </c>
      <c r="E201" s="19" t="s">
        <v>1074</v>
      </c>
      <c r="F201" s="19" t="s">
        <v>2939</v>
      </c>
    </row>
    <row r="202" customFormat="false" ht="120" hidden="false" customHeight="true" outlineLevel="0" collapsed="false">
      <c r="A202" s="20" t="s">
        <v>3457</v>
      </c>
      <c r="B202" s="20" t="s">
        <v>3458</v>
      </c>
      <c r="C202" s="20" t="s">
        <v>3412</v>
      </c>
      <c r="D202" s="20" t="s">
        <v>2938</v>
      </c>
      <c r="E202" s="20" t="s">
        <v>3459</v>
      </c>
      <c r="F202" s="20" t="s">
        <v>2939</v>
      </c>
    </row>
    <row r="203" customFormat="false" ht="120" hidden="false" customHeight="true" outlineLevel="0" collapsed="false">
      <c r="A203" s="19" t="s">
        <v>3460</v>
      </c>
      <c r="B203" s="19" t="s">
        <v>3461</v>
      </c>
      <c r="C203" s="19" t="s">
        <v>3412</v>
      </c>
      <c r="D203" s="19" t="s">
        <v>2938</v>
      </c>
      <c r="E203" s="19" t="s">
        <v>1872</v>
      </c>
      <c r="F203" s="19" t="s">
        <v>2939</v>
      </c>
    </row>
    <row r="204" customFormat="false" ht="120" hidden="false" customHeight="true" outlineLevel="0" collapsed="false">
      <c r="A204" s="20" t="s">
        <v>3462</v>
      </c>
      <c r="B204" s="20" t="s">
        <v>3463</v>
      </c>
      <c r="C204" s="20" t="s">
        <v>3412</v>
      </c>
      <c r="D204" s="20" t="s">
        <v>2938</v>
      </c>
      <c r="E204" s="20" t="s">
        <v>1019</v>
      </c>
      <c r="F204" s="20" t="s">
        <v>2939</v>
      </c>
    </row>
    <row r="205" customFormat="false" ht="120" hidden="false" customHeight="true" outlineLevel="0" collapsed="false">
      <c r="A205" s="19" t="s">
        <v>3464</v>
      </c>
      <c r="B205" s="19" t="s">
        <v>1316</v>
      </c>
      <c r="C205" s="19" t="s">
        <v>3412</v>
      </c>
      <c r="D205" s="19" t="s">
        <v>3449</v>
      </c>
      <c r="E205" s="19" t="s">
        <v>3465</v>
      </c>
      <c r="F205" s="19" t="s">
        <v>3466</v>
      </c>
    </row>
    <row r="206" customFormat="false" ht="135" hidden="false" customHeight="true" outlineLevel="0" collapsed="false">
      <c r="A206" s="20" t="s">
        <v>3467</v>
      </c>
      <c r="B206" s="20" t="s">
        <v>1018</v>
      </c>
      <c r="C206" s="20" t="s">
        <v>3468</v>
      </c>
      <c r="D206" s="20" t="s">
        <v>2690</v>
      </c>
      <c r="E206" s="20" t="s">
        <v>1019</v>
      </c>
      <c r="F206" s="20" t="s">
        <v>3469</v>
      </c>
    </row>
    <row r="207" customFormat="false" ht="135" hidden="false" customHeight="true" outlineLevel="0" collapsed="false">
      <c r="A207" s="19" t="s">
        <v>3470</v>
      </c>
      <c r="B207" s="19" t="s">
        <v>1022</v>
      </c>
      <c r="C207" s="19" t="s">
        <v>3468</v>
      </c>
      <c r="D207" s="19" t="s">
        <v>2690</v>
      </c>
      <c r="E207" s="19" t="s">
        <v>1023</v>
      </c>
      <c r="F207" s="19" t="s">
        <v>3471</v>
      </c>
    </row>
    <row r="208" customFormat="false" ht="135" hidden="false" customHeight="true" outlineLevel="0" collapsed="false">
      <c r="A208" s="20" t="s">
        <v>3472</v>
      </c>
      <c r="B208" s="20" t="s">
        <v>1026</v>
      </c>
      <c r="C208" s="20" t="s">
        <v>3468</v>
      </c>
      <c r="D208" s="20" t="s">
        <v>2690</v>
      </c>
      <c r="E208" s="20" t="s">
        <v>1027</v>
      </c>
      <c r="F208" s="20" t="s">
        <v>3473</v>
      </c>
    </row>
    <row r="209" customFormat="false" ht="135" hidden="false" customHeight="true" outlineLevel="0" collapsed="false">
      <c r="A209" s="19" t="s">
        <v>3474</v>
      </c>
      <c r="B209" s="19" t="s">
        <v>1030</v>
      </c>
      <c r="C209" s="19" t="s">
        <v>3468</v>
      </c>
      <c r="D209" s="19" t="s">
        <v>2690</v>
      </c>
      <c r="E209" s="19" t="s">
        <v>1031</v>
      </c>
      <c r="F209" s="19" t="s">
        <v>3473</v>
      </c>
    </row>
    <row r="210" customFormat="false" ht="135" hidden="false" customHeight="true" outlineLevel="0" collapsed="false">
      <c r="A210" s="20" t="s">
        <v>3475</v>
      </c>
      <c r="B210" s="20" t="s">
        <v>1033</v>
      </c>
      <c r="C210" s="20" t="s">
        <v>3468</v>
      </c>
      <c r="D210" s="20" t="s">
        <v>2690</v>
      </c>
      <c r="E210" s="20" t="s">
        <v>1034</v>
      </c>
      <c r="F210" s="20" t="s">
        <v>3476</v>
      </c>
    </row>
    <row r="211" customFormat="false" ht="135" hidden="false" customHeight="true" outlineLevel="0" collapsed="false">
      <c r="A211" s="19" t="s">
        <v>3477</v>
      </c>
      <c r="B211" s="19" t="s">
        <v>1037</v>
      </c>
      <c r="C211" s="19" t="s">
        <v>3468</v>
      </c>
      <c r="D211" s="19" t="s">
        <v>2690</v>
      </c>
      <c r="E211" s="19" t="s">
        <v>1038</v>
      </c>
      <c r="F211" s="19" t="s">
        <v>3478</v>
      </c>
    </row>
    <row r="212" customFormat="false" ht="135" hidden="false" customHeight="true" outlineLevel="0" collapsed="false">
      <c r="A212" s="20" t="s">
        <v>3479</v>
      </c>
      <c r="B212" s="20" t="s">
        <v>1041</v>
      </c>
      <c r="C212" s="20" t="s">
        <v>3468</v>
      </c>
      <c r="D212" s="20" t="s">
        <v>2690</v>
      </c>
      <c r="E212" s="20" t="s">
        <v>1042</v>
      </c>
      <c r="F212" s="20" t="s">
        <v>3480</v>
      </c>
    </row>
    <row r="213" customFormat="false" ht="135" hidden="false" customHeight="true" outlineLevel="0" collapsed="false">
      <c r="A213" s="19" t="s">
        <v>3481</v>
      </c>
      <c r="B213" s="19" t="s">
        <v>1045</v>
      </c>
      <c r="C213" s="19" t="s">
        <v>3468</v>
      </c>
      <c r="D213" s="19" t="s">
        <v>2690</v>
      </c>
      <c r="E213" s="19" t="s">
        <v>1046</v>
      </c>
      <c r="F213" s="19" t="s">
        <v>3482</v>
      </c>
    </row>
    <row r="214" customFormat="false" ht="135" hidden="false" customHeight="true" outlineLevel="0" collapsed="false">
      <c r="A214" s="20" t="s">
        <v>3483</v>
      </c>
      <c r="B214" s="20" t="s">
        <v>1049</v>
      </c>
      <c r="C214" s="20" t="s">
        <v>3468</v>
      </c>
      <c r="D214" s="20" t="s">
        <v>2690</v>
      </c>
      <c r="E214" s="20" t="s">
        <v>1050</v>
      </c>
      <c r="F214" s="20" t="s">
        <v>3484</v>
      </c>
    </row>
    <row r="215" customFormat="false" ht="135" hidden="false" customHeight="true" outlineLevel="0" collapsed="false">
      <c r="A215" s="19" t="s">
        <v>3485</v>
      </c>
      <c r="B215" s="19" t="s">
        <v>1053</v>
      </c>
      <c r="C215" s="19" t="s">
        <v>3468</v>
      </c>
      <c r="D215" s="19" t="s">
        <v>2690</v>
      </c>
      <c r="E215" s="19" t="s">
        <v>1054</v>
      </c>
      <c r="F215" s="19" t="s">
        <v>3486</v>
      </c>
    </row>
    <row r="216" customFormat="false" ht="135" hidden="false" customHeight="true" outlineLevel="0" collapsed="false">
      <c r="A216" s="20" t="s">
        <v>3487</v>
      </c>
      <c r="B216" s="20" t="s">
        <v>1057</v>
      </c>
      <c r="C216" s="20" t="s">
        <v>3468</v>
      </c>
      <c r="D216" s="20" t="s">
        <v>2690</v>
      </c>
      <c r="E216" s="20" t="s">
        <v>1058</v>
      </c>
      <c r="F216" s="20" t="s">
        <v>3488</v>
      </c>
    </row>
    <row r="217" customFormat="false" ht="135" hidden="false" customHeight="true" outlineLevel="0" collapsed="false">
      <c r="A217" s="19" t="s">
        <v>3489</v>
      </c>
      <c r="B217" s="19" t="s">
        <v>1061</v>
      </c>
      <c r="C217" s="19" t="s">
        <v>3468</v>
      </c>
      <c r="D217" s="19" t="s">
        <v>2690</v>
      </c>
      <c r="E217" s="19" t="s">
        <v>1062</v>
      </c>
      <c r="F217" s="19" t="s">
        <v>3490</v>
      </c>
    </row>
    <row r="218" customFormat="false" ht="135" hidden="false" customHeight="true" outlineLevel="0" collapsed="false">
      <c r="A218" s="20" t="s">
        <v>3491</v>
      </c>
      <c r="B218" s="20" t="s">
        <v>1065</v>
      </c>
      <c r="C218" s="20" t="s">
        <v>3468</v>
      </c>
      <c r="D218" s="20" t="s">
        <v>2690</v>
      </c>
      <c r="E218" s="20" t="s">
        <v>1066</v>
      </c>
      <c r="F218" s="20" t="s">
        <v>3492</v>
      </c>
    </row>
    <row r="219" customFormat="false" ht="135" hidden="false" customHeight="true" outlineLevel="0" collapsed="false">
      <c r="A219" s="19" t="s">
        <v>3493</v>
      </c>
      <c r="B219" s="19" t="s">
        <v>1069</v>
      </c>
      <c r="C219" s="19" t="s">
        <v>3468</v>
      </c>
      <c r="D219" s="19" t="s">
        <v>2690</v>
      </c>
      <c r="E219" s="19" t="s">
        <v>1070</v>
      </c>
      <c r="F219" s="19" t="s">
        <v>3494</v>
      </c>
    </row>
    <row r="220" customFormat="false" ht="135" hidden="false" customHeight="true" outlineLevel="0" collapsed="false">
      <c r="A220" s="20" t="s">
        <v>3495</v>
      </c>
      <c r="B220" s="20" t="s">
        <v>1073</v>
      </c>
      <c r="C220" s="20" t="s">
        <v>3468</v>
      </c>
      <c r="D220" s="20" t="s">
        <v>2690</v>
      </c>
      <c r="E220" s="20" t="s">
        <v>1074</v>
      </c>
      <c r="F220" s="20" t="s">
        <v>3496</v>
      </c>
    </row>
    <row r="221" customFormat="false" ht="135" hidden="false" customHeight="true" outlineLevel="0" collapsed="false">
      <c r="A221" s="19" t="s">
        <v>3497</v>
      </c>
      <c r="B221" s="19" t="s">
        <v>1077</v>
      </c>
      <c r="C221" s="19" t="s">
        <v>3468</v>
      </c>
      <c r="D221" s="19" t="s">
        <v>2690</v>
      </c>
      <c r="E221" s="19" t="s">
        <v>1078</v>
      </c>
      <c r="F221" s="19" t="s">
        <v>3498</v>
      </c>
    </row>
    <row r="222" customFormat="false" ht="135" hidden="false" customHeight="true" outlineLevel="0" collapsed="false">
      <c r="A222" s="20" t="s">
        <v>3499</v>
      </c>
      <c r="B222" s="20" t="s">
        <v>1081</v>
      </c>
      <c r="C222" s="20" t="s">
        <v>3468</v>
      </c>
      <c r="D222" s="20" t="s">
        <v>2690</v>
      </c>
      <c r="E222" s="20" t="s">
        <v>1082</v>
      </c>
      <c r="F222" s="20" t="s">
        <v>3500</v>
      </c>
    </row>
    <row r="223" customFormat="false" ht="79.5" hidden="false" customHeight="true" outlineLevel="0" collapsed="false">
      <c r="A223" s="20" t="s">
        <v>733</v>
      </c>
      <c r="B223" s="20" t="s">
        <v>734</v>
      </c>
      <c r="C223" s="20" t="s">
        <v>735</v>
      </c>
      <c r="D223" s="20" t="s">
        <v>1328</v>
      </c>
      <c r="E223" s="20" t="s">
        <v>736</v>
      </c>
      <c r="F223" s="20" t="s">
        <v>3501</v>
      </c>
    </row>
    <row r="224" customFormat="false" ht="79.5" hidden="false" customHeight="true" outlineLevel="0" collapsed="false">
      <c r="A224" s="20" t="s">
        <v>738</v>
      </c>
      <c r="B224" s="20" t="s">
        <v>8</v>
      </c>
      <c r="C224" s="20" t="s">
        <v>739</v>
      </c>
      <c r="D224" s="20" t="s">
        <v>1328</v>
      </c>
      <c r="E224" s="20" t="s">
        <v>740</v>
      </c>
      <c r="F224" s="20" t="s">
        <v>3502</v>
      </c>
    </row>
    <row r="225" customFormat="false" ht="79.5" hidden="false" customHeight="true" outlineLevel="0" collapsed="false">
      <c r="A225" s="20" t="s">
        <v>742</v>
      </c>
      <c r="B225" s="20" t="s">
        <v>8</v>
      </c>
      <c r="C225" s="20" t="s">
        <v>743</v>
      </c>
      <c r="D225" s="20" t="s">
        <v>1328</v>
      </c>
      <c r="E225" s="20" t="s">
        <v>744</v>
      </c>
      <c r="F225" s="20" t="s">
        <v>3503</v>
      </c>
    </row>
    <row r="226" customFormat="false" ht="79.5" hidden="false" customHeight="true" outlineLevel="0" collapsed="false">
      <c r="A226" s="20" t="s">
        <v>746</v>
      </c>
      <c r="B226" s="20" t="s">
        <v>8</v>
      </c>
      <c r="C226" s="20" t="s">
        <v>747</v>
      </c>
      <c r="D226" s="20" t="s">
        <v>1328</v>
      </c>
      <c r="E226" s="20" t="s">
        <v>748</v>
      </c>
      <c r="F226" s="20" t="s">
        <v>3504</v>
      </c>
    </row>
    <row r="227" customFormat="false" ht="79.5" hidden="false" customHeight="true" outlineLevel="0" collapsed="false">
      <c r="A227" s="20" t="s">
        <v>750</v>
      </c>
      <c r="B227" s="20" t="s">
        <v>23</v>
      </c>
      <c r="C227" s="20" t="s">
        <v>751</v>
      </c>
      <c r="D227" s="20" t="s">
        <v>1328</v>
      </c>
      <c r="E227" s="20" t="s">
        <v>752</v>
      </c>
      <c r="F227" s="20" t="s">
        <v>3505</v>
      </c>
    </row>
    <row r="228" customFormat="false" ht="79.5" hidden="false" customHeight="true" outlineLevel="0" collapsed="false">
      <c r="A228" s="20" t="s">
        <v>754</v>
      </c>
      <c r="B228" s="20" t="s">
        <v>755</v>
      </c>
      <c r="C228" s="20" t="s">
        <v>756</v>
      </c>
      <c r="D228" s="20" t="s">
        <v>1328</v>
      </c>
      <c r="E228" s="20" t="s">
        <v>757</v>
      </c>
      <c r="F228" s="20" t="s">
        <v>3506</v>
      </c>
    </row>
    <row r="229" customFormat="false" ht="79.5" hidden="false" customHeight="true" outlineLevel="0" collapsed="false">
      <c r="A229" s="20" t="s">
        <v>759</v>
      </c>
      <c r="B229" s="20" t="s">
        <v>760</v>
      </c>
      <c r="C229" s="20" t="s">
        <v>761</v>
      </c>
      <c r="D229" s="20" t="s">
        <v>1328</v>
      </c>
      <c r="E229" s="20" t="s">
        <v>762</v>
      </c>
      <c r="F229" s="20" t="s">
        <v>3507</v>
      </c>
    </row>
    <row r="230" customFormat="false" ht="79.5" hidden="false" customHeight="true" outlineLevel="0" collapsed="false">
      <c r="A230" s="20" t="s">
        <v>764</v>
      </c>
      <c r="B230" s="20" t="s">
        <v>760</v>
      </c>
      <c r="C230" s="20" t="s">
        <v>23</v>
      </c>
      <c r="D230" s="20" t="s">
        <v>1328</v>
      </c>
      <c r="E230" s="20" t="s">
        <v>765</v>
      </c>
      <c r="F230" s="20" t="s">
        <v>3508</v>
      </c>
    </row>
    <row r="231" customFormat="false" ht="79.5" hidden="false" customHeight="true" outlineLevel="0" collapsed="false">
      <c r="A231" s="20" t="s">
        <v>767</v>
      </c>
      <c r="B231" s="20" t="s">
        <v>760</v>
      </c>
      <c r="C231" s="20" t="s">
        <v>768</v>
      </c>
      <c r="D231" s="20" t="s">
        <v>1328</v>
      </c>
      <c r="E231" s="20" t="s">
        <v>769</v>
      </c>
      <c r="F231" s="20" t="s">
        <v>3509</v>
      </c>
    </row>
    <row r="232" customFormat="false" ht="79.5" hidden="false" customHeight="true" outlineLevel="0" collapsed="false">
      <c r="A232" s="20" t="s">
        <v>771</v>
      </c>
      <c r="B232" s="20" t="s">
        <v>760</v>
      </c>
      <c r="C232" s="20" t="s">
        <v>772</v>
      </c>
      <c r="D232" s="20" t="s">
        <v>1328</v>
      </c>
      <c r="E232" s="20" t="s">
        <v>773</v>
      </c>
      <c r="F232" s="20" t="s">
        <v>3510</v>
      </c>
    </row>
    <row r="233" customFormat="false" ht="79.5" hidden="false" customHeight="true" outlineLevel="0" collapsed="false">
      <c r="A233" s="20" t="s">
        <v>775</v>
      </c>
      <c r="B233" s="20" t="s">
        <v>760</v>
      </c>
      <c r="C233" s="20" t="s">
        <v>776</v>
      </c>
      <c r="D233" s="20" t="s">
        <v>1328</v>
      </c>
      <c r="E233" s="20" t="s">
        <v>777</v>
      </c>
      <c r="F233" s="20" t="s">
        <v>3511</v>
      </c>
    </row>
    <row r="234" customFormat="false" ht="79.5" hidden="false" customHeight="true" outlineLevel="0" collapsed="false">
      <c r="A234" s="20" t="s">
        <v>779</v>
      </c>
      <c r="B234" s="20" t="s">
        <v>760</v>
      </c>
      <c r="C234" s="20" t="s">
        <v>780</v>
      </c>
      <c r="D234" s="20" t="s">
        <v>1328</v>
      </c>
      <c r="E234" s="20" t="s">
        <v>781</v>
      </c>
      <c r="F234" s="20" t="s">
        <v>3512</v>
      </c>
    </row>
    <row r="235" customFormat="false" ht="79.5" hidden="false" customHeight="true" outlineLevel="0" collapsed="false">
      <c r="A235" s="20" t="s">
        <v>783</v>
      </c>
      <c r="B235" s="20" t="s">
        <v>760</v>
      </c>
      <c r="C235" s="20" t="s">
        <v>248</v>
      </c>
      <c r="D235" s="20" t="s">
        <v>1328</v>
      </c>
      <c r="E235" s="20" t="s">
        <v>784</v>
      </c>
      <c r="F235" s="20" t="s">
        <v>3513</v>
      </c>
    </row>
    <row r="236" customFormat="false" ht="79.5" hidden="false" customHeight="true" outlineLevel="0" collapsed="false">
      <c r="A236" s="20" t="s">
        <v>786</v>
      </c>
      <c r="B236" s="20" t="s">
        <v>760</v>
      </c>
      <c r="C236" s="20" t="s">
        <v>787</v>
      </c>
      <c r="D236" s="20" t="s">
        <v>1328</v>
      </c>
      <c r="E236" s="20" t="s">
        <v>788</v>
      </c>
      <c r="F236" s="20" t="s">
        <v>3514</v>
      </c>
    </row>
    <row r="237" customFormat="false" ht="79.5" hidden="false" customHeight="true" outlineLevel="0" collapsed="false">
      <c r="A237" s="20" t="s">
        <v>790</v>
      </c>
      <c r="B237" s="20" t="s">
        <v>760</v>
      </c>
      <c r="C237" s="20" t="s">
        <v>791</v>
      </c>
      <c r="D237" s="20" t="s">
        <v>1328</v>
      </c>
      <c r="E237" s="20" t="s">
        <v>792</v>
      </c>
      <c r="F237" s="20" t="s">
        <v>3515</v>
      </c>
    </row>
    <row r="238" customFormat="false" ht="79.5" hidden="false" customHeight="true" outlineLevel="0" collapsed="false">
      <c r="A238" s="20" t="s">
        <v>794</v>
      </c>
      <c r="B238" s="20" t="s">
        <v>760</v>
      </c>
      <c r="C238" s="20" t="s">
        <v>795</v>
      </c>
      <c r="D238" s="20" t="s">
        <v>1328</v>
      </c>
      <c r="E238" s="20" t="s">
        <v>796</v>
      </c>
      <c r="F238" s="20" t="s">
        <v>3516</v>
      </c>
    </row>
    <row r="239" customFormat="false" ht="79.5" hidden="false" customHeight="true" outlineLevel="0" collapsed="false">
      <c r="A239" s="20" t="s">
        <v>798</v>
      </c>
      <c r="B239" s="20" t="s">
        <v>660</v>
      </c>
      <c r="C239" s="20" t="s">
        <v>279</v>
      </c>
      <c r="D239" s="20" t="s">
        <v>1328</v>
      </c>
      <c r="E239" s="20" t="s">
        <v>799</v>
      </c>
      <c r="F239" s="20" t="s">
        <v>3517</v>
      </c>
    </row>
    <row r="240" customFormat="false" ht="79.5" hidden="false" customHeight="true" outlineLevel="0" collapsed="false">
      <c r="A240" s="20" t="s">
        <v>801</v>
      </c>
      <c r="B240" s="20" t="s">
        <v>802</v>
      </c>
      <c r="C240" s="20" t="s">
        <v>803</v>
      </c>
      <c r="D240" s="20" t="s">
        <v>1328</v>
      </c>
      <c r="E240" s="20" t="s">
        <v>804</v>
      </c>
      <c r="F240" s="20" t="s">
        <v>3518</v>
      </c>
    </row>
    <row r="241" customFormat="false" ht="79.5" hidden="false" customHeight="true" outlineLevel="0" collapsed="false">
      <c r="A241" s="20" t="s">
        <v>806</v>
      </c>
      <c r="B241" s="20" t="s">
        <v>802</v>
      </c>
      <c r="C241" s="20" t="s">
        <v>807</v>
      </c>
      <c r="D241" s="20" t="s">
        <v>1328</v>
      </c>
      <c r="E241" s="20" t="s">
        <v>808</v>
      </c>
      <c r="F241" s="20" t="s">
        <v>3519</v>
      </c>
    </row>
    <row r="242" customFormat="false" ht="79.5" hidden="false" customHeight="true" outlineLevel="0" collapsed="false">
      <c r="A242" s="20" t="s">
        <v>810</v>
      </c>
      <c r="B242" s="20" t="s">
        <v>802</v>
      </c>
      <c r="C242" s="20" t="s">
        <v>811</v>
      </c>
      <c r="D242" s="20" t="s">
        <v>1328</v>
      </c>
      <c r="E242" s="20" t="s">
        <v>812</v>
      </c>
      <c r="F242" s="20" t="s">
        <v>3520</v>
      </c>
    </row>
    <row r="243" customFormat="false" ht="79.5" hidden="false" customHeight="true" outlineLevel="0" collapsed="false">
      <c r="A243" s="20" t="s">
        <v>814</v>
      </c>
      <c r="B243" s="20" t="s">
        <v>815</v>
      </c>
      <c r="C243" s="20" t="s">
        <v>816</v>
      </c>
      <c r="D243" s="20" t="s">
        <v>1328</v>
      </c>
      <c r="E243" s="20" t="s">
        <v>817</v>
      </c>
      <c r="F243" s="20" t="s">
        <v>3521</v>
      </c>
    </row>
    <row r="244" customFormat="false" ht="79.5" hidden="false" customHeight="true" outlineLevel="0" collapsed="false">
      <c r="A244" s="20" t="s">
        <v>819</v>
      </c>
      <c r="B244" s="20" t="s">
        <v>815</v>
      </c>
      <c r="C244" s="20" t="s">
        <v>820</v>
      </c>
      <c r="D244" s="20" t="s">
        <v>1328</v>
      </c>
      <c r="E244" s="20" t="s">
        <v>821</v>
      </c>
      <c r="F244" s="20" t="s">
        <v>3522</v>
      </c>
    </row>
    <row r="245" customFormat="false" ht="79.5" hidden="false" customHeight="true" outlineLevel="0" collapsed="false">
      <c r="A245" s="20" t="s">
        <v>823</v>
      </c>
      <c r="B245" s="20" t="s">
        <v>815</v>
      </c>
      <c r="C245" s="20" t="s">
        <v>824</v>
      </c>
      <c r="D245" s="20" t="s">
        <v>1328</v>
      </c>
      <c r="E245" s="20" t="s">
        <v>825</v>
      </c>
      <c r="F245" s="20" t="s">
        <v>3523</v>
      </c>
    </row>
    <row r="246" customFormat="false" ht="79.5" hidden="false" customHeight="true" outlineLevel="0" collapsed="false">
      <c r="A246" s="20" t="s">
        <v>827</v>
      </c>
      <c r="B246" s="20" t="s">
        <v>828</v>
      </c>
      <c r="C246" s="20" t="s">
        <v>829</v>
      </c>
      <c r="D246" s="20" t="s">
        <v>1328</v>
      </c>
      <c r="E246" s="20" t="s">
        <v>830</v>
      </c>
      <c r="F246" s="20" t="s">
        <v>3524</v>
      </c>
    </row>
    <row r="247" customFormat="false" ht="79.5" hidden="false" customHeight="true" outlineLevel="0" collapsed="false">
      <c r="A247" s="20" t="s">
        <v>832</v>
      </c>
      <c r="B247" s="20" t="s">
        <v>760</v>
      </c>
      <c r="C247" s="20" t="s">
        <v>833</v>
      </c>
      <c r="D247" s="20" t="s">
        <v>1328</v>
      </c>
      <c r="E247" s="20" t="s">
        <v>834</v>
      </c>
      <c r="F247" s="20" t="s">
        <v>3525</v>
      </c>
    </row>
    <row r="248" customFormat="false" ht="79.5" hidden="false" customHeight="true" outlineLevel="0" collapsed="false">
      <c r="A248" s="20" t="s">
        <v>836</v>
      </c>
      <c r="B248" s="20" t="s">
        <v>837</v>
      </c>
      <c r="C248" s="20" t="s">
        <v>838</v>
      </c>
      <c r="D248" s="20" t="s">
        <v>1328</v>
      </c>
      <c r="E248" s="20" t="s">
        <v>839</v>
      </c>
      <c r="F248" s="20" t="s">
        <v>3526</v>
      </c>
    </row>
    <row r="249" customFormat="false" ht="79.5" hidden="false" customHeight="true" outlineLevel="0" collapsed="false">
      <c r="A249" s="20" t="s">
        <v>841</v>
      </c>
      <c r="B249" s="20" t="s">
        <v>837</v>
      </c>
      <c r="C249" s="20" t="s">
        <v>842</v>
      </c>
      <c r="D249" s="20" t="s">
        <v>1328</v>
      </c>
      <c r="E249" s="20" t="s">
        <v>843</v>
      </c>
      <c r="F249" s="20" t="s">
        <v>3527</v>
      </c>
    </row>
    <row r="250" customFormat="false" ht="79.5" hidden="false" customHeight="true" outlineLevel="0" collapsed="false">
      <c r="A250" s="20" t="s">
        <v>845</v>
      </c>
      <c r="B250" s="20" t="s">
        <v>837</v>
      </c>
      <c r="C250" s="20" t="s">
        <v>846</v>
      </c>
      <c r="D250" s="20" t="s">
        <v>1328</v>
      </c>
      <c r="E250" s="20" t="s">
        <v>847</v>
      </c>
      <c r="F250" s="20" t="s">
        <v>3528</v>
      </c>
    </row>
    <row r="251" customFormat="false" ht="79.5" hidden="false" customHeight="true" outlineLevel="0" collapsed="false">
      <c r="A251" s="20" t="s">
        <v>849</v>
      </c>
      <c r="B251" s="20" t="s">
        <v>837</v>
      </c>
      <c r="C251" s="20" t="s">
        <v>850</v>
      </c>
      <c r="D251" s="20" t="s">
        <v>1328</v>
      </c>
      <c r="E251" s="20" t="s">
        <v>851</v>
      </c>
      <c r="F251" s="20" t="s">
        <v>3529</v>
      </c>
    </row>
    <row r="252" customFormat="false" ht="79.5" hidden="false" customHeight="true" outlineLevel="0" collapsed="false">
      <c r="A252" s="20" t="s">
        <v>853</v>
      </c>
      <c r="B252" s="20" t="s">
        <v>815</v>
      </c>
      <c r="C252" s="20" t="s">
        <v>854</v>
      </c>
      <c r="D252" s="20" t="s">
        <v>1328</v>
      </c>
      <c r="E252" s="20" t="s">
        <v>855</v>
      </c>
      <c r="F252" s="20" t="s">
        <v>3530</v>
      </c>
    </row>
    <row r="253" customFormat="false" ht="79.5" hidden="false" customHeight="true" outlineLevel="0" collapsed="false">
      <c r="A253" s="20" t="s">
        <v>857</v>
      </c>
      <c r="B253" s="20" t="s">
        <v>815</v>
      </c>
      <c r="C253" s="20" t="s">
        <v>858</v>
      </c>
      <c r="D253" s="20" t="s">
        <v>1328</v>
      </c>
      <c r="E253" s="20" t="s">
        <v>859</v>
      </c>
      <c r="F253" s="20" t="s">
        <v>3531</v>
      </c>
    </row>
    <row r="254" customFormat="false" ht="79.5" hidden="false" customHeight="true" outlineLevel="0" collapsed="false">
      <c r="A254" s="20" t="s">
        <v>861</v>
      </c>
      <c r="B254" s="20" t="s">
        <v>815</v>
      </c>
      <c r="C254" s="20" t="s">
        <v>862</v>
      </c>
      <c r="D254" s="20" t="s">
        <v>1328</v>
      </c>
      <c r="E254" s="20" t="s">
        <v>863</v>
      </c>
      <c r="F254" s="20" t="s">
        <v>3532</v>
      </c>
    </row>
    <row r="255" customFormat="false" ht="79.5" hidden="false" customHeight="true" outlineLevel="0" collapsed="false">
      <c r="A255" s="20" t="s">
        <v>865</v>
      </c>
      <c r="B255" s="20" t="s">
        <v>68</v>
      </c>
      <c r="C255" s="20" t="s">
        <v>866</v>
      </c>
      <c r="D255" s="20" t="s">
        <v>1328</v>
      </c>
      <c r="E255" s="20" t="s">
        <v>867</v>
      </c>
      <c r="F255" s="20" t="s">
        <v>3533</v>
      </c>
    </row>
    <row r="256" customFormat="false" ht="79.5" hidden="false" customHeight="true" outlineLevel="0" collapsed="false">
      <c r="A256" s="20" t="s">
        <v>869</v>
      </c>
      <c r="B256" s="20" t="s">
        <v>68</v>
      </c>
      <c r="C256" s="20" t="s">
        <v>870</v>
      </c>
      <c r="D256" s="20" t="s">
        <v>1328</v>
      </c>
      <c r="E256" s="20" t="s">
        <v>871</v>
      </c>
      <c r="F256" s="20" t="s">
        <v>3534</v>
      </c>
    </row>
    <row r="257" customFormat="false" ht="79.5" hidden="false" customHeight="true" outlineLevel="0" collapsed="false">
      <c r="A257" s="20" t="s">
        <v>873</v>
      </c>
      <c r="B257" s="20" t="s">
        <v>68</v>
      </c>
      <c r="C257" s="20" t="s">
        <v>874</v>
      </c>
      <c r="D257" s="20" t="s">
        <v>1328</v>
      </c>
      <c r="E257" s="20" t="s">
        <v>875</v>
      </c>
      <c r="F257" s="20" t="s">
        <v>3535</v>
      </c>
    </row>
    <row r="258" customFormat="false" ht="79.5" hidden="false" customHeight="true" outlineLevel="0" collapsed="false">
      <c r="A258" s="20" t="s">
        <v>877</v>
      </c>
      <c r="B258" s="20" t="s">
        <v>68</v>
      </c>
      <c r="C258" s="20" t="s">
        <v>41</v>
      </c>
      <c r="D258" s="20" t="s">
        <v>1328</v>
      </c>
      <c r="E258" s="20" t="s">
        <v>878</v>
      </c>
      <c r="F258" s="20" t="s">
        <v>3536</v>
      </c>
    </row>
    <row r="259" customFormat="false" ht="79.5" hidden="false" customHeight="true" outlineLevel="0" collapsed="false">
      <c r="A259" s="20" t="s">
        <v>880</v>
      </c>
      <c r="B259" s="20" t="s">
        <v>68</v>
      </c>
      <c r="C259" s="20" t="s">
        <v>71</v>
      </c>
      <c r="D259" s="20" t="s">
        <v>1328</v>
      </c>
      <c r="E259" s="20" t="s">
        <v>881</v>
      </c>
      <c r="F259" s="20" t="s">
        <v>3537</v>
      </c>
    </row>
    <row r="260" customFormat="false" ht="79.5" hidden="false" customHeight="true" outlineLevel="0" collapsed="false">
      <c r="A260" s="20" t="s">
        <v>883</v>
      </c>
      <c r="B260" s="20" t="s">
        <v>68</v>
      </c>
      <c r="C260" s="20" t="s">
        <v>884</v>
      </c>
      <c r="D260" s="20" t="s">
        <v>1328</v>
      </c>
      <c r="E260" s="20" t="s">
        <v>885</v>
      </c>
      <c r="F260" s="20" t="s">
        <v>3538</v>
      </c>
    </row>
    <row r="261" customFormat="false" ht="79.5" hidden="false" customHeight="true" outlineLevel="0" collapsed="false">
      <c r="A261" s="20" t="s">
        <v>887</v>
      </c>
      <c r="B261" s="20" t="s">
        <v>74</v>
      </c>
      <c r="C261" s="20" t="s">
        <v>888</v>
      </c>
      <c r="D261" s="20" t="s">
        <v>1328</v>
      </c>
      <c r="E261" s="20" t="s">
        <v>889</v>
      </c>
      <c r="F261" s="20" t="s">
        <v>3539</v>
      </c>
    </row>
    <row r="262" customFormat="false" ht="79.5" hidden="false" customHeight="true" outlineLevel="0" collapsed="false">
      <c r="A262" s="20" t="s">
        <v>891</v>
      </c>
      <c r="B262" s="20" t="s">
        <v>74</v>
      </c>
      <c r="C262" s="20" t="s">
        <v>892</v>
      </c>
      <c r="D262" s="20" t="s">
        <v>1328</v>
      </c>
      <c r="E262" s="20" t="s">
        <v>893</v>
      </c>
      <c r="F262" s="20" t="s">
        <v>3540</v>
      </c>
    </row>
    <row r="263" customFormat="false" ht="79.5" hidden="false" customHeight="true" outlineLevel="0" collapsed="false">
      <c r="A263" s="20" t="s">
        <v>895</v>
      </c>
      <c r="B263" s="20" t="s">
        <v>74</v>
      </c>
      <c r="C263" s="20" t="s">
        <v>896</v>
      </c>
      <c r="D263" s="20" t="s">
        <v>1328</v>
      </c>
      <c r="E263" s="20" t="s">
        <v>897</v>
      </c>
      <c r="F263" s="20" t="s">
        <v>3541</v>
      </c>
    </row>
    <row r="264" customFormat="false" ht="79.5" hidden="false" customHeight="true" outlineLevel="0" collapsed="false">
      <c r="A264" s="20" t="s">
        <v>899</v>
      </c>
      <c r="B264" s="20" t="s">
        <v>74</v>
      </c>
      <c r="C264" s="20" t="s">
        <v>900</v>
      </c>
      <c r="D264" s="20" t="s">
        <v>1328</v>
      </c>
      <c r="E264" s="20" t="s">
        <v>901</v>
      </c>
      <c r="F264" s="20" t="s">
        <v>3542</v>
      </c>
    </row>
    <row r="265" customFormat="false" ht="79.5" hidden="false" customHeight="true" outlineLevel="0" collapsed="false">
      <c r="A265" s="20" t="s">
        <v>903</v>
      </c>
      <c r="B265" s="20" t="s">
        <v>74</v>
      </c>
      <c r="C265" s="20" t="s">
        <v>904</v>
      </c>
      <c r="D265" s="20" t="s">
        <v>1328</v>
      </c>
      <c r="E265" s="20" t="s">
        <v>905</v>
      </c>
      <c r="F265" s="20" t="s">
        <v>3543</v>
      </c>
    </row>
    <row r="266" customFormat="false" ht="79.5" hidden="false" customHeight="true" outlineLevel="0" collapsed="false">
      <c r="A266" s="20" t="s">
        <v>907</v>
      </c>
      <c r="B266" s="20" t="s">
        <v>74</v>
      </c>
      <c r="C266" s="20" t="s">
        <v>908</v>
      </c>
      <c r="D266" s="20" t="s">
        <v>1328</v>
      </c>
      <c r="E266" s="20" t="s">
        <v>909</v>
      </c>
      <c r="F266" s="20" t="s">
        <v>3544</v>
      </c>
    </row>
    <row r="267" customFormat="false" ht="79.5" hidden="false" customHeight="true" outlineLevel="0" collapsed="false">
      <c r="A267" s="20" t="s">
        <v>911</v>
      </c>
      <c r="B267" s="20" t="s">
        <v>719</v>
      </c>
      <c r="C267" s="20" t="s">
        <v>240</v>
      </c>
      <c r="D267" s="20" t="s">
        <v>1328</v>
      </c>
      <c r="E267" s="20" t="s">
        <v>912</v>
      </c>
      <c r="F267" s="20" t="s">
        <v>3545</v>
      </c>
    </row>
    <row r="268" customFormat="false" ht="79.5" hidden="false" customHeight="true" outlineLevel="0" collapsed="false">
      <c r="A268" s="20" t="s">
        <v>914</v>
      </c>
      <c r="B268" s="20" t="s">
        <v>719</v>
      </c>
      <c r="C268" s="20" t="s">
        <v>915</v>
      </c>
      <c r="D268" s="20" t="s">
        <v>1328</v>
      </c>
      <c r="E268" s="20" t="s">
        <v>916</v>
      </c>
      <c r="F268" s="20" t="s">
        <v>3546</v>
      </c>
    </row>
    <row r="269" customFormat="false" ht="79.5" hidden="false" customHeight="true" outlineLevel="0" collapsed="false">
      <c r="A269" s="20" t="s">
        <v>918</v>
      </c>
      <c r="B269" s="20" t="s">
        <v>919</v>
      </c>
      <c r="C269" s="20" t="s">
        <v>920</v>
      </c>
      <c r="D269" s="20" t="s">
        <v>1328</v>
      </c>
      <c r="E269" s="20" t="s">
        <v>921</v>
      </c>
      <c r="F269" s="20" t="s">
        <v>3547</v>
      </c>
    </row>
    <row r="270" customFormat="false" ht="79.5" hidden="false" customHeight="true" outlineLevel="0" collapsed="false">
      <c r="A270" s="20" t="s">
        <v>923</v>
      </c>
      <c r="B270" s="20" t="s">
        <v>924</v>
      </c>
      <c r="C270" s="20" t="s">
        <v>925</v>
      </c>
      <c r="D270" s="20" t="s">
        <v>1328</v>
      </c>
      <c r="E270" s="20" t="s">
        <v>926</v>
      </c>
      <c r="F270" s="20" t="s">
        <v>3548</v>
      </c>
    </row>
  </sheetData>
  <autoFilter ref="A5:F270"/>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71484375" defaultRowHeight="15" customHeight="false" zeroHeight="false" outlineLevelRow="0" outlineLevelCol="0"/>
  <cols>
    <col collapsed="false" customWidth="true" hidden="false" outlineLevel="0" max="1" min="1" style="10" width="28.71"/>
    <col collapsed="false" customWidth="true" hidden="false" outlineLevel="0" max="2" min="2" style="10" width="24.71"/>
    <col collapsed="false" customWidth="true" hidden="false" outlineLevel="0" max="3" min="3" style="10" width="26.71"/>
    <col collapsed="false" customWidth="true" hidden="false" outlineLevel="0" max="4" min="4" style="10" width="65.71"/>
    <col collapsed="false" customWidth="true" hidden="false" outlineLevel="0" max="5" min="5" style="10" width="110.71"/>
  </cols>
  <sheetData>
    <row r="1" customFormat="false" ht="33.75" hidden="false" customHeight="true" outlineLevel="0" collapsed="false">
      <c r="A1" s="74" t="s">
        <v>3549</v>
      </c>
      <c r="B1" s="74"/>
      <c r="C1" s="74"/>
      <c r="D1" s="74"/>
      <c r="E1" s="74"/>
    </row>
    <row r="2" customFormat="false" ht="24.75" hidden="false" customHeight="true" outlineLevel="0" collapsed="false">
      <c r="A2" s="75" t="s">
        <v>3550</v>
      </c>
      <c r="B2" s="75"/>
      <c r="C2" s="75"/>
      <c r="D2" s="75"/>
      <c r="E2" s="75"/>
    </row>
    <row r="3" customFormat="false" ht="24.75" hidden="false" customHeight="true" outlineLevel="0" collapsed="false">
      <c r="A3" s="75"/>
      <c r="B3" s="75"/>
      <c r="C3" s="75"/>
      <c r="D3" s="75"/>
      <c r="E3" s="75"/>
    </row>
    <row r="5" customFormat="false" ht="48" hidden="false" customHeight="true" outlineLevel="0" collapsed="false">
      <c r="A5" s="76" t="s">
        <v>3551</v>
      </c>
      <c r="B5" s="76" t="s">
        <v>3552</v>
      </c>
      <c r="C5" s="76" t="s">
        <v>3553</v>
      </c>
      <c r="D5" s="76" t="s">
        <v>333</v>
      </c>
      <c r="E5" s="76" t="s">
        <v>1417</v>
      </c>
    </row>
    <row r="6" customFormat="false" ht="51.75" hidden="false" customHeight="true" outlineLevel="0" collapsed="false">
      <c r="A6" s="77" t="n">
        <v>-100</v>
      </c>
      <c r="B6" s="77" t="n">
        <f aca="false">SIGN(A6)*IF(ABS(A6)&lt;=50,ABS(A6)/300,1/6+(ABS(A6)-50)/60)</f>
        <v>-1</v>
      </c>
      <c r="C6" s="78" t="n">
        <f aca="false">IF(B6=0,"brak zmiany",1/ABS(B6))</f>
        <v>1</v>
      </c>
      <c r="D6" s="79" t="s">
        <v>3554</v>
      </c>
      <c r="E6" s="79" t="s">
        <v>1309</v>
      </c>
    </row>
    <row r="7" customFormat="false" ht="51.75" hidden="false" customHeight="true" outlineLevel="0" collapsed="false">
      <c r="A7" s="77" t="n">
        <v>-75</v>
      </c>
      <c r="B7" s="77" t="n">
        <f aca="false">SIGN(A7)*IF(ABS(A7)&lt;=50,ABS(A7)/300,1/6+(ABS(A7)-50)/60)</f>
        <v>-0.583333333333333</v>
      </c>
      <c r="C7" s="78" t="n">
        <f aca="false">IF(B7=0,"brak zmiany",1/ABS(B7))</f>
        <v>1.71428571428571</v>
      </c>
      <c r="D7" s="80" t="s">
        <v>3554</v>
      </c>
      <c r="E7" s="80" t="s">
        <v>1309</v>
      </c>
    </row>
    <row r="8" customFormat="false" ht="51.75" hidden="false" customHeight="true" outlineLevel="0" collapsed="false">
      <c r="A8" s="77" t="n">
        <v>-50</v>
      </c>
      <c r="B8" s="77" t="n">
        <f aca="false">SIGN(A8)*IF(ABS(A8)&lt;=50,ABS(A8)/300,1/6+(ABS(A8)-50)/60)</f>
        <v>-0.166666666666667</v>
      </c>
      <c r="C8" s="78" t="n">
        <f aca="false">IF(B8=0,"brak zmiany",1/ABS(B8))</f>
        <v>6</v>
      </c>
      <c r="D8" s="79" t="s">
        <v>3554</v>
      </c>
      <c r="E8" s="79" t="s">
        <v>1309</v>
      </c>
    </row>
    <row r="9" customFormat="false" ht="51.75" hidden="false" customHeight="true" outlineLevel="0" collapsed="false">
      <c r="A9" s="77" t="n">
        <v>-25</v>
      </c>
      <c r="B9" s="77" t="n">
        <f aca="false">SIGN(A9)*IF(ABS(A9)&lt;=50,ABS(A9)/300,1/6+(ABS(A9)-50)/60)</f>
        <v>-0.0833333333333333</v>
      </c>
      <c r="C9" s="78" t="n">
        <f aca="false">IF(B9=0,"brak zmiany",1/ABS(B9))</f>
        <v>12</v>
      </c>
      <c r="D9" s="80" t="s">
        <v>3554</v>
      </c>
      <c r="E9" s="80" t="s">
        <v>1309</v>
      </c>
    </row>
    <row r="10" customFormat="false" ht="51.75" hidden="false" customHeight="true" outlineLevel="0" collapsed="false">
      <c r="A10" s="77" t="n">
        <v>0</v>
      </c>
      <c r="B10" s="77" t="n">
        <f aca="false">SIGN(A10)*IF(ABS(A10)&lt;=50,ABS(A10)/300,1/6+(ABS(A10)-50)/60)</f>
        <v>0</v>
      </c>
      <c r="C10" s="78" t="str">
        <f aca="false">IF(B10=0,"brak zmiany",1/ABS(B10))</f>
        <v>brak zmiany</v>
      </c>
      <c r="D10" s="79" t="s">
        <v>3555</v>
      </c>
      <c r="E10" s="79" t="s">
        <v>1309</v>
      </c>
    </row>
    <row r="11" customFormat="false" ht="51.75" hidden="false" customHeight="true" outlineLevel="0" collapsed="false">
      <c r="A11" s="77" t="n">
        <v>25</v>
      </c>
      <c r="B11" s="77" t="n">
        <f aca="false">SIGN(A11)*IF(ABS(A11)&lt;=50,ABS(A11)/300,1/6+(ABS(A11)-50)/60)</f>
        <v>0.0833333333333333</v>
      </c>
      <c r="C11" s="78" t="n">
        <f aca="false">IF(B11=0,"brak zmiany",1/ABS(B11))</f>
        <v>12</v>
      </c>
      <c r="D11" s="80" t="s">
        <v>3556</v>
      </c>
      <c r="E11" s="80" t="s">
        <v>1309</v>
      </c>
    </row>
    <row r="12" customFormat="false" ht="51.75" hidden="false" customHeight="true" outlineLevel="0" collapsed="false">
      <c r="A12" s="77" t="n">
        <v>50</v>
      </c>
      <c r="B12" s="77" t="n">
        <f aca="false">SIGN(A12)*IF(ABS(A12)&lt;=50,ABS(A12)/300,1/6+(ABS(A12)-50)/60)</f>
        <v>0.166666666666667</v>
      </c>
      <c r="C12" s="78" t="n">
        <f aca="false">IF(B12=0,"brak zmiany",1/ABS(B12))</f>
        <v>6</v>
      </c>
      <c r="D12" s="79" t="s">
        <v>3556</v>
      </c>
      <c r="E12" s="79" t="s">
        <v>1309</v>
      </c>
    </row>
    <row r="13" customFormat="false" ht="51.75" hidden="false" customHeight="true" outlineLevel="0" collapsed="false">
      <c r="A13" s="77" t="n">
        <v>75</v>
      </c>
      <c r="B13" s="77" t="n">
        <f aca="false">SIGN(A13)*IF(ABS(A13)&lt;=50,ABS(A13)/300,1/6+(ABS(A13)-50)/60)</f>
        <v>0.583333333333333</v>
      </c>
      <c r="C13" s="78" t="n">
        <f aca="false">IF(B13=0,"brak zmiany",1/ABS(B13))</f>
        <v>1.71428571428571</v>
      </c>
      <c r="D13" s="80" t="s">
        <v>3556</v>
      </c>
      <c r="E13" s="80" t="s">
        <v>1309</v>
      </c>
    </row>
    <row r="14" customFormat="false" ht="51.75" hidden="false" customHeight="true" outlineLevel="0" collapsed="false">
      <c r="A14" s="77" t="n">
        <v>100</v>
      </c>
      <c r="B14" s="77" t="n">
        <f aca="false">SIGN(A14)*IF(ABS(A14)&lt;=50,ABS(A14)/300,1/6+(ABS(A14)-50)/60)</f>
        <v>1</v>
      </c>
      <c r="C14" s="78" t="n">
        <f aca="false">IF(B14=0,"brak zmiany",1/ABS(B14))</f>
        <v>1</v>
      </c>
      <c r="D14" s="79" t="s">
        <v>3556</v>
      </c>
      <c r="E14" s="79" t="s">
        <v>1309</v>
      </c>
    </row>
    <row r="17" customFormat="false" ht="14.25" hidden="false" customHeight="true" outlineLevel="0" collapsed="false">
      <c r="A17" s="76" t="s">
        <v>3557</v>
      </c>
      <c r="B17" s="76"/>
      <c r="C17" s="76"/>
      <c r="D17" s="76"/>
      <c r="E17" s="76"/>
    </row>
    <row r="18" customFormat="false" ht="14.25" hidden="false" customHeight="true" outlineLevel="0" collapsed="false">
      <c r="A18" s="75" t="s">
        <v>3558</v>
      </c>
      <c r="B18" s="75"/>
      <c r="C18" s="75"/>
      <c r="D18" s="75"/>
      <c r="E18" s="75"/>
    </row>
    <row r="19" customFormat="false" ht="14.25" hidden="false" customHeight="true" outlineLevel="0" collapsed="false">
      <c r="A19" s="75"/>
      <c r="B19" s="75"/>
      <c r="C19" s="75"/>
      <c r="D19" s="75"/>
      <c r="E19" s="75"/>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3"/>
    <col collapsed="false" customWidth="true" hidden="false" outlineLevel="0" max="2" min="2" style="10" width="26"/>
    <col collapsed="false" customWidth="true" hidden="false" outlineLevel="0" max="3" min="3" style="10" width="28"/>
    <col collapsed="false" customWidth="true" hidden="false" outlineLevel="0" max="4" min="4" style="10" width="27"/>
    <col collapsed="false" customWidth="true" hidden="false" outlineLevel="0" max="5" min="5" style="10" width="28"/>
    <col collapsed="false" customWidth="true" hidden="false" outlineLevel="0" max="6" min="6" style="10" width="31"/>
    <col collapsed="false" customWidth="true" hidden="false" outlineLevel="0" max="7" min="7" style="10" width="32"/>
    <col collapsed="false" customWidth="true" hidden="false" outlineLevel="0" max="8" min="8" style="10" width="115"/>
  </cols>
  <sheetData>
    <row r="1" customFormat="false" ht="33.75" hidden="false" customHeight="true" outlineLevel="0" collapsed="false">
      <c r="A1" s="54" t="s">
        <v>3559</v>
      </c>
      <c r="B1" s="54"/>
      <c r="C1" s="54"/>
      <c r="D1" s="54"/>
      <c r="E1" s="54"/>
      <c r="F1" s="54"/>
      <c r="G1" s="54"/>
      <c r="H1" s="54"/>
    </row>
    <row r="2" customFormat="false" ht="24.75" hidden="false" customHeight="true" outlineLevel="0" collapsed="false">
      <c r="A2" s="55" t="s">
        <v>3560</v>
      </c>
      <c r="B2" s="55"/>
      <c r="C2" s="55"/>
      <c r="D2" s="55"/>
      <c r="E2" s="55"/>
      <c r="F2" s="55"/>
      <c r="G2" s="55"/>
      <c r="H2" s="55"/>
    </row>
    <row r="3" customFormat="false" ht="24.75" hidden="false" customHeight="true" outlineLevel="0" collapsed="false">
      <c r="A3" s="55"/>
      <c r="B3" s="55"/>
      <c r="C3" s="55"/>
      <c r="D3" s="55"/>
      <c r="E3" s="55"/>
      <c r="F3" s="55"/>
      <c r="G3" s="55"/>
      <c r="H3" s="55"/>
    </row>
    <row r="5" customFormat="false" ht="48" hidden="false" customHeight="true" outlineLevel="0" collapsed="false">
      <c r="A5" s="22" t="s">
        <v>3561</v>
      </c>
      <c r="B5" s="22" t="s">
        <v>3562</v>
      </c>
      <c r="C5" s="22" t="s">
        <v>3563</v>
      </c>
      <c r="D5" s="22" t="s">
        <v>3564</v>
      </c>
      <c r="E5" s="22" t="s">
        <v>3565</v>
      </c>
      <c r="F5" s="22" t="s">
        <v>3566</v>
      </c>
      <c r="G5" s="22" t="s">
        <v>3567</v>
      </c>
      <c r="H5" s="22" t="s">
        <v>1417</v>
      </c>
    </row>
    <row r="6" customFormat="false" ht="64.5" hidden="false" customHeight="true" outlineLevel="0" collapsed="false">
      <c r="A6" s="20" t="n">
        <v>1</v>
      </c>
      <c r="B6" s="20" t="n">
        <f aca="false">Parametry!$C$32*(1+Parametry!$C$35*(A6-1))</f>
        <v>50</v>
      </c>
      <c r="C6" s="20" t="n">
        <f aca="false">Parametry!$C$34*(1+Parametry!$C$35*(A6-1))</f>
        <v>150</v>
      </c>
      <c r="D6" s="60" t="n">
        <f aca="false">Parametry!$C$31</f>
        <v>40</v>
      </c>
      <c r="E6" s="60" t="n">
        <f aca="false">Parametry!$C$33</f>
        <v>140</v>
      </c>
      <c r="F6" s="20" t="n">
        <f aca="false">Parametry!$C$32*(A6+Parametry!$C$35*A6*(A6-1)/2)</f>
        <v>50</v>
      </c>
      <c r="G6" s="20" t="n">
        <f aca="false">Parametry!$C$34*(A6+Parametry!$C$35*A6*(A6-1)/2)</f>
        <v>150</v>
      </c>
      <c r="H6" s="20" t="s">
        <v>3568</v>
      </c>
    </row>
    <row r="7" customFormat="false" ht="64.5" hidden="false" customHeight="true" outlineLevel="0" collapsed="false">
      <c r="A7" s="19" t="n">
        <v>2</v>
      </c>
      <c r="B7" s="19" t="n">
        <f aca="false">Parametry!$C$32*(1+Parametry!$C$35*(A7-1))</f>
        <v>55</v>
      </c>
      <c r="C7" s="19" t="n">
        <f aca="false">Parametry!$C$34*(1+Parametry!$C$35*(A7-1))</f>
        <v>165</v>
      </c>
      <c r="D7" s="61" t="n">
        <f aca="false">Parametry!$C$31</f>
        <v>40</v>
      </c>
      <c r="E7" s="61" t="n">
        <f aca="false">Parametry!$C$33</f>
        <v>140</v>
      </c>
      <c r="F7" s="19" t="n">
        <f aca="false">Parametry!$C$32*(A7+Parametry!$C$35*A7*(A7-1)/2)</f>
        <v>105</v>
      </c>
      <c r="G7" s="19" t="n">
        <f aca="false">Parametry!$C$34*(A7+Parametry!$C$35*A7*(A7-1)/2)</f>
        <v>315</v>
      </c>
      <c r="H7" s="19" t="s">
        <v>3568</v>
      </c>
    </row>
    <row r="8" customFormat="false" ht="64.5" hidden="false" customHeight="true" outlineLevel="0" collapsed="false">
      <c r="A8" s="20" t="n">
        <v>3</v>
      </c>
      <c r="B8" s="20" t="n">
        <f aca="false">Parametry!$C$32*(1+Parametry!$C$35*(A8-1))</f>
        <v>60</v>
      </c>
      <c r="C8" s="20" t="n">
        <f aca="false">Parametry!$C$34*(1+Parametry!$C$35*(A8-1))</f>
        <v>180</v>
      </c>
      <c r="D8" s="60" t="n">
        <f aca="false">Parametry!$C$31</f>
        <v>40</v>
      </c>
      <c r="E8" s="60" t="n">
        <f aca="false">Parametry!$C$33</f>
        <v>140</v>
      </c>
      <c r="F8" s="20" t="n">
        <f aca="false">Parametry!$C$32*(A8+Parametry!$C$35*A8*(A8-1)/2)</f>
        <v>165</v>
      </c>
      <c r="G8" s="20" t="n">
        <f aca="false">Parametry!$C$34*(A8+Parametry!$C$35*A8*(A8-1)/2)</f>
        <v>495</v>
      </c>
      <c r="H8" s="20" t="s">
        <v>3568</v>
      </c>
    </row>
    <row r="9" customFormat="false" ht="64.5" hidden="false" customHeight="true" outlineLevel="0" collapsed="false">
      <c r="A9" s="19" t="n">
        <v>4</v>
      </c>
      <c r="B9" s="19" t="n">
        <f aca="false">Parametry!$C$32*(1+Parametry!$C$35*(A9-1))</f>
        <v>65</v>
      </c>
      <c r="C9" s="19" t="n">
        <f aca="false">Parametry!$C$34*(1+Parametry!$C$35*(A9-1))</f>
        <v>195</v>
      </c>
      <c r="D9" s="61" t="n">
        <f aca="false">Parametry!$C$31</f>
        <v>40</v>
      </c>
      <c r="E9" s="61" t="n">
        <f aca="false">Parametry!$C$33</f>
        <v>140</v>
      </c>
      <c r="F9" s="19" t="n">
        <f aca="false">Parametry!$C$32*(A9+Parametry!$C$35*A9*(A9-1)/2)</f>
        <v>230</v>
      </c>
      <c r="G9" s="19" t="n">
        <f aca="false">Parametry!$C$34*(A9+Parametry!$C$35*A9*(A9-1)/2)</f>
        <v>690</v>
      </c>
      <c r="H9" s="19" t="s">
        <v>3568</v>
      </c>
    </row>
    <row r="10" customFormat="false" ht="64.5" hidden="false" customHeight="true" outlineLevel="0" collapsed="false">
      <c r="A10" s="20" t="n">
        <v>5</v>
      </c>
      <c r="B10" s="20" t="n">
        <f aca="false">Parametry!$C$32*(1+Parametry!$C$35*(A10-1))</f>
        <v>70</v>
      </c>
      <c r="C10" s="20" t="n">
        <f aca="false">Parametry!$C$34*(1+Parametry!$C$35*(A10-1))</f>
        <v>210</v>
      </c>
      <c r="D10" s="60" t="n">
        <f aca="false">Parametry!$C$31</f>
        <v>40</v>
      </c>
      <c r="E10" s="60" t="n">
        <f aca="false">Parametry!$C$33</f>
        <v>140</v>
      </c>
      <c r="F10" s="20" t="n">
        <f aca="false">Parametry!$C$32*(A10+Parametry!$C$35*A10*(A10-1)/2)</f>
        <v>300</v>
      </c>
      <c r="G10" s="20" t="n">
        <f aca="false">Parametry!$C$34*(A10+Parametry!$C$35*A10*(A10-1)/2)</f>
        <v>900</v>
      </c>
      <c r="H10" s="20" t="s">
        <v>3568</v>
      </c>
    </row>
    <row r="11" customFormat="false" ht="64.5" hidden="false" customHeight="true" outlineLevel="0" collapsed="false">
      <c r="A11" s="19" t="n">
        <v>6</v>
      </c>
      <c r="B11" s="19" t="n">
        <f aca="false">Parametry!$C$32*(1+Parametry!$C$35*(A11-1))</f>
        <v>75</v>
      </c>
      <c r="C11" s="19" t="n">
        <f aca="false">Parametry!$C$34*(1+Parametry!$C$35*(A11-1))</f>
        <v>225</v>
      </c>
      <c r="D11" s="61" t="n">
        <f aca="false">Parametry!$C$31</f>
        <v>40</v>
      </c>
      <c r="E11" s="61" t="n">
        <f aca="false">Parametry!$C$33</f>
        <v>140</v>
      </c>
      <c r="F11" s="19" t="n">
        <f aca="false">Parametry!$C$32*(A11+Parametry!$C$35*A11*(A11-1)/2)</f>
        <v>375</v>
      </c>
      <c r="G11" s="19" t="n">
        <f aca="false">Parametry!$C$34*(A11+Parametry!$C$35*A11*(A11-1)/2)</f>
        <v>1125</v>
      </c>
      <c r="H11" s="19" t="s">
        <v>3568</v>
      </c>
    </row>
    <row r="12" customFormat="false" ht="64.5" hidden="false" customHeight="true" outlineLevel="0" collapsed="false">
      <c r="A12" s="20" t="n">
        <v>7</v>
      </c>
      <c r="B12" s="20" t="n">
        <f aca="false">Parametry!$C$32*(1+Parametry!$C$35*(A12-1))</f>
        <v>80</v>
      </c>
      <c r="C12" s="20" t="n">
        <f aca="false">Parametry!$C$34*(1+Parametry!$C$35*(A12-1))</f>
        <v>240</v>
      </c>
      <c r="D12" s="60" t="n">
        <f aca="false">Parametry!$C$31</f>
        <v>40</v>
      </c>
      <c r="E12" s="60" t="n">
        <f aca="false">Parametry!$C$33</f>
        <v>140</v>
      </c>
      <c r="F12" s="20" t="n">
        <f aca="false">Parametry!$C$32*(A12+Parametry!$C$35*A12*(A12-1)/2)</f>
        <v>455</v>
      </c>
      <c r="G12" s="20" t="n">
        <f aca="false">Parametry!$C$34*(A12+Parametry!$C$35*A12*(A12-1)/2)</f>
        <v>1365</v>
      </c>
      <c r="H12" s="20" t="s">
        <v>3568</v>
      </c>
    </row>
    <row r="13" customFormat="false" ht="64.5" hidden="false" customHeight="true" outlineLevel="0" collapsed="false">
      <c r="A13" s="19" t="n">
        <v>8</v>
      </c>
      <c r="B13" s="19" t="n">
        <f aca="false">Parametry!$C$32*(1+Parametry!$C$35*(A13-1))</f>
        <v>85</v>
      </c>
      <c r="C13" s="19" t="n">
        <f aca="false">Parametry!$C$34*(1+Parametry!$C$35*(A13-1))</f>
        <v>255</v>
      </c>
      <c r="D13" s="61" t="n">
        <f aca="false">Parametry!$C$31</f>
        <v>40</v>
      </c>
      <c r="E13" s="61" t="n">
        <f aca="false">Parametry!$C$33</f>
        <v>140</v>
      </c>
      <c r="F13" s="19" t="n">
        <f aca="false">Parametry!$C$32*(A13+Parametry!$C$35*A13*(A13-1)/2)</f>
        <v>540</v>
      </c>
      <c r="G13" s="19" t="n">
        <f aca="false">Parametry!$C$34*(A13+Parametry!$C$35*A13*(A13-1)/2)</f>
        <v>1620</v>
      </c>
      <c r="H13" s="19" t="s">
        <v>3568</v>
      </c>
    </row>
    <row r="14" customFormat="false" ht="64.5" hidden="false" customHeight="true" outlineLevel="0" collapsed="false">
      <c r="A14" s="20" t="n">
        <v>9</v>
      </c>
      <c r="B14" s="20" t="n">
        <f aca="false">Parametry!$C$32*(1+Parametry!$C$35*(A14-1))</f>
        <v>90</v>
      </c>
      <c r="C14" s="20" t="n">
        <f aca="false">Parametry!$C$34*(1+Parametry!$C$35*(A14-1))</f>
        <v>270</v>
      </c>
      <c r="D14" s="60" t="n">
        <f aca="false">Parametry!$C$31</f>
        <v>40</v>
      </c>
      <c r="E14" s="60" t="n">
        <f aca="false">Parametry!$C$33</f>
        <v>140</v>
      </c>
      <c r="F14" s="20" t="n">
        <f aca="false">Parametry!$C$32*(A14+Parametry!$C$35*A14*(A14-1)/2)</f>
        <v>630</v>
      </c>
      <c r="G14" s="20" t="n">
        <f aca="false">Parametry!$C$34*(A14+Parametry!$C$35*A14*(A14-1)/2)</f>
        <v>1890</v>
      </c>
      <c r="H14" s="20" t="s">
        <v>3568</v>
      </c>
    </row>
    <row r="15" customFormat="false" ht="64.5" hidden="false" customHeight="true" outlineLevel="0" collapsed="false">
      <c r="A15" s="19" t="n">
        <v>10</v>
      </c>
      <c r="B15" s="19" t="n">
        <f aca="false">Parametry!$C$32*(1+Parametry!$C$35*(A15-1))</f>
        <v>95</v>
      </c>
      <c r="C15" s="19" t="n">
        <f aca="false">Parametry!$C$34*(1+Parametry!$C$35*(A15-1))</f>
        <v>285</v>
      </c>
      <c r="D15" s="61" t="n">
        <f aca="false">Parametry!$C$31</f>
        <v>40</v>
      </c>
      <c r="E15" s="61" t="n">
        <f aca="false">Parametry!$C$33</f>
        <v>140</v>
      </c>
      <c r="F15" s="19" t="n">
        <f aca="false">Parametry!$C$32*(A15+Parametry!$C$35*A15*(A15-1)/2)</f>
        <v>725</v>
      </c>
      <c r="G15" s="19" t="n">
        <f aca="false">Parametry!$C$34*(A15+Parametry!$C$35*A15*(A15-1)/2)</f>
        <v>2175</v>
      </c>
      <c r="H15" s="19" t="s">
        <v>3568</v>
      </c>
    </row>
    <row r="17" customFormat="false" ht="99.75" hidden="false" customHeight="true" outlineLevel="0" collapsed="false">
      <c r="A17" s="19" t="s">
        <v>3569</v>
      </c>
      <c r="B17" s="19"/>
      <c r="C17" s="19"/>
      <c r="D17" s="19"/>
      <c r="E17" s="19"/>
      <c r="F17" s="19"/>
      <c r="G17" s="19"/>
      <c r="H17" s="19" t="s">
        <v>3570</v>
      </c>
    </row>
    <row r="18" customFormat="false" ht="109.5" hidden="false" customHeight="true" outlineLevel="0" collapsed="false">
      <c r="A18" s="20" t="s">
        <v>3571</v>
      </c>
      <c r="B18" s="20"/>
      <c r="C18" s="20"/>
      <c r="D18" s="20"/>
      <c r="E18" s="20"/>
      <c r="F18" s="20"/>
      <c r="G18" s="20"/>
      <c r="H18" s="20" t="s">
        <v>3572</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38"/>
    <col collapsed="false" customWidth="true" hidden="false" outlineLevel="0" max="2" min="2" style="10" width="140"/>
    <col collapsed="false" customWidth="true" hidden="false" outlineLevel="0" max="3" min="3" style="10" width="135"/>
  </cols>
  <sheetData>
    <row r="1" customFormat="false" ht="33.75" hidden="false" customHeight="true" outlineLevel="0" collapsed="false">
      <c r="A1" s="54" t="s">
        <v>3573</v>
      </c>
      <c r="B1" s="54"/>
      <c r="C1" s="54"/>
    </row>
    <row r="2" customFormat="false" ht="24.75" hidden="false" customHeight="true" outlineLevel="0" collapsed="false">
      <c r="A2" s="55" t="s">
        <v>3574</v>
      </c>
      <c r="B2" s="55"/>
      <c r="C2" s="55"/>
    </row>
    <row r="3" customFormat="false" ht="24.75" hidden="false" customHeight="true" outlineLevel="0" collapsed="false">
      <c r="A3" s="55"/>
      <c r="B3" s="55"/>
      <c r="C3" s="55"/>
    </row>
    <row r="5" customFormat="false" ht="48" hidden="false" customHeight="true" outlineLevel="0" collapsed="false">
      <c r="A5" s="22" t="s">
        <v>3575</v>
      </c>
      <c r="B5" s="22" t="s">
        <v>3576</v>
      </c>
      <c r="C5" s="22" t="s">
        <v>3577</v>
      </c>
    </row>
    <row r="6" customFormat="false" ht="105" hidden="false" customHeight="true" outlineLevel="0" collapsed="false">
      <c r="A6" s="20" t="s">
        <v>1487</v>
      </c>
      <c r="B6" s="20" t="s">
        <v>3578</v>
      </c>
      <c r="C6" s="20" t="s">
        <v>1082</v>
      </c>
    </row>
    <row r="7" customFormat="false" ht="105" hidden="false" customHeight="true" outlineLevel="0" collapsed="false">
      <c r="A7" s="19" t="s">
        <v>1284</v>
      </c>
      <c r="B7" s="19" t="s">
        <v>3579</v>
      </c>
      <c r="C7" s="19" t="s">
        <v>1074</v>
      </c>
    </row>
    <row r="8" customFormat="false" ht="105" hidden="false" customHeight="true" outlineLevel="0" collapsed="false">
      <c r="A8" s="20" t="s">
        <v>1496</v>
      </c>
      <c r="B8" s="20" t="s">
        <v>3580</v>
      </c>
      <c r="C8" s="20" t="s">
        <v>3581</v>
      </c>
    </row>
    <row r="9" customFormat="false" ht="105" hidden="false" customHeight="true" outlineLevel="0" collapsed="false">
      <c r="A9" s="19" t="s">
        <v>1292</v>
      </c>
      <c r="B9" s="19" t="s">
        <v>3582</v>
      </c>
      <c r="C9" s="19" t="s">
        <v>1023</v>
      </c>
    </row>
    <row r="10" customFormat="false" ht="105" hidden="false" customHeight="true" outlineLevel="0" collapsed="false">
      <c r="A10" s="20" t="s">
        <v>3583</v>
      </c>
      <c r="B10" s="20" t="s">
        <v>3584</v>
      </c>
      <c r="C10" s="20" t="s">
        <v>3585</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38"/>
    <col collapsed="false" customWidth="true" hidden="false" outlineLevel="0" max="2" min="2" style="10" width="140"/>
    <col collapsed="false" customWidth="true" hidden="false" outlineLevel="0" max="3" min="3" style="10" width="100"/>
  </cols>
  <sheetData>
    <row r="1" customFormat="false" ht="33.75" hidden="false" customHeight="true" outlineLevel="0" collapsed="false">
      <c r="A1" s="54" t="s">
        <v>3586</v>
      </c>
      <c r="B1" s="54"/>
      <c r="C1" s="54"/>
    </row>
    <row r="2" customFormat="false" ht="24.75" hidden="false" customHeight="true" outlineLevel="0" collapsed="false">
      <c r="A2" s="55" t="s">
        <v>3587</v>
      </c>
      <c r="B2" s="55"/>
      <c r="C2" s="55"/>
    </row>
    <row r="3" customFormat="false" ht="24.75" hidden="false" customHeight="true" outlineLevel="0" collapsed="false">
      <c r="A3" s="55"/>
      <c r="B3" s="55"/>
      <c r="C3" s="55"/>
    </row>
    <row r="5" customFormat="false" ht="48" hidden="false" customHeight="true" outlineLevel="0" collapsed="false">
      <c r="A5" s="22" t="s">
        <v>308</v>
      </c>
      <c r="B5" s="22" t="s">
        <v>3588</v>
      </c>
      <c r="C5" s="22" t="s">
        <v>1962</v>
      </c>
    </row>
    <row r="6" customFormat="false" ht="90" hidden="false" customHeight="true" outlineLevel="0" collapsed="false">
      <c r="A6" s="20" t="s">
        <v>23</v>
      </c>
      <c r="B6" s="20" t="s">
        <v>2692</v>
      </c>
      <c r="C6" s="20" t="s">
        <v>3589</v>
      </c>
    </row>
    <row r="7" customFormat="false" ht="90" hidden="false" customHeight="true" outlineLevel="0" collapsed="false">
      <c r="A7" s="19" t="s">
        <v>62</v>
      </c>
      <c r="B7" s="19" t="s">
        <v>3590</v>
      </c>
      <c r="C7" s="19" t="s">
        <v>3591</v>
      </c>
    </row>
    <row r="8" customFormat="false" ht="90" hidden="false" customHeight="true" outlineLevel="0" collapsed="false">
      <c r="A8" s="20" t="s">
        <v>56</v>
      </c>
      <c r="B8" s="20" t="s">
        <v>3592</v>
      </c>
      <c r="C8" s="20" t="s">
        <v>3591</v>
      </c>
    </row>
    <row r="9" customFormat="false" ht="90" hidden="false" customHeight="true" outlineLevel="0" collapsed="false">
      <c r="A9" s="19" t="s">
        <v>660</v>
      </c>
      <c r="B9" s="19" t="s">
        <v>3593</v>
      </c>
      <c r="C9" s="19" t="s">
        <v>3594</v>
      </c>
    </row>
    <row r="10" customFormat="false" ht="90" hidden="false" customHeight="true" outlineLevel="0" collapsed="false">
      <c r="A10" s="20" t="s">
        <v>3595</v>
      </c>
      <c r="B10" s="20" t="s">
        <v>3596</v>
      </c>
      <c r="C10" s="20" t="s">
        <v>3597</v>
      </c>
    </row>
    <row r="11" customFormat="false" ht="90" hidden="false" customHeight="true" outlineLevel="0" collapsed="false">
      <c r="A11" s="19" t="s">
        <v>653</v>
      </c>
      <c r="B11" s="19" t="s">
        <v>3598</v>
      </c>
      <c r="C11" s="19" t="s">
        <v>3599</v>
      </c>
    </row>
    <row r="12" customFormat="false" ht="90" hidden="false" customHeight="true" outlineLevel="0" collapsed="false">
      <c r="A12" s="20" t="s">
        <v>1449</v>
      </c>
      <c r="B12" s="20" t="s">
        <v>3600</v>
      </c>
      <c r="C12" s="20" t="s">
        <v>3601</v>
      </c>
    </row>
    <row r="13" customFormat="false" ht="99.75" hidden="false" customHeight="true" outlineLevel="0" collapsed="false">
      <c r="A13" s="19" t="s">
        <v>3602</v>
      </c>
      <c r="B13" s="19" t="s">
        <v>3603</v>
      </c>
      <c r="C13" s="19" t="s">
        <v>3604</v>
      </c>
    </row>
    <row r="14" customFormat="false" ht="99.75" hidden="false" customHeight="true" outlineLevel="0" collapsed="false">
      <c r="A14" s="20" t="s">
        <v>3605</v>
      </c>
      <c r="B14" s="20" t="s">
        <v>3606</v>
      </c>
      <c r="C14" s="20" t="s">
        <v>3607</v>
      </c>
    </row>
    <row r="15" customFormat="false" ht="99.75" hidden="false" customHeight="true" outlineLevel="0" collapsed="false">
      <c r="A15" s="19" t="s">
        <v>3608</v>
      </c>
      <c r="B15" s="19" t="s">
        <v>3609</v>
      </c>
      <c r="C15" s="19" t="s">
        <v>3610</v>
      </c>
    </row>
    <row r="16" customFormat="false" ht="105" hidden="false" customHeight="true" outlineLevel="0" collapsed="false">
      <c r="A16" s="20" t="s">
        <v>3611</v>
      </c>
      <c r="B16" s="20" t="s">
        <v>3612</v>
      </c>
      <c r="C16" s="20" t="s">
        <v>3613</v>
      </c>
    </row>
  </sheetData>
  <autoFilter ref="A5:C15"/>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0" width="38"/>
    <col collapsed="false" customWidth="true" hidden="false" outlineLevel="0" max="2" min="2" style="10" width="140"/>
    <col collapsed="false" customWidth="true" hidden="false" outlineLevel="0" max="3" min="3" style="10" width="100"/>
  </cols>
  <sheetData>
    <row r="1" customFormat="false" ht="33.75" hidden="false" customHeight="true" outlineLevel="0" collapsed="false">
      <c r="A1" s="54" t="s">
        <v>3614</v>
      </c>
      <c r="B1" s="54"/>
      <c r="C1" s="54"/>
    </row>
    <row r="2" customFormat="false" ht="24.75" hidden="false" customHeight="true" outlineLevel="0" collapsed="false">
      <c r="A2" s="55" t="s">
        <v>3615</v>
      </c>
      <c r="B2" s="55"/>
      <c r="C2" s="55"/>
    </row>
    <row r="3" customFormat="false" ht="24.75" hidden="false" customHeight="true" outlineLevel="0" collapsed="false">
      <c r="A3" s="55"/>
      <c r="B3" s="55"/>
      <c r="C3" s="55"/>
    </row>
    <row r="5" customFormat="false" ht="48" hidden="false" customHeight="true" outlineLevel="0" collapsed="false">
      <c r="A5" s="22" t="s">
        <v>3616</v>
      </c>
      <c r="B5" s="22" t="s">
        <v>1449</v>
      </c>
      <c r="C5" s="22" t="s">
        <v>3617</v>
      </c>
    </row>
    <row r="6" customFormat="false" ht="90" hidden="false" customHeight="true" outlineLevel="0" collapsed="false">
      <c r="A6" s="20" t="s">
        <v>3618</v>
      </c>
      <c r="B6" s="20" t="s">
        <v>3619</v>
      </c>
      <c r="C6" s="20" t="s">
        <v>3620</v>
      </c>
    </row>
    <row r="7" customFormat="false" ht="90" hidden="false" customHeight="true" outlineLevel="0" collapsed="false">
      <c r="A7" s="20" t="s">
        <v>3621</v>
      </c>
      <c r="B7" s="20" t="s">
        <v>3619</v>
      </c>
      <c r="C7" s="20" t="s">
        <v>3622</v>
      </c>
    </row>
    <row r="8" customFormat="false" ht="90" hidden="false" customHeight="true" outlineLevel="0" collapsed="false">
      <c r="A8" s="20" t="s">
        <v>3623</v>
      </c>
      <c r="B8" s="20" t="s">
        <v>3619</v>
      </c>
      <c r="C8" s="20" t="s">
        <v>3624</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33"/>
    <col collapsed="false" customWidth="true" hidden="false" outlineLevel="0" max="2" min="2" style="10" width="80"/>
    <col collapsed="false" customWidth="true" hidden="false" outlineLevel="0" max="3" min="3" style="10" width="145"/>
    <col collapsed="false" customWidth="true" hidden="false" outlineLevel="0" max="4" min="4" style="10" width="70"/>
  </cols>
  <sheetData>
    <row r="1" customFormat="false" ht="33.75" hidden="false" customHeight="true" outlineLevel="0" collapsed="false">
      <c r="A1" s="54" t="s">
        <v>3625</v>
      </c>
      <c r="B1" s="54"/>
      <c r="C1" s="54"/>
      <c r="D1" s="54"/>
    </row>
    <row r="2" customFormat="false" ht="24.75" hidden="false" customHeight="true" outlineLevel="0" collapsed="false">
      <c r="A2" s="55" t="s">
        <v>3626</v>
      </c>
      <c r="B2" s="55"/>
      <c r="C2" s="55"/>
      <c r="D2" s="55"/>
    </row>
    <row r="3" customFormat="false" ht="24.75" hidden="false" customHeight="true" outlineLevel="0" collapsed="false">
      <c r="A3" s="55"/>
      <c r="B3" s="55"/>
      <c r="C3" s="55"/>
      <c r="D3" s="55"/>
    </row>
    <row r="5" customFormat="false" ht="48" hidden="false" customHeight="true" outlineLevel="0" collapsed="false">
      <c r="A5" s="22" t="s">
        <v>1449</v>
      </c>
      <c r="B5" s="22" t="s">
        <v>3627</v>
      </c>
      <c r="C5" s="22" t="s">
        <v>3628</v>
      </c>
      <c r="D5" s="22" t="s">
        <v>3629</v>
      </c>
    </row>
    <row r="6" customFormat="false" ht="135" hidden="false" customHeight="true" outlineLevel="0" collapsed="false">
      <c r="A6" s="20" t="s">
        <v>3630</v>
      </c>
      <c r="B6" s="20"/>
      <c r="C6" s="20" t="s">
        <v>3631</v>
      </c>
      <c r="D6" s="20" t="s">
        <v>3632</v>
      </c>
    </row>
    <row r="7" customFormat="false" ht="135" hidden="false" customHeight="true" outlineLevel="0" collapsed="false">
      <c r="A7" s="19" t="s">
        <v>3633</v>
      </c>
      <c r="B7" s="19"/>
      <c r="C7" s="19" t="s">
        <v>3634</v>
      </c>
      <c r="D7" s="19" t="s">
        <v>3632</v>
      </c>
    </row>
    <row r="8" customFormat="false" ht="135" hidden="false" customHeight="true" outlineLevel="0" collapsed="false">
      <c r="A8" s="20" t="s">
        <v>3635</v>
      </c>
      <c r="B8" s="20"/>
      <c r="C8" s="20" t="s">
        <v>3636</v>
      </c>
      <c r="D8" s="20" t="s">
        <v>3632</v>
      </c>
    </row>
    <row r="9" customFormat="false" ht="135" hidden="false" customHeight="true" outlineLevel="0" collapsed="false">
      <c r="A9" s="19" t="s">
        <v>3637</v>
      </c>
      <c r="B9" s="19"/>
      <c r="C9" s="19" t="s">
        <v>3638</v>
      </c>
      <c r="D9" s="19" t="s">
        <v>3632</v>
      </c>
    </row>
    <row r="10" customFormat="false" ht="135" hidden="false" customHeight="true" outlineLevel="0" collapsed="false">
      <c r="A10" s="20" t="s">
        <v>3639</v>
      </c>
      <c r="B10" s="20" t="s">
        <v>3640</v>
      </c>
      <c r="C10" s="20" t="s">
        <v>3641</v>
      </c>
      <c r="D10" s="20" t="s">
        <v>3632</v>
      </c>
    </row>
    <row r="11" customFormat="false" ht="135" hidden="false" customHeight="true" outlineLevel="0" collapsed="false">
      <c r="A11" s="19" t="s">
        <v>3642</v>
      </c>
      <c r="B11" s="19" t="s">
        <v>3643</v>
      </c>
      <c r="C11" s="19" t="s">
        <v>3640</v>
      </c>
      <c r="D11" s="19" t="s">
        <v>3632</v>
      </c>
    </row>
    <row r="12" customFormat="false" ht="135" hidden="false" customHeight="true" outlineLevel="0" collapsed="false">
      <c r="A12" s="20" t="s">
        <v>3644</v>
      </c>
      <c r="B12" s="20"/>
      <c r="C12" s="20" t="s">
        <v>3645</v>
      </c>
      <c r="D12" s="20" t="s">
        <v>3632</v>
      </c>
    </row>
    <row r="13" customFormat="false" ht="135" hidden="false" customHeight="true" outlineLevel="0" collapsed="false">
      <c r="A13" s="19" t="s">
        <v>3646</v>
      </c>
      <c r="B13" s="19"/>
      <c r="C13" s="19" t="s">
        <v>3643</v>
      </c>
      <c r="D13" s="19" t="s">
        <v>3632</v>
      </c>
    </row>
    <row r="14" customFormat="false" ht="135" hidden="false" customHeight="true" outlineLevel="0" collapsed="false">
      <c r="A14" s="20" t="s">
        <v>3647</v>
      </c>
      <c r="B14" s="20" t="s">
        <v>3648</v>
      </c>
      <c r="C14" s="20" t="s">
        <v>3649</v>
      </c>
      <c r="D14" s="20" t="s">
        <v>3632</v>
      </c>
    </row>
    <row r="15" customFormat="false" ht="135" hidden="false" customHeight="true" outlineLevel="0" collapsed="false">
      <c r="A15" s="19" t="s">
        <v>3650</v>
      </c>
      <c r="B15" s="19" t="s">
        <v>3651</v>
      </c>
      <c r="C15" s="19" t="s">
        <v>3652</v>
      </c>
      <c r="D15" s="19" t="s">
        <v>3632</v>
      </c>
    </row>
    <row r="16" customFormat="false" ht="135" hidden="false" customHeight="true" outlineLevel="0" collapsed="false">
      <c r="A16" s="20" t="s">
        <v>3653</v>
      </c>
      <c r="B16" s="20" t="s">
        <v>3654</v>
      </c>
      <c r="C16" s="20" t="s">
        <v>1105</v>
      </c>
      <c r="D16" s="20" t="s">
        <v>3632</v>
      </c>
    </row>
    <row r="17" customFormat="false" ht="135" hidden="false" customHeight="true" outlineLevel="0" collapsed="false">
      <c r="A17" s="19" t="s">
        <v>3655</v>
      </c>
      <c r="B17" s="19" t="s">
        <v>3648</v>
      </c>
      <c r="C17" s="19" t="s">
        <v>3649</v>
      </c>
      <c r="D17" s="19" t="s">
        <v>3632</v>
      </c>
    </row>
    <row r="18" customFormat="false" ht="135" hidden="false" customHeight="true" outlineLevel="0" collapsed="false">
      <c r="A18" s="20" t="s">
        <v>3656</v>
      </c>
      <c r="B18" s="20" t="s">
        <v>3651</v>
      </c>
      <c r="C18" s="20" t="s">
        <v>3652</v>
      </c>
      <c r="D18" s="20" t="s">
        <v>3632</v>
      </c>
    </row>
    <row r="19" customFormat="false" ht="135" hidden="false" customHeight="true" outlineLevel="0" collapsed="false">
      <c r="A19" s="19" t="s">
        <v>3657</v>
      </c>
      <c r="B19" s="19" t="s">
        <v>3658</v>
      </c>
      <c r="C19" s="19" t="s">
        <v>3659</v>
      </c>
      <c r="D19" s="19" t="s">
        <v>3632</v>
      </c>
    </row>
    <row r="20" customFormat="false" ht="135" hidden="false" customHeight="true" outlineLevel="0" collapsed="false">
      <c r="A20" s="20" t="s">
        <v>3660</v>
      </c>
      <c r="B20" s="20" t="s">
        <v>3661</v>
      </c>
      <c r="C20" s="20" t="s">
        <v>3662</v>
      </c>
      <c r="D20" s="20" t="s">
        <v>3632</v>
      </c>
    </row>
    <row r="21" customFormat="false" ht="135" hidden="false" customHeight="true" outlineLevel="0" collapsed="false">
      <c r="A21" s="19" t="s">
        <v>3663</v>
      </c>
      <c r="B21" s="19" t="s">
        <v>3664</v>
      </c>
      <c r="C21" s="19" t="s">
        <v>3665</v>
      </c>
      <c r="D21" s="19" t="s">
        <v>3632</v>
      </c>
    </row>
    <row r="22" customFormat="false" ht="135" hidden="false" customHeight="true" outlineLevel="0" collapsed="false">
      <c r="A22" s="20" t="s">
        <v>3666</v>
      </c>
      <c r="B22" s="20" t="s">
        <v>3651</v>
      </c>
      <c r="C22" s="20" t="s">
        <v>3652</v>
      </c>
      <c r="D22" s="20" t="s">
        <v>3632</v>
      </c>
    </row>
    <row r="23" customFormat="false" ht="135" hidden="false" customHeight="true" outlineLevel="0" collapsed="false">
      <c r="A23" s="19" t="s">
        <v>3667</v>
      </c>
      <c r="B23" s="19" t="s">
        <v>3668</v>
      </c>
      <c r="C23" s="19" t="s">
        <v>1119</v>
      </c>
      <c r="D23" s="19" t="s">
        <v>3632</v>
      </c>
    </row>
    <row r="24" customFormat="false" ht="135" hidden="false" customHeight="true" outlineLevel="0" collapsed="false">
      <c r="A24" s="20" t="s">
        <v>3669</v>
      </c>
      <c r="B24" s="20" t="s">
        <v>3651</v>
      </c>
      <c r="C24" s="20" t="s">
        <v>3652</v>
      </c>
      <c r="D24" s="20" t="s">
        <v>3632</v>
      </c>
    </row>
    <row r="25" customFormat="false" ht="135" hidden="false" customHeight="true" outlineLevel="0" collapsed="false">
      <c r="A25" s="19" t="s">
        <v>3670</v>
      </c>
      <c r="B25" s="19" t="s">
        <v>3651</v>
      </c>
      <c r="C25" s="19" t="s">
        <v>3652</v>
      </c>
      <c r="D25" s="19" t="s">
        <v>3632</v>
      </c>
    </row>
    <row r="26" customFormat="false" ht="135" hidden="false" customHeight="true" outlineLevel="0" collapsed="false">
      <c r="A26" s="20" t="s">
        <v>3671</v>
      </c>
      <c r="B26" s="20" t="s">
        <v>3651</v>
      </c>
      <c r="C26" s="20" t="s">
        <v>3652</v>
      </c>
      <c r="D26" s="20" t="s">
        <v>3632</v>
      </c>
    </row>
    <row r="27" customFormat="false" ht="135" hidden="false" customHeight="true" outlineLevel="0" collapsed="false">
      <c r="A27" s="19" t="s">
        <v>3672</v>
      </c>
      <c r="B27" s="19" t="s">
        <v>3651</v>
      </c>
      <c r="C27" s="19" t="s">
        <v>3652</v>
      </c>
      <c r="D27" s="19" t="s">
        <v>3632</v>
      </c>
    </row>
    <row r="28" customFormat="false" ht="135" hidden="false" customHeight="true" outlineLevel="0" collapsed="false">
      <c r="A28" s="20" t="s">
        <v>3673</v>
      </c>
      <c r="B28" s="20" t="s">
        <v>3674</v>
      </c>
      <c r="C28" s="20" t="s">
        <v>3675</v>
      </c>
      <c r="D28" s="20" t="s">
        <v>3632</v>
      </c>
    </row>
    <row r="29" customFormat="false" ht="135" hidden="false" customHeight="true" outlineLevel="0" collapsed="false">
      <c r="A29" s="19" t="s">
        <v>3676</v>
      </c>
      <c r="B29" s="19" t="s">
        <v>3651</v>
      </c>
      <c r="C29" s="19" t="s">
        <v>3652</v>
      </c>
      <c r="D29" s="19" t="s">
        <v>3632</v>
      </c>
    </row>
    <row r="30" customFormat="false" ht="135" hidden="false" customHeight="true" outlineLevel="0" collapsed="false">
      <c r="A30" s="20" t="s">
        <v>3677</v>
      </c>
      <c r="B30" s="20" t="s">
        <v>3678</v>
      </c>
      <c r="C30" s="20" t="s">
        <v>1137</v>
      </c>
      <c r="D30" s="20" t="s">
        <v>3632</v>
      </c>
    </row>
    <row r="31" customFormat="false" ht="135" hidden="false" customHeight="true" outlineLevel="0" collapsed="false">
      <c r="A31" s="19" t="s">
        <v>3679</v>
      </c>
      <c r="B31" s="19" t="s">
        <v>3680</v>
      </c>
      <c r="C31" s="19" t="s">
        <v>3681</v>
      </c>
      <c r="D31" s="19" t="s">
        <v>3632</v>
      </c>
    </row>
    <row r="32" customFormat="false" ht="135" hidden="false" customHeight="true" outlineLevel="0" collapsed="false">
      <c r="A32" s="20" t="s">
        <v>3682</v>
      </c>
      <c r="B32" s="20" t="s">
        <v>3674</v>
      </c>
      <c r="C32" s="20" t="s">
        <v>3675</v>
      </c>
      <c r="D32" s="20" t="s">
        <v>3632</v>
      </c>
    </row>
    <row r="33" customFormat="false" ht="135" hidden="false" customHeight="true" outlineLevel="0" collapsed="false">
      <c r="A33" s="19" t="s">
        <v>3683</v>
      </c>
      <c r="B33" s="19" t="s">
        <v>3651</v>
      </c>
      <c r="C33" s="19" t="s">
        <v>3652</v>
      </c>
      <c r="D33" s="19" t="s">
        <v>3632</v>
      </c>
    </row>
    <row r="34" customFormat="false" ht="135" hidden="false" customHeight="true" outlineLevel="0" collapsed="false">
      <c r="A34" s="20" t="s">
        <v>3684</v>
      </c>
      <c r="B34" s="20" t="s">
        <v>3685</v>
      </c>
      <c r="C34" s="20" t="s">
        <v>1141</v>
      </c>
      <c r="D34" s="20" t="s">
        <v>3632</v>
      </c>
    </row>
    <row r="35" customFormat="false" ht="135" hidden="false" customHeight="true" outlineLevel="0" collapsed="false">
      <c r="A35" s="19" t="s">
        <v>3686</v>
      </c>
      <c r="B35" s="19" t="s">
        <v>3674</v>
      </c>
      <c r="C35" s="19" t="s">
        <v>3687</v>
      </c>
      <c r="D35" s="19" t="s">
        <v>3632</v>
      </c>
    </row>
    <row r="36" customFormat="false" ht="135" hidden="false" customHeight="true" outlineLevel="0" collapsed="false">
      <c r="A36" s="20" t="s">
        <v>3688</v>
      </c>
      <c r="B36" s="20" t="s">
        <v>3651</v>
      </c>
      <c r="C36" s="20" t="s">
        <v>3652</v>
      </c>
      <c r="D36" s="20" t="s">
        <v>3632</v>
      </c>
    </row>
    <row r="37" customFormat="false" ht="135" hidden="false" customHeight="true" outlineLevel="0" collapsed="false">
      <c r="A37" s="19" t="s">
        <v>3689</v>
      </c>
      <c r="B37" s="19" t="s">
        <v>3690</v>
      </c>
      <c r="C37" s="19" t="s">
        <v>1147</v>
      </c>
      <c r="D37" s="19" t="s">
        <v>3632</v>
      </c>
    </row>
    <row r="38" customFormat="false" ht="135" hidden="false" customHeight="true" outlineLevel="0" collapsed="false">
      <c r="A38" s="20" t="s">
        <v>3691</v>
      </c>
      <c r="B38" s="20" t="s">
        <v>3692</v>
      </c>
      <c r="C38" s="20" t="s">
        <v>3693</v>
      </c>
      <c r="D38" s="20" t="s">
        <v>3632</v>
      </c>
    </row>
    <row r="39" customFormat="false" ht="135" hidden="false" customHeight="true" outlineLevel="0" collapsed="false">
      <c r="A39" s="19" t="s">
        <v>3694</v>
      </c>
      <c r="B39" s="19" t="s">
        <v>1161</v>
      </c>
      <c r="C39" s="19" t="s">
        <v>3695</v>
      </c>
      <c r="D39" s="19" t="s">
        <v>3632</v>
      </c>
    </row>
    <row r="40" customFormat="false" ht="135" hidden="false" customHeight="true" outlineLevel="0" collapsed="false">
      <c r="A40" s="20" t="s">
        <v>3696</v>
      </c>
      <c r="B40" s="20" t="s">
        <v>3697</v>
      </c>
      <c r="C40" s="20" t="s">
        <v>3698</v>
      </c>
      <c r="D40" s="20" t="s">
        <v>3632</v>
      </c>
    </row>
    <row r="41" customFormat="false" ht="135" hidden="false" customHeight="true" outlineLevel="0" collapsed="false">
      <c r="A41" s="19" t="s">
        <v>3699</v>
      </c>
      <c r="B41" s="19" t="s">
        <v>1161</v>
      </c>
      <c r="C41" s="19" t="s">
        <v>3695</v>
      </c>
      <c r="D41" s="19" t="s">
        <v>3632</v>
      </c>
    </row>
    <row r="42" customFormat="false" ht="135" hidden="false" customHeight="true" outlineLevel="0" collapsed="false">
      <c r="A42" s="20" t="s">
        <v>3700</v>
      </c>
      <c r="B42" s="20" t="s">
        <v>3701</v>
      </c>
      <c r="C42" s="20" t="s">
        <v>1161</v>
      </c>
      <c r="D42" s="20" t="s">
        <v>3632</v>
      </c>
    </row>
    <row r="43" customFormat="false" ht="135" hidden="false" customHeight="true" outlineLevel="0" collapsed="false">
      <c r="A43" s="19" t="s">
        <v>3702</v>
      </c>
      <c r="B43" s="19" t="s">
        <v>1174</v>
      </c>
      <c r="C43" s="19" t="s">
        <v>3703</v>
      </c>
      <c r="D43" s="19" t="s">
        <v>3632</v>
      </c>
    </row>
    <row r="44" customFormat="false" ht="135" hidden="false" customHeight="true" outlineLevel="0" collapsed="false">
      <c r="A44" s="20" t="s">
        <v>3704</v>
      </c>
      <c r="B44" s="20"/>
      <c r="C44" s="20" t="s">
        <v>1174</v>
      </c>
      <c r="D44" s="20" t="s">
        <v>3632</v>
      </c>
    </row>
    <row r="45" customFormat="false" ht="135" hidden="false" customHeight="true" outlineLevel="0" collapsed="false">
      <c r="A45" s="19" t="s">
        <v>3705</v>
      </c>
      <c r="B45" s="19"/>
      <c r="C45" s="19" t="s">
        <v>1174</v>
      </c>
      <c r="D45" s="19" t="s">
        <v>3632</v>
      </c>
    </row>
    <row r="46" customFormat="false" ht="135" hidden="false" customHeight="true" outlineLevel="0" collapsed="false">
      <c r="A46" s="20" t="s">
        <v>3706</v>
      </c>
      <c r="B46" s="20" t="s">
        <v>3707</v>
      </c>
      <c r="C46" s="20" t="s">
        <v>3708</v>
      </c>
      <c r="D46" s="20" t="s">
        <v>3632</v>
      </c>
    </row>
    <row r="47" customFormat="false" ht="135" hidden="false" customHeight="true" outlineLevel="0" collapsed="false">
      <c r="A47" s="19" t="s">
        <v>3709</v>
      </c>
      <c r="B47" s="19" t="s">
        <v>3710</v>
      </c>
      <c r="C47" s="19" t="s">
        <v>3711</v>
      </c>
      <c r="D47" s="19" t="s">
        <v>3632</v>
      </c>
    </row>
    <row r="48" customFormat="false" ht="135" hidden="false" customHeight="true" outlineLevel="0" collapsed="false">
      <c r="A48" s="20" t="s">
        <v>3712</v>
      </c>
      <c r="B48" s="20" t="s">
        <v>3713</v>
      </c>
      <c r="C48" s="20" t="s">
        <v>3714</v>
      </c>
      <c r="D48" s="20" t="s">
        <v>3632</v>
      </c>
    </row>
    <row r="49" customFormat="false" ht="135" hidden="false" customHeight="true" outlineLevel="0" collapsed="false">
      <c r="A49" s="19" t="s">
        <v>3715</v>
      </c>
      <c r="B49" s="19" t="s">
        <v>3716</v>
      </c>
      <c r="C49" s="19" t="s">
        <v>3717</v>
      </c>
      <c r="D49" s="19" t="s">
        <v>3632</v>
      </c>
    </row>
    <row r="50" customFormat="false" ht="135" hidden="false" customHeight="true" outlineLevel="0" collapsed="false">
      <c r="A50" s="20" t="s">
        <v>3718</v>
      </c>
      <c r="B50" s="20" t="s">
        <v>3719</v>
      </c>
      <c r="C50" s="20" t="s">
        <v>3720</v>
      </c>
      <c r="D50" s="20" t="s">
        <v>3632</v>
      </c>
    </row>
    <row r="51" customFormat="false" ht="135" hidden="false" customHeight="true" outlineLevel="0" collapsed="false">
      <c r="A51" s="19" t="s">
        <v>3721</v>
      </c>
      <c r="B51" s="19" t="s">
        <v>3722</v>
      </c>
      <c r="C51" s="19" t="s">
        <v>3723</v>
      </c>
      <c r="D51" s="19" t="s">
        <v>3632</v>
      </c>
    </row>
    <row r="52" customFormat="false" ht="135" hidden="false" customHeight="true" outlineLevel="0" collapsed="false">
      <c r="A52" s="20" t="s">
        <v>3724</v>
      </c>
      <c r="B52" s="20" t="s">
        <v>3725</v>
      </c>
      <c r="C52" s="20" t="s">
        <v>3726</v>
      </c>
      <c r="D52" s="20" t="s">
        <v>3632</v>
      </c>
    </row>
    <row r="53" customFormat="false" ht="135" hidden="false" customHeight="true" outlineLevel="0" collapsed="false">
      <c r="A53" s="19" t="s">
        <v>3727</v>
      </c>
      <c r="B53" s="19" t="s">
        <v>3728</v>
      </c>
      <c r="C53" s="19" t="s">
        <v>3729</v>
      </c>
      <c r="D53" s="19" t="s">
        <v>3632</v>
      </c>
    </row>
    <row r="54" customFormat="false" ht="135" hidden="false" customHeight="true" outlineLevel="0" collapsed="false">
      <c r="A54" s="20" t="s">
        <v>3730</v>
      </c>
      <c r="B54" s="20" t="s">
        <v>3731</v>
      </c>
      <c r="C54" s="20" t="s">
        <v>3732</v>
      </c>
      <c r="D54" s="20" t="s">
        <v>3632</v>
      </c>
    </row>
    <row r="55" customFormat="false" ht="135" hidden="false" customHeight="true" outlineLevel="0" collapsed="false">
      <c r="A55" s="19" t="s">
        <v>3733</v>
      </c>
      <c r="B55" s="19" t="s">
        <v>2861</v>
      </c>
      <c r="C55" s="19" t="s">
        <v>3734</v>
      </c>
      <c r="D55" s="19" t="s">
        <v>3632</v>
      </c>
    </row>
    <row r="56" customFormat="false" ht="135" hidden="false" customHeight="true" outlineLevel="0" collapsed="false">
      <c r="A56" s="20" t="s">
        <v>3735</v>
      </c>
      <c r="B56" s="20" t="s">
        <v>3736</v>
      </c>
      <c r="C56" s="20" t="s">
        <v>3737</v>
      </c>
      <c r="D56" s="20" t="s">
        <v>3632</v>
      </c>
    </row>
    <row r="57" customFormat="false" ht="135" hidden="false" customHeight="true" outlineLevel="0" collapsed="false">
      <c r="A57" s="19" t="s">
        <v>3738</v>
      </c>
      <c r="B57" s="19" t="s">
        <v>3739</v>
      </c>
      <c r="C57" s="19" t="s">
        <v>3740</v>
      </c>
      <c r="D57" s="19" t="s">
        <v>3632</v>
      </c>
    </row>
    <row r="58" customFormat="false" ht="135" hidden="false" customHeight="true" outlineLevel="0" collapsed="false">
      <c r="A58" s="20" t="s">
        <v>3741</v>
      </c>
      <c r="B58" s="20" t="s">
        <v>2918</v>
      </c>
      <c r="C58" s="20" t="s">
        <v>3742</v>
      </c>
      <c r="D58" s="20" t="s">
        <v>3632</v>
      </c>
    </row>
    <row r="59" customFormat="false" ht="135" hidden="false" customHeight="true" outlineLevel="0" collapsed="false">
      <c r="A59" s="19" t="s">
        <v>3743</v>
      </c>
      <c r="B59" s="19" t="s">
        <v>2921</v>
      </c>
      <c r="C59" s="19" t="s">
        <v>3744</v>
      </c>
      <c r="D59" s="19" t="s">
        <v>3632</v>
      </c>
    </row>
    <row r="60" customFormat="false" ht="135" hidden="false" customHeight="true" outlineLevel="0" collapsed="false">
      <c r="A60" s="20" t="s">
        <v>3745</v>
      </c>
      <c r="B60" s="20" t="s">
        <v>2921</v>
      </c>
      <c r="C60" s="20" t="s">
        <v>3744</v>
      </c>
      <c r="D60" s="20" t="s">
        <v>3632</v>
      </c>
    </row>
    <row r="61" customFormat="false" ht="135" hidden="false" customHeight="true" outlineLevel="0" collapsed="false">
      <c r="A61" s="19" t="s">
        <v>3746</v>
      </c>
      <c r="B61" s="19" t="s">
        <v>2942</v>
      </c>
      <c r="C61" s="19" t="s">
        <v>3747</v>
      </c>
      <c r="D61" s="19" t="s">
        <v>3632</v>
      </c>
    </row>
    <row r="62" customFormat="false" ht="135" hidden="false" customHeight="true" outlineLevel="0" collapsed="false">
      <c r="A62" s="20" t="s">
        <v>3748</v>
      </c>
      <c r="B62" s="20" t="s">
        <v>3749</v>
      </c>
      <c r="C62" s="20" t="s">
        <v>3750</v>
      </c>
      <c r="D62" s="20" t="s">
        <v>3632</v>
      </c>
    </row>
    <row r="63" customFormat="false" ht="135" hidden="false" customHeight="true" outlineLevel="0" collapsed="false">
      <c r="A63" s="19" t="s">
        <v>3751</v>
      </c>
      <c r="B63" s="19" t="s">
        <v>3752</v>
      </c>
      <c r="C63" s="19" t="s">
        <v>3753</v>
      </c>
      <c r="D63" s="19" t="s">
        <v>3632</v>
      </c>
    </row>
    <row r="64" customFormat="false" ht="135" hidden="false" customHeight="true" outlineLevel="0" collapsed="false">
      <c r="A64" s="20" t="s">
        <v>3754</v>
      </c>
      <c r="B64" s="20" t="s">
        <v>3755</v>
      </c>
      <c r="C64" s="20" t="s">
        <v>3756</v>
      </c>
      <c r="D64" s="20" t="s">
        <v>3632</v>
      </c>
    </row>
    <row r="65" customFormat="false" ht="135" hidden="false" customHeight="true" outlineLevel="0" collapsed="false">
      <c r="A65" s="19" t="s">
        <v>3757</v>
      </c>
      <c r="B65" s="19"/>
      <c r="C65" s="19" t="s">
        <v>3758</v>
      </c>
      <c r="D65" s="19" t="s">
        <v>3632</v>
      </c>
    </row>
    <row r="66" customFormat="false" ht="135" hidden="false" customHeight="true" outlineLevel="0" collapsed="false">
      <c r="A66" s="20" t="s">
        <v>3759</v>
      </c>
      <c r="B66" s="20"/>
      <c r="C66" s="20" t="s">
        <v>3760</v>
      </c>
      <c r="D66" s="20" t="s">
        <v>3632</v>
      </c>
    </row>
    <row r="67" customFormat="false" ht="135" hidden="false" customHeight="true" outlineLevel="0" collapsed="false">
      <c r="A67" s="19" t="s">
        <v>3761</v>
      </c>
      <c r="B67" s="19"/>
      <c r="C67" s="19" t="s">
        <v>3762</v>
      </c>
      <c r="D67" s="19" t="s">
        <v>3632</v>
      </c>
    </row>
    <row r="68" customFormat="false" ht="135" hidden="false" customHeight="true" outlineLevel="0" collapsed="false">
      <c r="A68" s="20" t="s">
        <v>3763</v>
      </c>
      <c r="B68" s="20"/>
      <c r="C68" s="20" t="s">
        <v>3764</v>
      </c>
      <c r="D68" s="20" t="s">
        <v>3632</v>
      </c>
    </row>
    <row r="69" customFormat="false" ht="135" hidden="false" customHeight="true" outlineLevel="0" collapsed="false">
      <c r="A69" s="19" t="s">
        <v>3765</v>
      </c>
      <c r="B69" s="19"/>
      <c r="C69" s="19" t="s">
        <v>3766</v>
      </c>
      <c r="D69" s="19" t="s">
        <v>3632</v>
      </c>
    </row>
    <row r="70" customFormat="false" ht="135" hidden="false" customHeight="true" outlineLevel="0" collapsed="false">
      <c r="A70" s="20" t="s">
        <v>3767</v>
      </c>
      <c r="B70" s="20"/>
      <c r="C70" s="20" t="s">
        <v>3768</v>
      </c>
      <c r="D70" s="20" t="s">
        <v>3632</v>
      </c>
    </row>
    <row r="71" customFormat="false" ht="135" hidden="false" customHeight="true" outlineLevel="0" collapsed="false">
      <c r="A71" s="19" t="s">
        <v>3769</v>
      </c>
      <c r="B71" s="19"/>
      <c r="C71" s="19" t="s">
        <v>3770</v>
      </c>
      <c r="D71" s="19" t="s">
        <v>3632</v>
      </c>
    </row>
    <row r="72" customFormat="false" ht="135" hidden="false" customHeight="true" outlineLevel="0" collapsed="false">
      <c r="A72" s="20" t="s">
        <v>3771</v>
      </c>
      <c r="B72" s="20"/>
      <c r="C72" s="20" t="s">
        <v>3772</v>
      </c>
      <c r="D72" s="20" t="s">
        <v>3632</v>
      </c>
    </row>
    <row r="73" customFormat="false" ht="135" hidden="false" customHeight="true" outlineLevel="0" collapsed="false">
      <c r="A73" s="19" t="s">
        <v>3773</v>
      </c>
      <c r="B73" s="19"/>
      <c r="C73" s="19" t="s">
        <v>3774</v>
      </c>
      <c r="D73" s="19" t="s">
        <v>3632</v>
      </c>
    </row>
    <row r="74" customFormat="false" ht="135" hidden="false" customHeight="true" outlineLevel="0" collapsed="false">
      <c r="A74" s="20" t="s">
        <v>3775</v>
      </c>
      <c r="B74" s="20"/>
      <c r="C74" s="20" t="s">
        <v>3776</v>
      </c>
      <c r="D74" s="20" t="s">
        <v>3632</v>
      </c>
    </row>
    <row r="75" customFormat="false" ht="135" hidden="false" customHeight="true" outlineLevel="0" collapsed="false">
      <c r="A75" s="19" t="s">
        <v>3777</v>
      </c>
      <c r="B75" s="19"/>
      <c r="C75" s="19" t="s">
        <v>3770</v>
      </c>
      <c r="D75" s="19" t="s">
        <v>3632</v>
      </c>
    </row>
    <row r="76" customFormat="false" ht="135" hidden="false" customHeight="true" outlineLevel="0" collapsed="false">
      <c r="A76" s="20" t="s">
        <v>3778</v>
      </c>
      <c r="B76" s="20"/>
      <c r="C76" s="20" t="s">
        <v>3776</v>
      </c>
      <c r="D76" s="20" t="s">
        <v>3632</v>
      </c>
    </row>
    <row r="77" customFormat="false" ht="135" hidden="false" customHeight="true" outlineLevel="0" collapsed="false">
      <c r="A77" s="19" t="s">
        <v>3779</v>
      </c>
      <c r="B77" s="19"/>
      <c r="C77" s="19" t="s">
        <v>3780</v>
      </c>
      <c r="D77" s="19" t="s">
        <v>3632</v>
      </c>
    </row>
    <row r="78" customFormat="false" ht="135" hidden="false" customHeight="true" outlineLevel="0" collapsed="false">
      <c r="A78" s="20" t="s">
        <v>3781</v>
      </c>
      <c r="B78" s="20" t="s">
        <v>3782</v>
      </c>
      <c r="C78" s="20" t="s">
        <v>3783</v>
      </c>
      <c r="D78" s="20" t="s">
        <v>3632</v>
      </c>
    </row>
    <row r="79" customFormat="false" ht="135" hidden="false" customHeight="true" outlineLevel="0" collapsed="false">
      <c r="A79" s="19" t="s">
        <v>3784</v>
      </c>
      <c r="B79" s="19" t="s">
        <v>3782</v>
      </c>
      <c r="C79" s="19" t="s">
        <v>3785</v>
      </c>
      <c r="D79" s="19" t="s">
        <v>3632</v>
      </c>
    </row>
    <row r="80" customFormat="false" ht="135" hidden="false" customHeight="true" outlineLevel="0" collapsed="false">
      <c r="A80" s="20" t="s">
        <v>3786</v>
      </c>
      <c r="B80" s="20" t="s">
        <v>3787</v>
      </c>
      <c r="C80" s="20" t="s">
        <v>3788</v>
      </c>
      <c r="D80" s="20" t="s">
        <v>3632</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4.71"/>
    <col collapsed="false" customWidth="true" hidden="false" outlineLevel="0" max="2" min="2" style="10" width="44.71"/>
    <col collapsed="false" customWidth="true" hidden="false" outlineLevel="0" max="3" min="3" style="10" width="50.71"/>
    <col collapsed="false" customWidth="true" hidden="false" outlineLevel="0" max="4" min="4" style="10" width="55.71"/>
    <col collapsed="false" customWidth="true" hidden="false" outlineLevel="0" max="5" min="5" style="10" width="48.71"/>
    <col collapsed="false" customWidth="true" hidden="false" outlineLevel="0" max="6" min="6" style="10" width="22.71"/>
    <col collapsed="false" customWidth="true" hidden="false" outlineLevel="0" max="7" min="7" style="10" width="90.71"/>
    <col collapsed="false" customWidth="true" hidden="false" outlineLevel="0" max="8" min="8" style="10" width="65.71"/>
    <col collapsed="false" customWidth="true" hidden="false" outlineLevel="0" max="9" min="9" style="10" width="90.71"/>
    <col collapsed="false" customWidth="true" hidden="false" outlineLevel="0" max="10" min="10" style="10" width="65.71"/>
    <col collapsed="false" customWidth="true" hidden="false" outlineLevel="0" max="13" min="11" style="10" width="36.71"/>
  </cols>
  <sheetData>
    <row r="1" customFormat="false" ht="33.75" hidden="false" customHeight="true" outlineLevel="0" collapsed="false">
      <c r="A1" s="74" t="s">
        <v>3789</v>
      </c>
      <c r="B1" s="74"/>
      <c r="C1" s="74"/>
      <c r="D1" s="74"/>
      <c r="E1" s="74"/>
      <c r="F1" s="74"/>
      <c r="G1" s="74"/>
      <c r="H1" s="74"/>
      <c r="I1" s="74"/>
      <c r="J1" s="74"/>
      <c r="K1" s="74"/>
      <c r="L1" s="74"/>
      <c r="M1" s="74"/>
    </row>
    <row r="2" customFormat="false" ht="24.75" hidden="false" customHeight="true" outlineLevel="0" collapsed="false">
      <c r="A2" s="75" t="s">
        <v>3790</v>
      </c>
      <c r="B2" s="75"/>
      <c r="C2" s="75"/>
      <c r="D2" s="75"/>
      <c r="E2" s="75"/>
      <c r="F2" s="75"/>
      <c r="G2" s="75"/>
      <c r="H2" s="75"/>
      <c r="I2" s="75"/>
      <c r="J2" s="75"/>
      <c r="K2" s="75"/>
      <c r="L2" s="75"/>
      <c r="M2" s="75"/>
    </row>
    <row r="3" customFormat="false" ht="24.75" hidden="false" customHeight="true" outlineLevel="0" collapsed="false">
      <c r="A3" s="75"/>
      <c r="B3" s="75"/>
      <c r="C3" s="75"/>
      <c r="D3" s="75"/>
      <c r="E3" s="75"/>
      <c r="F3" s="75"/>
      <c r="G3" s="75"/>
      <c r="H3" s="75"/>
      <c r="I3" s="75"/>
      <c r="J3" s="75"/>
      <c r="K3" s="75"/>
      <c r="L3" s="75"/>
      <c r="M3" s="75"/>
    </row>
    <row r="5" customFormat="false" ht="48" hidden="false" customHeight="true" outlineLevel="0" collapsed="false">
      <c r="A5" s="76" t="s">
        <v>231</v>
      </c>
      <c r="B5" s="76" t="s">
        <v>3791</v>
      </c>
      <c r="C5" s="76" t="s">
        <v>3792</v>
      </c>
      <c r="D5" s="76" t="s">
        <v>1087</v>
      </c>
      <c r="E5" s="76" t="s">
        <v>3793</v>
      </c>
      <c r="F5" s="76" t="s">
        <v>3794</v>
      </c>
      <c r="G5" s="76" t="s">
        <v>924</v>
      </c>
      <c r="H5" s="76" t="s">
        <v>3795</v>
      </c>
      <c r="I5" s="76" t="s">
        <v>3796</v>
      </c>
      <c r="J5" s="76" t="s">
        <v>3797</v>
      </c>
      <c r="K5" s="76" t="s">
        <v>3798</v>
      </c>
      <c r="L5" s="76" t="s">
        <v>3799</v>
      </c>
      <c r="M5" s="76" t="s">
        <v>3800</v>
      </c>
    </row>
    <row r="6" customFormat="false" ht="159.75" hidden="false" customHeight="true" outlineLevel="0" collapsed="false">
      <c r="A6" s="79" t="s">
        <v>239</v>
      </c>
      <c r="B6" s="79" t="s">
        <v>3801</v>
      </c>
      <c r="C6" s="79" t="s">
        <v>3802</v>
      </c>
      <c r="D6" s="79" t="s">
        <v>3803</v>
      </c>
      <c r="E6" s="79" t="s">
        <v>3804</v>
      </c>
      <c r="F6" s="79" t="s">
        <v>3805</v>
      </c>
      <c r="G6" s="79" t="s">
        <v>3806</v>
      </c>
      <c r="H6" s="79" t="s">
        <v>3807</v>
      </c>
      <c r="I6" s="79"/>
      <c r="J6" s="79" t="s">
        <v>3808</v>
      </c>
      <c r="K6" s="79"/>
      <c r="L6" s="79"/>
      <c r="M6" s="79"/>
    </row>
    <row r="7" customFormat="false" ht="159.75" hidden="false" customHeight="true" outlineLevel="0" collapsed="false">
      <c r="A7" s="80" t="s">
        <v>247</v>
      </c>
      <c r="B7" s="80" t="s">
        <v>3809</v>
      </c>
      <c r="C7" s="80" t="s">
        <v>3810</v>
      </c>
      <c r="D7" s="80" t="s">
        <v>3811</v>
      </c>
      <c r="E7" s="80" t="s">
        <v>3804</v>
      </c>
      <c r="F7" s="80" t="s">
        <v>3805</v>
      </c>
      <c r="G7" s="80" t="s">
        <v>3806</v>
      </c>
      <c r="H7" s="80" t="s">
        <v>3812</v>
      </c>
      <c r="I7" s="80"/>
      <c r="J7" s="80" t="s">
        <v>3808</v>
      </c>
      <c r="K7" s="80"/>
      <c r="L7" s="80"/>
      <c r="M7" s="80"/>
    </row>
    <row r="8" customFormat="false" ht="159.75" hidden="false" customHeight="true" outlineLevel="0" collapsed="false">
      <c r="A8" s="79" t="s">
        <v>252</v>
      </c>
      <c r="B8" s="79" t="s">
        <v>3813</v>
      </c>
      <c r="C8" s="79" t="s">
        <v>3814</v>
      </c>
      <c r="D8" s="79" t="s">
        <v>3815</v>
      </c>
      <c r="E8" s="79" t="s">
        <v>3816</v>
      </c>
      <c r="F8" s="79" t="s">
        <v>3817</v>
      </c>
      <c r="G8" s="79" t="s">
        <v>3818</v>
      </c>
      <c r="H8" s="79" t="s">
        <v>3819</v>
      </c>
      <c r="I8" s="79" t="s">
        <v>3820</v>
      </c>
      <c r="J8" s="79" t="s">
        <v>3808</v>
      </c>
      <c r="K8" s="79"/>
      <c r="L8" s="79"/>
      <c r="M8" s="79"/>
    </row>
    <row r="9" customFormat="false" ht="159.75" hidden="false" customHeight="true" outlineLevel="0" collapsed="false">
      <c r="A9" s="80" t="s">
        <v>259</v>
      </c>
      <c r="B9" s="80" t="s">
        <v>515</v>
      </c>
      <c r="C9" s="80" t="s">
        <v>3814</v>
      </c>
      <c r="D9" s="80" t="s">
        <v>3815</v>
      </c>
      <c r="E9" s="80" t="s">
        <v>3821</v>
      </c>
      <c r="F9" s="80" t="s">
        <v>3817</v>
      </c>
      <c r="G9" s="80" t="s">
        <v>3822</v>
      </c>
      <c r="H9" s="80" t="s">
        <v>3819</v>
      </c>
      <c r="I9" s="80" t="s">
        <v>3820</v>
      </c>
      <c r="J9" s="80" t="s">
        <v>3808</v>
      </c>
      <c r="K9" s="80"/>
      <c r="L9" s="80"/>
      <c r="M9" s="80"/>
    </row>
    <row r="10" customFormat="false" ht="159.75" hidden="false" customHeight="true" outlineLevel="0" collapsed="false">
      <c r="A10" s="79" t="s">
        <v>269</v>
      </c>
      <c r="B10" s="79" t="s">
        <v>3823</v>
      </c>
      <c r="C10" s="79" t="s">
        <v>3814</v>
      </c>
      <c r="D10" s="79" t="s">
        <v>3815</v>
      </c>
      <c r="E10" s="79" t="s">
        <v>3824</v>
      </c>
      <c r="F10" s="79" t="s">
        <v>3817</v>
      </c>
      <c r="G10" s="79" t="s">
        <v>3822</v>
      </c>
      <c r="H10" s="79" t="s">
        <v>3819</v>
      </c>
      <c r="I10" s="79" t="s">
        <v>3820</v>
      </c>
      <c r="J10" s="79" t="s">
        <v>3808</v>
      </c>
      <c r="K10" s="79"/>
      <c r="L10" s="79"/>
      <c r="M10" s="79"/>
    </row>
    <row r="11" customFormat="false" ht="159.75" hidden="false" customHeight="true" outlineLevel="0" collapsed="false">
      <c r="A11" s="80" t="s">
        <v>274</v>
      </c>
      <c r="B11" s="80" t="s">
        <v>519</v>
      </c>
      <c r="C11" s="80" t="s">
        <v>3814</v>
      </c>
      <c r="D11" s="80" t="s">
        <v>3815</v>
      </c>
      <c r="E11" s="80" t="s">
        <v>3825</v>
      </c>
      <c r="F11" s="80" t="s">
        <v>3817</v>
      </c>
      <c r="G11" s="80" t="s">
        <v>3822</v>
      </c>
      <c r="H11" s="80" t="s">
        <v>3819</v>
      </c>
      <c r="I11" s="80" t="s">
        <v>3820</v>
      </c>
      <c r="J11" s="80" t="s">
        <v>3808</v>
      </c>
      <c r="K11" s="80"/>
      <c r="L11" s="80"/>
      <c r="M11" s="80"/>
    </row>
    <row r="12" customFormat="false" ht="159.75" hidden="false" customHeight="true" outlineLevel="0" collapsed="false">
      <c r="A12" s="79" t="s">
        <v>264</v>
      </c>
      <c r="B12" s="79" t="s">
        <v>3826</v>
      </c>
      <c r="C12" s="79" t="s">
        <v>3814</v>
      </c>
      <c r="D12" s="79" t="s">
        <v>3815</v>
      </c>
      <c r="E12" s="79" t="s">
        <v>3827</v>
      </c>
      <c r="F12" s="79" t="s">
        <v>3817</v>
      </c>
      <c r="G12" s="79" t="s">
        <v>3822</v>
      </c>
      <c r="H12" s="79" t="s">
        <v>3819</v>
      </c>
      <c r="I12" s="79" t="s">
        <v>3820</v>
      </c>
      <c r="J12" s="79" t="s">
        <v>3808</v>
      </c>
      <c r="K12" s="79"/>
      <c r="L12" s="79"/>
      <c r="M12" s="79"/>
    </row>
    <row r="13" customFormat="false" ht="159.75" hidden="false" customHeight="true" outlineLevel="0" collapsed="false">
      <c r="A13" s="80" t="s">
        <v>278</v>
      </c>
      <c r="B13" s="80" t="s">
        <v>3828</v>
      </c>
      <c r="C13" s="80" t="s">
        <v>3814</v>
      </c>
      <c r="D13" s="80" t="s">
        <v>3829</v>
      </c>
      <c r="E13" s="80" t="s">
        <v>3804</v>
      </c>
      <c r="F13" s="80" t="s">
        <v>3817</v>
      </c>
      <c r="G13" s="80" t="s">
        <v>3830</v>
      </c>
      <c r="H13" s="80" t="s">
        <v>3831</v>
      </c>
      <c r="I13" s="80" t="s">
        <v>3832</v>
      </c>
      <c r="J13" s="80" t="s">
        <v>3808</v>
      </c>
      <c r="K13" s="80"/>
      <c r="L13" s="80"/>
      <c r="M13" s="80"/>
    </row>
    <row r="14" customFormat="false" ht="159.75" hidden="false" customHeight="true" outlineLevel="0" collapsed="false">
      <c r="A14" s="79" t="s">
        <v>98</v>
      </c>
      <c r="B14" s="79" t="s">
        <v>3833</v>
      </c>
      <c r="C14" s="79" t="s">
        <v>3834</v>
      </c>
      <c r="D14" s="79" t="s">
        <v>3835</v>
      </c>
      <c r="E14" s="79" t="s">
        <v>3804</v>
      </c>
      <c r="F14" s="79" t="s">
        <v>3817</v>
      </c>
      <c r="G14" s="79" t="s">
        <v>3806</v>
      </c>
      <c r="H14" s="79" t="s">
        <v>3819</v>
      </c>
      <c r="I14" s="79"/>
      <c r="J14" s="79" t="s">
        <v>3808</v>
      </c>
      <c r="K14" s="79"/>
      <c r="L14" s="79"/>
      <c r="M14" s="79"/>
    </row>
    <row r="15" customFormat="false" ht="159.75" hidden="false" customHeight="true" outlineLevel="0" collapsed="false">
      <c r="A15" s="80" t="s">
        <v>1143</v>
      </c>
      <c r="B15" s="80" t="s">
        <v>3836</v>
      </c>
      <c r="C15" s="80" t="s">
        <v>3834</v>
      </c>
      <c r="D15" s="80" t="s">
        <v>3837</v>
      </c>
      <c r="E15" s="80" t="s">
        <v>3804</v>
      </c>
      <c r="F15" s="80" t="s">
        <v>3817</v>
      </c>
      <c r="G15" s="80" t="s">
        <v>3838</v>
      </c>
      <c r="H15" s="80" t="s">
        <v>3839</v>
      </c>
      <c r="I15" s="80"/>
      <c r="J15" s="80" t="s">
        <v>3808</v>
      </c>
      <c r="K15" s="80"/>
      <c r="L15" s="80"/>
      <c r="M15" s="80"/>
    </row>
    <row r="16" customFormat="false" ht="159.75" hidden="false" customHeight="true" outlineLevel="0" collapsed="false">
      <c r="A16" s="79" t="s">
        <v>56</v>
      </c>
      <c r="B16" s="79" t="s">
        <v>3840</v>
      </c>
      <c r="C16" s="79" t="s">
        <v>3841</v>
      </c>
      <c r="D16" s="79" t="s">
        <v>3842</v>
      </c>
      <c r="E16" s="79" t="s">
        <v>3843</v>
      </c>
      <c r="F16" s="79" t="s">
        <v>303</v>
      </c>
      <c r="G16" s="79" t="s">
        <v>3844</v>
      </c>
      <c r="H16" s="79" t="s">
        <v>3845</v>
      </c>
      <c r="I16" s="79" t="s">
        <v>3846</v>
      </c>
      <c r="J16" s="79" t="s">
        <v>3808</v>
      </c>
      <c r="K16" s="79"/>
      <c r="L16" s="79"/>
      <c r="M16" s="79"/>
    </row>
    <row r="17" customFormat="false" ht="159.75" hidden="false" customHeight="true" outlineLevel="0" collapsed="false">
      <c r="A17" s="80" t="s">
        <v>62</v>
      </c>
      <c r="B17" s="80" t="s">
        <v>3847</v>
      </c>
      <c r="C17" s="80" t="s">
        <v>3841</v>
      </c>
      <c r="D17" s="80" t="s">
        <v>3848</v>
      </c>
      <c r="E17" s="80" t="s">
        <v>3849</v>
      </c>
      <c r="F17" s="80" t="s">
        <v>3850</v>
      </c>
      <c r="G17" s="80" t="s">
        <v>3806</v>
      </c>
      <c r="H17" s="80" t="s">
        <v>3851</v>
      </c>
      <c r="I17" s="80" t="s">
        <v>3852</v>
      </c>
      <c r="J17" s="80" t="s">
        <v>3808</v>
      </c>
      <c r="K17" s="80"/>
      <c r="L17" s="80"/>
      <c r="M17" s="80"/>
    </row>
    <row r="18" customFormat="false" ht="159.75" hidden="false" customHeight="true" outlineLevel="0" collapsed="false">
      <c r="A18" s="79"/>
      <c r="B18" s="79"/>
      <c r="C18" s="79"/>
      <c r="D18" s="79"/>
      <c r="E18" s="79"/>
      <c r="F18" s="79"/>
      <c r="G18" s="79"/>
      <c r="H18" s="79"/>
      <c r="I18" s="79"/>
      <c r="J18" s="79"/>
      <c r="K18" s="79"/>
      <c r="L18" s="79"/>
      <c r="M18" s="79"/>
    </row>
    <row r="19" customFormat="false" ht="159.75" hidden="false" customHeight="true" outlineLevel="0" collapsed="false">
      <c r="A19" s="80" t="s">
        <v>3853</v>
      </c>
      <c r="B19" s="80"/>
      <c r="C19" s="80"/>
      <c r="D19" s="80"/>
      <c r="E19" s="80"/>
      <c r="F19" s="80"/>
      <c r="G19" s="80"/>
      <c r="H19" s="80"/>
      <c r="I19" s="80"/>
      <c r="J19" s="80"/>
      <c r="K19" s="80"/>
      <c r="L19" s="80"/>
      <c r="M19" s="80"/>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4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0" width="22"/>
    <col collapsed="false" customWidth="true" hidden="false" outlineLevel="0" max="2" min="2" style="10" width="165"/>
    <col collapsed="false" customWidth="true" hidden="false" outlineLevel="0" max="3" min="3" style="10" width="75"/>
  </cols>
  <sheetData>
    <row r="1" customFormat="false" ht="33.75" hidden="false" customHeight="true" outlineLevel="0" collapsed="false">
      <c r="A1" s="54" t="s">
        <v>3854</v>
      </c>
      <c r="B1" s="54"/>
      <c r="C1" s="54"/>
    </row>
    <row r="2" customFormat="false" ht="27" hidden="false" customHeight="true" outlineLevel="0" collapsed="false">
      <c r="A2" s="55" t="s">
        <v>3855</v>
      </c>
      <c r="B2" s="55"/>
      <c r="C2" s="55"/>
    </row>
    <row r="3" customFormat="false" ht="27" hidden="false" customHeight="true" outlineLevel="0" collapsed="false">
      <c r="A3" s="55"/>
      <c r="B3" s="55"/>
      <c r="C3" s="55"/>
    </row>
    <row r="5" customFormat="false" ht="45" hidden="false" customHeight="true" outlineLevel="0" collapsed="false">
      <c r="A5" s="22" t="s">
        <v>3856</v>
      </c>
      <c r="B5" s="22" t="s">
        <v>3857</v>
      </c>
      <c r="C5" s="22" t="s">
        <v>3858</v>
      </c>
    </row>
    <row r="6" customFormat="false" ht="90" hidden="false" customHeight="true" outlineLevel="0" collapsed="false">
      <c r="A6" s="20" t="n">
        <v>1</v>
      </c>
      <c r="B6" s="20" t="s">
        <v>3859</v>
      </c>
      <c r="C6" s="20" t="s">
        <v>3860</v>
      </c>
    </row>
    <row r="7" customFormat="false" ht="90" hidden="false" customHeight="true" outlineLevel="0" collapsed="false">
      <c r="A7" s="19" t="n">
        <v>2</v>
      </c>
      <c r="B7" s="19" t="s">
        <v>3861</v>
      </c>
      <c r="C7" s="19" t="s">
        <v>3860</v>
      </c>
    </row>
    <row r="8" customFormat="false" ht="90" hidden="false" customHeight="true" outlineLevel="0" collapsed="false">
      <c r="A8" s="20" t="n">
        <v>3</v>
      </c>
      <c r="B8" s="20" t="s">
        <v>3862</v>
      </c>
      <c r="C8" s="20" t="s">
        <v>3860</v>
      </c>
    </row>
    <row r="9" customFormat="false" ht="90" hidden="false" customHeight="true" outlineLevel="0" collapsed="false">
      <c r="A9" s="19" t="n">
        <v>4</v>
      </c>
      <c r="B9" s="19" t="s">
        <v>3863</v>
      </c>
      <c r="C9" s="19" t="s">
        <v>3860</v>
      </c>
    </row>
    <row r="10" customFormat="false" ht="90" hidden="false" customHeight="true" outlineLevel="0" collapsed="false">
      <c r="A10" s="20" t="n">
        <v>5</v>
      </c>
      <c r="B10" s="20" t="s">
        <v>3864</v>
      </c>
      <c r="C10" s="20" t="s">
        <v>3860</v>
      </c>
    </row>
    <row r="11" customFormat="false" ht="90" hidden="false" customHeight="true" outlineLevel="0" collapsed="false">
      <c r="A11" s="19" t="n">
        <v>6</v>
      </c>
      <c r="B11" s="19" t="s">
        <v>3865</v>
      </c>
      <c r="C11" s="19" t="s">
        <v>3860</v>
      </c>
    </row>
    <row r="12" customFormat="false" ht="90" hidden="false" customHeight="true" outlineLevel="0" collapsed="false">
      <c r="A12" s="20" t="n">
        <v>7</v>
      </c>
      <c r="B12" s="20" t="s">
        <v>3866</v>
      </c>
      <c r="C12" s="20" t="s">
        <v>3860</v>
      </c>
    </row>
    <row r="13" customFormat="false" ht="90" hidden="false" customHeight="true" outlineLevel="0" collapsed="false">
      <c r="A13" s="19" t="n">
        <v>8</v>
      </c>
      <c r="B13" s="19" t="s">
        <v>3867</v>
      </c>
      <c r="C13" s="19" t="s">
        <v>3860</v>
      </c>
    </row>
    <row r="14" customFormat="false" ht="90" hidden="false" customHeight="true" outlineLevel="0" collapsed="false">
      <c r="A14" s="20" t="n">
        <v>9</v>
      </c>
      <c r="B14" s="20" t="s">
        <v>3868</v>
      </c>
      <c r="C14" s="20" t="s">
        <v>3860</v>
      </c>
    </row>
    <row r="15" customFormat="false" ht="90" hidden="false" customHeight="true" outlineLevel="0" collapsed="false">
      <c r="A15" s="19" t="n">
        <v>10</v>
      </c>
      <c r="B15" s="19" t="s">
        <v>3869</v>
      </c>
      <c r="C15" s="19" t="s">
        <v>3860</v>
      </c>
    </row>
    <row r="16" customFormat="false" ht="90" hidden="false" customHeight="true" outlineLevel="0" collapsed="false">
      <c r="A16" s="20" t="n">
        <v>11</v>
      </c>
      <c r="B16" s="20" t="s">
        <v>3870</v>
      </c>
      <c r="C16" s="20" t="s">
        <v>3860</v>
      </c>
    </row>
    <row r="17" customFormat="false" ht="90" hidden="false" customHeight="true" outlineLevel="0" collapsed="false">
      <c r="A17" s="19" t="n">
        <v>12</v>
      </c>
      <c r="B17" s="19" t="s">
        <v>3871</v>
      </c>
      <c r="C17" s="19" t="s">
        <v>3860</v>
      </c>
    </row>
    <row r="18" customFormat="false" ht="90" hidden="false" customHeight="true" outlineLevel="0" collapsed="false">
      <c r="A18" s="20" t="n">
        <v>13</v>
      </c>
      <c r="B18" s="20" t="s">
        <v>3872</v>
      </c>
      <c r="C18" s="20" t="s">
        <v>3860</v>
      </c>
    </row>
    <row r="19" customFormat="false" ht="90" hidden="false" customHeight="true" outlineLevel="0" collapsed="false">
      <c r="A19" s="19" t="n">
        <v>14</v>
      </c>
      <c r="B19" s="19" t="s">
        <v>3873</v>
      </c>
      <c r="C19" s="19" t="s">
        <v>3860</v>
      </c>
    </row>
    <row r="20" customFormat="false" ht="90" hidden="false" customHeight="true" outlineLevel="0" collapsed="false">
      <c r="A20" s="20" t="n">
        <v>15</v>
      </c>
      <c r="B20" s="20"/>
      <c r="C20" s="20" t="s">
        <v>3860</v>
      </c>
    </row>
    <row r="21" customFormat="false" ht="90" hidden="false" customHeight="true" outlineLevel="0" collapsed="false">
      <c r="A21" s="19" t="n">
        <v>16</v>
      </c>
      <c r="B21" s="19" t="s">
        <v>3874</v>
      </c>
      <c r="C21" s="19" t="s">
        <v>3860</v>
      </c>
    </row>
    <row r="22" customFormat="false" ht="90" hidden="false" customHeight="true" outlineLevel="0" collapsed="false">
      <c r="A22" s="20" t="n">
        <v>17</v>
      </c>
      <c r="B22" s="20" t="s">
        <v>3875</v>
      </c>
      <c r="C22" s="20" t="s">
        <v>3860</v>
      </c>
    </row>
    <row r="23" customFormat="false" ht="90" hidden="false" customHeight="true" outlineLevel="0" collapsed="false">
      <c r="A23" s="19" t="n">
        <v>18</v>
      </c>
      <c r="B23" s="19" t="s">
        <v>3876</v>
      </c>
      <c r="C23" s="19" t="s">
        <v>3860</v>
      </c>
    </row>
    <row r="24" customFormat="false" ht="90" hidden="false" customHeight="true" outlineLevel="0" collapsed="false">
      <c r="A24" s="20" t="n">
        <v>19</v>
      </c>
      <c r="B24" s="20" t="s">
        <v>3877</v>
      </c>
      <c r="C24" s="20" t="s">
        <v>3860</v>
      </c>
    </row>
    <row r="25" customFormat="false" ht="90" hidden="false" customHeight="true" outlineLevel="0" collapsed="false">
      <c r="A25" s="19" t="n">
        <v>20</v>
      </c>
      <c r="B25" s="19" t="s">
        <v>3878</v>
      </c>
      <c r="C25" s="19" t="s">
        <v>3860</v>
      </c>
    </row>
    <row r="26" customFormat="false" ht="90" hidden="false" customHeight="true" outlineLevel="0" collapsed="false">
      <c r="A26" s="20" t="n">
        <v>21</v>
      </c>
      <c r="B26" s="20" t="s">
        <v>3879</v>
      </c>
      <c r="C26" s="20" t="s">
        <v>3860</v>
      </c>
    </row>
    <row r="27" customFormat="false" ht="90" hidden="false" customHeight="true" outlineLevel="0" collapsed="false">
      <c r="A27" s="19" t="n">
        <v>22</v>
      </c>
      <c r="B27" s="19" t="s">
        <v>3880</v>
      </c>
      <c r="C27" s="19" t="s">
        <v>3860</v>
      </c>
    </row>
    <row r="28" customFormat="false" ht="90" hidden="false" customHeight="true" outlineLevel="0" collapsed="false">
      <c r="A28" s="20" t="n">
        <v>23</v>
      </c>
      <c r="B28" s="20" t="s">
        <v>3881</v>
      </c>
      <c r="C28" s="20" t="s">
        <v>3860</v>
      </c>
    </row>
    <row r="29" customFormat="false" ht="90" hidden="false" customHeight="true" outlineLevel="0" collapsed="false">
      <c r="A29" s="19" t="n">
        <v>24</v>
      </c>
      <c r="B29" s="19" t="s">
        <v>3882</v>
      </c>
      <c r="C29" s="19" t="s">
        <v>3860</v>
      </c>
    </row>
    <row r="30" customFormat="false" ht="90" hidden="false" customHeight="true" outlineLevel="0" collapsed="false">
      <c r="A30" s="20" t="n">
        <v>25</v>
      </c>
      <c r="B30" s="20" t="s">
        <v>3883</v>
      </c>
      <c r="C30" s="20" t="s">
        <v>3860</v>
      </c>
    </row>
    <row r="31" customFormat="false" ht="90" hidden="false" customHeight="true" outlineLevel="0" collapsed="false">
      <c r="A31" s="19" t="n">
        <v>26</v>
      </c>
      <c r="B31" s="19" t="s">
        <v>3884</v>
      </c>
      <c r="C31" s="19" t="s">
        <v>3860</v>
      </c>
    </row>
    <row r="32" customFormat="false" ht="90" hidden="false" customHeight="true" outlineLevel="0" collapsed="false">
      <c r="A32" s="20" t="n">
        <v>27</v>
      </c>
      <c r="B32" s="20"/>
      <c r="C32" s="20" t="s">
        <v>3860</v>
      </c>
    </row>
    <row r="33" customFormat="false" ht="90" hidden="false" customHeight="true" outlineLevel="0" collapsed="false">
      <c r="A33" s="19" t="n">
        <v>28</v>
      </c>
      <c r="B33" s="19" t="s">
        <v>3885</v>
      </c>
      <c r="C33" s="19" t="s">
        <v>3860</v>
      </c>
    </row>
    <row r="34" customFormat="false" ht="90" hidden="false" customHeight="true" outlineLevel="0" collapsed="false">
      <c r="A34" s="20" t="n">
        <v>29</v>
      </c>
      <c r="B34" s="20" t="s">
        <v>3886</v>
      </c>
      <c r="C34" s="20" t="s">
        <v>3860</v>
      </c>
    </row>
    <row r="35" customFormat="false" ht="90" hidden="false" customHeight="true" outlineLevel="0" collapsed="false">
      <c r="A35" s="19" t="n">
        <v>30</v>
      </c>
      <c r="B35" s="19" t="s">
        <v>3887</v>
      </c>
      <c r="C35" s="19" t="s">
        <v>3860</v>
      </c>
    </row>
    <row r="36" customFormat="false" ht="90" hidden="false" customHeight="true" outlineLevel="0" collapsed="false">
      <c r="A36" s="20" t="n">
        <v>31</v>
      </c>
      <c r="B36" s="20" t="s">
        <v>3888</v>
      </c>
      <c r="C36" s="20" t="s">
        <v>3860</v>
      </c>
    </row>
    <row r="37" customFormat="false" ht="90" hidden="false" customHeight="true" outlineLevel="0" collapsed="false">
      <c r="A37" s="19" t="n">
        <v>32</v>
      </c>
      <c r="B37" s="19" t="s">
        <v>3889</v>
      </c>
      <c r="C37" s="19" t="s">
        <v>3860</v>
      </c>
    </row>
    <row r="38" customFormat="false" ht="90" hidden="false" customHeight="true" outlineLevel="0" collapsed="false">
      <c r="A38" s="20" t="n">
        <v>33</v>
      </c>
      <c r="B38" s="20" t="s">
        <v>3890</v>
      </c>
      <c r="C38" s="20" t="s">
        <v>3860</v>
      </c>
    </row>
    <row r="39" customFormat="false" ht="90" hidden="false" customHeight="true" outlineLevel="0" collapsed="false">
      <c r="A39" s="19" t="n">
        <v>34</v>
      </c>
      <c r="B39" s="19" t="s">
        <v>3891</v>
      </c>
      <c r="C39" s="19" t="s">
        <v>3860</v>
      </c>
    </row>
    <row r="40" customFormat="false" ht="90" hidden="false" customHeight="true" outlineLevel="0" collapsed="false">
      <c r="A40" s="20" t="n">
        <v>35</v>
      </c>
      <c r="B40" s="20" t="s">
        <v>3892</v>
      </c>
      <c r="C40" s="20" t="s">
        <v>3860</v>
      </c>
    </row>
    <row r="41" customFormat="false" ht="90" hidden="false" customHeight="true" outlineLevel="0" collapsed="false">
      <c r="A41" s="19" t="n">
        <v>36</v>
      </c>
      <c r="B41" s="19" t="s">
        <v>3893</v>
      </c>
      <c r="C41" s="19" t="s">
        <v>3860</v>
      </c>
    </row>
    <row r="42" customFormat="false" ht="90" hidden="false" customHeight="true" outlineLevel="0" collapsed="false">
      <c r="A42" s="20" t="n">
        <v>37</v>
      </c>
      <c r="B42" s="20" t="s">
        <v>3894</v>
      </c>
      <c r="C42" s="20" t="s">
        <v>3860</v>
      </c>
    </row>
    <row r="43" customFormat="false" ht="90" hidden="false" customHeight="true" outlineLevel="0" collapsed="false">
      <c r="A43" s="19" t="n">
        <v>38</v>
      </c>
      <c r="B43" s="19" t="s">
        <v>3895</v>
      </c>
      <c r="C43" s="19" t="s">
        <v>3860</v>
      </c>
    </row>
  </sheetData>
  <autoFilter ref="A5:C43"/>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0" width="33"/>
    <col collapsed="false" customWidth="true" hidden="false" outlineLevel="0" max="2" min="2" style="10" width="80"/>
    <col collapsed="false" customWidth="true" hidden="false" outlineLevel="0" max="3" min="3" style="10" width="145"/>
    <col collapsed="false" customWidth="true" hidden="false" outlineLevel="0" max="4" min="4" style="10" width="70"/>
  </cols>
  <sheetData>
    <row r="1" customFormat="false" ht="33.75" hidden="false" customHeight="true" outlineLevel="0" collapsed="false">
      <c r="A1" s="54" t="s">
        <v>3896</v>
      </c>
      <c r="B1" s="54"/>
      <c r="C1" s="54"/>
      <c r="D1" s="54"/>
    </row>
    <row r="2" customFormat="false" ht="24.75" hidden="false" customHeight="true" outlineLevel="0" collapsed="false">
      <c r="A2" s="55" t="s">
        <v>3897</v>
      </c>
      <c r="B2" s="55"/>
      <c r="C2" s="55"/>
      <c r="D2" s="55"/>
    </row>
    <row r="3" customFormat="false" ht="24.75" hidden="false" customHeight="true" outlineLevel="0" collapsed="false">
      <c r="A3" s="55"/>
      <c r="B3" s="55"/>
      <c r="C3" s="55"/>
      <c r="D3" s="55"/>
    </row>
    <row r="5" customFormat="false" ht="48" hidden="false" customHeight="true" outlineLevel="0" collapsed="false">
      <c r="A5" s="22" t="s">
        <v>1449</v>
      </c>
      <c r="B5" s="22" t="s">
        <v>3627</v>
      </c>
      <c r="C5" s="22" t="s">
        <v>3898</v>
      </c>
      <c r="D5" s="22" t="s">
        <v>3899</v>
      </c>
    </row>
    <row r="6" customFormat="false" ht="129.75" hidden="false" customHeight="true" outlineLevel="0" collapsed="false">
      <c r="A6" s="20" t="s">
        <v>3900</v>
      </c>
      <c r="B6" s="20"/>
      <c r="C6" s="20" t="s">
        <v>3901</v>
      </c>
      <c r="D6" s="20" t="s">
        <v>3902</v>
      </c>
    </row>
    <row r="7" customFormat="false" ht="129.75" hidden="false" customHeight="true" outlineLevel="0" collapsed="false">
      <c r="A7" s="19" t="s">
        <v>3903</v>
      </c>
      <c r="B7" s="19"/>
      <c r="C7" s="19" t="s">
        <v>3904</v>
      </c>
      <c r="D7" s="19" t="s">
        <v>3902</v>
      </c>
    </row>
    <row r="8" customFormat="false" ht="129.75" hidden="false" customHeight="true" outlineLevel="0" collapsed="false">
      <c r="A8" s="20" t="s">
        <v>3905</v>
      </c>
      <c r="B8" s="20"/>
      <c r="C8" s="20" t="s">
        <v>3906</v>
      </c>
      <c r="D8" s="20" t="s">
        <v>3902</v>
      </c>
    </row>
    <row r="9" customFormat="false" ht="129.75" hidden="false" customHeight="true" outlineLevel="0" collapsed="false">
      <c r="A9" s="19" t="s">
        <v>3650</v>
      </c>
      <c r="B9" s="19" t="s">
        <v>3907</v>
      </c>
      <c r="C9" s="19" t="s">
        <v>3908</v>
      </c>
      <c r="D9" s="19" t="s">
        <v>3902</v>
      </c>
    </row>
    <row r="10" customFormat="false" ht="129.75" hidden="false" customHeight="true" outlineLevel="0" collapsed="false">
      <c r="A10" s="20" t="s">
        <v>3656</v>
      </c>
      <c r="B10" s="20" t="s">
        <v>3907</v>
      </c>
      <c r="C10" s="20" t="s">
        <v>3908</v>
      </c>
      <c r="D10" s="20" t="s">
        <v>3902</v>
      </c>
    </row>
    <row r="11" customFormat="false" ht="129.75" hidden="false" customHeight="true" outlineLevel="0" collapsed="false">
      <c r="A11" s="19" t="s">
        <v>3666</v>
      </c>
      <c r="B11" s="19" t="s">
        <v>3909</v>
      </c>
      <c r="C11" s="19" t="s">
        <v>3908</v>
      </c>
      <c r="D11" s="19" t="s">
        <v>3902</v>
      </c>
    </row>
    <row r="12" customFormat="false" ht="129.75" hidden="false" customHeight="true" outlineLevel="0" collapsed="false">
      <c r="A12" s="20" t="s">
        <v>3910</v>
      </c>
      <c r="B12" s="20" t="s">
        <v>3911</v>
      </c>
      <c r="C12" s="20" t="s">
        <v>1122</v>
      </c>
      <c r="D12" s="20" t="s">
        <v>3902</v>
      </c>
    </row>
    <row r="13" customFormat="false" ht="129.75" hidden="false" customHeight="true" outlineLevel="0" collapsed="false">
      <c r="A13" s="19" t="s">
        <v>3669</v>
      </c>
      <c r="B13" s="19" t="s">
        <v>3909</v>
      </c>
      <c r="C13" s="19" t="s">
        <v>3908</v>
      </c>
      <c r="D13" s="19" t="s">
        <v>3902</v>
      </c>
    </row>
    <row r="14" customFormat="false" ht="129.75" hidden="false" customHeight="true" outlineLevel="0" collapsed="false">
      <c r="A14" s="20" t="s">
        <v>3912</v>
      </c>
      <c r="B14" s="20" t="s">
        <v>3913</v>
      </c>
      <c r="C14" s="20" t="s">
        <v>1125</v>
      </c>
      <c r="D14" s="20" t="s">
        <v>3902</v>
      </c>
    </row>
    <row r="15" customFormat="false" ht="129.75" hidden="false" customHeight="true" outlineLevel="0" collapsed="false">
      <c r="A15" s="19" t="s">
        <v>3670</v>
      </c>
      <c r="B15" s="19" t="s">
        <v>3909</v>
      </c>
      <c r="C15" s="19" t="s">
        <v>3908</v>
      </c>
      <c r="D15" s="19" t="s">
        <v>3902</v>
      </c>
    </row>
    <row r="16" customFormat="false" ht="129.75" hidden="false" customHeight="true" outlineLevel="0" collapsed="false">
      <c r="A16" s="20" t="s">
        <v>3914</v>
      </c>
      <c r="B16" s="20" t="s">
        <v>3915</v>
      </c>
      <c r="C16" s="20" t="s">
        <v>1128</v>
      </c>
      <c r="D16" s="20" t="s">
        <v>3902</v>
      </c>
    </row>
    <row r="17" customFormat="false" ht="129.75" hidden="false" customHeight="true" outlineLevel="0" collapsed="false">
      <c r="A17" s="19" t="s">
        <v>3671</v>
      </c>
      <c r="B17" s="19" t="s">
        <v>3909</v>
      </c>
      <c r="C17" s="19" t="s">
        <v>3908</v>
      </c>
      <c r="D17" s="19" t="s">
        <v>3902</v>
      </c>
    </row>
    <row r="18" customFormat="false" ht="129.75" hidden="false" customHeight="true" outlineLevel="0" collapsed="false">
      <c r="A18" s="20" t="s">
        <v>3916</v>
      </c>
      <c r="B18" s="20" t="s">
        <v>3917</v>
      </c>
      <c r="C18" s="20" t="s">
        <v>1131</v>
      </c>
      <c r="D18" s="20" t="s">
        <v>3902</v>
      </c>
    </row>
    <row r="19" customFormat="false" ht="129.75" hidden="false" customHeight="true" outlineLevel="0" collapsed="false">
      <c r="A19" s="19" t="s">
        <v>3672</v>
      </c>
      <c r="B19" s="19" t="s">
        <v>3909</v>
      </c>
      <c r="C19" s="19" t="s">
        <v>3908</v>
      </c>
      <c r="D19" s="19" t="s">
        <v>3902</v>
      </c>
    </row>
    <row r="20" customFormat="false" ht="129.75" hidden="false" customHeight="true" outlineLevel="0" collapsed="false">
      <c r="A20" s="20" t="s">
        <v>3676</v>
      </c>
      <c r="B20" s="20" t="s">
        <v>3909</v>
      </c>
      <c r="C20" s="20" t="s">
        <v>3908</v>
      </c>
      <c r="D20" s="20" t="s">
        <v>3902</v>
      </c>
    </row>
    <row r="21" customFormat="false" ht="129.75" hidden="false" customHeight="true" outlineLevel="0" collapsed="false">
      <c r="A21" s="19" t="s">
        <v>3683</v>
      </c>
      <c r="B21" s="19" t="s">
        <v>3909</v>
      </c>
      <c r="C21" s="19" t="s">
        <v>3908</v>
      </c>
      <c r="D21" s="19" t="s">
        <v>3902</v>
      </c>
    </row>
    <row r="22" customFormat="false" ht="129.75" hidden="false" customHeight="true" outlineLevel="0" collapsed="false">
      <c r="A22" s="20" t="s">
        <v>3688</v>
      </c>
      <c r="B22" s="20" t="s">
        <v>3909</v>
      </c>
      <c r="C22" s="20" t="s">
        <v>3908</v>
      </c>
      <c r="D22" s="20" t="s">
        <v>3902</v>
      </c>
    </row>
    <row r="23" customFormat="false" ht="129.75" hidden="false" customHeight="true" outlineLevel="0" collapsed="false">
      <c r="A23" s="19" t="s">
        <v>3694</v>
      </c>
      <c r="B23" s="19" t="s">
        <v>3907</v>
      </c>
      <c r="C23" s="19" t="s">
        <v>3908</v>
      </c>
      <c r="D23" s="19" t="s">
        <v>3902</v>
      </c>
    </row>
    <row r="24" customFormat="false" ht="129.75" hidden="false" customHeight="true" outlineLevel="0" collapsed="false">
      <c r="A24" s="20" t="s">
        <v>3699</v>
      </c>
      <c r="B24" s="20" t="s">
        <v>3907</v>
      </c>
      <c r="C24" s="20" t="s">
        <v>3908</v>
      </c>
      <c r="D24" s="20" t="s">
        <v>3902</v>
      </c>
    </row>
    <row r="25" customFormat="false" ht="129.75" hidden="false" customHeight="true" outlineLevel="0" collapsed="false">
      <c r="A25" s="19" t="s">
        <v>3918</v>
      </c>
      <c r="B25" s="19"/>
      <c r="C25" s="19" t="s">
        <v>3919</v>
      </c>
      <c r="D25" s="19" t="s">
        <v>3902</v>
      </c>
    </row>
    <row r="26" customFormat="false" ht="129.75" hidden="false" customHeight="true" outlineLevel="0" collapsed="false">
      <c r="A26" s="20" t="s">
        <v>3920</v>
      </c>
      <c r="B26" s="20"/>
      <c r="C26" s="20" t="s">
        <v>3921</v>
      </c>
      <c r="D26" s="20" t="s">
        <v>3902</v>
      </c>
    </row>
    <row r="27" customFormat="false" ht="129.75" hidden="false" customHeight="true" outlineLevel="0" collapsed="false">
      <c r="A27" s="19" t="s">
        <v>3922</v>
      </c>
      <c r="B27" s="19"/>
      <c r="C27" s="19" t="s">
        <v>3923</v>
      </c>
      <c r="D27" s="19" t="s">
        <v>3902</v>
      </c>
    </row>
    <row r="28" customFormat="false" ht="129.75" hidden="false" customHeight="true" outlineLevel="0" collapsed="false">
      <c r="A28" s="20" t="s">
        <v>3924</v>
      </c>
      <c r="B28" s="20"/>
      <c r="C28" s="20" t="s">
        <v>3925</v>
      </c>
      <c r="D28" s="20" t="s">
        <v>3902</v>
      </c>
    </row>
    <row r="29" customFormat="false" ht="129.75" hidden="false" customHeight="true" outlineLevel="0" collapsed="false">
      <c r="A29" s="19" t="s">
        <v>3926</v>
      </c>
      <c r="B29" s="19"/>
      <c r="C29" s="19" t="s">
        <v>3927</v>
      </c>
      <c r="D29" s="19" t="s">
        <v>3902</v>
      </c>
    </row>
    <row r="30" customFormat="false" ht="129.75" hidden="false" customHeight="true" outlineLevel="0" collapsed="false">
      <c r="A30" s="20" t="s">
        <v>3928</v>
      </c>
      <c r="B30" s="20"/>
      <c r="C30" s="20" t="s">
        <v>3929</v>
      </c>
      <c r="D30" s="20" t="s">
        <v>3902</v>
      </c>
    </row>
    <row r="31" customFormat="false" ht="129.75" hidden="false" customHeight="true" outlineLevel="0" collapsed="false">
      <c r="A31" s="19" t="s">
        <v>3930</v>
      </c>
      <c r="B31" s="19"/>
      <c r="C31" s="19" t="s">
        <v>3931</v>
      </c>
      <c r="D31" s="19" t="s">
        <v>3902</v>
      </c>
    </row>
    <row r="32" customFormat="false" ht="129.75" hidden="false" customHeight="true" outlineLevel="0" collapsed="false">
      <c r="A32" s="20" t="s">
        <v>3932</v>
      </c>
      <c r="B32" s="20"/>
      <c r="C32" s="20" t="s">
        <v>3933</v>
      </c>
      <c r="D32" s="20" t="s">
        <v>3902</v>
      </c>
    </row>
    <row r="33" customFormat="false" ht="129.75" hidden="false" customHeight="true" outlineLevel="0" collapsed="false">
      <c r="A33" s="19" t="s">
        <v>3934</v>
      </c>
      <c r="B33" s="19"/>
      <c r="C33" s="19" t="s">
        <v>3935</v>
      </c>
      <c r="D33" s="19" t="s">
        <v>3902</v>
      </c>
    </row>
    <row r="34" customFormat="false" ht="129.75" hidden="false" customHeight="true" outlineLevel="0" collapsed="false">
      <c r="A34" s="20" t="s">
        <v>3936</v>
      </c>
      <c r="B34" s="20"/>
      <c r="C34" s="20" t="s">
        <v>3937</v>
      </c>
      <c r="D34" s="20" t="s">
        <v>3902</v>
      </c>
    </row>
    <row r="35" customFormat="false" ht="129.75" hidden="false" customHeight="true" outlineLevel="0" collapsed="false">
      <c r="A35" s="19" t="s">
        <v>3938</v>
      </c>
      <c r="B35" s="19"/>
      <c r="C35" s="19" t="s">
        <v>1857</v>
      </c>
      <c r="D35" s="19" t="s">
        <v>3902</v>
      </c>
    </row>
    <row r="36" customFormat="false" ht="129.75" hidden="false" customHeight="true" outlineLevel="0" collapsed="false">
      <c r="A36" s="20" t="s">
        <v>3939</v>
      </c>
      <c r="B36" s="20"/>
      <c r="C36" s="20" t="s">
        <v>3940</v>
      </c>
      <c r="D36" s="20" t="s">
        <v>3902</v>
      </c>
    </row>
    <row r="37" customFormat="false" ht="129.75" hidden="false" customHeight="true" outlineLevel="0" collapsed="false">
      <c r="A37" s="19" t="s">
        <v>3941</v>
      </c>
      <c r="B37" s="19"/>
      <c r="C37" s="19" t="s">
        <v>3942</v>
      </c>
      <c r="D37" s="19" t="s">
        <v>3902</v>
      </c>
    </row>
    <row r="38" customFormat="false" ht="129.75" hidden="false" customHeight="true" outlineLevel="0" collapsed="false">
      <c r="A38" s="20" t="s">
        <v>3943</v>
      </c>
      <c r="B38" s="20"/>
      <c r="C38" s="20" t="s">
        <v>3944</v>
      </c>
      <c r="D38" s="20" t="s">
        <v>3902</v>
      </c>
    </row>
    <row r="39" customFormat="false" ht="129.75" hidden="false" customHeight="true" outlineLevel="0" collapsed="false">
      <c r="A39" s="19" t="s">
        <v>3945</v>
      </c>
      <c r="B39" s="19"/>
      <c r="C39" s="19" t="s">
        <v>3946</v>
      </c>
      <c r="D39" s="19" t="s">
        <v>3902</v>
      </c>
    </row>
    <row r="40" customFormat="false" ht="129.75" hidden="false" customHeight="true" outlineLevel="0" collapsed="false">
      <c r="A40" s="20" t="s">
        <v>3947</v>
      </c>
      <c r="B40" s="20"/>
      <c r="C40" s="20" t="s">
        <v>3948</v>
      </c>
      <c r="D40" s="20" t="s">
        <v>3902</v>
      </c>
    </row>
    <row r="41" customFormat="false" ht="129.75" hidden="false" customHeight="true" outlineLevel="0" collapsed="false">
      <c r="A41" s="19" t="s">
        <v>3949</v>
      </c>
      <c r="B41" s="19"/>
      <c r="C41" s="19" t="s">
        <v>3950</v>
      </c>
      <c r="D41" s="19" t="s">
        <v>3902</v>
      </c>
    </row>
    <row r="42" customFormat="false" ht="129.75" hidden="false" customHeight="true" outlineLevel="0" collapsed="false">
      <c r="A42" s="20" t="s">
        <v>3951</v>
      </c>
      <c r="B42" s="20"/>
      <c r="C42" s="20" t="s">
        <v>3952</v>
      </c>
      <c r="D42" s="20" t="s">
        <v>3902</v>
      </c>
    </row>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sheetData>
  <autoFilter ref="A5:D42"/>
  <mergeCells count="2">
    <mergeCell ref="A1:D1"/>
    <mergeCell ref="A2:D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29"/>
    <col collapsed="false" customWidth="true" hidden="false" outlineLevel="0" max="3" min="2" style="10" width="76"/>
    <col collapsed="false" customWidth="true" hidden="false" outlineLevel="0" max="4" min="4" style="10" width="47"/>
  </cols>
  <sheetData>
    <row r="1" customFormat="false" ht="36" hidden="false" customHeight="true" outlineLevel="0" collapsed="false">
      <c r="A1" s="25" t="s">
        <v>3953</v>
      </c>
      <c r="B1" s="25"/>
      <c r="C1" s="25"/>
      <c r="D1" s="25"/>
    </row>
    <row r="2" customFormat="false" ht="69.75" hidden="false" customHeight="true" outlineLevel="0" collapsed="false">
      <c r="A2" s="26" t="s">
        <v>3954</v>
      </c>
      <c r="B2" s="26"/>
      <c r="C2" s="26"/>
      <c r="D2" s="26"/>
    </row>
    <row r="5" customFormat="false" ht="34.5" hidden="false" customHeight="true" outlineLevel="0" collapsed="false">
      <c r="A5" s="27" t="s">
        <v>3955</v>
      </c>
      <c r="B5" s="27" t="s">
        <v>3956</v>
      </c>
      <c r="C5" s="27" t="s">
        <v>3957</v>
      </c>
      <c r="D5" s="27" t="s">
        <v>3958</v>
      </c>
    </row>
    <row r="6" customFormat="false" ht="150" hidden="false" customHeight="true" outlineLevel="0" collapsed="false">
      <c r="A6" s="20" t="s">
        <v>3959</v>
      </c>
      <c r="B6" s="20"/>
      <c r="C6" s="20" t="s">
        <v>656</v>
      </c>
      <c r="D6" s="20" t="s">
        <v>3960</v>
      </c>
    </row>
    <row r="7" customFormat="false" ht="150" hidden="false" customHeight="true" outlineLevel="0" collapsed="false">
      <c r="A7" s="19" t="s">
        <v>3961</v>
      </c>
      <c r="B7" s="19" t="s">
        <v>3962</v>
      </c>
      <c r="C7" s="19" t="s">
        <v>3963</v>
      </c>
      <c r="D7" s="19" t="s">
        <v>3960</v>
      </c>
    </row>
    <row r="8" customFormat="false" ht="150" hidden="false" customHeight="true" outlineLevel="0" collapsed="false">
      <c r="A8" s="20" t="s">
        <v>3964</v>
      </c>
      <c r="B8" s="20" t="s">
        <v>3965</v>
      </c>
      <c r="C8" s="20" t="s">
        <v>3966</v>
      </c>
      <c r="D8" s="20" t="s">
        <v>3960</v>
      </c>
    </row>
    <row r="9" customFormat="false" ht="150" hidden="false" customHeight="true" outlineLevel="0" collapsed="false">
      <c r="A9" s="19" t="s">
        <v>3967</v>
      </c>
      <c r="B9" s="19"/>
      <c r="C9" s="19" t="s">
        <v>675</v>
      </c>
      <c r="D9" s="19" t="s">
        <v>3960</v>
      </c>
    </row>
    <row r="10" customFormat="false" ht="150" hidden="false" customHeight="true" outlineLevel="0" collapsed="false">
      <c r="A10" s="20" t="s">
        <v>3968</v>
      </c>
      <c r="B10" s="20"/>
      <c r="C10" s="20" t="s">
        <v>679</v>
      </c>
      <c r="D10" s="20" t="s">
        <v>3960</v>
      </c>
    </row>
    <row r="11" customFormat="false" ht="150" hidden="false" customHeight="true" outlineLevel="0" collapsed="false">
      <c r="A11" s="19" t="s">
        <v>3969</v>
      </c>
      <c r="B11" s="19" t="s">
        <v>3970</v>
      </c>
      <c r="C11" s="19" t="s">
        <v>3971</v>
      </c>
      <c r="D11" s="19" t="s">
        <v>3960</v>
      </c>
    </row>
    <row r="12" customFormat="false" ht="150" hidden="false" customHeight="true" outlineLevel="0" collapsed="false">
      <c r="A12" s="20" t="s">
        <v>3650</v>
      </c>
      <c r="B12" s="20" t="s">
        <v>3972</v>
      </c>
      <c r="C12" s="20" t="s">
        <v>3973</v>
      </c>
      <c r="D12" s="20" t="s">
        <v>3960</v>
      </c>
    </row>
    <row r="13" customFormat="false" ht="150" hidden="false" customHeight="true" outlineLevel="0" collapsed="false">
      <c r="A13" s="19" t="s">
        <v>3657</v>
      </c>
      <c r="B13" s="19" t="s">
        <v>3659</v>
      </c>
      <c r="C13" s="19" t="s">
        <v>1112</v>
      </c>
      <c r="D13" s="19" t="s">
        <v>3960</v>
      </c>
    </row>
    <row r="14" customFormat="false" ht="150" hidden="false" customHeight="true" outlineLevel="0" collapsed="false">
      <c r="A14" s="20" t="s">
        <v>3974</v>
      </c>
      <c r="B14" s="20" t="s">
        <v>3975</v>
      </c>
      <c r="C14" s="20" t="s">
        <v>3976</v>
      </c>
      <c r="D14" s="20" t="s">
        <v>3960</v>
      </c>
    </row>
    <row r="15" customFormat="false" ht="150" hidden="false" customHeight="true" outlineLevel="0" collapsed="false">
      <c r="A15" s="19" t="s">
        <v>3977</v>
      </c>
      <c r="B15" s="19" t="s">
        <v>3978</v>
      </c>
      <c r="C15" s="19" t="s">
        <v>3979</v>
      </c>
      <c r="D15" s="19" t="s">
        <v>3960</v>
      </c>
    </row>
    <row r="16" customFormat="false" ht="150" hidden="false" customHeight="true" outlineLevel="0" collapsed="false">
      <c r="A16" s="20" t="s">
        <v>3980</v>
      </c>
      <c r="B16" s="20" t="s">
        <v>3981</v>
      </c>
      <c r="C16" s="20" t="s">
        <v>3982</v>
      </c>
      <c r="D16" s="20" t="s">
        <v>3960</v>
      </c>
    </row>
    <row r="17" customFormat="false" ht="150" hidden="false" customHeight="true" outlineLevel="0" collapsed="false">
      <c r="A17" s="19" t="s">
        <v>3983</v>
      </c>
      <c r="B17" s="19" t="s">
        <v>3984</v>
      </c>
      <c r="C17" s="19" t="s">
        <v>3985</v>
      </c>
      <c r="D17" s="19" t="s">
        <v>3960</v>
      </c>
    </row>
    <row r="18" customFormat="false" ht="150" hidden="false" customHeight="true" outlineLevel="0" collapsed="false">
      <c r="A18" s="20" t="s">
        <v>3986</v>
      </c>
      <c r="B18" s="20" t="s">
        <v>3987</v>
      </c>
      <c r="C18" s="20" t="s">
        <v>3988</v>
      </c>
      <c r="D18" s="20" t="s">
        <v>3960</v>
      </c>
    </row>
    <row r="19" customFormat="false" ht="150" hidden="false" customHeight="true" outlineLevel="0" collapsed="false">
      <c r="A19" s="19" t="s">
        <v>3989</v>
      </c>
      <c r="B19" s="19" t="s">
        <v>3990</v>
      </c>
      <c r="C19" s="19" t="s">
        <v>3991</v>
      </c>
      <c r="D19" s="19" t="s">
        <v>3960</v>
      </c>
    </row>
    <row r="20" customFormat="false" ht="150" hidden="false" customHeight="true" outlineLevel="0" collapsed="false">
      <c r="A20" s="20" t="s">
        <v>3992</v>
      </c>
      <c r="B20" s="20"/>
      <c r="C20" s="20" t="s">
        <v>1797</v>
      </c>
      <c r="D20" s="20" t="s">
        <v>3960</v>
      </c>
    </row>
    <row r="21" customFormat="false" ht="150" hidden="false" customHeight="true" outlineLevel="0" collapsed="false">
      <c r="A21" s="19" t="s">
        <v>3993</v>
      </c>
      <c r="B21" s="19"/>
      <c r="C21" s="19" t="s">
        <v>1802</v>
      </c>
      <c r="D21" s="19" t="s">
        <v>3960</v>
      </c>
    </row>
    <row r="22" customFormat="false" ht="150" hidden="false" customHeight="true" outlineLevel="0" collapsed="false">
      <c r="A22" s="20" t="s">
        <v>3994</v>
      </c>
      <c r="B22" s="20"/>
      <c r="C22" s="20" t="s">
        <v>1807</v>
      </c>
      <c r="D22" s="20" t="s">
        <v>3960</v>
      </c>
    </row>
    <row r="23" customFormat="false" ht="150" hidden="false" customHeight="true" outlineLevel="0" collapsed="false">
      <c r="A23" s="19" t="s">
        <v>3995</v>
      </c>
      <c r="B23" s="19" t="s">
        <v>3996</v>
      </c>
      <c r="C23" s="19" t="s">
        <v>1808</v>
      </c>
      <c r="D23" s="19" t="s">
        <v>3960</v>
      </c>
    </row>
    <row r="24" customFormat="false" ht="150" hidden="false" customHeight="true" outlineLevel="0" collapsed="false">
      <c r="A24" s="20" t="s">
        <v>3997</v>
      </c>
      <c r="B24" s="20" t="s">
        <v>3998</v>
      </c>
      <c r="C24" s="20" t="s">
        <v>1812</v>
      </c>
      <c r="D24" s="20" t="s">
        <v>3960</v>
      </c>
    </row>
    <row r="25" customFormat="false" ht="150" hidden="false" customHeight="true" outlineLevel="0" collapsed="false">
      <c r="A25" s="19" t="s">
        <v>3999</v>
      </c>
      <c r="B25" s="19"/>
      <c r="C25" s="19" t="s">
        <v>1816</v>
      </c>
      <c r="D25" s="19" t="s">
        <v>3960</v>
      </c>
    </row>
    <row r="26" customFormat="false" ht="150" hidden="false" customHeight="true" outlineLevel="0" collapsed="false">
      <c r="A26" s="20" t="s">
        <v>4000</v>
      </c>
      <c r="B26" s="20" t="s">
        <v>4001</v>
      </c>
      <c r="C26" s="20" t="s">
        <v>1817</v>
      </c>
      <c r="D26" s="20" t="s">
        <v>3960</v>
      </c>
    </row>
    <row r="27" customFormat="false" ht="150" hidden="false" customHeight="true" outlineLevel="0" collapsed="false">
      <c r="A27" s="19" t="s">
        <v>4002</v>
      </c>
      <c r="B27" s="19"/>
      <c r="C27" s="19" t="s">
        <v>1822</v>
      </c>
      <c r="D27" s="19" t="s">
        <v>3960</v>
      </c>
    </row>
    <row r="28" customFormat="false" ht="150" hidden="false" customHeight="true" outlineLevel="0" collapsed="false">
      <c r="A28" s="20" t="s">
        <v>4003</v>
      </c>
      <c r="B28" s="20" t="s">
        <v>4004</v>
      </c>
      <c r="C28" s="20" t="s">
        <v>1823</v>
      </c>
      <c r="D28" s="20" t="s">
        <v>3960</v>
      </c>
    </row>
    <row r="29" customFormat="false" ht="150" hidden="false" customHeight="true" outlineLevel="0" collapsed="false">
      <c r="A29" s="19" t="s">
        <v>4005</v>
      </c>
      <c r="B29" s="19"/>
      <c r="C29" s="19" t="s">
        <v>1825</v>
      </c>
      <c r="D29" s="19" t="s">
        <v>3960</v>
      </c>
    </row>
    <row r="30" customFormat="false" ht="150" hidden="false" customHeight="true" outlineLevel="0" collapsed="false">
      <c r="A30" s="20" t="s">
        <v>4006</v>
      </c>
      <c r="B30" s="20" t="s">
        <v>4007</v>
      </c>
      <c r="C30" s="20" t="s">
        <v>1826</v>
      </c>
      <c r="D30" s="20" t="s">
        <v>3960</v>
      </c>
    </row>
    <row r="31" customFormat="false" ht="150" hidden="false" customHeight="true" outlineLevel="0" collapsed="false">
      <c r="A31" s="19" t="s">
        <v>4008</v>
      </c>
      <c r="B31" s="19"/>
      <c r="C31" s="19" t="s">
        <v>1830</v>
      </c>
      <c r="D31" s="19" t="s">
        <v>3960</v>
      </c>
    </row>
    <row r="32" customFormat="false" ht="150" hidden="false" customHeight="true" outlineLevel="0" collapsed="false">
      <c r="A32" s="20" t="s">
        <v>4009</v>
      </c>
      <c r="B32" s="20"/>
      <c r="C32" s="20" t="s">
        <v>1839</v>
      </c>
      <c r="D32" s="20" t="s">
        <v>3960</v>
      </c>
    </row>
    <row r="33" customFormat="false" ht="150" hidden="false" customHeight="true" outlineLevel="0" collapsed="false">
      <c r="A33" s="19" t="s">
        <v>4010</v>
      </c>
      <c r="B33" s="19"/>
      <c r="C33" s="19" t="s">
        <v>1857</v>
      </c>
      <c r="D33" s="19" t="s">
        <v>3960</v>
      </c>
    </row>
    <row r="34" customFormat="false" ht="150" hidden="false" customHeight="true" outlineLevel="0" collapsed="false">
      <c r="A34" s="20" t="s">
        <v>4011</v>
      </c>
      <c r="B34" s="20" t="s">
        <v>4012</v>
      </c>
      <c r="C34" s="20" t="s">
        <v>4013</v>
      </c>
      <c r="D34" s="20" t="s">
        <v>3960</v>
      </c>
    </row>
    <row r="35" customFormat="false" ht="150" hidden="false" customHeight="true" outlineLevel="0" collapsed="false">
      <c r="A35" s="19" t="s">
        <v>4014</v>
      </c>
      <c r="B35" s="19" t="s">
        <v>3984</v>
      </c>
      <c r="C35" s="19" t="s">
        <v>4015</v>
      </c>
      <c r="D35" s="19" t="s">
        <v>3960</v>
      </c>
    </row>
    <row r="36" customFormat="false" ht="150" hidden="false" customHeight="true" outlineLevel="0" collapsed="false">
      <c r="A36" s="20" t="s">
        <v>4016</v>
      </c>
      <c r="B36" s="20" t="s">
        <v>4017</v>
      </c>
      <c r="C36" s="20" t="s">
        <v>4018</v>
      </c>
      <c r="D36" s="20" t="s">
        <v>3960</v>
      </c>
    </row>
    <row r="37" customFormat="false" ht="150" hidden="false" customHeight="true" outlineLevel="0" collapsed="false">
      <c r="A37" s="19" t="s">
        <v>4019</v>
      </c>
      <c r="B37" s="19" t="s">
        <v>4020</v>
      </c>
      <c r="C37" s="19" t="s">
        <v>4021</v>
      </c>
      <c r="D37" s="19" t="s">
        <v>3960</v>
      </c>
    </row>
    <row r="38" customFormat="false" ht="150" hidden="false" customHeight="true" outlineLevel="0" collapsed="false">
      <c r="A38" s="20" t="s">
        <v>4022</v>
      </c>
      <c r="B38" s="20"/>
      <c r="C38" s="20" t="s">
        <v>1874</v>
      </c>
      <c r="D38" s="20" t="s">
        <v>3960</v>
      </c>
    </row>
    <row r="39" customFormat="false" ht="150" hidden="false" customHeight="true" outlineLevel="0" collapsed="false">
      <c r="A39" s="19" t="s">
        <v>4023</v>
      </c>
      <c r="B39" s="19"/>
      <c r="C39" s="19" t="s">
        <v>1884</v>
      </c>
      <c r="D39" s="19" t="s">
        <v>3960</v>
      </c>
    </row>
    <row r="40" customFormat="false" ht="150" hidden="false" customHeight="true" outlineLevel="0" collapsed="false">
      <c r="A40" s="20" t="s">
        <v>4024</v>
      </c>
      <c r="B40" s="20"/>
      <c r="C40" s="20" t="s">
        <v>1930</v>
      </c>
      <c r="D40" s="20" t="s">
        <v>3960</v>
      </c>
    </row>
    <row r="41" customFormat="false" ht="150" hidden="false" customHeight="true" outlineLevel="0" collapsed="false">
      <c r="A41" s="19" t="s">
        <v>4025</v>
      </c>
      <c r="B41" s="19"/>
      <c r="C41" s="19" t="s">
        <v>2047</v>
      </c>
      <c r="D41" s="19" t="s">
        <v>3960</v>
      </c>
    </row>
    <row r="42" customFormat="false" ht="150" hidden="false" customHeight="true" outlineLevel="0" collapsed="false">
      <c r="A42" s="20" t="s">
        <v>4026</v>
      </c>
      <c r="B42" s="20"/>
      <c r="C42" s="20" t="s">
        <v>2063</v>
      </c>
      <c r="D42" s="20" t="s">
        <v>3960</v>
      </c>
    </row>
    <row r="43" customFormat="false" ht="150" hidden="false" customHeight="true" outlineLevel="0" collapsed="false">
      <c r="A43" s="19" t="s">
        <v>4027</v>
      </c>
      <c r="B43" s="19"/>
      <c r="C43" s="19" t="s">
        <v>2067</v>
      </c>
      <c r="D43" s="19" t="s">
        <v>3960</v>
      </c>
    </row>
    <row r="44" customFormat="false" ht="150" hidden="false" customHeight="true" outlineLevel="0" collapsed="false">
      <c r="A44" s="20" t="s">
        <v>4028</v>
      </c>
      <c r="B44" s="20"/>
      <c r="C44" s="20" t="s">
        <v>2086</v>
      </c>
      <c r="D44" s="20" t="s">
        <v>3960</v>
      </c>
    </row>
    <row r="45" customFormat="false" ht="150" hidden="false" customHeight="true" outlineLevel="0" collapsed="false">
      <c r="A45" s="19" t="s">
        <v>4029</v>
      </c>
      <c r="B45" s="19"/>
      <c r="C45" s="19" t="s">
        <v>2091</v>
      </c>
      <c r="D45" s="19" t="s">
        <v>3960</v>
      </c>
    </row>
    <row r="46" customFormat="false" ht="150" hidden="false" customHeight="true" outlineLevel="0" collapsed="false">
      <c r="A46" s="20" t="s">
        <v>4030</v>
      </c>
      <c r="B46" s="20"/>
      <c r="C46" s="20" t="s">
        <v>2104</v>
      </c>
      <c r="D46" s="20" t="s">
        <v>3960</v>
      </c>
    </row>
    <row r="47" customFormat="false" ht="150" hidden="false" customHeight="true" outlineLevel="0" collapsed="false">
      <c r="A47" s="19" t="s">
        <v>4031</v>
      </c>
      <c r="B47" s="19"/>
      <c r="C47" s="19" t="s">
        <v>2108</v>
      </c>
      <c r="D47" s="19" t="s">
        <v>3960</v>
      </c>
    </row>
    <row r="48" customFormat="false" ht="150" hidden="false" customHeight="true" outlineLevel="0" collapsed="false">
      <c r="A48" s="20" t="s">
        <v>4032</v>
      </c>
      <c r="B48" s="20"/>
      <c r="C48" s="20" t="s">
        <v>2116</v>
      </c>
      <c r="D48" s="20" t="s">
        <v>3960</v>
      </c>
    </row>
    <row r="49" customFormat="false" ht="150" hidden="false" customHeight="true" outlineLevel="0" collapsed="false">
      <c r="A49" s="19" t="s">
        <v>4033</v>
      </c>
      <c r="B49" s="19"/>
      <c r="C49" s="19" t="s">
        <v>2122</v>
      </c>
      <c r="D49" s="19" t="s">
        <v>3960</v>
      </c>
    </row>
    <row r="50" customFormat="false" ht="150" hidden="false" customHeight="true" outlineLevel="0" collapsed="false">
      <c r="A50" s="20" t="s">
        <v>4034</v>
      </c>
      <c r="B50" s="20"/>
      <c r="C50" s="20" t="s">
        <v>2192</v>
      </c>
      <c r="D50" s="20" t="s">
        <v>3960</v>
      </c>
    </row>
    <row r="51" customFormat="false" ht="150" hidden="false" customHeight="true" outlineLevel="0" collapsed="false">
      <c r="A51" s="19" t="s">
        <v>4035</v>
      </c>
      <c r="B51" s="19" t="s">
        <v>4036</v>
      </c>
      <c r="C51" s="19" t="s">
        <v>4037</v>
      </c>
      <c r="D51" s="19" t="s">
        <v>3960</v>
      </c>
    </row>
    <row r="52" customFormat="false" ht="150" hidden="false" customHeight="true" outlineLevel="0" collapsed="false">
      <c r="A52" s="20" t="s">
        <v>4038</v>
      </c>
      <c r="B52" s="20"/>
      <c r="C52" s="20" t="s">
        <v>2718</v>
      </c>
      <c r="D52" s="20" t="s">
        <v>3960</v>
      </c>
    </row>
    <row r="53" customFormat="false" ht="150" hidden="false" customHeight="true" outlineLevel="0" collapsed="false">
      <c r="A53" s="19" t="s">
        <v>4039</v>
      </c>
      <c r="B53" s="19"/>
      <c r="C53" s="19" t="s">
        <v>2722</v>
      </c>
      <c r="D53" s="19" t="s">
        <v>3960</v>
      </c>
    </row>
    <row r="54" customFormat="false" ht="150" hidden="false" customHeight="true" outlineLevel="0" collapsed="false">
      <c r="A54" s="20" t="s">
        <v>4040</v>
      </c>
      <c r="B54" s="20"/>
      <c r="C54" s="20" t="s">
        <v>2726</v>
      </c>
      <c r="D54" s="20" t="s">
        <v>3960</v>
      </c>
    </row>
    <row r="55" customFormat="false" ht="150" hidden="false" customHeight="true" outlineLevel="0" collapsed="false">
      <c r="A55" s="19" t="s">
        <v>4041</v>
      </c>
      <c r="B55" s="19"/>
      <c r="C55" s="19" t="s">
        <v>2731</v>
      </c>
      <c r="D55" s="19" t="s">
        <v>3960</v>
      </c>
    </row>
    <row r="56" customFormat="false" ht="150" hidden="false" customHeight="true" outlineLevel="0" collapsed="false">
      <c r="A56" s="20" t="s">
        <v>4042</v>
      </c>
      <c r="B56" s="20"/>
      <c r="C56" s="20" t="s">
        <v>2735</v>
      </c>
      <c r="D56" s="20" t="s">
        <v>3960</v>
      </c>
    </row>
    <row r="57" customFormat="false" ht="150" hidden="false" customHeight="true" outlineLevel="0" collapsed="false">
      <c r="A57" s="19" t="s">
        <v>4043</v>
      </c>
      <c r="B57" s="19"/>
      <c r="C57" s="19" t="s">
        <v>2743</v>
      </c>
      <c r="D57" s="19" t="s">
        <v>3960</v>
      </c>
    </row>
    <row r="58" customFormat="false" ht="150" hidden="false" customHeight="true" outlineLevel="0" collapsed="false">
      <c r="A58" s="20" t="s">
        <v>4044</v>
      </c>
      <c r="B58" s="20"/>
      <c r="C58" s="20" t="s">
        <v>2747</v>
      </c>
      <c r="D58" s="20" t="s">
        <v>3960</v>
      </c>
    </row>
    <row r="59" customFormat="false" ht="150" hidden="false" customHeight="true" outlineLevel="0" collapsed="false">
      <c r="A59" s="19" t="s">
        <v>4045</v>
      </c>
      <c r="B59" s="19"/>
      <c r="C59" s="19" t="s">
        <v>2747</v>
      </c>
      <c r="D59" s="19" t="s">
        <v>3960</v>
      </c>
    </row>
    <row r="60" customFormat="false" ht="150" hidden="false" customHeight="true" outlineLevel="0" collapsed="false">
      <c r="A60" s="20" t="s">
        <v>4046</v>
      </c>
      <c r="B60" s="20"/>
      <c r="C60" s="20" t="s">
        <v>2758</v>
      </c>
      <c r="D60" s="20" t="s">
        <v>3960</v>
      </c>
    </row>
    <row r="61" customFormat="false" ht="150" hidden="false" customHeight="true" outlineLevel="0" collapsed="false">
      <c r="A61" s="19" t="s">
        <v>4047</v>
      </c>
      <c r="B61" s="19"/>
      <c r="C61" s="19" t="s">
        <v>2768</v>
      </c>
      <c r="D61" s="19" t="s">
        <v>3960</v>
      </c>
    </row>
    <row r="62" customFormat="false" ht="150" hidden="false" customHeight="true" outlineLevel="0" collapsed="false">
      <c r="A62" s="20" t="s">
        <v>4048</v>
      </c>
      <c r="B62" s="20"/>
      <c r="C62" s="20" t="s">
        <v>2768</v>
      </c>
      <c r="D62" s="20" t="s">
        <v>3960</v>
      </c>
    </row>
    <row r="63" customFormat="false" ht="150" hidden="false" customHeight="true" outlineLevel="0" collapsed="false">
      <c r="A63" s="19" t="s">
        <v>4049</v>
      </c>
      <c r="B63" s="19"/>
      <c r="C63" s="19" t="s">
        <v>2768</v>
      </c>
      <c r="D63" s="19" t="s">
        <v>3960</v>
      </c>
    </row>
    <row r="64" customFormat="false" ht="150" hidden="false" customHeight="true" outlineLevel="0" collapsed="false">
      <c r="A64" s="20" t="s">
        <v>4050</v>
      </c>
      <c r="B64" s="20"/>
      <c r="C64" s="20" t="s">
        <v>2778</v>
      </c>
      <c r="D64" s="20" t="s">
        <v>3960</v>
      </c>
    </row>
    <row r="65" customFormat="false" ht="150" hidden="false" customHeight="true" outlineLevel="0" collapsed="false">
      <c r="A65" s="19" t="s">
        <v>4051</v>
      </c>
      <c r="B65" s="19"/>
      <c r="C65" s="19" t="s">
        <v>2782</v>
      </c>
      <c r="D65" s="19" t="s">
        <v>3960</v>
      </c>
    </row>
    <row r="66" customFormat="false" ht="150" hidden="false" customHeight="true" outlineLevel="0" collapsed="false">
      <c r="A66" s="20" t="s">
        <v>4052</v>
      </c>
      <c r="B66" s="20"/>
      <c r="C66" s="20" t="s">
        <v>2787</v>
      </c>
      <c r="D66" s="20" t="s">
        <v>3960</v>
      </c>
    </row>
    <row r="67" customFormat="false" ht="150" hidden="false" customHeight="true" outlineLevel="0" collapsed="false">
      <c r="A67" s="19" t="s">
        <v>4053</v>
      </c>
      <c r="B67" s="19"/>
      <c r="C67" s="19" t="s">
        <v>2726</v>
      </c>
      <c r="D67" s="19" t="s">
        <v>3960</v>
      </c>
    </row>
    <row r="68" customFormat="false" ht="150" hidden="false" customHeight="true" outlineLevel="0" collapsed="false">
      <c r="A68" s="20" t="s">
        <v>4054</v>
      </c>
      <c r="B68" s="20"/>
      <c r="C68" s="20" t="s">
        <v>2795</v>
      </c>
      <c r="D68" s="20" t="s">
        <v>3960</v>
      </c>
    </row>
    <row r="69" customFormat="false" ht="150" hidden="false" customHeight="true" outlineLevel="0" collapsed="false">
      <c r="A69" s="19" t="s">
        <v>4055</v>
      </c>
      <c r="B69" s="19"/>
      <c r="C69" s="19" t="s">
        <v>2803</v>
      </c>
      <c r="D69" s="19" t="s">
        <v>3960</v>
      </c>
    </row>
    <row r="70" customFormat="false" ht="150" hidden="false" customHeight="true" outlineLevel="0" collapsed="false">
      <c r="A70" s="20" t="s">
        <v>4056</v>
      </c>
      <c r="B70" s="20"/>
      <c r="C70" s="20" t="s">
        <v>2807</v>
      </c>
      <c r="D70" s="20" t="s">
        <v>3960</v>
      </c>
    </row>
    <row r="71" customFormat="false" ht="150" hidden="false" customHeight="true" outlineLevel="0" collapsed="false">
      <c r="A71" s="19" t="s">
        <v>4057</v>
      </c>
      <c r="B71" s="19"/>
      <c r="C71" s="19" t="s">
        <v>2811</v>
      </c>
      <c r="D71" s="19" t="s">
        <v>3960</v>
      </c>
    </row>
    <row r="72" customFormat="false" ht="150" hidden="false" customHeight="true" outlineLevel="0" collapsed="false">
      <c r="A72" s="20" t="s">
        <v>4058</v>
      </c>
      <c r="B72" s="20"/>
      <c r="C72" s="20" t="s">
        <v>2815</v>
      </c>
      <c r="D72" s="20" t="s">
        <v>3960</v>
      </c>
    </row>
    <row r="73" customFormat="false" ht="150" hidden="false" customHeight="true" outlineLevel="0" collapsed="false">
      <c r="A73" s="19" t="s">
        <v>4059</v>
      </c>
      <c r="B73" s="19"/>
      <c r="C73" s="19" t="s">
        <v>2819</v>
      </c>
      <c r="D73" s="19" t="s">
        <v>3960</v>
      </c>
    </row>
    <row r="74" customFormat="false" ht="150" hidden="false" customHeight="true" outlineLevel="0" collapsed="false">
      <c r="A74" s="20" t="s">
        <v>4060</v>
      </c>
      <c r="B74" s="20"/>
      <c r="C74" s="20" t="s">
        <v>2823</v>
      </c>
      <c r="D74" s="20" t="s">
        <v>3960</v>
      </c>
    </row>
    <row r="75" customFormat="false" ht="150" hidden="false" customHeight="true" outlineLevel="0" collapsed="false">
      <c r="A75" s="19" t="s">
        <v>4061</v>
      </c>
      <c r="B75" s="19" t="s">
        <v>4062</v>
      </c>
      <c r="C75" s="19" t="s">
        <v>4063</v>
      </c>
      <c r="D75" s="19" t="s">
        <v>3960</v>
      </c>
    </row>
    <row r="76" customFormat="false" ht="150" hidden="false" customHeight="true" outlineLevel="0" collapsed="false">
      <c r="A76" s="20" t="s">
        <v>4064</v>
      </c>
      <c r="B76" s="20" t="s">
        <v>4065</v>
      </c>
      <c r="C76" s="20" t="s">
        <v>4066</v>
      </c>
      <c r="D76" s="20" t="s">
        <v>3960</v>
      </c>
    </row>
    <row r="77" customFormat="false" ht="150" hidden="false" customHeight="true" outlineLevel="0" collapsed="false">
      <c r="A77" s="19" t="s">
        <v>4067</v>
      </c>
      <c r="B77" s="19" t="s">
        <v>4068</v>
      </c>
      <c r="C77" s="19" t="s">
        <v>4069</v>
      </c>
      <c r="D77" s="19" t="s">
        <v>3960</v>
      </c>
    </row>
    <row r="78" customFormat="false" ht="150" hidden="false" customHeight="true" outlineLevel="0" collapsed="false">
      <c r="A78" s="20" t="s">
        <v>4070</v>
      </c>
      <c r="B78" s="20"/>
      <c r="C78" s="20" t="s">
        <v>2811</v>
      </c>
      <c r="D78" s="20" t="s">
        <v>3960</v>
      </c>
    </row>
    <row r="79" customFormat="false" ht="150" hidden="false" customHeight="true" outlineLevel="0" collapsed="false">
      <c r="A79" s="19" t="s">
        <v>4071</v>
      </c>
      <c r="B79" s="19"/>
      <c r="C79" s="19" t="s">
        <v>2831</v>
      </c>
      <c r="D79" s="19" t="s">
        <v>3960</v>
      </c>
    </row>
    <row r="80" customFormat="false" ht="150" hidden="false" customHeight="true" outlineLevel="0" collapsed="false">
      <c r="A80" s="20" t="s">
        <v>4072</v>
      </c>
      <c r="B80" s="20"/>
      <c r="C80" s="20" t="s">
        <v>2836</v>
      </c>
      <c r="D80" s="20" t="s">
        <v>3960</v>
      </c>
    </row>
    <row r="81" customFormat="false" ht="150" hidden="false" customHeight="true" outlineLevel="0" collapsed="false">
      <c r="A81" s="19" t="s">
        <v>4073</v>
      </c>
      <c r="B81" s="19"/>
      <c r="C81" s="19" t="s">
        <v>2840</v>
      </c>
      <c r="D81" s="19" t="s">
        <v>3960</v>
      </c>
    </row>
    <row r="82" customFormat="false" ht="150" hidden="false" customHeight="true" outlineLevel="0" collapsed="false">
      <c r="A82" s="20" t="s">
        <v>4074</v>
      </c>
      <c r="B82" s="20" t="s">
        <v>4075</v>
      </c>
      <c r="C82" s="20" t="s">
        <v>3449</v>
      </c>
      <c r="D82" s="20" t="s">
        <v>3960</v>
      </c>
    </row>
    <row r="83" customFormat="false" ht="150" hidden="false" customHeight="true" outlineLevel="0" collapsed="false">
      <c r="A83" s="19" t="s">
        <v>4076</v>
      </c>
      <c r="B83" s="19" t="s">
        <v>4077</v>
      </c>
      <c r="C83" s="19" t="s">
        <v>4078</v>
      </c>
      <c r="D83" s="19" t="s">
        <v>3960</v>
      </c>
    </row>
    <row r="84" customFormat="false" ht="150" hidden="false" customHeight="true" outlineLevel="0" collapsed="false">
      <c r="A84" s="20" t="s">
        <v>4079</v>
      </c>
      <c r="B84" s="20" t="s">
        <v>4080</v>
      </c>
      <c r="C84" s="20" t="s">
        <v>4081</v>
      </c>
      <c r="D84" s="20" t="s">
        <v>3960</v>
      </c>
    </row>
    <row r="85" customFormat="false" ht="150" hidden="false" customHeight="true" outlineLevel="0" collapsed="false">
      <c r="A85" s="19" t="s">
        <v>4082</v>
      </c>
      <c r="B85" s="19" t="s">
        <v>4083</v>
      </c>
      <c r="C85" s="19" t="s">
        <v>4084</v>
      </c>
      <c r="D85" s="19" t="s">
        <v>3960</v>
      </c>
    </row>
    <row r="86" customFormat="false" ht="150" hidden="false" customHeight="true" outlineLevel="0" collapsed="false">
      <c r="A86" s="20" t="s">
        <v>4085</v>
      </c>
      <c r="B86" s="20" t="s">
        <v>3984</v>
      </c>
      <c r="C86" s="20" t="s">
        <v>4086</v>
      </c>
      <c r="D86" s="20" t="s">
        <v>3960</v>
      </c>
    </row>
    <row r="87" customFormat="false" ht="150" hidden="false" customHeight="true" outlineLevel="0" collapsed="false">
      <c r="A87" s="19" t="s">
        <v>4087</v>
      </c>
      <c r="B87" s="19" t="s">
        <v>4088</v>
      </c>
      <c r="C87" s="19" t="s">
        <v>4089</v>
      </c>
      <c r="D87" s="19" t="s">
        <v>3960</v>
      </c>
    </row>
    <row r="88" customFormat="false" ht="150" hidden="false" customHeight="true" outlineLevel="0" collapsed="false">
      <c r="A88" s="20" t="s">
        <v>4090</v>
      </c>
      <c r="B88" s="20" t="s">
        <v>4091</v>
      </c>
      <c r="C88" s="20" t="s">
        <v>4092</v>
      </c>
      <c r="D88" s="20" t="s">
        <v>3960</v>
      </c>
    </row>
    <row r="89" customFormat="false" ht="150" hidden="false" customHeight="true" outlineLevel="0" collapsed="false">
      <c r="A89" s="19" t="s">
        <v>4093</v>
      </c>
      <c r="B89" s="19" t="s">
        <v>3987</v>
      </c>
      <c r="C89" s="19" t="s">
        <v>4094</v>
      </c>
      <c r="D89" s="19" t="s">
        <v>3960</v>
      </c>
    </row>
    <row r="90" customFormat="false" ht="150" hidden="false" customHeight="true" outlineLevel="0" collapsed="false">
      <c r="A90" s="20" t="s">
        <v>4095</v>
      </c>
      <c r="B90" s="20" t="s">
        <v>4096</v>
      </c>
      <c r="C90" s="20" t="s">
        <v>3610</v>
      </c>
      <c r="D90" s="20" t="s">
        <v>3960</v>
      </c>
    </row>
  </sheetData>
  <autoFilter ref="A5:D9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71484375" defaultRowHeight="15" customHeight="false" zeroHeight="false" outlineLevelRow="0" outlineLevelCol="0"/>
  <cols>
    <col collapsed="false" customWidth="true" hidden="false" outlineLevel="0" max="1" min="1" style="10" width="13"/>
    <col collapsed="false" customWidth="true" hidden="false" outlineLevel="0" max="2" min="2" style="10" width="29"/>
    <col collapsed="false" customWidth="true" hidden="false" outlineLevel="0" max="3" min="3" style="10" width="53"/>
    <col collapsed="false" customWidth="true" hidden="false" outlineLevel="0" max="4" min="4" style="10" width="48"/>
    <col collapsed="false" customWidth="true" hidden="false" outlineLevel="0" max="6" min="5" style="10" width="115"/>
  </cols>
  <sheetData>
    <row r="1" customFormat="false" ht="33.75" hidden="false" customHeight="true" outlineLevel="0" collapsed="false">
      <c r="A1" s="54" t="s">
        <v>4097</v>
      </c>
      <c r="B1" s="54"/>
      <c r="C1" s="54"/>
      <c r="D1" s="54"/>
      <c r="E1" s="54"/>
      <c r="F1" s="54"/>
    </row>
    <row r="2" customFormat="false" ht="24.75" hidden="false" customHeight="true" outlineLevel="0" collapsed="false">
      <c r="A2" s="55" t="s">
        <v>4098</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329</v>
      </c>
      <c r="C5" s="22" t="s">
        <v>2847</v>
      </c>
      <c r="D5" s="22" t="s">
        <v>310</v>
      </c>
      <c r="E5" s="22" t="s">
        <v>1178</v>
      </c>
      <c r="F5" s="22" t="s">
        <v>732</v>
      </c>
    </row>
    <row r="6" customFormat="false" ht="99.75" hidden="false" customHeight="true" outlineLevel="0" collapsed="false">
      <c r="A6" s="20" t="s">
        <v>2848</v>
      </c>
      <c r="B6" s="20" t="s">
        <v>8</v>
      </c>
      <c r="C6" s="20" t="s">
        <v>735</v>
      </c>
      <c r="D6" s="20" t="s">
        <v>2417</v>
      </c>
      <c r="E6" s="20" t="s">
        <v>2849</v>
      </c>
      <c r="F6" s="20" t="s">
        <v>2850</v>
      </c>
    </row>
    <row r="7" customFormat="false" ht="99.75" hidden="false" customHeight="true" outlineLevel="0" collapsed="false">
      <c r="A7" s="19" t="s">
        <v>2851</v>
      </c>
      <c r="B7" s="19" t="s">
        <v>8</v>
      </c>
      <c r="C7" s="19" t="s">
        <v>2852</v>
      </c>
      <c r="D7" s="19" t="s">
        <v>2853</v>
      </c>
      <c r="E7" s="19" t="s">
        <v>2854</v>
      </c>
      <c r="F7" s="19" t="s">
        <v>2855</v>
      </c>
    </row>
    <row r="8" customFormat="false" ht="99.75" hidden="false" customHeight="true" outlineLevel="0" collapsed="false">
      <c r="A8" s="20" t="s">
        <v>2856</v>
      </c>
      <c r="B8" s="20" t="s">
        <v>8</v>
      </c>
      <c r="C8" s="20" t="s">
        <v>735</v>
      </c>
      <c r="D8" s="20" t="s">
        <v>2417</v>
      </c>
      <c r="E8" s="20" t="s">
        <v>2857</v>
      </c>
      <c r="F8" s="20" t="s">
        <v>2858</v>
      </c>
    </row>
    <row r="9" customFormat="false" ht="99.75" hidden="false" customHeight="true" outlineLevel="0" collapsed="false">
      <c r="A9" s="19" t="s">
        <v>2859</v>
      </c>
      <c r="B9" s="19" t="s">
        <v>2860</v>
      </c>
      <c r="C9" s="19" t="s">
        <v>239</v>
      </c>
      <c r="D9" s="19" t="s">
        <v>2417</v>
      </c>
      <c r="E9" s="19" t="s">
        <v>2861</v>
      </c>
      <c r="F9" s="19" t="s">
        <v>2862</v>
      </c>
    </row>
    <row r="10" customFormat="false" ht="99.75" hidden="false" customHeight="true" outlineLevel="0" collapsed="false">
      <c r="A10" s="20" t="s">
        <v>2863</v>
      </c>
      <c r="B10" s="20" t="s">
        <v>2860</v>
      </c>
      <c r="C10" s="20" t="s">
        <v>735</v>
      </c>
      <c r="D10" s="20" t="s">
        <v>2417</v>
      </c>
      <c r="E10" s="20" t="s">
        <v>2864</v>
      </c>
      <c r="F10" s="20" t="s">
        <v>2865</v>
      </c>
    </row>
    <row r="11" customFormat="false" ht="99.75" hidden="false" customHeight="true" outlineLevel="0" collapsed="false">
      <c r="A11" s="19" t="s">
        <v>2866</v>
      </c>
      <c r="B11" s="19" t="s">
        <v>2867</v>
      </c>
      <c r="C11" s="19" t="s">
        <v>239</v>
      </c>
      <c r="D11" s="19" t="s">
        <v>2417</v>
      </c>
      <c r="E11" s="19" t="s">
        <v>2868</v>
      </c>
      <c r="F11" s="19" t="s">
        <v>2869</v>
      </c>
    </row>
    <row r="12" customFormat="false" ht="99.75" hidden="false" customHeight="true" outlineLevel="0" collapsed="false">
      <c r="A12" s="20" t="s">
        <v>2870</v>
      </c>
      <c r="B12" s="20" t="s">
        <v>2871</v>
      </c>
      <c r="C12" s="20" t="s">
        <v>247</v>
      </c>
      <c r="D12" s="20" t="s">
        <v>2417</v>
      </c>
      <c r="E12" s="20" t="s">
        <v>2872</v>
      </c>
      <c r="F12" s="20" t="s">
        <v>2873</v>
      </c>
    </row>
    <row r="13" customFormat="false" ht="99.75" hidden="false" customHeight="true" outlineLevel="0" collapsed="false">
      <c r="A13" s="19" t="s">
        <v>2874</v>
      </c>
      <c r="B13" s="19" t="s">
        <v>2871</v>
      </c>
      <c r="C13" s="19" t="s">
        <v>2875</v>
      </c>
      <c r="D13" s="19" t="s">
        <v>2417</v>
      </c>
      <c r="E13" s="19" t="s">
        <v>2876</v>
      </c>
      <c r="F13" s="19" t="s">
        <v>2877</v>
      </c>
    </row>
    <row r="14" customFormat="false" ht="99.75" hidden="false" customHeight="true" outlineLevel="0" collapsed="false">
      <c r="A14" s="20" t="s">
        <v>2878</v>
      </c>
      <c r="B14" s="20" t="s">
        <v>2871</v>
      </c>
      <c r="C14" s="20" t="s">
        <v>2875</v>
      </c>
      <c r="D14" s="20" t="s">
        <v>2417</v>
      </c>
      <c r="E14" s="20" t="s">
        <v>2879</v>
      </c>
      <c r="F14" s="20" t="s">
        <v>2880</v>
      </c>
    </row>
    <row r="15" customFormat="false" ht="99.75" hidden="false" customHeight="true" outlineLevel="0" collapsed="false">
      <c r="A15" s="19" t="s">
        <v>2881</v>
      </c>
      <c r="B15" s="19" t="s">
        <v>2882</v>
      </c>
      <c r="C15" s="19" t="s">
        <v>2883</v>
      </c>
      <c r="D15" s="19" t="s">
        <v>2884</v>
      </c>
      <c r="E15" s="19" t="s">
        <v>2885</v>
      </c>
      <c r="F15" s="19" t="s">
        <v>2886</v>
      </c>
    </row>
    <row r="16" customFormat="false" ht="99.75" hidden="false" customHeight="true" outlineLevel="0" collapsed="false">
      <c r="A16" s="20" t="s">
        <v>2887</v>
      </c>
      <c r="B16" s="20" t="s">
        <v>2882</v>
      </c>
      <c r="C16" s="20" t="s">
        <v>2883</v>
      </c>
      <c r="D16" s="20" t="s">
        <v>2888</v>
      </c>
      <c r="E16" s="20" t="s">
        <v>2889</v>
      </c>
      <c r="F16" s="20" t="s">
        <v>2890</v>
      </c>
    </row>
    <row r="17" customFormat="false" ht="99.75" hidden="false" customHeight="true" outlineLevel="0" collapsed="false">
      <c r="A17" s="19" t="s">
        <v>2891</v>
      </c>
      <c r="B17" s="19" t="s">
        <v>2892</v>
      </c>
      <c r="C17" s="19" t="s">
        <v>2852</v>
      </c>
      <c r="D17" s="19" t="s">
        <v>2417</v>
      </c>
      <c r="E17" s="19" t="s">
        <v>2893</v>
      </c>
      <c r="F17" s="19" t="s">
        <v>2894</v>
      </c>
    </row>
    <row r="18" customFormat="false" ht="99.75" hidden="false" customHeight="true" outlineLevel="0" collapsed="false">
      <c r="A18" s="20" t="s">
        <v>2895</v>
      </c>
      <c r="B18" s="20" t="s">
        <v>2896</v>
      </c>
      <c r="C18" s="20" t="s">
        <v>2852</v>
      </c>
      <c r="D18" s="20" t="s">
        <v>2417</v>
      </c>
      <c r="E18" s="20" t="s">
        <v>2897</v>
      </c>
      <c r="F18" s="20" t="s">
        <v>2898</v>
      </c>
    </row>
    <row r="19" customFormat="false" ht="99.75" hidden="false" customHeight="true" outlineLevel="0" collapsed="false">
      <c r="A19" s="19" t="s">
        <v>2899</v>
      </c>
      <c r="B19" s="19" t="s">
        <v>2900</v>
      </c>
      <c r="C19" s="19" t="s">
        <v>2852</v>
      </c>
      <c r="D19" s="19" t="s">
        <v>2884</v>
      </c>
      <c r="E19" s="19" t="s">
        <v>2901</v>
      </c>
      <c r="F19" s="19" t="s">
        <v>2902</v>
      </c>
    </row>
    <row r="20" customFormat="false" ht="99.75" hidden="false" customHeight="true" outlineLevel="0" collapsed="false">
      <c r="A20" s="20" t="s">
        <v>2903</v>
      </c>
      <c r="B20" s="20" t="s">
        <v>2904</v>
      </c>
      <c r="C20" s="20" t="s">
        <v>2852</v>
      </c>
      <c r="D20" s="20" t="s">
        <v>2888</v>
      </c>
      <c r="E20" s="20" t="s">
        <v>2905</v>
      </c>
      <c r="F20" s="20" t="s">
        <v>2906</v>
      </c>
    </row>
    <row r="21" customFormat="false" ht="99.75" hidden="false" customHeight="true" outlineLevel="0" collapsed="false">
      <c r="A21" s="19" t="s">
        <v>2907</v>
      </c>
      <c r="B21" s="19" t="s">
        <v>23</v>
      </c>
      <c r="C21" s="19" t="s">
        <v>2908</v>
      </c>
      <c r="D21" s="19" t="s">
        <v>2398</v>
      </c>
      <c r="E21" s="19" t="s">
        <v>2909</v>
      </c>
      <c r="F21" s="19" t="s">
        <v>2910</v>
      </c>
    </row>
    <row r="22" customFormat="false" ht="99.75" hidden="false" customHeight="true" outlineLevel="0" collapsed="false">
      <c r="A22" s="20" t="s">
        <v>2911</v>
      </c>
      <c r="B22" s="20" t="s">
        <v>23</v>
      </c>
      <c r="C22" s="20" t="s">
        <v>2912</v>
      </c>
      <c r="D22" s="20" t="s">
        <v>2417</v>
      </c>
      <c r="E22" s="20" t="s">
        <v>2913</v>
      </c>
      <c r="F22" s="20" t="s">
        <v>2914</v>
      </c>
    </row>
    <row r="23" customFormat="false" ht="99.75" hidden="false" customHeight="true" outlineLevel="0" collapsed="false">
      <c r="A23" s="19" t="s">
        <v>2915</v>
      </c>
      <c r="B23" s="19" t="s">
        <v>2916</v>
      </c>
      <c r="C23" s="19" t="s">
        <v>252</v>
      </c>
      <c r="D23" s="19" t="s">
        <v>2417</v>
      </c>
      <c r="E23" s="19" t="s">
        <v>2917</v>
      </c>
      <c r="F23" s="19" t="s">
        <v>2918</v>
      </c>
    </row>
    <row r="24" customFormat="false" ht="99.75" hidden="false" customHeight="true" outlineLevel="0" collapsed="false">
      <c r="A24" s="20" t="s">
        <v>2919</v>
      </c>
      <c r="B24" s="20" t="s">
        <v>1215</v>
      </c>
      <c r="C24" s="20" t="s">
        <v>259</v>
      </c>
      <c r="D24" s="20" t="s">
        <v>2417</v>
      </c>
      <c r="E24" s="20" t="s">
        <v>2920</v>
      </c>
      <c r="F24" s="20" t="s">
        <v>2921</v>
      </c>
    </row>
    <row r="25" customFormat="false" ht="99.75" hidden="false" customHeight="true" outlineLevel="0" collapsed="false">
      <c r="A25" s="19" t="s">
        <v>2922</v>
      </c>
      <c r="B25" s="19" t="s">
        <v>1215</v>
      </c>
      <c r="C25" s="19" t="s">
        <v>274</v>
      </c>
      <c r="D25" s="19" t="s">
        <v>2417</v>
      </c>
      <c r="E25" s="19" t="s">
        <v>2923</v>
      </c>
      <c r="F25" s="19" t="s">
        <v>2921</v>
      </c>
    </row>
    <row r="26" customFormat="false" ht="99.75" hidden="false" customHeight="true" outlineLevel="0" collapsed="false">
      <c r="A26" s="20" t="s">
        <v>2924</v>
      </c>
      <c r="B26" s="20" t="s">
        <v>2916</v>
      </c>
      <c r="C26" s="20" t="s">
        <v>2925</v>
      </c>
      <c r="D26" s="20" t="s">
        <v>2417</v>
      </c>
      <c r="E26" s="20" t="s">
        <v>2926</v>
      </c>
      <c r="F26" s="20" t="s">
        <v>2927</v>
      </c>
    </row>
    <row r="27" customFormat="false" ht="99.75" hidden="false" customHeight="true" outlineLevel="0" collapsed="false">
      <c r="A27" s="19" t="s">
        <v>2928</v>
      </c>
      <c r="B27" s="19" t="s">
        <v>2929</v>
      </c>
      <c r="C27" s="19" t="s">
        <v>2908</v>
      </c>
      <c r="D27" s="19" t="s">
        <v>2417</v>
      </c>
      <c r="E27" s="19" t="s">
        <v>4099</v>
      </c>
      <c r="F27" s="19" t="s">
        <v>2931</v>
      </c>
    </row>
    <row r="28" customFormat="false" ht="99.75" hidden="false" customHeight="true" outlineLevel="0" collapsed="false">
      <c r="A28" s="20" t="s">
        <v>2932</v>
      </c>
      <c r="B28" s="20" t="s">
        <v>2933</v>
      </c>
      <c r="C28" s="20" t="s">
        <v>2934</v>
      </c>
      <c r="D28" s="20" t="s">
        <v>2417</v>
      </c>
      <c r="E28" s="20" t="s">
        <v>2935</v>
      </c>
      <c r="F28" s="20" t="s">
        <v>2936</v>
      </c>
    </row>
    <row r="29" customFormat="false" ht="99.75" hidden="false" customHeight="true" outlineLevel="0" collapsed="false">
      <c r="A29" s="19" t="s">
        <v>2937</v>
      </c>
      <c r="B29" s="19" t="s">
        <v>2933</v>
      </c>
      <c r="C29" s="19" t="s">
        <v>2934</v>
      </c>
      <c r="D29" s="19" t="s">
        <v>1219</v>
      </c>
      <c r="E29" s="19" t="s">
        <v>4100</v>
      </c>
      <c r="F29" s="19" t="s">
        <v>4101</v>
      </c>
    </row>
    <row r="30" customFormat="false" ht="99.75" hidden="false" customHeight="true" outlineLevel="0" collapsed="false">
      <c r="A30" s="20" t="s">
        <v>2940</v>
      </c>
      <c r="B30" s="20" t="s">
        <v>1090</v>
      </c>
      <c r="C30" s="20" t="s">
        <v>2941</v>
      </c>
      <c r="D30" s="20" t="s">
        <v>2942</v>
      </c>
      <c r="E30" s="20" t="s">
        <v>2943</v>
      </c>
      <c r="F30" s="20" t="s">
        <v>2944</v>
      </c>
    </row>
    <row r="31" customFormat="false" ht="99.75" hidden="false" customHeight="true" outlineLevel="0" collapsed="false">
      <c r="A31" s="19" t="s">
        <v>2945</v>
      </c>
      <c r="B31" s="19" t="s">
        <v>278</v>
      </c>
      <c r="C31" s="19" t="s">
        <v>278</v>
      </c>
      <c r="D31" s="19" t="s">
        <v>2417</v>
      </c>
      <c r="E31" s="19" t="s">
        <v>2946</v>
      </c>
      <c r="F31" s="19" t="s">
        <v>2947</v>
      </c>
    </row>
    <row r="32" customFormat="false" ht="99.75" hidden="false" customHeight="true" outlineLevel="0" collapsed="false">
      <c r="A32" s="20" t="s">
        <v>2948</v>
      </c>
      <c r="B32" s="20" t="s">
        <v>278</v>
      </c>
      <c r="C32" s="20" t="s">
        <v>278</v>
      </c>
      <c r="D32" s="20" t="s">
        <v>2417</v>
      </c>
      <c r="E32" s="20" t="s">
        <v>2949</v>
      </c>
      <c r="F32" s="20" t="s">
        <v>2950</v>
      </c>
    </row>
    <row r="33" customFormat="false" ht="99.75" hidden="false" customHeight="true" outlineLevel="0" collapsed="false">
      <c r="A33" s="19" t="s">
        <v>2951</v>
      </c>
      <c r="B33" s="19" t="s">
        <v>660</v>
      </c>
      <c r="C33" s="19" t="s">
        <v>278</v>
      </c>
      <c r="D33" s="19" t="s">
        <v>2884</v>
      </c>
      <c r="E33" s="19" t="s">
        <v>2952</v>
      </c>
      <c r="F33" s="19" t="s">
        <v>2953</v>
      </c>
    </row>
    <row r="34" customFormat="false" ht="99.75" hidden="false" customHeight="true" outlineLevel="0" collapsed="false">
      <c r="A34" s="20" t="s">
        <v>2954</v>
      </c>
      <c r="B34" s="20" t="s">
        <v>660</v>
      </c>
      <c r="C34" s="20" t="s">
        <v>278</v>
      </c>
      <c r="D34" s="20" t="s">
        <v>2955</v>
      </c>
      <c r="E34" s="20" t="s">
        <v>2956</v>
      </c>
      <c r="F34" s="20" t="s">
        <v>2957</v>
      </c>
    </row>
    <row r="35" customFormat="false" ht="99.75" hidden="false" customHeight="true" outlineLevel="0" collapsed="false">
      <c r="A35" s="19" t="s">
        <v>2958</v>
      </c>
      <c r="B35" s="19" t="s">
        <v>660</v>
      </c>
      <c r="C35" s="19" t="s">
        <v>2959</v>
      </c>
      <c r="D35" s="19" t="s">
        <v>2884</v>
      </c>
      <c r="E35" s="19" t="s">
        <v>2960</v>
      </c>
      <c r="F35" s="19" t="s">
        <v>2961</v>
      </c>
    </row>
    <row r="36" customFormat="false" ht="99.75" hidden="false" customHeight="true" outlineLevel="0" collapsed="false">
      <c r="A36" s="20" t="s">
        <v>2962</v>
      </c>
      <c r="B36" s="20" t="s">
        <v>35</v>
      </c>
      <c r="C36" s="20" t="s">
        <v>2963</v>
      </c>
      <c r="D36" s="20" t="s">
        <v>2417</v>
      </c>
      <c r="E36" s="20" t="s">
        <v>2964</v>
      </c>
      <c r="F36" s="20" t="s">
        <v>2965</v>
      </c>
    </row>
    <row r="37" customFormat="false" ht="99.75" hidden="false" customHeight="true" outlineLevel="0" collapsed="false">
      <c r="A37" s="19" t="s">
        <v>2966</v>
      </c>
      <c r="B37" s="19" t="s">
        <v>2967</v>
      </c>
      <c r="C37" s="19" t="s">
        <v>2968</v>
      </c>
      <c r="D37" s="19" t="s">
        <v>2884</v>
      </c>
      <c r="E37" s="19" t="s">
        <v>2969</v>
      </c>
      <c r="F37" s="19" t="s">
        <v>2970</v>
      </c>
    </row>
    <row r="38" customFormat="false" ht="99.75" hidden="false" customHeight="true" outlineLevel="0" collapsed="false">
      <c r="A38" s="20" t="s">
        <v>2971</v>
      </c>
      <c r="B38" s="20" t="s">
        <v>2967</v>
      </c>
      <c r="C38" s="20" t="s">
        <v>2972</v>
      </c>
      <c r="D38" s="20" t="s">
        <v>2973</v>
      </c>
      <c r="E38" s="20" t="s">
        <v>2974</v>
      </c>
      <c r="F38" s="20" t="s">
        <v>2975</v>
      </c>
    </row>
    <row r="39" customFormat="false" ht="99.75" hidden="false" customHeight="true" outlineLevel="0" collapsed="false">
      <c r="A39" s="19" t="s">
        <v>2976</v>
      </c>
      <c r="B39" s="19" t="s">
        <v>41</v>
      </c>
      <c r="C39" s="19" t="s">
        <v>2852</v>
      </c>
      <c r="D39" s="19" t="s">
        <v>2417</v>
      </c>
      <c r="E39" s="19" t="s">
        <v>2977</v>
      </c>
      <c r="F39" s="19" t="s">
        <v>2978</v>
      </c>
    </row>
    <row r="40" customFormat="false" ht="99.75" hidden="false" customHeight="true" outlineLevel="0" collapsed="false">
      <c r="A40" s="20" t="s">
        <v>2979</v>
      </c>
      <c r="B40" s="20" t="s">
        <v>41</v>
      </c>
      <c r="C40" s="20" t="s">
        <v>2852</v>
      </c>
      <c r="D40" s="20" t="s">
        <v>4102</v>
      </c>
      <c r="E40" s="20" t="s">
        <v>4103</v>
      </c>
      <c r="F40" s="20" t="s">
        <v>4104</v>
      </c>
    </row>
    <row r="41" customFormat="false" ht="99.75" hidden="false" customHeight="true" outlineLevel="0" collapsed="false">
      <c r="A41" s="19" t="s">
        <v>2981</v>
      </c>
      <c r="B41" s="19" t="s">
        <v>41</v>
      </c>
      <c r="C41" s="19" t="s">
        <v>2852</v>
      </c>
      <c r="D41" s="19" t="s">
        <v>2417</v>
      </c>
      <c r="E41" s="19" t="s">
        <v>2982</v>
      </c>
      <c r="F41" s="19" t="s">
        <v>2983</v>
      </c>
    </row>
    <row r="42" customFormat="false" ht="99.75" hidden="false" customHeight="true" outlineLevel="0" collapsed="false">
      <c r="A42" s="20" t="s">
        <v>2984</v>
      </c>
      <c r="B42" s="20" t="s">
        <v>41</v>
      </c>
      <c r="C42" s="20" t="s">
        <v>2852</v>
      </c>
      <c r="D42" s="20" t="s">
        <v>2417</v>
      </c>
      <c r="E42" s="20" t="s">
        <v>2985</v>
      </c>
      <c r="F42" s="20" t="s">
        <v>2986</v>
      </c>
    </row>
    <row r="43" customFormat="false" ht="99.75" hidden="false" customHeight="true" outlineLevel="0" collapsed="false">
      <c r="A43" s="19" t="s">
        <v>2987</v>
      </c>
      <c r="B43" s="19" t="s">
        <v>41</v>
      </c>
      <c r="C43" s="19" t="s">
        <v>2852</v>
      </c>
      <c r="D43" s="19" t="s">
        <v>2417</v>
      </c>
      <c r="E43" s="19" t="s">
        <v>2988</v>
      </c>
      <c r="F43" s="19" t="s">
        <v>2989</v>
      </c>
    </row>
    <row r="44" customFormat="false" ht="99.75" hidden="false" customHeight="true" outlineLevel="0" collapsed="false">
      <c r="A44" s="20" t="s">
        <v>2990</v>
      </c>
      <c r="B44" s="20" t="s">
        <v>41</v>
      </c>
      <c r="C44" s="20" t="s">
        <v>2852</v>
      </c>
      <c r="D44" s="20" t="s">
        <v>2417</v>
      </c>
      <c r="E44" s="20" t="s">
        <v>2991</v>
      </c>
      <c r="F44" s="20" t="s">
        <v>2992</v>
      </c>
    </row>
    <row r="45" customFormat="false" ht="99.75" hidden="false" customHeight="true" outlineLevel="0" collapsed="false">
      <c r="A45" s="19" t="s">
        <v>2993</v>
      </c>
      <c r="B45" s="19" t="s">
        <v>1254</v>
      </c>
      <c r="C45" s="19" t="s">
        <v>2852</v>
      </c>
      <c r="D45" s="19" t="s">
        <v>2417</v>
      </c>
      <c r="E45" s="19" t="s">
        <v>4105</v>
      </c>
      <c r="F45" s="19" t="s">
        <v>4106</v>
      </c>
    </row>
    <row r="46" customFormat="false" ht="99.75" hidden="false" customHeight="true" outlineLevel="0" collapsed="false">
      <c r="A46" s="20" t="s">
        <v>2995</v>
      </c>
      <c r="B46" s="20" t="s">
        <v>2691</v>
      </c>
      <c r="C46" s="20" t="s">
        <v>2996</v>
      </c>
      <c r="D46" s="20" t="s">
        <v>2417</v>
      </c>
      <c r="E46" s="20" t="s">
        <v>4107</v>
      </c>
      <c r="F46" s="20" t="s">
        <v>4108</v>
      </c>
    </row>
    <row r="47" customFormat="false" ht="99.75" hidden="false" customHeight="true" outlineLevel="0" collapsed="false">
      <c r="A47" s="19" t="s">
        <v>2998</v>
      </c>
      <c r="B47" s="19" t="s">
        <v>776</v>
      </c>
      <c r="C47" s="19" t="s">
        <v>2999</v>
      </c>
      <c r="D47" s="19" t="s">
        <v>1228</v>
      </c>
      <c r="E47" s="19" t="s">
        <v>4109</v>
      </c>
      <c r="F47" s="19" t="s">
        <v>4110</v>
      </c>
    </row>
    <row r="48" customFormat="false" ht="99.75" hidden="false" customHeight="true" outlineLevel="0" collapsed="false">
      <c r="A48" s="20" t="s">
        <v>3001</v>
      </c>
      <c r="B48" s="20" t="s">
        <v>776</v>
      </c>
      <c r="C48" s="20" t="s">
        <v>3002</v>
      </c>
      <c r="D48" s="20" t="s">
        <v>2417</v>
      </c>
      <c r="E48" s="20" t="s">
        <v>3003</v>
      </c>
      <c r="F48" s="20" t="s">
        <v>3004</v>
      </c>
    </row>
    <row r="49" customFormat="false" ht="99.75" hidden="false" customHeight="true" outlineLevel="0" collapsed="false">
      <c r="A49" s="19" t="s">
        <v>3005</v>
      </c>
      <c r="B49" s="19" t="s">
        <v>3006</v>
      </c>
      <c r="C49" s="19" t="s">
        <v>2852</v>
      </c>
      <c r="D49" s="19" t="s">
        <v>2417</v>
      </c>
      <c r="E49" s="19" t="s">
        <v>3007</v>
      </c>
      <c r="F49" s="19" t="s">
        <v>3008</v>
      </c>
    </row>
    <row r="50" customFormat="false" ht="99.75" hidden="false" customHeight="true" outlineLevel="0" collapsed="false">
      <c r="A50" s="20" t="s">
        <v>3009</v>
      </c>
      <c r="B50" s="20" t="s">
        <v>3010</v>
      </c>
      <c r="C50" s="20" t="s">
        <v>2999</v>
      </c>
      <c r="D50" s="20" t="s">
        <v>2417</v>
      </c>
      <c r="E50" s="20" t="s">
        <v>3011</v>
      </c>
      <c r="F50" s="20" t="s">
        <v>3012</v>
      </c>
    </row>
    <row r="51" customFormat="false" ht="99.75" hidden="false" customHeight="true" outlineLevel="0" collapsed="false">
      <c r="A51" s="19" t="s">
        <v>3013</v>
      </c>
      <c r="B51" s="19" t="s">
        <v>3010</v>
      </c>
      <c r="C51" s="19" t="s">
        <v>2852</v>
      </c>
      <c r="D51" s="19" t="s">
        <v>2417</v>
      </c>
      <c r="E51" s="19" t="s">
        <v>3014</v>
      </c>
      <c r="F51" s="19" t="s">
        <v>3015</v>
      </c>
    </row>
    <row r="52" customFormat="false" ht="99.75" hidden="false" customHeight="true" outlineLevel="0" collapsed="false">
      <c r="A52" s="20" t="s">
        <v>3016</v>
      </c>
      <c r="B52" s="20" t="s">
        <v>3010</v>
      </c>
      <c r="C52" s="20" t="s">
        <v>2852</v>
      </c>
      <c r="D52" s="20" t="s">
        <v>2417</v>
      </c>
      <c r="E52" s="20" t="s">
        <v>3017</v>
      </c>
      <c r="F52" s="20" t="s">
        <v>3018</v>
      </c>
    </row>
    <row r="53" customFormat="false" ht="99.75" hidden="false" customHeight="true" outlineLevel="0" collapsed="false">
      <c r="A53" s="19" t="s">
        <v>3019</v>
      </c>
      <c r="B53" s="19" t="s">
        <v>3010</v>
      </c>
      <c r="C53" s="19" t="s">
        <v>2999</v>
      </c>
      <c r="D53" s="19" t="s">
        <v>2417</v>
      </c>
      <c r="E53" s="19" t="s">
        <v>3020</v>
      </c>
      <c r="F53" s="19" t="s">
        <v>3021</v>
      </c>
    </row>
    <row r="54" customFormat="false" ht="99.75" hidden="false" customHeight="true" outlineLevel="0" collapsed="false">
      <c r="A54" s="20" t="s">
        <v>3022</v>
      </c>
      <c r="B54" s="20" t="s">
        <v>1339</v>
      </c>
      <c r="C54" s="20" t="s">
        <v>735</v>
      </c>
      <c r="D54" s="20" t="s">
        <v>2398</v>
      </c>
      <c r="E54" s="20" t="s">
        <v>4111</v>
      </c>
      <c r="F54" s="20" t="s">
        <v>4112</v>
      </c>
    </row>
    <row r="55" customFormat="false" ht="99.75" hidden="false" customHeight="true" outlineLevel="0" collapsed="false">
      <c r="A55" s="19" t="s">
        <v>3024</v>
      </c>
      <c r="B55" s="19" t="s">
        <v>98</v>
      </c>
      <c r="C55" s="19" t="s">
        <v>98</v>
      </c>
      <c r="D55" s="19" t="s">
        <v>2417</v>
      </c>
      <c r="E55" s="19" t="s">
        <v>3025</v>
      </c>
      <c r="F55" s="19" t="s">
        <v>3026</v>
      </c>
    </row>
    <row r="56" customFormat="false" ht="99.75" hidden="false" customHeight="true" outlineLevel="0" collapsed="false">
      <c r="A56" s="20" t="s">
        <v>3027</v>
      </c>
      <c r="B56" s="20" t="s">
        <v>98</v>
      </c>
      <c r="C56" s="20" t="s">
        <v>98</v>
      </c>
      <c r="D56" s="20" t="s">
        <v>2417</v>
      </c>
      <c r="E56" s="20" t="s">
        <v>3028</v>
      </c>
      <c r="F56" s="20" t="s">
        <v>3029</v>
      </c>
    </row>
    <row r="57" customFormat="false" ht="99.75" hidden="false" customHeight="true" outlineLevel="0" collapsed="false">
      <c r="A57" s="19" t="s">
        <v>3030</v>
      </c>
      <c r="B57" s="19" t="s">
        <v>98</v>
      </c>
      <c r="C57" s="19" t="s">
        <v>98</v>
      </c>
      <c r="D57" s="19" t="s">
        <v>2417</v>
      </c>
      <c r="E57" s="19" t="s">
        <v>3031</v>
      </c>
      <c r="F57" s="19" t="s">
        <v>3032</v>
      </c>
    </row>
    <row r="58" customFormat="false" ht="99.75" hidden="false" customHeight="true" outlineLevel="0" collapsed="false">
      <c r="A58" s="20" t="s">
        <v>3033</v>
      </c>
      <c r="B58" s="20" t="s">
        <v>98</v>
      </c>
      <c r="C58" s="20" t="s">
        <v>98</v>
      </c>
      <c r="D58" s="20" t="s">
        <v>2417</v>
      </c>
      <c r="E58" s="20" t="s">
        <v>3034</v>
      </c>
      <c r="F58" s="20" t="s">
        <v>3035</v>
      </c>
    </row>
    <row r="59" customFormat="false" ht="99.75" hidden="false" customHeight="true" outlineLevel="0" collapsed="false">
      <c r="A59" s="19" t="s">
        <v>3036</v>
      </c>
      <c r="B59" s="19" t="s">
        <v>98</v>
      </c>
      <c r="C59" s="19" t="s">
        <v>3037</v>
      </c>
      <c r="D59" s="19" t="s">
        <v>2884</v>
      </c>
      <c r="E59" s="19" t="s">
        <v>3038</v>
      </c>
      <c r="F59" s="19" t="s">
        <v>3039</v>
      </c>
    </row>
    <row r="60" customFormat="false" ht="99.75" hidden="false" customHeight="true" outlineLevel="0" collapsed="false">
      <c r="A60" s="20" t="s">
        <v>3040</v>
      </c>
      <c r="B60" s="20" t="s">
        <v>98</v>
      </c>
      <c r="C60" s="20" t="s">
        <v>3037</v>
      </c>
      <c r="D60" s="20" t="s">
        <v>2884</v>
      </c>
      <c r="E60" s="20" t="s">
        <v>3041</v>
      </c>
      <c r="F60" s="20" t="s">
        <v>3042</v>
      </c>
    </row>
    <row r="61" customFormat="false" ht="99.75" hidden="false" customHeight="true" outlineLevel="0" collapsed="false">
      <c r="A61" s="19" t="s">
        <v>3043</v>
      </c>
      <c r="B61" s="19" t="s">
        <v>56</v>
      </c>
      <c r="C61" s="19" t="s">
        <v>56</v>
      </c>
      <c r="D61" s="19" t="s">
        <v>2417</v>
      </c>
      <c r="E61" s="19" t="s">
        <v>3044</v>
      </c>
      <c r="F61" s="19" t="s">
        <v>3045</v>
      </c>
    </row>
    <row r="62" customFormat="false" ht="99.75" hidden="false" customHeight="true" outlineLevel="0" collapsed="false">
      <c r="A62" s="20" t="s">
        <v>3046</v>
      </c>
      <c r="B62" s="20" t="s">
        <v>3047</v>
      </c>
      <c r="C62" s="20" t="s">
        <v>3048</v>
      </c>
      <c r="D62" s="20" t="s">
        <v>4113</v>
      </c>
      <c r="E62" s="20" t="s">
        <v>4114</v>
      </c>
      <c r="F62" s="20" t="s">
        <v>4115</v>
      </c>
    </row>
    <row r="63" customFormat="false" ht="99.75" hidden="false" customHeight="true" outlineLevel="0" collapsed="false">
      <c r="A63" s="19" t="s">
        <v>3050</v>
      </c>
      <c r="B63" s="19" t="s">
        <v>3047</v>
      </c>
      <c r="C63" s="19" t="s">
        <v>3051</v>
      </c>
      <c r="D63" s="19" t="s">
        <v>326</v>
      </c>
      <c r="E63" s="19" t="s">
        <v>3052</v>
      </c>
      <c r="F63" s="19" t="s">
        <v>3053</v>
      </c>
    </row>
    <row r="64" customFormat="false" ht="99.75" hidden="false" customHeight="true" outlineLevel="0" collapsed="false">
      <c r="A64" s="20" t="s">
        <v>3054</v>
      </c>
      <c r="B64" s="20" t="s">
        <v>3055</v>
      </c>
      <c r="C64" s="20" t="s">
        <v>3051</v>
      </c>
      <c r="D64" s="20" t="s">
        <v>326</v>
      </c>
      <c r="E64" s="20" t="s">
        <v>3056</v>
      </c>
      <c r="F64" s="20" t="s">
        <v>3057</v>
      </c>
    </row>
    <row r="65" customFormat="false" ht="99.75" hidden="false" customHeight="true" outlineLevel="0" collapsed="false">
      <c r="A65" s="19" t="s">
        <v>3058</v>
      </c>
      <c r="B65" s="19" t="s">
        <v>146</v>
      </c>
      <c r="C65" s="19" t="s">
        <v>2883</v>
      </c>
      <c r="D65" s="19" t="s">
        <v>3059</v>
      </c>
      <c r="E65" s="19" t="s">
        <v>3060</v>
      </c>
      <c r="F65" s="19" t="s">
        <v>3061</v>
      </c>
    </row>
    <row r="66" customFormat="false" ht="99.75" hidden="false" customHeight="true" outlineLevel="0" collapsed="false">
      <c r="A66" s="20" t="s">
        <v>3062</v>
      </c>
      <c r="B66" s="20" t="s">
        <v>3063</v>
      </c>
      <c r="C66" s="20" t="s">
        <v>2908</v>
      </c>
      <c r="D66" s="20" t="s">
        <v>3064</v>
      </c>
      <c r="E66" s="20" t="s">
        <v>3065</v>
      </c>
      <c r="F66" s="20" t="s">
        <v>3066</v>
      </c>
    </row>
    <row r="67" customFormat="false" ht="99.75" hidden="false" customHeight="true" outlineLevel="0" collapsed="false">
      <c r="A67" s="19" t="s">
        <v>3067</v>
      </c>
      <c r="B67" s="19" t="s">
        <v>3063</v>
      </c>
      <c r="C67" s="19" t="s">
        <v>2925</v>
      </c>
      <c r="D67" s="19" t="s">
        <v>3064</v>
      </c>
      <c r="E67" s="19" t="s">
        <v>3068</v>
      </c>
      <c r="F67" s="19" t="s">
        <v>3069</v>
      </c>
    </row>
    <row r="68" customFormat="false" ht="99.75" hidden="false" customHeight="true" outlineLevel="0" collapsed="false">
      <c r="A68" s="20" t="s">
        <v>3070</v>
      </c>
      <c r="B68" s="20" t="s">
        <v>657</v>
      </c>
      <c r="C68" s="20" t="s">
        <v>3071</v>
      </c>
      <c r="D68" s="20" t="s">
        <v>2884</v>
      </c>
      <c r="E68" s="20" t="s">
        <v>3072</v>
      </c>
      <c r="F68" s="20" t="s">
        <v>3073</v>
      </c>
    </row>
    <row r="69" customFormat="false" ht="99.75" hidden="false" customHeight="true" outlineLevel="0" collapsed="false">
      <c r="A69" s="19" t="s">
        <v>3074</v>
      </c>
      <c r="B69" s="19" t="s">
        <v>657</v>
      </c>
      <c r="C69" s="19" t="s">
        <v>56</v>
      </c>
      <c r="D69" s="19" t="s">
        <v>4116</v>
      </c>
      <c r="E69" s="19" t="s">
        <v>4117</v>
      </c>
      <c r="F69" s="19" t="s">
        <v>4118</v>
      </c>
    </row>
    <row r="70" customFormat="false" ht="99.75" hidden="false" customHeight="true" outlineLevel="0" collapsed="false">
      <c r="A70" s="20" t="s">
        <v>3075</v>
      </c>
      <c r="B70" s="20" t="s">
        <v>657</v>
      </c>
      <c r="C70" s="20" t="s">
        <v>62</v>
      </c>
      <c r="D70" s="20" t="s">
        <v>2417</v>
      </c>
      <c r="E70" s="20" t="s">
        <v>3076</v>
      </c>
      <c r="F70" s="20" t="s">
        <v>3077</v>
      </c>
    </row>
    <row r="71" customFormat="false" ht="99.75" hidden="false" customHeight="true" outlineLevel="0" collapsed="false">
      <c r="A71" s="19" t="s">
        <v>3078</v>
      </c>
      <c r="B71" s="19" t="s">
        <v>3079</v>
      </c>
      <c r="C71" s="19" t="s">
        <v>735</v>
      </c>
      <c r="D71" s="19" t="s">
        <v>2417</v>
      </c>
      <c r="E71" s="19" t="s">
        <v>3080</v>
      </c>
      <c r="F71" s="19" t="s">
        <v>3081</v>
      </c>
    </row>
    <row r="72" customFormat="false" ht="99.75" hidden="false" customHeight="true" outlineLevel="0" collapsed="false">
      <c r="A72" s="20" t="s">
        <v>3082</v>
      </c>
      <c r="B72" s="20" t="s">
        <v>3083</v>
      </c>
      <c r="C72" s="20" t="s">
        <v>735</v>
      </c>
      <c r="D72" s="20" t="s">
        <v>2417</v>
      </c>
      <c r="E72" s="20" t="s">
        <v>3084</v>
      </c>
      <c r="F72" s="20" t="s">
        <v>3085</v>
      </c>
    </row>
    <row r="73" customFormat="false" ht="99.75" hidden="false" customHeight="true" outlineLevel="0" collapsed="false">
      <c r="A73" s="19" t="s">
        <v>3086</v>
      </c>
      <c r="B73" s="19" t="s">
        <v>3087</v>
      </c>
      <c r="C73" s="19" t="s">
        <v>735</v>
      </c>
      <c r="D73" s="19" t="s">
        <v>2853</v>
      </c>
      <c r="E73" s="19" t="s">
        <v>3088</v>
      </c>
      <c r="F73" s="19" t="s">
        <v>3089</v>
      </c>
    </row>
    <row r="74" customFormat="false" ht="99.75" hidden="false" customHeight="true" outlineLevel="0" collapsed="false">
      <c r="A74" s="20" t="s">
        <v>3090</v>
      </c>
      <c r="B74" s="20" t="s">
        <v>3087</v>
      </c>
      <c r="C74" s="20" t="s">
        <v>3091</v>
      </c>
      <c r="D74" s="20" t="s">
        <v>2884</v>
      </c>
      <c r="E74" s="20" t="s">
        <v>3092</v>
      </c>
      <c r="F74" s="20" t="s">
        <v>3093</v>
      </c>
    </row>
    <row r="75" customFormat="false" ht="99.75" hidden="false" customHeight="true" outlineLevel="0" collapsed="false">
      <c r="A75" s="19" t="s">
        <v>3094</v>
      </c>
      <c r="B75" s="19" t="s">
        <v>3087</v>
      </c>
      <c r="C75" s="19" t="s">
        <v>2941</v>
      </c>
      <c r="D75" s="19" t="s">
        <v>2417</v>
      </c>
      <c r="E75" s="19" t="s">
        <v>3095</v>
      </c>
      <c r="F75" s="19" t="s">
        <v>3096</v>
      </c>
    </row>
    <row r="76" customFormat="false" ht="99.75" hidden="false" customHeight="true" outlineLevel="0" collapsed="false">
      <c r="A76" s="20" t="s">
        <v>3097</v>
      </c>
      <c r="B76" s="20" t="s">
        <v>3087</v>
      </c>
      <c r="C76" s="20" t="s">
        <v>56</v>
      </c>
      <c r="D76" s="20" t="s">
        <v>2398</v>
      </c>
      <c r="E76" s="20" t="s">
        <v>3098</v>
      </c>
      <c r="F76" s="20" t="s">
        <v>3099</v>
      </c>
    </row>
    <row r="77" customFormat="false" ht="99.75" hidden="false" customHeight="true" outlineLevel="0" collapsed="false">
      <c r="A77" s="19" t="s">
        <v>3100</v>
      </c>
      <c r="B77" s="19" t="s">
        <v>3087</v>
      </c>
      <c r="C77" s="19" t="s">
        <v>62</v>
      </c>
      <c r="D77" s="19" t="s">
        <v>2398</v>
      </c>
      <c r="E77" s="19" t="s">
        <v>3101</v>
      </c>
      <c r="F77" s="19" t="s">
        <v>3102</v>
      </c>
    </row>
    <row r="78" customFormat="false" ht="99.75" hidden="false" customHeight="true" outlineLevel="0" collapsed="false">
      <c r="A78" s="20" t="s">
        <v>3103</v>
      </c>
      <c r="B78" s="20" t="s">
        <v>3104</v>
      </c>
      <c r="C78" s="20" t="s">
        <v>735</v>
      </c>
      <c r="D78" s="20" t="s">
        <v>2417</v>
      </c>
      <c r="E78" s="20" t="s">
        <v>3105</v>
      </c>
      <c r="F78" s="20" t="s">
        <v>3106</v>
      </c>
    </row>
    <row r="79" customFormat="false" ht="99.75" hidden="false" customHeight="true" outlineLevel="0" collapsed="false">
      <c r="A79" s="19" t="s">
        <v>3107</v>
      </c>
      <c r="B79" s="19" t="s">
        <v>647</v>
      </c>
      <c r="C79" s="19" t="s">
        <v>3108</v>
      </c>
      <c r="D79" s="19" t="s">
        <v>2417</v>
      </c>
      <c r="E79" s="19" t="s">
        <v>3109</v>
      </c>
      <c r="F79" s="19" t="s">
        <v>3110</v>
      </c>
    </row>
    <row r="80" customFormat="false" ht="99.75" hidden="false" customHeight="true" outlineLevel="0" collapsed="false">
      <c r="A80" s="20" t="s">
        <v>3111</v>
      </c>
      <c r="B80" s="20" t="s">
        <v>647</v>
      </c>
      <c r="C80" s="20" t="s">
        <v>735</v>
      </c>
      <c r="D80" s="20" t="s">
        <v>2417</v>
      </c>
      <c r="E80" s="20" t="s">
        <v>3112</v>
      </c>
      <c r="F80" s="20" t="s">
        <v>3113</v>
      </c>
    </row>
    <row r="81" customFormat="false" ht="99.75" hidden="false" customHeight="true" outlineLevel="0" collapsed="false">
      <c r="A81" s="19" t="s">
        <v>3114</v>
      </c>
      <c r="B81" s="19" t="s">
        <v>3115</v>
      </c>
      <c r="C81" s="19" t="s">
        <v>735</v>
      </c>
      <c r="D81" s="19" t="s">
        <v>4119</v>
      </c>
      <c r="E81" s="19" t="s">
        <v>4120</v>
      </c>
      <c r="F81" s="19" t="s">
        <v>4121</v>
      </c>
    </row>
    <row r="82" customFormat="false" ht="99.75" hidden="false" customHeight="true" outlineLevel="0" collapsed="false">
      <c r="A82" s="20" t="s">
        <v>3116</v>
      </c>
      <c r="B82" s="20" t="s">
        <v>3115</v>
      </c>
      <c r="C82" s="20" t="s">
        <v>735</v>
      </c>
      <c r="D82" s="20" t="s">
        <v>4122</v>
      </c>
      <c r="E82" s="20" t="s">
        <v>4123</v>
      </c>
      <c r="F82" s="20" t="s">
        <v>4124</v>
      </c>
    </row>
    <row r="83" customFormat="false" ht="99.75" hidden="false" customHeight="true" outlineLevel="0" collapsed="false">
      <c r="A83" s="19" t="s">
        <v>3117</v>
      </c>
      <c r="B83" s="19" t="s">
        <v>3115</v>
      </c>
      <c r="C83" s="19" t="s">
        <v>735</v>
      </c>
      <c r="D83" s="19" t="s">
        <v>4125</v>
      </c>
      <c r="E83" s="19" t="s">
        <v>4126</v>
      </c>
      <c r="F83" s="19" t="s">
        <v>4127</v>
      </c>
    </row>
    <row r="84" customFormat="false" ht="99.75" hidden="false" customHeight="true" outlineLevel="0" collapsed="false">
      <c r="A84" s="20" t="s">
        <v>3119</v>
      </c>
      <c r="B84" s="20" t="s">
        <v>62</v>
      </c>
      <c r="C84" s="20" t="s">
        <v>3120</v>
      </c>
      <c r="D84" s="20" t="s">
        <v>2884</v>
      </c>
      <c r="E84" s="20" t="s">
        <v>4128</v>
      </c>
      <c r="F84" s="20" t="s">
        <v>4129</v>
      </c>
    </row>
    <row r="85" customFormat="false" ht="99.75" hidden="false" customHeight="true" outlineLevel="0" collapsed="false">
      <c r="A85" s="19" t="s">
        <v>3122</v>
      </c>
      <c r="B85" s="19" t="s">
        <v>62</v>
      </c>
      <c r="C85" s="19" t="s">
        <v>62</v>
      </c>
      <c r="D85" s="19" t="s">
        <v>2417</v>
      </c>
      <c r="E85" s="19" t="s">
        <v>4130</v>
      </c>
      <c r="F85" s="19" t="s">
        <v>4131</v>
      </c>
    </row>
    <row r="86" customFormat="false" ht="99.75" hidden="false" customHeight="true" outlineLevel="0" collapsed="false">
      <c r="A86" s="20" t="s">
        <v>3124</v>
      </c>
      <c r="B86" s="20" t="s">
        <v>1143</v>
      </c>
      <c r="C86" s="20" t="s">
        <v>1143</v>
      </c>
      <c r="D86" s="20" t="s">
        <v>2369</v>
      </c>
      <c r="E86" s="20" t="s">
        <v>3125</v>
      </c>
      <c r="F86" s="20" t="s">
        <v>3126</v>
      </c>
    </row>
    <row r="87" customFormat="false" ht="99.75" hidden="false" customHeight="true" outlineLevel="0" collapsed="false">
      <c r="A87" s="19" t="s">
        <v>3127</v>
      </c>
      <c r="B87" s="19" t="s">
        <v>1143</v>
      </c>
      <c r="C87" s="19" t="s">
        <v>1143</v>
      </c>
      <c r="D87" s="19" t="s">
        <v>3128</v>
      </c>
      <c r="E87" s="19" t="s">
        <v>3129</v>
      </c>
      <c r="F87" s="19" t="s">
        <v>3130</v>
      </c>
    </row>
    <row r="88" customFormat="false" ht="99.75" hidden="false" customHeight="true" outlineLevel="0" collapsed="false">
      <c r="A88" s="20" t="s">
        <v>3131</v>
      </c>
      <c r="B88" s="20" t="s">
        <v>1143</v>
      </c>
      <c r="C88" s="20" t="s">
        <v>1143</v>
      </c>
      <c r="D88" s="20" t="s">
        <v>2524</v>
      </c>
      <c r="E88" s="20" t="s">
        <v>3132</v>
      </c>
      <c r="F88" s="20" t="s">
        <v>3133</v>
      </c>
    </row>
    <row r="89" customFormat="false" ht="99.75" hidden="false" customHeight="true" outlineLevel="0" collapsed="false">
      <c r="A89" s="19" t="s">
        <v>3134</v>
      </c>
      <c r="B89" s="19" t="s">
        <v>1143</v>
      </c>
      <c r="C89" s="19" t="s">
        <v>1143</v>
      </c>
      <c r="D89" s="19" t="s">
        <v>3064</v>
      </c>
      <c r="E89" s="19" t="s">
        <v>4132</v>
      </c>
      <c r="F89" s="19" t="s">
        <v>4133</v>
      </c>
    </row>
    <row r="90" customFormat="false" ht="99.75" hidden="false" customHeight="true" outlineLevel="0" collapsed="false">
      <c r="A90" s="20" t="s">
        <v>3136</v>
      </c>
      <c r="B90" s="20" t="s">
        <v>1143</v>
      </c>
      <c r="C90" s="20" t="s">
        <v>1143</v>
      </c>
      <c r="D90" s="20" t="s">
        <v>2369</v>
      </c>
      <c r="E90" s="20" t="s">
        <v>3137</v>
      </c>
      <c r="F90" s="20" t="s">
        <v>3138</v>
      </c>
    </row>
    <row r="91" customFormat="false" ht="99.75" hidden="false" customHeight="true" outlineLevel="0" collapsed="false">
      <c r="A91" s="19" t="s">
        <v>3139</v>
      </c>
      <c r="B91" s="19" t="s">
        <v>1143</v>
      </c>
      <c r="C91" s="19" t="s">
        <v>1143</v>
      </c>
      <c r="D91" s="19" t="s">
        <v>2888</v>
      </c>
      <c r="E91" s="19" t="s">
        <v>3140</v>
      </c>
      <c r="F91" s="19" t="s">
        <v>3141</v>
      </c>
    </row>
    <row r="92" customFormat="false" ht="99.75" hidden="false" customHeight="true" outlineLevel="0" collapsed="false">
      <c r="A92" s="20" t="s">
        <v>3142</v>
      </c>
      <c r="B92" s="20" t="s">
        <v>1143</v>
      </c>
      <c r="C92" s="20" t="s">
        <v>1143</v>
      </c>
      <c r="D92" s="20" t="s">
        <v>3143</v>
      </c>
      <c r="E92" s="20" t="s">
        <v>3144</v>
      </c>
      <c r="F92" s="20" t="s">
        <v>3145</v>
      </c>
    </row>
    <row r="93" customFormat="false" ht="99.75" hidden="false" customHeight="true" outlineLevel="0" collapsed="false">
      <c r="A93" s="19" t="s">
        <v>3146</v>
      </c>
      <c r="B93" s="19" t="s">
        <v>915</v>
      </c>
      <c r="C93" s="19" t="s">
        <v>735</v>
      </c>
      <c r="D93" s="19" t="s">
        <v>3147</v>
      </c>
      <c r="E93" s="19" t="s">
        <v>3148</v>
      </c>
      <c r="F93" s="19" t="s">
        <v>3149</v>
      </c>
    </row>
    <row r="94" customFormat="false" ht="99.75" hidden="false" customHeight="true" outlineLevel="0" collapsed="false">
      <c r="A94" s="20" t="s">
        <v>3150</v>
      </c>
      <c r="B94" s="20" t="s">
        <v>915</v>
      </c>
      <c r="C94" s="20" t="s">
        <v>2875</v>
      </c>
      <c r="D94" s="20" t="s">
        <v>2369</v>
      </c>
      <c r="E94" s="20" t="s">
        <v>3151</v>
      </c>
      <c r="F94" s="20" t="s">
        <v>3152</v>
      </c>
    </row>
    <row r="95" customFormat="false" ht="99.75" hidden="false" customHeight="true" outlineLevel="0" collapsed="false">
      <c r="A95" s="19" t="s">
        <v>3153</v>
      </c>
      <c r="B95" s="19" t="s">
        <v>3154</v>
      </c>
      <c r="C95" s="19" t="s">
        <v>3155</v>
      </c>
      <c r="D95" s="19" t="s">
        <v>3156</v>
      </c>
      <c r="E95" s="19" t="s">
        <v>3157</v>
      </c>
      <c r="F95" s="19" t="s">
        <v>3158</v>
      </c>
    </row>
    <row r="96" customFormat="false" ht="99.75" hidden="false" customHeight="true" outlineLevel="0" collapsed="false">
      <c r="A96" s="20" t="s">
        <v>3159</v>
      </c>
      <c r="B96" s="20" t="s">
        <v>3160</v>
      </c>
      <c r="C96" s="20" t="s">
        <v>2908</v>
      </c>
      <c r="D96" s="20" t="s">
        <v>3161</v>
      </c>
      <c r="E96" s="20" t="s">
        <v>3162</v>
      </c>
      <c r="F96" s="20" t="s">
        <v>4134</v>
      </c>
    </row>
    <row r="97" customFormat="false" ht="99.75" hidden="false" customHeight="true" outlineLevel="0" collapsed="false">
      <c r="A97" s="19" t="s">
        <v>3164</v>
      </c>
      <c r="B97" s="19" t="s">
        <v>3160</v>
      </c>
      <c r="C97" s="19" t="s">
        <v>735</v>
      </c>
      <c r="D97" s="19" t="s">
        <v>3165</v>
      </c>
      <c r="E97" s="19" t="s">
        <v>3166</v>
      </c>
      <c r="F97" s="19" t="s">
        <v>3167</v>
      </c>
    </row>
    <row r="98" customFormat="false" ht="114.75" hidden="false" customHeight="true" outlineLevel="0" collapsed="false">
      <c r="A98" s="20" t="s">
        <v>3168</v>
      </c>
      <c r="B98" s="20" t="s">
        <v>1449</v>
      </c>
      <c r="C98" s="20" t="s">
        <v>735</v>
      </c>
      <c r="D98" s="20" t="s">
        <v>3169</v>
      </c>
      <c r="E98" s="20" t="s">
        <v>3170</v>
      </c>
      <c r="F98" s="20" t="s">
        <v>3171</v>
      </c>
    </row>
    <row r="99" customFormat="false" ht="114.75" hidden="false" customHeight="true" outlineLevel="0" collapsed="false">
      <c r="A99" s="19" t="s">
        <v>3172</v>
      </c>
      <c r="B99" s="19" t="s">
        <v>3173</v>
      </c>
      <c r="C99" s="19" t="s">
        <v>3174</v>
      </c>
      <c r="D99" s="19" t="s">
        <v>1195</v>
      </c>
      <c r="E99" s="19" t="s">
        <v>3175</v>
      </c>
      <c r="F99" s="19" t="s">
        <v>3176</v>
      </c>
    </row>
    <row r="100" customFormat="false" ht="114.75" hidden="false" customHeight="true" outlineLevel="0" collapsed="false">
      <c r="A100" s="20" t="s">
        <v>3177</v>
      </c>
      <c r="B100" s="20" t="s">
        <v>247</v>
      </c>
      <c r="C100" s="20" t="s">
        <v>2875</v>
      </c>
      <c r="D100" s="20" t="s">
        <v>2369</v>
      </c>
      <c r="E100" s="20" t="s">
        <v>4135</v>
      </c>
      <c r="F100" s="20" t="s">
        <v>4136</v>
      </c>
    </row>
    <row r="101" customFormat="false" ht="114.75" hidden="false" customHeight="true" outlineLevel="0" collapsed="false">
      <c r="A101" s="19" t="s">
        <v>3179</v>
      </c>
      <c r="B101" s="19" t="s">
        <v>23</v>
      </c>
      <c r="C101" s="19" t="s">
        <v>2908</v>
      </c>
      <c r="D101" s="19" t="s">
        <v>1209</v>
      </c>
      <c r="E101" s="19" t="s">
        <v>3180</v>
      </c>
      <c r="F101" s="19" t="s">
        <v>3181</v>
      </c>
    </row>
    <row r="102" customFormat="false" ht="114.75" hidden="false" customHeight="true" outlineLevel="0" collapsed="false">
      <c r="A102" s="20" t="s">
        <v>3182</v>
      </c>
      <c r="B102" s="20" t="s">
        <v>47</v>
      </c>
      <c r="C102" s="20" t="s">
        <v>3183</v>
      </c>
      <c r="D102" s="20" t="s">
        <v>1219</v>
      </c>
      <c r="E102" s="20" t="s">
        <v>4137</v>
      </c>
      <c r="F102" s="20" t="s">
        <v>4138</v>
      </c>
    </row>
    <row r="103" customFormat="false" ht="114.75" hidden="false" customHeight="true" outlineLevel="0" collapsed="false">
      <c r="A103" s="19" t="s">
        <v>3184</v>
      </c>
      <c r="B103" s="19" t="s">
        <v>3185</v>
      </c>
      <c r="C103" s="19" t="s">
        <v>2852</v>
      </c>
      <c r="D103" s="19" t="s">
        <v>1219</v>
      </c>
      <c r="E103" s="19" t="s">
        <v>3186</v>
      </c>
      <c r="F103" s="19" t="s">
        <v>3187</v>
      </c>
    </row>
    <row r="104" customFormat="false" ht="114.75" hidden="false" customHeight="true" outlineLevel="0" collapsed="false">
      <c r="A104" s="20" t="s">
        <v>3188</v>
      </c>
      <c r="B104" s="20" t="s">
        <v>660</v>
      </c>
      <c r="C104" s="20" t="s">
        <v>3189</v>
      </c>
      <c r="D104" s="20" t="s">
        <v>1209</v>
      </c>
      <c r="E104" s="20" t="s">
        <v>3190</v>
      </c>
      <c r="F104" s="20" t="s">
        <v>3191</v>
      </c>
    </row>
    <row r="105" customFormat="false" ht="114.75" hidden="false" customHeight="true" outlineLevel="0" collapsed="false">
      <c r="A105" s="19" t="s">
        <v>3192</v>
      </c>
      <c r="B105" s="19" t="s">
        <v>3193</v>
      </c>
      <c r="C105" s="19" t="s">
        <v>3189</v>
      </c>
      <c r="D105" s="19" t="s">
        <v>3194</v>
      </c>
      <c r="E105" s="19" t="s">
        <v>3195</v>
      </c>
      <c r="F105" s="19" t="s">
        <v>3196</v>
      </c>
    </row>
    <row r="106" customFormat="false" ht="114.75" hidden="false" customHeight="true" outlineLevel="0" collapsed="false">
      <c r="A106" s="20" t="s">
        <v>3197</v>
      </c>
      <c r="B106" s="20" t="s">
        <v>802</v>
      </c>
      <c r="C106" s="20" t="s">
        <v>278</v>
      </c>
      <c r="D106" s="20" t="s">
        <v>2369</v>
      </c>
      <c r="E106" s="20" t="s">
        <v>4139</v>
      </c>
      <c r="F106" s="20" t="s">
        <v>3199</v>
      </c>
    </row>
    <row r="107" customFormat="false" ht="114.75" hidden="false" customHeight="true" outlineLevel="0" collapsed="false">
      <c r="A107" s="19" t="s">
        <v>3200</v>
      </c>
      <c r="B107" s="19" t="s">
        <v>3201</v>
      </c>
      <c r="C107" s="19" t="s">
        <v>278</v>
      </c>
      <c r="D107" s="19" t="s">
        <v>1204</v>
      </c>
      <c r="E107" s="19" t="s">
        <v>3202</v>
      </c>
      <c r="F107" s="19" t="s">
        <v>3203</v>
      </c>
    </row>
    <row r="108" customFormat="false" ht="114.75" hidden="false" customHeight="true" outlineLevel="0" collapsed="false">
      <c r="A108" s="20" t="s">
        <v>3204</v>
      </c>
      <c r="B108" s="20" t="s">
        <v>2967</v>
      </c>
      <c r="C108" s="20" t="s">
        <v>3205</v>
      </c>
      <c r="D108" s="20" t="s">
        <v>3206</v>
      </c>
      <c r="E108" s="20" t="s">
        <v>3207</v>
      </c>
      <c r="F108" s="20" t="s">
        <v>3208</v>
      </c>
    </row>
    <row r="109" customFormat="false" ht="114.75" hidden="false" customHeight="true" outlineLevel="0" collapsed="false">
      <c r="A109" s="19" t="s">
        <v>3209</v>
      </c>
      <c r="B109" s="19" t="s">
        <v>3210</v>
      </c>
      <c r="C109" s="19" t="s">
        <v>278</v>
      </c>
      <c r="D109" s="19" t="s">
        <v>3206</v>
      </c>
      <c r="E109" s="19" t="s">
        <v>3211</v>
      </c>
      <c r="F109" s="19" t="s">
        <v>3212</v>
      </c>
    </row>
    <row r="110" customFormat="false" ht="114.75" hidden="false" customHeight="true" outlineLevel="0" collapsed="false">
      <c r="A110" s="20" t="s">
        <v>3213</v>
      </c>
      <c r="B110" s="20" t="s">
        <v>3210</v>
      </c>
      <c r="C110" s="20" t="s">
        <v>98</v>
      </c>
      <c r="D110" s="20" t="s">
        <v>3206</v>
      </c>
      <c r="E110" s="20" t="s">
        <v>3214</v>
      </c>
      <c r="F110" s="20" t="s">
        <v>3215</v>
      </c>
    </row>
    <row r="111" customFormat="false" ht="114.75" hidden="false" customHeight="true" outlineLevel="0" collapsed="false">
      <c r="A111" s="19" t="s">
        <v>3216</v>
      </c>
      <c r="B111" s="19" t="s">
        <v>3210</v>
      </c>
      <c r="C111" s="19" t="s">
        <v>1143</v>
      </c>
      <c r="D111" s="19" t="s">
        <v>3206</v>
      </c>
      <c r="E111" s="19" t="s">
        <v>3217</v>
      </c>
      <c r="F111" s="19" t="s">
        <v>3218</v>
      </c>
    </row>
    <row r="112" customFormat="false" ht="114.75" hidden="false" customHeight="true" outlineLevel="0" collapsed="false">
      <c r="A112" s="20" t="s">
        <v>3219</v>
      </c>
      <c r="B112" s="20" t="s">
        <v>647</v>
      </c>
      <c r="C112" s="20" t="s">
        <v>3108</v>
      </c>
      <c r="D112" s="20" t="s">
        <v>2369</v>
      </c>
      <c r="E112" s="20" t="s">
        <v>3220</v>
      </c>
      <c r="F112" s="20" t="s">
        <v>3221</v>
      </c>
    </row>
    <row r="113" customFormat="false" ht="114.75" hidden="false" customHeight="true" outlineLevel="0" collapsed="false">
      <c r="A113" s="19" t="s">
        <v>3222</v>
      </c>
      <c r="B113" s="19" t="s">
        <v>3223</v>
      </c>
      <c r="C113" s="19" t="s">
        <v>239</v>
      </c>
      <c r="D113" s="19" t="s">
        <v>1792</v>
      </c>
      <c r="E113" s="19" t="s">
        <v>4140</v>
      </c>
      <c r="F113" s="19" t="s">
        <v>4141</v>
      </c>
    </row>
    <row r="114" customFormat="false" ht="114.75" hidden="false" customHeight="true" outlineLevel="0" collapsed="false">
      <c r="A114" s="20" t="s">
        <v>3225</v>
      </c>
      <c r="B114" s="20" t="s">
        <v>3226</v>
      </c>
      <c r="C114" s="20" t="s">
        <v>735</v>
      </c>
      <c r="D114" s="20" t="s">
        <v>2369</v>
      </c>
      <c r="E114" s="20" t="s">
        <v>4142</v>
      </c>
      <c r="F114" s="20" t="s">
        <v>3228</v>
      </c>
    </row>
    <row r="115" customFormat="false" ht="114.75" hidden="false" customHeight="true" outlineLevel="0" collapsed="false">
      <c r="A115" s="19" t="s">
        <v>3229</v>
      </c>
      <c r="B115" s="19" t="s">
        <v>1339</v>
      </c>
      <c r="C115" s="19" t="s">
        <v>3091</v>
      </c>
      <c r="D115" s="19" t="s">
        <v>3206</v>
      </c>
      <c r="E115" s="19" t="s">
        <v>3230</v>
      </c>
      <c r="F115" s="19" t="s">
        <v>3231</v>
      </c>
    </row>
    <row r="116" customFormat="false" ht="114.75" hidden="false" customHeight="true" outlineLevel="0" collapsed="false">
      <c r="A116" s="20" t="s">
        <v>3232</v>
      </c>
      <c r="B116" s="20" t="s">
        <v>1339</v>
      </c>
      <c r="C116" s="20" t="s">
        <v>56</v>
      </c>
      <c r="D116" s="20" t="s">
        <v>1209</v>
      </c>
      <c r="E116" s="20" t="s">
        <v>3233</v>
      </c>
      <c r="F116" s="20" t="s">
        <v>3234</v>
      </c>
    </row>
    <row r="117" customFormat="false" ht="114.75" hidden="false" customHeight="true" outlineLevel="0" collapsed="false">
      <c r="A117" s="19" t="s">
        <v>3235</v>
      </c>
      <c r="B117" s="19" t="s">
        <v>1339</v>
      </c>
      <c r="C117" s="19" t="s">
        <v>62</v>
      </c>
      <c r="D117" s="19" t="s">
        <v>1209</v>
      </c>
      <c r="E117" s="19" t="s">
        <v>3236</v>
      </c>
      <c r="F117" s="19" t="s">
        <v>3237</v>
      </c>
    </row>
    <row r="118" customFormat="false" ht="114.75" hidden="false" customHeight="true" outlineLevel="0" collapsed="false">
      <c r="A118" s="20" t="s">
        <v>3238</v>
      </c>
      <c r="B118" s="20" t="s">
        <v>1311</v>
      </c>
      <c r="C118" s="20" t="s">
        <v>735</v>
      </c>
      <c r="D118" s="20" t="s">
        <v>1209</v>
      </c>
      <c r="E118" s="20" t="s">
        <v>3239</v>
      </c>
      <c r="F118" s="20" t="s">
        <v>3240</v>
      </c>
    </row>
    <row r="119" customFormat="false" ht="114.75" hidden="false" customHeight="true" outlineLevel="0" collapsed="false">
      <c r="A119" s="19" t="s">
        <v>3241</v>
      </c>
      <c r="B119" s="19" t="s">
        <v>2724</v>
      </c>
      <c r="C119" s="19" t="s">
        <v>735</v>
      </c>
      <c r="D119" s="19" t="s">
        <v>4143</v>
      </c>
      <c r="E119" s="19" t="s">
        <v>4144</v>
      </c>
      <c r="F119" s="19" t="s">
        <v>4145</v>
      </c>
    </row>
    <row r="120" customFormat="false" ht="114.75" hidden="false" customHeight="true" outlineLevel="0" collapsed="false">
      <c r="A120" s="20" t="s">
        <v>3243</v>
      </c>
      <c r="B120" s="20" t="s">
        <v>98</v>
      </c>
      <c r="C120" s="20" t="s">
        <v>3037</v>
      </c>
      <c r="D120" s="20" t="s">
        <v>3206</v>
      </c>
      <c r="E120" s="20" t="s">
        <v>3244</v>
      </c>
      <c r="F120" s="20" t="s">
        <v>3245</v>
      </c>
    </row>
    <row r="121" customFormat="false" ht="114.75" hidden="false" customHeight="true" outlineLevel="0" collapsed="false">
      <c r="A121" s="19" t="s">
        <v>3246</v>
      </c>
      <c r="B121" s="19" t="s">
        <v>3247</v>
      </c>
      <c r="C121" s="19" t="s">
        <v>98</v>
      </c>
      <c r="D121" s="19" t="s">
        <v>2369</v>
      </c>
      <c r="E121" s="19" t="s">
        <v>4146</v>
      </c>
      <c r="F121" s="19" t="s">
        <v>4147</v>
      </c>
    </row>
    <row r="122" customFormat="false" ht="114.75" hidden="false" customHeight="true" outlineLevel="0" collapsed="false">
      <c r="A122" s="20" t="s">
        <v>3249</v>
      </c>
      <c r="B122" s="20" t="s">
        <v>3250</v>
      </c>
      <c r="C122" s="20" t="s">
        <v>98</v>
      </c>
      <c r="D122" s="20" t="s">
        <v>3251</v>
      </c>
      <c r="E122" s="20" t="s">
        <v>3252</v>
      </c>
      <c r="F122" s="20" t="s">
        <v>3253</v>
      </c>
    </row>
    <row r="123" customFormat="false" ht="114.75" hidden="false" customHeight="true" outlineLevel="0" collapsed="false">
      <c r="A123" s="19" t="s">
        <v>3254</v>
      </c>
      <c r="B123" s="19" t="s">
        <v>3255</v>
      </c>
      <c r="C123" s="19" t="s">
        <v>1143</v>
      </c>
      <c r="D123" s="19" t="s">
        <v>3064</v>
      </c>
      <c r="E123" s="19" t="s">
        <v>4148</v>
      </c>
      <c r="F123" s="19" t="s">
        <v>4149</v>
      </c>
    </row>
    <row r="124" customFormat="false" ht="114.75" hidden="false" customHeight="true" outlineLevel="0" collapsed="false">
      <c r="A124" s="20" t="s">
        <v>3257</v>
      </c>
      <c r="B124" s="20" t="s">
        <v>3258</v>
      </c>
      <c r="C124" s="20" t="s">
        <v>1143</v>
      </c>
      <c r="D124" s="20" t="s">
        <v>2369</v>
      </c>
      <c r="E124" s="20" t="s">
        <v>3259</v>
      </c>
      <c r="F124" s="20" t="s">
        <v>3260</v>
      </c>
    </row>
    <row r="125" customFormat="false" ht="114.75" hidden="false" customHeight="true" outlineLevel="0" collapsed="false">
      <c r="A125" s="19" t="s">
        <v>3261</v>
      </c>
      <c r="B125" s="19" t="s">
        <v>3262</v>
      </c>
      <c r="C125" s="19" t="s">
        <v>1143</v>
      </c>
      <c r="D125" s="19" t="s">
        <v>3263</v>
      </c>
      <c r="E125" s="19" t="s">
        <v>3264</v>
      </c>
      <c r="F125" s="19" t="s">
        <v>3265</v>
      </c>
    </row>
    <row r="126" customFormat="false" ht="114.75" hidden="false" customHeight="true" outlineLevel="0" collapsed="false">
      <c r="A126" s="20" t="s">
        <v>3266</v>
      </c>
      <c r="B126" s="20" t="s">
        <v>3267</v>
      </c>
      <c r="C126" s="20" t="s">
        <v>1143</v>
      </c>
      <c r="D126" s="20" t="s">
        <v>4150</v>
      </c>
      <c r="E126" s="20" t="s">
        <v>4151</v>
      </c>
      <c r="F126" s="20" t="s">
        <v>4152</v>
      </c>
    </row>
    <row r="127" customFormat="false" ht="114.75" hidden="false" customHeight="true" outlineLevel="0" collapsed="false">
      <c r="A127" s="19" t="s">
        <v>3268</v>
      </c>
      <c r="B127" s="19" t="s">
        <v>3269</v>
      </c>
      <c r="C127" s="19" t="s">
        <v>1143</v>
      </c>
      <c r="D127" s="19" t="s">
        <v>3206</v>
      </c>
      <c r="E127" s="19" t="s">
        <v>3270</v>
      </c>
      <c r="F127" s="19" t="s">
        <v>3271</v>
      </c>
    </row>
    <row r="128" customFormat="false" ht="114.75" hidden="false" customHeight="true" outlineLevel="0" collapsed="false">
      <c r="A128" s="20" t="s">
        <v>3272</v>
      </c>
      <c r="B128" s="20" t="s">
        <v>3273</v>
      </c>
      <c r="C128" s="20" t="s">
        <v>3051</v>
      </c>
      <c r="D128" s="20" t="s">
        <v>3274</v>
      </c>
      <c r="E128" s="20" t="s">
        <v>3275</v>
      </c>
      <c r="F128" s="20" t="s">
        <v>3276</v>
      </c>
    </row>
    <row r="129" customFormat="false" ht="114.75" hidden="false" customHeight="true" outlineLevel="0" collapsed="false">
      <c r="A129" s="19" t="s">
        <v>3277</v>
      </c>
      <c r="B129" s="19" t="s">
        <v>3278</v>
      </c>
      <c r="C129" s="19" t="s">
        <v>3120</v>
      </c>
      <c r="D129" s="19" t="s">
        <v>1219</v>
      </c>
      <c r="E129" s="19" t="s">
        <v>4153</v>
      </c>
      <c r="F129" s="19" t="s">
        <v>4154</v>
      </c>
    </row>
    <row r="130" customFormat="false" ht="114.75" hidden="false" customHeight="true" outlineLevel="0" collapsed="false">
      <c r="A130" s="20" t="s">
        <v>3280</v>
      </c>
      <c r="B130" s="20" t="s">
        <v>1316</v>
      </c>
      <c r="C130" s="20" t="s">
        <v>3108</v>
      </c>
      <c r="D130" s="20" t="s">
        <v>1219</v>
      </c>
      <c r="E130" s="20" t="s">
        <v>3281</v>
      </c>
      <c r="F130" s="20" t="s">
        <v>3282</v>
      </c>
    </row>
    <row r="131" customFormat="false" ht="114.75" hidden="false" customHeight="true" outlineLevel="0" collapsed="false">
      <c r="A131" s="19" t="s">
        <v>3283</v>
      </c>
      <c r="B131" s="19" t="s">
        <v>3284</v>
      </c>
      <c r="C131" s="19" t="s">
        <v>2875</v>
      </c>
      <c r="D131" s="19" t="s">
        <v>2369</v>
      </c>
      <c r="E131" s="19" t="s">
        <v>3285</v>
      </c>
      <c r="F131" s="19" t="s">
        <v>3286</v>
      </c>
    </row>
    <row r="132" customFormat="false" ht="114.75" hidden="false" customHeight="true" outlineLevel="0" collapsed="false">
      <c r="A132" s="20" t="s">
        <v>3287</v>
      </c>
      <c r="B132" s="20" t="s">
        <v>2716</v>
      </c>
      <c r="C132" s="20" t="s">
        <v>2852</v>
      </c>
      <c r="D132" s="20" t="s">
        <v>3274</v>
      </c>
      <c r="E132" s="20" t="s">
        <v>3288</v>
      </c>
      <c r="F132" s="20" t="s">
        <v>3289</v>
      </c>
    </row>
    <row r="133" customFormat="false" ht="114.75" hidden="false" customHeight="true" outlineLevel="0" collapsed="false">
      <c r="A133" s="19" t="s">
        <v>3290</v>
      </c>
      <c r="B133" s="19" t="s">
        <v>3291</v>
      </c>
      <c r="C133" s="19" t="s">
        <v>3292</v>
      </c>
      <c r="D133" s="19" t="s">
        <v>3064</v>
      </c>
      <c r="E133" s="19" t="s">
        <v>4155</v>
      </c>
      <c r="F133" s="19" t="s">
        <v>4156</v>
      </c>
    </row>
    <row r="134" customFormat="false" ht="114.75" hidden="false" customHeight="true" outlineLevel="0" collapsed="false">
      <c r="A134" s="20" t="s">
        <v>3293</v>
      </c>
      <c r="B134" s="20" t="s">
        <v>672</v>
      </c>
      <c r="C134" s="20" t="s">
        <v>735</v>
      </c>
      <c r="D134" s="20" t="s">
        <v>4157</v>
      </c>
      <c r="E134" s="20" t="s">
        <v>4158</v>
      </c>
      <c r="F134" s="20" t="s">
        <v>4159</v>
      </c>
    </row>
    <row r="135" customFormat="false" ht="114.75" hidden="false" customHeight="true" outlineLevel="0" collapsed="false">
      <c r="A135" s="19" t="s">
        <v>3294</v>
      </c>
      <c r="B135" s="19" t="s">
        <v>3295</v>
      </c>
      <c r="C135" s="19" t="s">
        <v>3296</v>
      </c>
      <c r="D135" s="19" t="s">
        <v>4160</v>
      </c>
      <c r="E135" s="19" t="s">
        <v>4161</v>
      </c>
      <c r="F135" s="19" t="s">
        <v>4162</v>
      </c>
    </row>
    <row r="136" customFormat="false" ht="114.75" hidden="false" customHeight="true" outlineLevel="0" collapsed="false">
      <c r="A136" s="20" t="s">
        <v>3298</v>
      </c>
      <c r="B136" s="20" t="s">
        <v>672</v>
      </c>
      <c r="C136" s="20" t="s">
        <v>3299</v>
      </c>
      <c r="D136" s="20" t="s">
        <v>1792</v>
      </c>
      <c r="E136" s="20" t="s">
        <v>4163</v>
      </c>
      <c r="F136" s="20" t="s">
        <v>4164</v>
      </c>
    </row>
    <row r="137" customFormat="false" ht="114.75" hidden="false" customHeight="true" outlineLevel="0" collapsed="false">
      <c r="A137" s="19" t="s">
        <v>3301</v>
      </c>
      <c r="B137" s="19" t="s">
        <v>672</v>
      </c>
      <c r="C137" s="19" t="s">
        <v>3299</v>
      </c>
      <c r="D137" s="19" t="s">
        <v>4165</v>
      </c>
      <c r="E137" s="19" t="s">
        <v>4166</v>
      </c>
      <c r="F137" s="19" t="s">
        <v>4167</v>
      </c>
    </row>
    <row r="138" customFormat="false" ht="114.75" hidden="false" customHeight="true" outlineLevel="0" collapsed="false">
      <c r="A138" s="20" t="s">
        <v>3303</v>
      </c>
      <c r="B138" s="20" t="s">
        <v>672</v>
      </c>
      <c r="C138" s="20" t="s">
        <v>3299</v>
      </c>
      <c r="D138" s="20" t="s">
        <v>4168</v>
      </c>
      <c r="E138" s="20" t="s">
        <v>4169</v>
      </c>
      <c r="F138" s="20" t="s">
        <v>4170</v>
      </c>
    </row>
    <row r="139" customFormat="false" ht="114.75" hidden="false" customHeight="true" outlineLevel="0" collapsed="false">
      <c r="A139" s="19" t="s">
        <v>3304</v>
      </c>
      <c r="B139" s="19" t="s">
        <v>672</v>
      </c>
      <c r="C139" s="19" t="s">
        <v>3299</v>
      </c>
      <c r="D139" s="19" t="s">
        <v>4171</v>
      </c>
      <c r="E139" s="19" t="s">
        <v>4172</v>
      </c>
      <c r="F139" s="19" t="s">
        <v>4173</v>
      </c>
    </row>
    <row r="140" customFormat="false" ht="114.75" hidden="false" customHeight="true" outlineLevel="0" collapsed="false">
      <c r="A140" s="20" t="s">
        <v>3305</v>
      </c>
      <c r="B140" s="20" t="s">
        <v>672</v>
      </c>
      <c r="C140" s="20" t="s">
        <v>3299</v>
      </c>
      <c r="D140" s="20" t="s">
        <v>4171</v>
      </c>
      <c r="E140" s="20" t="s">
        <v>4174</v>
      </c>
      <c r="F140" s="20" t="s">
        <v>4175</v>
      </c>
    </row>
    <row r="141" customFormat="false" ht="114.75" hidden="false" customHeight="true" outlineLevel="0" collapsed="false">
      <c r="A141" s="19" t="s">
        <v>3306</v>
      </c>
      <c r="B141" s="19" t="s">
        <v>672</v>
      </c>
      <c r="C141" s="19" t="s">
        <v>3299</v>
      </c>
      <c r="D141" s="19" t="s">
        <v>4165</v>
      </c>
      <c r="E141" s="19" t="s">
        <v>4176</v>
      </c>
      <c r="F141" s="19" t="s">
        <v>4177</v>
      </c>
    </row>
    <row r="142" customFormat="false" ht="114.75" hidden="false" customHeight="true" outlineLevel="0" collapsed="false">
      <c r="A142" s="20" t="s">
        <v>3307</v>
      </c>
      <c r="B142" s="20" t="s">
        <v>672</v>
      </c>
      <c r="C142" s="20" t="s">
        <v>3299</v>
      </c>
      <c r="D142" s="20" t="s">
        <v>1792</v>
      </c>
      <c r="E142" s="20" t="s">
        <v>3308</v>
      </c>
      <c r="F142" s="20" t="s">
        <v>3309</v>
      </c>
    </row>
    <row r="143" customFormat="false" ht="114.75" hidden="false" customHeight="true" outlineLevel="0" collapsed="false">
      <c r="A143" s="19" t="s">
        <v>3310</v>
      </c>
      <c r="B143" s="19" t="s">
        <v>672</v>
      </c>
      <c r="C143" s="19" t="s">
        <v>3299</v>
      </c>
      <c r="D143" s="19" t="s">
        <v>4178</v>
      </c>
      <c r="E143" s="19" t="s">
        <v>4179</v>
      </c>
      <c r="F143" s="19" t="s">
        <v>4180</v>
      </c>
    </row>
    <row r="144" customFormat="false" ht="114.75" hidden="false" customHeight="true" outlineLevel="0" collapsed="false">
      <c r="A144" s="20" t="s">
        <v>3312</v>
      </c>
      <c r="B144" s="20" t="s">
        <v>672</v>
      </c>
      <c r="C144" s="20" t="s">
        <v>3299</v>
      </c>
      <c r="D144" s="20" t="s">
        <v>1821</v>
      </c>
      <c r="E144" s="20" t="s">
        <v>4181</v>
      </c>
      <c r="F144" s="20" t="s">
        <v>4182</v>
      </c>
    </row>
    <row r="145" customFormat="false" ht="114.75" hidden="false" customHeight="true" outlineLevel="0" collapsed="false">
      <c r="A145" s="19" t="s">
        <v>3314</v>
      </c>
      <c r="B145" s="19" t="s">
        <v>672</v>
      </c>
      <c r="C145" s="19" t="s">
        <v>3299</v>
      </c>
      <c r="D145" s="19" t="s">
        <v>4183</v>
      </c>
      <c r="E145" s="19" t="s">
        <v>4181</v>
      </c>
      <c r="F145" s="19" t="s">
        <v>4184</v>
      </c>
    </row>
    <row r="146" customFormat="false" ht="114.75" hidden="false" customHeight="true" outlineLevel="0" collapsed="false">
      <c r="A146" s="20" t="s">
        <v>3316</v>
      </c>
      <c r="B146" s="20" t="s">
        <v>672</v>
      </c>
      <c r="C146" s="20" t="s">
        <v>3299</v>
      </c>
      <c r="D146" s="20" t="s">
        <v>4185</v>
      </c>
      <c r="E146" s="20" t="s">
        <v>4186</v>
      </c>
      <c r="F146" s="20" t="s">
        <v>4187</v>
      </c>
    </row>
    <row r="147" customFormat="false" ht="114.75" hidden="false" customHeight="true" outlineLevel="0" collapsed="false">
      <c r="A147" s="19" t="s">
        <v>3317</v>
      </c>
      <c r="B147" s="19" t="s">
        <v>672</v>
      </c>
      <c r="C147" s="19" t="s">
        <v>3299</v>
      </c>
      <c r="D147" s="19" t="s">
        <v>1792</v>
      </c>
      <c r="E147" s="19" t="s">
        <v>4188</v>
      </c>
      <c r="F147" s="19" t="s">
        <v>2762</v>
      </c>
    </row>
    <row r="148" customFormat="false" ht="114.75" hidden="false" customHeight="true" outlineLevel="0" collapsed="false">
      <c r="A148" s="20" t="s">
        <v>3319</v>
      </c>
      <c r="B148" s="20" t="s">
        <v>672</v>
      </c>
      <c r="C148" s="20" t="s">
        <v>3299</v>
      </c>
      <c r="D148" s="20" t="s">
        <v>4189</v>
      </c>
      <c r="E148" s="20" t="s">
        <v>4190</v>
      </c>
      <c r="F148" s="20" t="s">
        <v>4191</v>
      </c>
    </row>
    <row r="149" customFormat="false" ht="114.75" hidden="false" customHeight="true" outlineLevel="0" collapsed="false">
      <c r="A149" s="19" t="s">
        <v>3320</v>
      </c>
      <c r="B149" s="19" t="s">
        <v>672</v>
      </c>
      <c r="C149" s="19" t="s">
        <v>3299</v>
      </c>
      <c r="D149" s="19" t="s">
        <v>326</v>
      </c>
      <c r="E149" s="19" t="s">
        <v>3321</v>
      </c>
      <c r="F149" s="19" t="s">
        <v>3322</v>
      </c>
    </row>
    <row r="150" customFormat="false" ht="114.75" hidden="false" customHeight="true" outlineLevel="0" collapsed="false">
      <c r="A150" s="20" t="s">
        <v>3323</v>
      </c>
      <c r="B150" s="20" t="s">
        <v>3324</v>
      </c>
      <c r="C150" s="20" t="s">
        <v>3325</v>
      </c>
      <c r="D150" s="20" t="s">
        <v>3326</v>
      </c>
      <c r="E150" s="20" t="s">
        <v>3327</v>
      </c>
      <c r="F150" s="20" t="s">
        <v>3328</v>
      </c>
    </row>
    <row r="151" customFormat="false" ht="114.75" hidden="false" customHeight="true" outlineLevel="0" collapsed="false">
      <c r="A151" s="19" t="s">
        <v>3329</v>
      </c>
      <c r="B151" s="19" t="s">
        <v>3324</v>
      </c>
      <c r="C151" s="19" t="s">
        <v>3325</v>
      </c>
      <c r="D151" s="19" t="s">
        <v>3326</v>
      </c>
      <c r="E151" s="19" t="s">
        <v>3330</v>
      </c>
      <c r="F151" s="19" t="s">
        <v>3331</v>
      </c>
    </row>
    <row r="152" customFormat="false" ht="114.75" hidden="false" customHeight="true" outlineLevel="0" collapsed="false">
      <c r="A152" s="20" t="s">
        <v>3332</v>
      </c>
      <c r="B152" s="20" t="s">
        <v>3324</v>
      </c>
      <c r="C152" s="20" t="s">
        <v>3325</v>
      </c>
      <c r="D152" s="20" t="s">
        <v>3326</v>
      </c>
      <c r="E152" s="20" t="s">
        <v>3333</v>
      </c>
      <c r="F152" s="20" t="s">
        <v>3334</v>
      </c>
    </row>
    <row r="153" customFormat="false" ht="114.75" hidden="false" customHeight="true" outlineLevel="0" collapsed="false">
      <c r="A153" s="19" t="s">
        <v>3335</v>
      </c>
      <c r="B153" s="19" t="s">
        <v>3324</v>
      </c>
      <c r="C153" s="19" t="s">
        <v>3325</v>
      </c>
      <c r="D153" s="19" t="s">
        <v>3326</v>
      </c>
      <c r="E153" s="19" t="s">
        <v>3336</v>
      </c>
      <c r="F153" s="19" t="s">
        <v>3337</v>
      </c>
    </row>
    <row r="154" customFormat="false" ht="114.75" hidden="false" customHeight="true" outlineLevel="0" collapsed="false">
      <c r="A154" s="20" t="s">
        <v>3338</v>
      </c>
      <c r="B154" s="20" t="s">
        <v>3324</v>
      </c>
      <c r="C154" s="20" t="s">
        <v>3325</v>
      </c>
      <c r="D154" s="20" t="s">
        <v>3326</v>
      </c>
      <c r="E154" s="20" t="s">
        <v>3339</v>
      </c>
      <c r="F154" s="20" t="s">
        <v>3340</v>
      </c>
    </row>
    <row r="155" customFormat="false" ht="114.75" hidden="false" customHeight="true" outlineLevel="0" collapsed="false">
      <c r="A155" s="19" t="s">
        <v>3341</v>
      </c>
      <c r="B155" s="19" t="s">
        <v>107</v>
      </c>
      <c r="C155" s="19" t="s">
        <v>62</v>
      </c>
      <c r="D155" s="19" t="s">
        <v>1233</v>
      </c>
      <c r="E155" s="19" t="s">
        <v>4192</v>
      </c>
      <c r="F155" s="19" t="s">
        <v>4193</v>
      </c>
    </row>
    <row r="156" customFormat="false" ht="114.75" hidden="false" customHeight="true" outlineLevel="0" collapsed="false">
      <c r="A156" s="20" t="s">
        <v>3342</v>
      </c>
      <c r="B156" s="20" t="s">
        <v>107</v>
      </c>
      <c r="C156" s="20" t="s">
        <v>62</v>
      </c>
      <c r="D156" s="20" t="s">
        <v>1233</v>
      </c>
      <c r="E156" s="20" t="s">
        <v>3343</v>
      </c>
      <c r="F156" s="20" t="s">
        <v>3344</v>
      </c>
    </row>
    <row r="157" customFormat="false" ht="114.75" hidden="false" customHeight="true" outlineLevel="0" collapsed="false">
      <c r="A157" s="19" t="s">
        <v>3345</v>
      </c>
      <c r="B157" s="19" t="s">
        <v>107</v>
      </c>
      <c r="C157" s="19" t="s">
        <v>62</v>
      </c>
      <c r="D157" s="19" t="s">
        <v>4194</v>
      </c>
      <c r="E157" s="19" t="s">
        <v>4195</v>
      </c>
      <c r="F157" s="19" t="s">
        <v>4196</v>
      </c>
    </row>
    <row r="158" customFormat="false" ht="114.75" hidden="false" customHeight="true" outlineLevel="0" collapsed="false">
      <c r="A158" s="20" t="s">
        <v>3347</v>
      </c>
      <c r="B158" s="20" t="s">
        <v>107</v>
      </c>
      <c r="C158" s="20" t="s">
        <v>62</v>
      </c>
      <c r="D158" s="20" t="s">
        <v>1233</v>
      </c>
      <c r="E158" s="20" t="s">
        <v>3348</v>
      </c>
      <c r="F158" s="20" t="s">
        <v>3349</v>
      </c>
    </row>
    <row r="159" customFormat="false" ht="114.75" hidden="false" customHeight="true" outlineLevel="0" collapsed="false">
      <c r="A159" s="19" t="s">
        <v>3350</v>
      </c>
      <c r="B159" s="19" t="s">
        <v>107</v>
      </c>
      <c r="C159" s="19" t="s">
        <v>62</v>
      </c>
      <c r="D159" s="19" t="s">
        <v>1233</v>
      </c>
      <c r="E159" s="19" t="s">
        <v>4197</v>
      </c>
      <c r="F159" s="19" t="s">
        <v>4198</v>
      </c>
    </row>
    <row r="160" customFormat="false" ht="114.75" hidden="false" customHeight="true" outlineLevel="0" collapsed="false">
      <c r="A160" s="20" t="s">
        <v>3352</v>
      </c>
      <c r="B160" s="20" t="s">
        <v>107</v>
      </c>
      <c r="C160" s="20" t="s">
        <v>62</v>
      </c>
      <c r="D160" s="20" t="s">
        <v>1233</v>
      </c>
      <c r="E160" s="20" t="s">
        <v>4199</v>
      </c>
      <c r="F160" s="20" t="s">
        <v>4200</v>
      </c>
    </row>
    <row r="161" customFormat="false" ht="114.75" hidden="false" customHeight="true" outlineLevel="0" collapsed="false">
      <c r="A161" s="19" t="s">
        <v>3354</v>
      </c>
      <c r="B161" s="19" t="s">
        <v>107</v>
      </c>
      <c r="C161" s="19" t="s">
        <v>62</v>
      </c>
      <c r="D161" s="19" t="s">
        <v>4201</v>
      </c>
      <c r="E161" s="19" t="s">
        <v>4202</v>
      </c>
      <c r="F161" s="19" t="s">
        <v>4203</v>
      </c>
    </row>
    <row r="162" customFormat="false" ht="114.75" hidden="false" customHeight="true" outlineLevel="0" collapsed="false">
      <c r="A162" s="20" t="s">
        <v>3356</v>
      </c>
      <c r="B162" s="20" t="s">
        <v>107</v>
      </c>
      <c r="C162" s="20" t="s">
        <v>62</v>
      </c>
      <c r="D162" s="20" t="s">
        <v>4204</v>
      </c>
      <c r="E162" s="20" t="s">
        <v>4205</v>
      </c>
      <c r="F162" s="20" t="s">
        <v>4206</v>
      </c>
    </row>
    <row r="163" customFormat="false" ht="114.75" hidden="false" customHeight="true" outlineLevel="0" collapsed="false">
      <c r="A163" s="19" t="s">
        <v>3357</v>
      </c>
      <c r="B163" s="19" t="s">
        <v>107</v>
      </c>
      <c r="C163" s="19" t="s">
        <v>62</v>
      </c>
      <c r="D163" s="19" t="s">
        <v>4207</v>
      </c>
      <c r="E163" s="19" t="s">
        <v>4208</v>
      </c>
      <c r="F163" s="19" t="s">
        <v>4209</v>
      </c>
    </row>
    <row r="164" customFormat="false" ht="114.75" hidden="false" customHeight="true" outlineLevel="0" collapsed="false">
      <c r="A164" s="20" t="s">
        <v>3358</v>
      </c>
      <c r="B164" s="20" t="s">
        <v>107</v>
      </c>
      <c r="C164" s="20" t="s">
        <v>62</v>
      </c>
      <c r="D164" s="20" t="s">
        <v>1233</v>
      </c>
      <c r="E164" s="20" t="s">
        <v>3359</v>
      </c>
      <c r="F164" s="20" t="s">
        <v>3360</v>
      </c>
    </row>
    <row r="165" customFormat="false" ht="114.75" hidden="false" customHeight="true" outlineLevel="0" collapsed="false">
      <c r="A165" s="19" t="s">
        <v>3361</v>
      </c>
      <c r="B165" s="19" t="s">
        <v>107</v>
      </c>
      <c r="C165" s="19" t="s">
        <v>62</v>
      </c>
      <c r="D165" s="19" t="s">
        <v>1792</v>
      </c>
      <c r="E165" s="19" t="s">
        <v>4210</v>
      </c>
      <c r="F165" s="19" t="s">
        <v>4211</v>
      </c>
    </row>
    <row r="166" customFormat="false" ht="114.75" hidden="false" customHeight="true" outlineLevel="0" collapsed="false">
      <c r="A166" s="20" t="s">
        <v>3363</v>
      </c>
      <c r="B166" s="20" t="s">
        <v>107</v>
      </c>
      <c r="C166" s="20" t="s">
        <v>62</v>
      </c>
      <c r="D166" s="20" t="s">
        <v>1233</v>
      </c>
      <c r="E166" s="20" t="s">
        <v>4212</v>
      </c>
      <c r="F166" s="20" t="s">
        <v>4213</v>
      </c>
    </row>
    <row r="167" customFormat="false" ht="114.75" hidden="false" customHeight="true" outlineLevel="0" collapsed="false">
      <c r="A167" s="19" t="s">
        <v>3364</v>
      </c>
      <c r="B167" s="19" t="s">
        <v>107</v>
      </c>
      <c r="C167" s="19" t="s">
        <v>62</v>
      </c>
      <c r="D167" s="19" t="s">
        <v>4214</v>
      </c>
      <c r="E167" s="19" t="s">
        <v>4215</v>
      </c>
      <c r="F167" s="19" t="s">
        <v>4216</v>
      </c>
    </row>
    <row r="168" customFormat="false" ht="114.75" hidden="false" customHeight="true" outlineLevel="0" collapsed="false">
      <c r="A168" s="20" t="s">
        <v>3366</v>
      </c>
      <c r="B168" s="20" t="s">
        <v>107</v>
      </c>
      <c r="C168" s="20" t="s">
        <v>62</v>
      </c>
      <c r="D168" s="20" t="s">
        <v>4217</v>
      </c>
      <c r="E168" s="20" t="s">
        <v>4218</v>
      </c>
      <c r="F168" s="20" t="s">
        <v>4219</v>
      </c>
    </row>
    <row r="169" customFormat="false" ht="114.75" hidden="false" customHeight="true" outlineLevel="0" collapsed="false">
      <c r="A169" s="19" t="s">
        <v>3368</v>
      </c>
      <c r="B169" s="19" t="s">
        <v>107</v>
      </c>
      <c r="C169" s="19" t="s">
        <v>62</v>
      </c>
      <c r="D169" s="19" t="s">
        <v>1233</v>
      </c>
      <c r="E169" s="19" t="s">
        <v>3369</v>
      </c>
      <c r="F169" s="19" t="s">
        <v>3370</v>
      </c>
    </row>
    <row r="170" customFormat="false" ht="114.75" hidden="false" customHeight="true" outlineLevel="0" collapsed="false">
      <c r="A170" s="20" t="s">
        <v>3371</v>
      </c>
      <c r="B170" s="20" t="s">
        <v>107</v>
      </c>
      <c r="C170" s="20" t="s">
        <v>62</v>
      </c>
      <c r="D170" s="20" t="s">
        <v>1233</v>
      </c>
      <c r="E170" s="20" t="s">
        <v>3372</v>
      </c>
      <c r="F170" s="20" t="s">
        <v>3373</v>
      </c>
    </row>
    <row r="171" customFormat="false" ht="114.75" hidden="false" customHeight="true" outlineLevel="0" collapsed="false">
      <c r="A171" s="19" t="s">
        <v>3374</v>
      </c>
      <c r="B171" s="19" t="s">
        <v>107</v>
      </c>
      <c r="C171" s="19" t="s">
        <v>62</v>
      </c>
      <c r="D171" s="19" t="s">
        <v>4217</v>
      </c>
      <c r="E171" s="19" t="s">
        <v>4220</v>
      </c>
      <c r="F171" s="19" t="s">
        <v>4221</v>
      </c>
    </row>
    <row r="172" customFormat="false" ht="114.75" hidden="false" customHeight="true" outlineLevel="0" collapsed="false">
      <c r="A172" s="20" t="s">
        <v>3375</v>
      </c>
      <c r="B172" s="20" t="s">
        <v>107</v>
      </c>
      <c r="C172" s="20" t="s">
        <v>62</v>
      </c>
      <c r="D172" s="20" t="s">
        <v>4217</v>
      </c>
      <c r="E172" s="20" t="s">
        <v>4222</v>
      </c>
      <c r="F172" s="20" t="s">
        <v>4223</v>
      </c>
    </row>
    <row r="173" customFormat="false" ht="114.75" hidden="false" customHeight="true" outlineLevel="0" collapsed="false">
      <c r="A173" s="19" t="s">
        <v>3376</v>
      </c>
      <c r="B173" s="19" t="s">
        <v>107</v>
      </c>
      <c r="C173" s="19" t="s">
        <v>62</v>
      </c>
      <c r="D173" s="19" t="s">
        <v>3377</v>
      </c>
      <c r="E173" s="19" t="s">
        <v>3378</v>
      </c>
      <c r="F173" s="19" t="s">
        <v>3379</v>
      </c>
    </row>
    <row r="174" customFormat="false" ht="114.75" hidden="false" customHeight="true" outlineLevel="0" collapsed="false">
      <c r="A174" s="20" t="s">
        <v>3380</v>
      </c>
      <c r="B174" s="20" t="s">
        <v>107</v>
      </c>
      <c r="C174" s="20" t="s">
        <v>62</v>
      </c>
      <c r="D174" s="20" t="s">
        <v>3382</v>
      </c>
      <c r="E174" s="20" t="s">
        <v>4224</v>
      </c>
      <c r="F174" s="20" t="s">
        <v>4225</v>
      </c>
    </row>
    <row r="175" customFormat="false" ht="114.75" hidden="false" customHeight="true" outlineLevel="0" collapsed="false">
      <c r="A175" s="19" t="s">
        <v>3381</v>
      </c>
      <c r="B175" s="19" t="s">
        <v>107</v>
      </c>
      <c r="C175" s="19" t="s">
        <v>62</v>
      </c>
      <c r="D175" s="19" t="s">
        <v>3382</v>
      </c>
      <c r="E175" s="19" t="s">
        <v>3383</v>
      </c>
      <c r="F175" s="19" t="s">
        <v>3384</v>
      </c>
    </row>
    <row r="176" customFormat="false" ht="114.75" hidden="false" customHeight="true" outlineLevel="0" collapsed="false">
      <c r="A176" s="20" t="s">
        <v>3385</v>
      </c>
      <c r="B176" s="20" t="s">
        <v>691</v>
      </c>
      <c r="C176" s="20" t="s">
        <v>3386</v>
      </c>
      <c r="D176" s="20" t="s">
        <v>2233</v>
      </c>
      <c r="E176" s="20" t="s">
        <v>2231</v>
      </c>
      <c r="F176" s="20" t="s">
        <v>3387</v>
      </c>
    </row>
    <row r="177" customFormat="false" ht="114.75" hidden="false" customHeight="true" outlineLevel="0" collapsed="false">
      <c r="A177" s="19" t="s">
        <v>3388</v>
      </c>
      <c r="B177" s="19" t="s">
        <v>691</v>
      </c>
      <c r="C177" s="19" t="s">
        <v>3386</v>
      </c>
      <c r="D177" s="19" t="s">
        <v>2237</v>
      </c>
      <c r="E177" s="19" t="s">
        <v>2235</v>
      </c>
      <c r="F177" s="19" t="s">
        <v>3389</v>
      </c>
    </row>
    <row r="178" customFormat="false" ht="114.75" hidden="false" customHeight="true" outlineLevel="0" collapsed="false">
      <c r="A178" s="20" t="s">
        <v>3390</v>
      </c>
      <c r="B178" s="20" t="s">
        <v>691</v>
      </c>
      <c r="C178" s="20" t="s">
        <v>3386</v>
      </c>
      <c r="D178" s="20" t="s">
        <v>1792</v>
      </c>
      <c r="E178" s="20" t="s">
        <v>2238</v>
      </c>
      <c r="F178" s="20" t="s">
        <v>4226</v>
      </c>
    </row>
    <row r="179" customFormat="false" ht="114.75" hidden="false" customHeight="true" outlineLevel="0" collapsed="false">
      <c r="A179" s="19" t="s">
        <v>3392</v>
      </c>
      <c r="B179" s="19" t="s">
        <v>691</v>
      </c>
      <c r="C179" s="19" t="s">
        <v>3386</v>
      </c>
      <c r="D179" s="19" t="s">
        <v>1792</v>
      </c>
      <c r="E179" s="19" t="s">
        <v>2241</v>
      </c>
      <c r="F179" s="19" t="s">
        <v>3393</v>
      </c>
    </row>
    <row r="180" customFormat="false" ht="114.75" hidden="false" customHeight="true" outlineLevel="0" collapsed="false">
      <c r="A180" s="20" t="s">
        <v>3394</v>
      </c>
      <c r="B180" s="20" t="s">
        <v>691</v>
      </c>
      <c r="C180" s="20" t="s">
        <v>3386</v>
      </c>
      <c r="D180" s="20" t="s">
        <v>1792</v>
      </c>
      <c r="E180" s="20" t="s">
        <v>2244</v>
      </c>
      <c r="F180" s="20" t="s">
        <v>3395</v>
      </c>
    </row>
    <row r="181" customFormat="false" ht="114.75" hidden="false" customHeight="true" outlineLevel="0" collapsed="false">
      <c r="A181" s="19" t="s">
        <v>3396</v>
      </c>
      <c r="B181" s="19" t="s">
        <v>691</v>
      </c>
      <c r="C181" s="19" t="s">
        <v>3386</v>
      </c>
      <c r="D181" s="19" t="s">
        <v>2249</v>
      </c>
      <c r="E181" s="19" t="s">
        <v>2247</v>
      </c>
      <c r="F181" s="19" t="s">
        <v>3397</v>
      </c>
    </row>
    <row r="182" customFormat="false" ht="114.75" hidden="false" customHeight="true" outlineLevel="0" collapsed="false">
      <c r="A182" s="20" t="s">
        <v>3398</v>
      </c>
      <c r="B182" s="20" t="s">
        <v>691</v>
      </c>
      <c r="C182" s="20" t="s">
        <v>3386</v>
      </c>
      <c r="D182" s="20" t="s">
        <v>2253</v>
      </c>
      <c r="E182" s="20" t="s">
        <v>2251</v>
      </c>
      <c r="F182" s="20" t="s">
        <v>3399</v>
      </c>
    </row>
    <row r="183" customFormat="false" ht="114.75" hidden="false" customHeight="true" outlineLevel="0" collapsed="false">
      <c r="A183" s="19" t="s">
        <v>3400</v>
      </c>
      <c r="B183" s="19" t="s">
        <v>691</v>
      </c>
      <c r="C183" s="19" t="s">
        <v>3386</v>
      </c>
      <c r="D183" s="19" t="s">
        <v>2257</v>
      </c>
      <c r="E183" s="19" t="s">
        <v>2255</v>
      </c>
      <c r="F183" s="19" t="s">
        <v>3401</v>
      </c>
    </row>
    <row r="184" customFormat="false" ht="114.75" hidden="false" customHeight="true" outlineLevel="0" collapsed="false">
      <c r="A184" s="20" t="s">
        <v>3402</v>
      </c>
      <c r="B184" s="20" t="s">
        <v>691</v>
      </c>
      <c r="C184" s="20" t="s">
        <v>3386</v>
      </c>
      <c r="D184" s="20" t="s">
        <v>2261</v>
      </c>
      <c r="E184" s="20" t="s">
        <v>2259</v>
      </c>
      <c r="F184" s="20" t="s">
        <v>3403</v>
      </c>
    </row>
    <row r="185" customFormat="false" ht="114.75" hidden="false" customHeight="true" outlineLevel="0" collapsed="false">
      <c r="A185" s="19" t="s">
        <v>3404</v>
      </c>
      <c r="B185" s="19" t="s">
        <v>691</v>
      </c>
      <c r="C185" s="19" t="s">
        <v>3386</v>
      </c>
      <c r="D185" s="19" t="s">
        <v>1792</v>
      </c>
      <c r="E185" s="19" t="s">
        <v>2263</v>
      </c>
      <c r="F185" s="19" t="s">
        <v>3405</v>
      </c>
    </row>
    <row r="186" customFormat="false" ht="114.75" hidden="false" customHeight="true" outlineLevel="0" collapsed="false">
      <c r="A186" s="20" t="s">
        <v>3406</v>
      </c>
      <c r="B186" s="20" t="s">
        <v>691</v>
      </c>
      <c r="C186" s="20" t="s">
        <v>3386</v>
      </c>
      <c r="D186" s="20" t="s">
        <v>2268</v>
      </c>
      <c r="E186" s="20" t="s">
        <v>2266</v>
      </c>
      <c r="F186" s="20" t="s">
        <v>3407</v>
      </c>
    </row>
    <row r="187" customFormat="false" ht="114.75" hidden="false" customHeight="true" outlineLevel="0" collapsed="false">
      <c r="A187" s="19" t="s">
        <v>3408</v>
      </c>
      <c r="B187" s="19" t="s">
        <v>691</v>
      </c>
      <c r="C187" s="19" t="s">
        <v>3386</v>
      </c>
      <c r="D187" s="19" t="s">
        <v>2272</v>
      </c>
      <c r="E187" s="19" t="s">
        <v>2270</v>
      </c>
      <c r="F187" s="19" t="s">
        <v>3409</v>
      </c>
    </row>
    <row r="188" customFormat="false" ht="120" hidden="false" customHeight="true" outlineLevel="0" collapsed="false">
      <c r="A188" s="20" t="s">
        <v>3410</v>
      </c>
      <c r="B188" s="20" t="s">
        <v>3411</v>
      </c>
      <c r="C188" s="20" t="s">
        <v>3412</v>
      </c>
      <c r="D188" s="20" t="s">
        <v>3413</v>
      </c>
      <c r="E188" s="20" t="s">
        <v>3414</v>
      </c>
      <c r="F188" s="20" t="s">
        <v>3415</v>
      </c>
    </row>
    <row r="189" customFormat="false" ht="120" hidden="false" customHeight="true" outlineLevel="0" collapsed="false">
      <c r="A189" s="19" t="s">
        <v>3416</v>
      </c>
      <c r="B189" s="19" t="s">
        <v>672</v>
      </c>
      <c r="C189" s="19" t="s">
        <v>3412</v>
      </c>
      <c r="D189" s="19" t="s">
        <v>3417</v>
      </c>
      <c r="E189" s="19" t="s">
        <v>3418</v>
      </c>
      <c r="F189" s="19" t="s">
        <v>3419</v>
      </c>
    </row>
    <row r="190" customFormat="false" ht="120" hidden="false" customHeight="true" outlineLevel="0" collapsed="false">
      <c r="A190" s="20" t="s">
        <v>3420</v>
      </c>
      <c r="B190" s="20" t="s">
        <v>3421</v>
      </c>
      <c r="C190" s="20" t="s">
        <v>3412</v>
      </c>
      <c r="D190" s="20" t="s">
        <v>3422</v>
      </c>
      <c r="E190" s="20" t="s">
        <v>3423</v>
      </c>
      <c r="F190" s="20" t="s">
        <v>3424</v>
      </c>
    </row>
    <row r="191" customFormat="false" ht="120" hidden="false" customHeight="true" outlineLevel="0" collapsed="false">
      <c r="A191" s="19" t="s">
        <v>3425</v>
      </c>
      <c r="B191" s="19" t="s">
        <v>3426</v>
      </c>
      <c r="C191" s="19" t="s">
        <v>3412</v>
      </c>
      <c r="D191" s="19" t="s">
        <v>2690</v>
      </c>
      <c r="E191" s="19" t="s">
        <v>3427</v>
      </c>
      <c r="F191" s="19" t="s">
        <v>3428</v>
      </c>
    </row>
    <row r="192" customFormat="false" ht="120" hidden="false" customHeight="true" outlineLevel="0" collapsed="false">
      <c r="A192" s="20" t="s">
        <v>3429</v>
      </c>
      <c r="B192" s="20" t="s">
        <v>3430</v>
      </c>
      <c r="C192" s="20" t="s">
        <v>3412</v>
      </c>
      <c r="D192" s="20" t="s">
        <v>2690</v>
      </c>
      <c r="E192" s="20" t="s">
        <v>4227</v>
      </c>
      <c r="F192" s="20" t="s">
        <v>4228</v>
      </c>
    </row>
    <row r="193" customFormat="false" ht="120" hidden="false" customHeight="true" outlineLevel="0" collapsed="false">
      <c r="A193" s="19" t="s">
        <v>3431</v>
      </c>
      <c r="B193" s="19" t="s">
        <v>3432</v>
      </c>
      <c r="C193" s="19" t="s">
        <v>3412</v>
      </c>
      <c r="D193" s="19" t="s">
        <v>2690</v>
      </c>
      <c r="E193" s="19" t="s">
        <v>3433</v>
      </c>
      <c r="F193" s="19" t="s">
        <v>3434</v>
      </c>
    </row>
    <row r="194" customFormat="false" ht="120" hidden="false" customHeight="true" outlineLevel="0" collapsed="false">
      <c r="A194" s="20" t="s">
        <v>3435</v>
      </c>
      <c r="B194" s="20" t="s">
        <v>3436</v>
      </c>
      <c r="C194" s="20" t="s">
        <v>3412</v>
      </c>
      <c r="D194" s="20" t="s">
        <v>3422</v>
      </c>
      <c r="E194" s="20" t="s">
        <v>4229</v>
      </c>
      <c r="F194" s="20" t="s">
        <v>4230</v>
      </c>
    </row>
    <row r="195" customFormat="false" ht="120" hidden="false" customHeight="true" outlineLevel="0" collapsed="false">
      <c r="A195" s="19" t="s">
        <v>3437</v>
      </c>
      <c r="B195" s="19" t="s">
        <v>3438</v>
      </c>
      <c r="C195" s="19" t="s">
        <v>3412</v>
      </c>
      <c r="D195" s="19" t="s">
        <v>3449</v>
      </c>
      <c r="E195" s="19" t="s">
        <v>4231</v>
      </c>
      <c r="F195" s="19" t="s">
        <v>4232</v>
      </c>
    </row>
    <row r="196" customFormat="false" ht="120" hidden="false" customHeight="true" outlineLevel="0" collapsed="false">
      <c r="A196" s="20" t="s">
        <v>3439</v>
      </c>
      <c r="B196" s="20" t="s">
        <v>3440</v>
      </c>
      <c r="C196" s="20" t="s">
        <v>3412</v>
      </c>
      <c r="D196" s="20" t="s">
        <v>4233</v>
      </c>
      <c r="E196" s="20" t="s">
        <v>4234</v>
      </c>
      <c r="F196" s="20" t="s">
        <v>4235</v>
      </c>
    </row>
    <row r="197" customFormat="false" ht="120" hidden="false" customHeight="true" outlineLevel="0" collapsed="false">
      <c r="A197" s="19" t="s">
        <v>3441</v>
      </c>
      <c r="B197" s="19" t="s">
        <v>3442</v>
      </c>
      <c r="C197" s="19" t="s">
        <v>3412</v>
      </c>
      <c r="D197" s="19" t="s">
        <v>3449</v>
      </c>
      <c r="E197" s="19" t="s">
        <v>4236</v>
      </c>
      <c r="F197" s="19" t="s">
        <v>4237</v>
      </c>
    </row>
    <row r="198" customFormat="false" ht="120" hidden="false" customHeight="true" outlineLevel="0" collapsed="false">
      <c r="A198" s="20" t="s">
        <v>3444</v>
      </c>
      <c r="B198" s="20" t="s">
        <v>2376</v>
      </c>
      <c r="C198" s="20" t="s">
        <v>3412</v>
      </c>
      <c r="D198" s="20" t="s">
        <v>1792</v>
      </c>
      <c r="E198" s="20" t="s">
        <v>3445</v>
      </c>
      <c r="F198" s="20" t="s">
        <v>3446</v>
      </c>
    </row>
    <row r="199" customFormat="false" ht="120" hidden="false" customHeight="true" outlineLevel="0" collapsed="false">
      <c r="A199" s="19" t="s">
        <v>3447</v>
      </c>
      <c r="B199" s="19" t="s">
        <v>3448</v>
      </c>
      <c r="C199" s="19" t="s">
        <v>3412</v>
      </c>
      <c r="D199" s="19" t="s">
        <v>3449</v>
      </c>
      <c r="E199" s="19" t="s">
        <v>3450</v>
      </c>
      <c r="F199" s="19" t="s">
        <v>3451</v>
      </c>
    </row>
    <row r="200" customFormat="false" ht="120" hidden="false" customHeight="true" outlineLevel="0" collapsed="false">
      <c r="A200" s="20" t="s">
        <v>3452</v>
      </c>
      <c r="B200" s="20" t="s">
        <v>3453</v>
      </c>
      <c r="C200" s="20" t="s">
        <v>3412</v>
      </c>
      <c r="D200" s="20" t="s">
        <v>4238</v>
      </c>
      <c r="E200" s="20" t="s">
        <v>4239</v>
      </c>
      <c r="F200" s="20" t="s">
        <v>4240</v>
      </c>
    </row>
    <row r="201" customFormat="false" ht="120" hidden="false" customHeight="true" outlineLevel="0" collapsed="false">
      <c r="A201" s="19" t="s">
        <v>3455</v>
      </c>
      <c r="B201" s="19" t="s">
        <v>3456</v>
      </c>
      <c r="C201" s="19" t="s">
        <v>3412</v>
      </c>
      <c r="D201" s="19" t="s">
        <v>3449</v>
      </c>
      <c r="E201" s="19" t="s">
        <v>4241</v>
      </c>
      <c r="F201" s="19" t="s">
        <v>4242</v>
      </c>
    </row>
    <row r="202" customFormat="false" ht="120" hidden="false" customHeight="true" outlineLevel="0" collapsed="false">
      <c r="A202" s="20" t="s">
        <v>3457</v>
      </c>
      <c r="B202" s="20" t="s">
        <v>3458</v>
      </c>
      <c r="C202" s="20" t="s">
        <v>3412</v>
      </c>
      <c r="D202" s="20" t="s">
        <v>2690</v>
      </c>
      <c r="E202" s="20" t="s">
        <v>4243</v>
      </c>
      <c r="F202" s="20" t="s">
        <v>4244</v>
      </c>
    </row>
    <row r="203" customFormat="false" ht="120" hidden="false" customHeight="true" outlineLevel="0" collapsed="false">
      <c r="A203" s="19" t="s">
        <v>3460</v>
      </c>
      <c r="B203" s="19" t="s">
        <v>3461</v>
      </c>
      <c r="C203" s="19" t="s">
        <v>3412</v>
      </c>
      <c r="D203" s="19" t="s">
        <v>3449</v>
      </c>
      <c r="E203" s="19" t="s">
        <v>4078</v>
      </c>
      <c r="F203" s="19" t="s">
        <v>4081</v>
      </c>
    </row>
    <row r="204" customFormat="false" ht="120" hidden="false" customHeight="true" outlineLevel="0" collapsed="false">
      <c r="A204" s="20" t="s">
        <v>3462</v>
      </c>
      <c r="B204" s="20" t="s">
        <v>3463</v>
      </c>
      <c r="C204" s="20" t="s">
        <v>3412</v>
      </c>
      <c r="D204" s="20" t="s">
        <v>4084</v>
      </c>
      <c r="E204" s="20" t="s">
        <v>4086</v>
      </c>
      <c r="F204" s="20" t="s">
        <v>4089</v>
      </c>
    </row>
    <row r="205" customFormat="false" ht="120" hidden="false" customHeight="true" outlineLevel="0" collapsed="false">
      <c r="A205" s="19" t="s">
        <v>3464</v>
      </c>
      <c r="B205" s="19" t="s">
        <v>1316</v>
      </c>
      <c r="C205" s="19" t="s">
        <v>3412</v>
      </c>
      <c r="D205" s="19" t="s">
        <v>3449</v>
      </c>
      <c r="E205" s="19" t="s">
        <v>3465</v>
      </c>
      <c r="F205" s="19" t="s">
        <v>3466</v>
      </c>
    </row>
  </sheetData>
  <autoFilter ref="A5:F205"/>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28"/>
    <col collapsed="false" customWidth="true" hidden="false" outlineLevel="0" max="2" min="2" style="10" width="70"/>
    <col collapsed="false" customWidth="true" hidden="false" outlineLevel="0" max="3" min="3" style="10" width="90"/>
    <col collapsed="false" customWidth="true" hidden="false" outlineLevel="0" max="4" min="4" style="10" width="52"/>
  </cols>
  <sheetData>
    <row r="1" customFormat="false" ht="36" hidden="false" customHeight="true" outlineLevel="0" collapsed="false">
      <c r="A1" s="25" t="s">
        <v>4245</v>
      </c>
      <c r="B1" s="25"/>
      <c r="C1" s="25"/>
      <c r="D1" s="25"/>
    </row>
    <row r="2" customFormat="false" ht="69.75" hidden="false" customHeight="true" outlineLevel="0" collapsed="false">
      <c r="A2" s="26" t="s">
        <v>4246</v>
      </c>
      <c r="B2" s="26"/>
      <c r="C2" s="26"/>
      <c r="D2" s="26"/>
    </row>
    <row r="5" customFormat="false" ht="34.5" hidden="false" customHeight="true" outlineLevel="0" collapsed="false">
      <c r="A5" s="27" t="s">
        <v>329</v>
      </c>
      <c r="B5" s="27" t="s">
        <v>4247</v>
      </c>
      <c r="C5" s="27" t="s">
        <v>4248</v>
      </c>
      <c r="D5" s="27" t="s">
        <v>4249</v>
      </c>
    </row>
    <row r="6" customFormat="false" ht="105" hidden="false" customHeight="true" outlineLevel="0" collapsed="false">
      <c r="A6" s="20" t="s">
        <v>4250</v>
      </c>
      <c r="B6" s="20" t="s">
        <v>4251</v>
      </c>
      <c r="C6" s="20" t="s">
        <v>4252</v>
      </c>
      <c r="D6" s="20" t="s">
        <v>4253</v>
      </c>
    </row>
    <row r="7" customFormat="false" ht="105" hidden="false" customHeight="true" outlineLevel="0" collapsed="false">
      <c r="A7" s="19" t="s">
        <v>4254</v>
      </c>
      <c r="B7" s="19" t="s">
        <v>4255</v>
      </c>
      <c r="C7" s="19" t="s">
        <v>4256</v>
      </c>
      <c r="D7" s="19" t="s">
        <v>4257</v>
      </c>
    </row>
    <row r="8" customFormat="false" ht="105" hidden="false" customHeight="true" outlineLevel="0" collapsed="false">
      <c r="A8" s="20" t="s">
        <v>4258</v>
      </c>
      <c r="B8" s="20" t="s">
        <v>4259</v>
      </c>
      <c r="C8" s="20" t="s">
        <v>4260</v>
      </c>
      <c r="D8" s="20" t="s">
        <v>4261</v>
      </c>
    </row>
    <row r="9" customFormat="false" ht="105" hidden="false" customHeight="true" outlineLevel="0" collapsed="false">
      <c r="A9" s="19" t="s">
        <v>4262</v>
      </c>
      <c r="B9" s="19" t="s">
        <v>4263</v>
      </c>
      <c r="C9" s="19" t="s">
        <v>4264</v>
      </c>
      <c r="D9" s="19" t="s">
        <v>4265</v>
      </c>
    </row>
    <row r="10" customFormat="false" ht="105" hidden="false" customHeight="true" outlineLevel="0" collapsed="false">
      <c r="A10" s="20" t="s">
        <v>4266</v>
      </c>
      <c r="B10" s="20" t="s">
        <v>4267</v>
      </c>
      <c r="C10" s="20" t="s">
        <v>4268</v>
      </c>
      <c r="D10" s="20" t="s">
        <v>4269</v>
      </c>
    </row>
    <row r="11" customFormat="false" ht="105" hidden="false" customHeight="true" outlineLevel="0" collapsed="false">
      <c r="A11" s="19" t="s">
        <v>4270</v>
      </c>
      <c r="B11" s="19" t="s">
        <v>4271</v>
      </c>
      <c r="C11" s="19" t="s">
        <v>4272</v>
      </c>
      <c r="D11" s="19" t="s">
        <v>4273</v>
      </c>
    </row>
    <row r="12" customFormat="false" ht="105" hidden="false" customHeight="true" outlineLevel="0" collapsed="false">
      <c r="A12" s="20" t="s">
        <v>146</v>
      </c>
      <c r="B12" s="20" t="s">
        <v>4274</v>
      </c>
      <c r="C12" s="20" t="s">
        <v>4275</v>
      </c>
      <c r="D12" s="20" t="s">
        <v>4276</v>
      </c>
    </row>
  </sheetData>
  <autoFilter ref="A5:D1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22"/>
    <col collapsed="false" customWidth="true" hidden="false" outlineLevel="0" max="2" min="2" style="10" width="18"/>
    <col collapsed="false" customWidth="true" hidden="false" outlineLevel="0" max="3" min="3" style="10" width="24"/>
    <col collapsed="false" customWidth="true" hidden="false" outlineLevel="0" max="5" min="4" style="10" width="21"/>
    <col collapsed="false" customWidth="true" hidden="false" outlineLevel="0" max="6" min="6" style="10" width="24"/>
    <col collapsed="false" customWidth="true" hidden="false" outlineLevel="0" max="7" min="7" style="10" width="27"/>
    <col collapsed="false" customWidth="true" hidden="false" outlineLevel="0" max="8" min="8" style="10" width="25"/>
    <col collapsed="false" customWidth="true" hidden="false" outlineLevel="0" max="9" min="9" style="10" width="80"/>
  </cols>
  <sheetData>
    <row r="1" customFormat="false" ht="36" hidden="false" customHeight="true" outlineLevel="0" collapsed="false">
      <c r="A1" s="25" t="s">
        <v>4277</v>
      </c>
      <c r="B1" s="25"/>
      <c r="C1" s="25"/>
      <c r="D1" s="25"/>
      <c r="E1" s="25"/>
      <c r="F1" s="25"/>
      <c r="G1" s="25"/>
      <c r="H1" s="25"/>
      <c r="I1" s="25"/>
    </row>
    <row r="2" customFormat="false" ht="69.75" hidden="false" customHeight="true" outlineLevel="0" collapsed="false">
      <c r="A2" s="26" t="s">
        <v>4278</v>
      </c>
      <c r="B2" s="26"/>
      <c r="C2" s="26"/>
      <c r="D2" s="26"/>
      <c r="E2" s="26"/>
      <c r="F2" s="26"/>
      <c r="G2" s="26"/>
      <c r="H2" s="26"/>
      <c r="I2" s="26"/>
    </row>
    <row r="5" customFormat="false" ht="34.5" hidden="false" customHeight="true" outlineLevel="0" collapsed="false">
      <c r="A5" s="27" t="s">
        <v>4279</v>
      </c>
      <c r="B5" s="27" t="s">
        <v>4280</v>
      </c>
      <c r="C5" s="27" t="s">
        <v>4281</v>
      </c>
      <c r="D5" s="27" t="s">
        <v>4282</v>
      </c>
      <c r="E5" s="27" t="s">
        <v>4283</v>
      </c>
      <c r="F5" s="27" t="s">
        <v>4284</v>
      </c>
      <c r="G5" s="27" t="s">
        <v>4285</v>
      </c>
      <c r="H5" s="27" t="s">
        <v>4286</v>
      </c>
      <c r="I5" s="27" t="s">
        <v>1417</v>
      </c>
    </row>
    <row r="6" customFormat="false" ht="84.75" hidden="false" customHeight="true" outlineLevel="0" collapsed="false">
      <c r="A6" s="20" t="s">
        <v>517</v>
      </c>
      <c r="B6" s="20" t="n">
        <v>300</v>
      </c>
      <c r="C6" s="20" t="n">
        <f aca="false">ROUNDUP(B6*Parametry!$C$15,0)</f>
        <v>330</v>
      </c>
      <c r="D6" s="20" t="n">
        <v>200</v>
      </c>
      <c r="E6" s="20" t="n">
        <f aca="false">MAX(0,C6-D6)</f>
        <v>130</v>
      </c>
      <c r="F6" s="20" t="n">
        <v>50</v>
      </c>
      <c r="G6" s="20" t="n">
        <f aca="false">E6*F6/100*Parametry!$C$55</f>
        <v>16.25</v>
      </c>
      <c r="H6" s="20" t="n">
        <f aca="false">ROUNDUP(G6,0)</f>
        <v>17</v>
      </c>
      <c r="I6" s="20" t="s">
        <v>4287</v>
      </c>
    </row>
    <row r="7" customFormat="false" ht="84.75" hidden="false" customHeight="true" outlineLevel="0" collapsed="false">
      <c r="A7" s="19" t="s">
        <v>518</v>
      </c>
      <c r="B7" s="19" t="n">
        <v>300</v>
      </c>
      <c r="C7" s="19" t="n">
        <f aca="false">ROUNDUP(B7*Parametry!$C$15,0)</f>
        <v>330</v>
      </c>
      <c r="D7" s="19" t="n">
        <v>200</v>
      </c>
      <c r="E7" s="19" t="n">
        <f aca="false">MAX(0,C7-D7)</f>
        <v>130</v>
      </c>
      <c r="F7" s="19" t="n">
        <v>50</v>
      </c>
      <c r="G7" s="19" t="n">
        <f aca="false">E7*F7/100*Parametry!$C$55</f>
        <v>16.25</v>
      </c>
      <c r="H7" s="19" t="n">
        <f aca="false">ROUNDUP(G7,0)</f>
        <v>17</v>
      </c>
      <c r="I7" s="19" t="s">
        <v>4287</v>
      </c>
    </row>
    <row r="8" customFormat="false" ht="84.75" hidden="false" customHeight="true" outlineLevel="0" collapsed="false">
      <c r="A8" s="20" t="s">
        <v>1916</v>
      </c>
      <c r="B8" s="20" t="n">
        <v>300</v>
      </c>
      <c r="C8" s="20" t="n">
        <f aca="false">ROUNDUP(B8*Parametry!$C$15,0)</f>
        <v>330</v>
      </c>
      <c r="D8" s="20" t="n">
        <v>200</v>
      </c>
      <c r="E8" s="20" t="n">
        <f aca="false">MAX(0,C8-D8)</f>
        <v>130</v>
      </c>
      <c r="F8" s="20" t="n">
        <v>150</v>
      </c>
      <c r="G8" s="20" t="n">
        <f aca="false">E8*F8/100*Parametry!$C$55</f>
        <v>48.75</v>
      </c>
      <c r="H8" s="20" t="n">
        <f aca="false">ROUNDUP(G8,0)</f>
        <v>49</v>
      </c>
      <c r="I8" s="20" t="s">
        <v>4287</v>
      </c>
    </row>
    <row r="9" customFormat="false" ht="84.75" hidden="false" customHeight="true" outlineLevel="0" collapsed="false">
      <c r="A9" s="19" t="s">
        <v>4288</v>
      </c>
      <c r="B9" s="19" t="n">
        <v>300</v>
      </c>
      <c r="C9" s="19" t="n">
        <f aca="false">ROUNDUP(B9*Parametry!$C$15,0)</f>
        <v>330</v>
      </c>
      <c r="D9" s="19" t="n">
        <v>200</v>
      </c>
      <c r="E9" s="19" t="n">
        <f aca="false">MAX(0,C9-D9)</f>
        <v>130</v>
      </c>
      <c r="F9" s="19" t="n">
        <v>150</v>
      </c>
      <c r="G9" s="19" t="n">
        <f aca="false">E9*F9/100*Parametry!$C$55</f>
        <v>48.75</v>
      </c>
      <c r="H9" s="19" t="n">
        <f aca="false">ROUNDUP(G9,0)</f>
        <v>49</v>
      </c>
      <c r="I9" s="19" t="s">
        <v>4287</v>
      </c>
    </row>
    <row r="10" customFormat="false" ht="84.75" hidden="false" customHeight="true" outlineLevel="0" collapsed="false">
      <c r="A10" s="20" t="s">
        <v>517</v>
      </c>
      <c r="B10" s="20" t="n">
        <v>300</v>
      </c>
      <c r="C10" s="20" t="n">
        <f aca="false">ROUNDUP(B10*Parametry!$C$15,0)</f>
        <v>330</v>
      </c>
      <c r="D10" s="20" t="n">
        <v>330</v>
      </c>
      <c r="E10" s="20" t="n">
        <f aca="false">MAX(0,C10-D10)</f>
        <v>0</v>
      </c>
      <c r="F10" s="20" t="n">
        <v>50</v>
      </c>
      <c r="G10" s="20" t="n">
        <f aca="false">E10*F10/100*Parametry!$C$55</f>
        <v>0</v>
      </c>
      <c r="H10" s="20" t="n">
        <f aca="false">ROUNDUP(G10,0)</f>
        <v>0</v>
      </c>
      <c r="I10" s="20" t="s">
        <v>4287</v>
      </c>
    </row>
  </sheetData>
  <autoFilter ref="A5: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0" width="12"/>
    <col collapsed="false" customWidth="true" hidden="false" outlineLevel="0" max="2" min="2" style="10" width="90"/>
    <col collapsed="false" customWidth="true" hidden="false" outlineLevel="0" max="3" min="3" style="10" width="65"/>
  </cols>
  <sheetData>
    <row r="1" customFormat="false" ht="36" hidden="false" customHeight="true" outlineLevel="0" collapsed="false">
      <c r="A1" s="25" t="s">
        <v>4289</v>
      </c>
      <c r="B1" s="25"/>
      <c r="C1" s="25"/>
    </row>
    <row r="2" customFormat="false" ht="69.75" hidden="false" customHeight="true" outlineLevel="0" collapsed="false">
      <c r="A2" s="26" t="s">
        <v>4290</v>
      </c>
      <c r="B2" s="26"/>
      <c r="C2" s="26"/>
    </row>
    <row r="5" customFormat="false" ht="34.5" hidden="false" customHeight="true" outlineLevel="0" collapsed="false">
      <c r="A5" s="27" t="s">
        <v>307</v>
      </c>
      <c r="B5" s="27" t="s">
        <v>4291</v>
      </c>
      <c r="C5" s="27" t="s">
        <v>908</v>
      </c>
    </row>
    <row r="6" customFormat="false" ht="42" hidden="false" customHeight="true" outlineLevel="0" collapsed="false">
      <c r="A6" s="20" t="s">
        <v>4292</v>
      </c>
      <c r="B6" s="20" t="s">
        <v>4293</v>
      </c>
      <c r="C6" s="20" t="s">
        <v>4294</v>
      </c>
    </row>
    <row r="7" customFormat="false" ht="42" hidden="false" customHeight="true" outlineLevel="0" collapsed="false">
      <c r="A7" s="19" t="s">
        <v>4295</v>
      </c>
      <c r="B7" s="19" t="s">
        <v>4296</v>
      </c>
      <c r="C7" s="19" t="s">
        <v>4294</v>
      </c>
    </row>
    <row r="8" customFormat="false" ht="42" hidden="false" customHeight="true" outlineLevel="0" collapsed="false">
      <c r="A8" s="20" t="s">
        <v>4297</v>
      </c>
      <c r="B8" s="20" t="s">
        <v>4298</v>
      </c>
      <c r="C8" s="20" t="s">
        <v>4294</v>
      </c>
    </row>
    <row r="9" customFormat="false" ht="42" hidden="false" customHeight="true" outlineLevel="0" collapsed="false">
      <c r="A9" s="19" t="s">
        <v>4299</v>
      </c>
      <c r="B9" s="19" t="s">
        <v>4300</v>
      </c>
      <c r="C9" s="19" t="s">
        <v>4294</v>
      </c>
    </row>
    <row r="10" customFormat="false" ht="42" hidden="false" customHeight="true" outlineLevel="0" collapsed="false">
      <c r="A10" s="20" t="s">
        <v>4301</v>
      </c>
      <c r="B10" s="20" t="s">
        <v>4302</v>
      </c>
      <c r="C10" s="20" t="s">
        <v>4294</v>
      </c>
    </row>
    <row r="11" customFormat="false" ht="42" hidden="false" customHeight="true" outlineLevel="0" collapsed="false">
      <c r="A11" s="19" t="s">
        <v>4303</v>
      </c>
      <c r="B11" s="19" t="s">
        <v>4304</v>
      </c>
      <c r="C11" s="19" t="s">
        <v>4294</v>
      </c>
    </row>
    <row r="12" customFormat="false" ht="42" hidden="false" customHeight="true" outlineLevel="0" collapsed="false">
      <c r="A12" s="20" t="s">
        <v>4305</v>
      </c>
      <c r="B12" s="20" t="s">
        <v>4306</v>
      </c>
      <c r="C12" s="20" t="s">
        <v>4294</v>
      </c>
    </row>
    <row r="13" customFormat="false" ht="42" hidden="false" customHeight="true" outlineLevel="0" collapsed="false">
      <c r="A13" s="19" t="s">
        <v>4307</v>
      </c>
      <c r="B13" s="19" t="s">
        <v>4308</v>
      </c>
      <c r="C13" s="19" t="s">
        <v>4294</v>
      </c>
    </row>
    <row r="14" customFormat="false" ht="42" hidden="false" customHeight="true" outlineLevel="0" collapsed="false">
      <c r="A14" s="20" t="s">
        <v>4309</v>
      </c>
      <c r="B14" s="20" t="s">
        <v>4310</v>
      </c>
      <c r="C14" s="20" t="s">
        <v>4294</v>
      </c>
    </row>
    <row r="15" customFormat="false" ht="42" hidden="false" customHeight="true" outlineLevel="0" collapsed="false">
      <c r="A15" s="19" t="s">
        <v>4311</v>
      </c>
      <c r="B15" s="19" t="s">
        <v>4312</v>
      </c>
      <c r="C15" s="19" t="s">
        <v>4294</v>
      </c>
    </row>
    <row r="16" customFormat="false" ht="42" hidden="false" customHeight="true" outlineLevel="0" collapsed="false">
      <c r="A16" s="20" t="s">
        <v>4313</v>
      </c>
      <c r="B16" s="20" t="s">
        <v>4314</v>
      </c>
      <c r="C16" s="20" t="s">
        <v>4294</v>
      </c>
    </row>
    <row r="17" customFormat="false" ht="42" hidden="false" customHeight="true" outlineLevel="0" collapsed="false">
      <c r="A17" s="19" t="s">
        <v>4315</v>
      </c>
      <c r="B17" s="19" t="s">
        <v>4316</v>
      </c>
      <c r="C17" s="19" t="s">
        <v>4294</v>
      </c>
    </row>
    <row r="18" customFormat="false" ht="42" hidden="false" customHeight="true" outlineLevel="0" collapsed="false">
      <c r="A18" s="20" t="s">
        <v>4317</v>
      </c>
      <c r="B18" s="20" t="s">
        <v>4318</v>
      </c>
      <c r="C18" s="20" t="s">
        <v>4294</v>
      </c>
    </row>
    <row r="19" customFormat="false" ht="42" hidden="false" customHeight="true" outlineLevel="0" collapsed="false">
      <c r="A19" s="19" t="s">
        <v>4319</v>
      </c>
      <c r="B19" s="19" t="s">
        <v>4320</v>
      </c>
      <c r="C19" s="19" t="s">
        <v>4294</v>
      </c>
    </row>
    <row r="20" customFormat="false" ht="42" hidden="false" customHeight="true" outlineLevel="0" collapsed="false">
      <c r="A20" s="20" t="s">
        <v>4321</v>
      </c>
      <c r="B20" s="20" t="s">
        <v>4322</v>
      </c>
      <c r="C20" s="20" t="s">
        <v>4294</v>
      </c>
    </row>
    <row r="21" customFormat="false" ht="42" hidden="false" customHeight="true" outlineLevel="0" collapsed="false">
      <c r="A21" s="19" t="s">
        <v>4323</v>
      </c>
      <c r="B21" s="19" t="s">
        <v>4324</v>
      </c>
      <c r="C21" s="19" t="s">
        <v>4294</v>
      </c>
    </row>
    <row r="22" customFormat="false" ht="42" hidden="false" customHeight="true" outlineLevel="0" collapsed="false">
      <c r="A22" s="20" t="s">
        <v>4325</v>
      </c>
      <c r="B22" s="20" t="s">
        <v>4326</v>
      </c>
      <c r="C22" s="20" t="s">
        <v>4294</v>
      </c>
    </row>
    <row r="23" customFormat="false" ht="42" hidden="false" customHeight="true" outlineLevel="0" collapsed="false">
      <c r="A23" s="19" t="s">
        <v>4327</v>
      </c>
      <c r="B23" s="19" t="s">
        <v>4328</v>
      </c>
      <c r="C23" s="19" t="s">
        <v>4294</v>
      </c>
    </row>
    <row r="24" customFormat="false" ht="42" hidden="false" customHeight="true" outlineLevel="0" collapsed="false">
      <c r="A24" s="20" t="s">
        <v>4329</v>
      </c>
      <c r="B24" s="20" t="s">
        <v>4330</v>
      </c>
      <c r="C24" s="20" t="s">
        <v>4294</v>
      </c>
    </row>
    <row r="25" customFormat="false" ht="42" hidden="false" customHeight="true" outlineLevel="0" collapsed="false">
      <c r="A25" s="19" t="s">
        <v>4331</v>
      </c>
      <c r="B25" s="19" t="s">
        <v>4332</v>
      </c>
      <c r="C25" s="19" t="s">
        <v>4294</v>
      </c>
    </row>
    <row r="26" customFormat="false" ht="42" hidden="false" customHeight="true" outlineLevel="0" collapsed="false">
      <c r="A26" s="20" t="s">
        <v>4333</v>
      </c>
      <c r="B26" s="20" t="s">
        <v>4334</v>
      </c>
      <c r="C26" s="20" t="s">
        <v>4294</v>
      </c>
    </row>
    <row r="27" customFormat="false" ht="42" hidden="false" customHeight="true" outlineLevel="0" collapsed="false">
      <c r="A27" s="19" t="s">
        <v>4335</v>
      </c>
      <c r="B27" s="19" t="s">
        <v>4336</v>
      </c>
      <c r="C27" s="19" t="s">
        <v>4294</v>
      </c>
    </row>
    <row r="28" customFormat="false" ht="42" hidden="false" customHeight="true" outlineLevel="0" collapsed="false">
      <c r="A28" s="20" t="s">
        <v>4337</v>
      </c>
      <c r="B28" s="20" t="s">
        <v>4338</v>
      </c>
      <c r="C28" s="20" t="s">
        <v>4294</v>
      </c>
    </row>
    <row r="29" customFormat="false" ht="42" hidden="false" customHeight="true" outlineLevel="0" collapsed="false">
      <c r="A29" s="19" t="s">
        <v>4339</v>
      </c>
      <c r="B29" s="19" t="s">
        <v>4340</v>
      </c>
      <c r="C29" s="19" t="s">
        <v>4294</v>
      </c>
    </row>
    <row r="30" customFormat="false" ht="42" hidden="false" customHeight="true" outlineLevel="0" collapsed="false">
      <c r="A30" s="20" t="s">
        <v>4341</v>
      </c>
      <c r="B30" s="20" t="s">
        <v>4342</v>
      </c>
      <c r="C30" s="20" t="s">
        <v>4294</v>
      </c>
    </row>
    <row r="31" customFormat="false" ht="42" hidden="false" customHeight="true" outlineLevel="0" collapsed="false">
      <c r="A31" s="19" t="s">
        <v>4343</v>
      </c>
      <c r="B31" s="19" t="s">
        <v>4344</v>
      </c>
      <c r="C31" s="19" t="s">
        <v>4294</v>
      </c>
    </row>
    <row r="32" customFormat="false" ht="42" hidden="false" customHeight="true" outlineLevel="0" collapsed="false">
      <c r="A32" s="20" t="s">
        <v>4345</v>
      </c>
      <c r="B32" s="20" t="s">
        <v>4346</v>
      </c>
      <c r="C32" s="20" t="s">
        <v>4294</v>
      </c>
    </row>
    <row r="33" customFormat="false" ht="42" hidden="false" customHeight="true" outlineLevel="0" collapsed="false">
      <c r="A33" s="19" t="s">
        <v>4347</v>
      </c>
      <c r="B33" s="19" t="s">
        <v>4348</v>
      </c>
      <c r="C33" s="19" t="s">
        <v>4294</v>
      </c>
    </row>
    <row r="34" customFormat="false" ht="42" hidden="false" customHeight="true" outlineLevel="0" collapsed="false">
      <c r="A34" s="20" t="s">
        <v>4349</v>
      </c>
      <c r="B34" s="20" t="s">
        <v>4350</v>
      </c>
      <c r="C34" s="20" t="s">
        <v>4294</v>
      </c>
    </row>
    <row r="35" customFormat="false" ht="42" hidden="false" customHeight="true" outlineLevel="0" collapsed="false">
      <c r="A35" s="19" t="s">
        <v>4351</v>
      </c>
      <c r="B35" s="19" t="s">
        <v>4352</v>
      </c>
      <c r="C35" s="19" t="s">
        <v>4294</v>
      </c>
    </row>
    <row r="36" customFormat="false" ht="42" hidden="false" customHeight="true" outlineLevel="0" collapsed="false">
      <c r="A36" s="20" t="s">
        <v>4353</v>
      </c>
      <c r="B36" s="20" t="s">
        <v>4354</v>
      </c>
      <c r="C36" s="20" t="s">
        <v>4294</v>
      </c>
    </row>
    <row r="37" customFormat="false" ht="42" hidden="false" customHeight="true" outlineLevel="0" collapsed="false">
      <c r="A37" s="19" t="s">
        <v>4355</v>
      </c>
      <c r="B37" s="19" t="s">
        <v>4356</v>
      </c>
      <c r="C37" s="19" t="s">
        <v>4294</v>
      </c>
    </row>
    <row r="38" customFormat="false" ht="42" hidden="false" customHeight="true" outlineLevel="0" collapsed="false">
      <c r="A38" s="20" t="s">
        <v>4357</v>
      </c>
      <c r="B38" s="20" t="s">
        <v>4358</v>
      </c>
      <c r="C38" s="20" t="s">
        <v>4294</v>
      </c>
    </row>
    <row r="39" customFormat="false" ht="42" hidden="false" customHeight="true" outlineLevel="0" collapsed="false">
      <c r="A39" s="19" t="s">
        <v>4359</v>
      </c>
      <c r="B39" s="19" t="s">
        <v>4360</v>
      </c>
      <c r="C39" s="19" t="s">
        <v>4294</v>
      </c>
    </row>
    <row r="40" customFormat="false" ht="42" hidden="false" customHeight="true" outlineLevel="0" collapsed="false">
      <c r="A40" s="20" t="s">
        <v>4361</v>
      </c>
      <c r="B40" s="20" t="s">
        <v>4362</v>
      </c>
      <c r="C40" s="20" t="s">
        <v>4294</v>
      </c>
    </row>
    <row r="41" customFormat="false" ht="42" hidden="false" customHeight="true" outlineLevel="0" collapsed="false">
      <c r="A41" s="19" t="s">
        <v>4363</v>
      </c>
      <c r="B41" s="19" t="s">
        <v>4364</v>
      </c>
      <c r="C41" s="19" t="s">
        <v>4294</v>
      </c>
    </row>
    <row r="42" customFormat="false" ht="42" hidden="false" customHeight="true" outlineLevel="0" collapsed="false">
      <c r="A42" s="20" t="s">
        <v>4365</v>
      </c>
      <c r="B42" s="20" t="s">
        <v>4366</v>
      </c>
      <c r="C42" s="20" t="s">
        <v>4294</v>
      </c>
    </row>
    <row r="43" customFormat="false" ht="42" hidden="false" customHeight="true" outlineLevel="0" collapsed="false">
      <c r="A43" s="19" t="s">
        <v>4367</v>
      </c>
      <c r="B43" s="19" t="s">
        <v>4368</v>
      </c>
      <c r="C43" s="19" t="s">
        <v>4294</v>
      </c>
    </row>
    <row r="44" customFormat="false" ht="42" hidden="false" customHeight="true" outlineLevel="0" collapsed="false">
      <c r="A44" s="20" t="s">
        <v>4369</v>
      </c>
      <c r="B44" s="20" t="s">
        <v>4370</v>
      </c>
      <c r="C44" s="20" t="s">
        <v>4294</v>
      </c>
    </row>
    <row r="45" customFormat="false" ht="42" hidden="false" customHeight="true" outlineLevel="0" collapsed="false">
      <c r="A45" s="19" t="s">
        <v>4371</v>
      </c>
      <c r="B45" s="19" t="s">
        <v>4372</v>
      </c>
      <c r="C45" s="19" t="s">
        <v>4294</v>
      </c>
    </row>
    <row r="46" customFormat="false" ht="42" hidden="false" customHeight="true" outlineLevel="0" collapsed="false">
      <c r="A46" s="20" t="s">
        <v>4373</v>
      </c>
      <c r="B46" s="20" t="s">
        <v>4374</v>
      </c>
      <c r="C46" s="20" t="s">
        <v>4294</v>
      </c>
    </row>
    <row r="47" customFormat="false" ht="42" hidden="false" customHeight="true" outlineLevel="0" collapsed="false">
      <c r="A47" s="19" t="s">
        <v>4375</v>
      </c>
      <c r="B47" s="19" t="s">
        <v>4376</v>
      </c>
      <c r="C47" s="19" t="s">
        <v>4294</v>
      </c>
    </row>
    <row r="48" customFormat="false" ht="42" hidden="false" customHeight="true" outlineLevel="0" collapsed="false">
      <c r="A48" s="20" t="s">
        <v>4377</v>
      </c>
      <c r="B48" s="20" t="s">
        <v>4378</v>
      </c>
      <c r="C48" s="20" t="s">
        <v>4294</v>
      </c>
    </row>
    <row r="49" customFormat="false" ht="42" hidden="false" customHeight="true" outlineLevel="0" collapsed="false">
      <c r="A49" s="19" t="s">
        <v>4379</v>
      </c>
      <c r="B49" s="19" t="s">
        <v>4380</v>
      </c>
      <c r="C49" s="19" t="s">
        <v>4294</v>
      </c>
    </row>
    <row r="50" customFormat="false" ht="42" hidden="false" customHeight="true" outlineLevel="0" collapsed="false">
      <c r="A50" s="20" t="s">
        <v>4381</v>
      </c>
      <c r="B50" s="20" t="s">
        <v>4382</v>
      </c>
      <c r="C50" s="20" t="s">
        <v>4294</v>
      </c>
    </row>
    <row r="51" customFormat="false" ht="42" hidden="false" customHeight="true" outlineLevel="0" collapsed="false">
      <c r="A51" s="19" t="s">
        <v>4383</v>
      </c>
      <c r="B51" s="19" t="s">
        <v>4384</v>
      </c>
      <c r="C51" s="19" t="s">
        <v>4294</v>
      </c>
    </row>
    <row r="52" customFormat="false" ht="42" hidden="false" customHeight="true" outlineLevel="0" collapsed="false">
      <c r="A52" s="20" t="s">
        <v>4385</v>
      </c>
      <c r="B52" s="20" t="s">
        <v>4386</v>
      </c>
      <c r="C52" s="20" t="s">
        <v>4294</v>
      </c>
    </row>
    <row r="53" customFormat="false" ht="42" hidden="false" customHeight="true" outlineLevel="0" collapsed="false">
      <c r="A53" s="19" t="s">
        <v>4387</v>
      </c>
      <c r="B53" s="19" t="s">
        <v>4388</v>
      </c>
      <c r="C53" s="19" t="s">
        <v>4294</v>
      </c>
    </row>
    <row r="54" customFormat="false" ht="42" hidden="false" customHeight="true" outlineLevel="0" collapsed="false">
      <c r="A54" s="20" t="s">
        <v>4389</v>
      </c>
      <c r="B54" s="20" t="s">
        <v>4390</v>
      </c>
      <c r="C54" s="20" t="s">
        <v>4294</v>
      </c>
    </row>
    <row r="55" customFormat="false" ht="42" hidden="false" customHeight="true" outlineLevel="0" collapsed="false">
      <c r="A55" s="19" t="s">
        <v>4391</v>
      </c>
      <c r="B55" s="19" t="s">
        <v>4392</v>
      </c>
      <c r="C55" s="19" t="s">
        <v>4294</v>
      </c>
    </row>
    <row r="56" customFormat="false" ht="42" hidden="false" customHeight="true" outlineLevel="0" collapsed="false">
      <c r="A56" s="20" t="s">
        <v>4393</v>
      </c>
      <c r="B56" s="20" t="s">
        <v>4394</v>
      </c>
      <c r="C56" s="20" t="s">
        <v>4294</v>
      </c>
    </row>
    <row r="57" customFormat="false" ht="42" hidden="false" customHeight="true" outlineLevel="0" collapsed="false">
      <c r="A57" s="19" t="s">
        <v>4395</v>
      </c>
      <c r="B57" s="19" t="s">
        <v>4396</v>
      </c>
      <c r="C57" s="19" t="s">
        <v>4294</v>
      </c>
    </row>
    <row r="58" customFormat="false" ht="42" hidden="false" customHeight="true" outlineLevel="0" collapsed="false">
      <c r="A58" s="20" t="s">
        <v>4397</v>
      </c>
      <c r="B58" s="20" t="s">
        <v>4398</v>
      </c>
      <c r="C58" s="20" t="s">
        <v>4294</v>
      </c>
    </row>
    <row r="59" customFormat="false" ht="42" hidden="false" customHeight="true" outlineLevel="0" collapsed="false">
      <c r="A59" s="19" t="s">
        <v>4399</v>
      </c>
      <c r="B59" s="19" t="s">
        <v>4400</v>
      </c>
      <c r="C59" s="19" t="s">
        <v>4294</v>
      </c>
    </row>
    <row r="60" customFormat="false" ht="42" hidden="false" customHeight="true" outlineLevel="0" collapsed="false">
      <c r="A60" s="20" t="s">
        <v>4401</v>
      </c>
      <c r="B60" s="20" t="s">
        <v>4402</v>
      </c>
      <c r="C60" s="20" t="s">
        <v>4294</v>
      </c>
    </row>
    <row r="61" customFormat="false" ht="42" hidden="false" customHeight="true" outlineLevel="0" collapsed="false">
      <c r="A61" s="19" t="s">
        <v>4403</v>
      </c>
      <c r="B61" s="19" t="s">
        <v>4404</v>
      </c>
      <c r="C61" s="19" t="s">
        <v>4294</v>
      </c>
    </row>
    <row r="62" customFormat="false" ht="42" hidden="false" customHeight="true" outlineLevel="0" collapsed="false">
      <c r="A62" s="20" t="s">
        <v>4405</v>
      </c>
      <c r="B62" s="20" t="s">
        <v>4406</v>
      </c>
      <c r="C62" s="20" t="s">
        <v>4294</v>
      </c>
    </row>
    <row r="63" customFormat="false" ht="42" hidden="false" customHeight="true" outlineLevel="0" collapsed="false">
      <c r="A63" s="19" t="s">
        <v>4407</v>
      </c>
      <c r="B63" s="19" t="s">
        <v>4408</v>
      </c>
      <c r="C63" s="19" t="s">
        <v>4294</v>
      </c>
    </row>
    <row r="64" customFormat="false" ht="42" hidden="false" customHeight="true" outlineLevel="0" collapsed="false">
      <c r="A64" s="20" t="s">
        <v>4409</v>
      </c>
      <c r="B64" s="20" t="s">
        <v>4410</v>
      </c>
      <c r="C64" s="20" t="s">
        <v>4294</v>
      </c>
    </row>
    <row r="65" customFormat="false" ht="42" hidden="false" customHeight="true" outlineLevel="0" collapsed="false">
      <c r="A65" s="19" t="s">
        <v>4411</v>
      </c>
      <c r="B65" s="19" t="s">
        <v>4412</v>
      </c>
      <c r="C65" s="19" t="s">
        <v>4294</v>
      </c>
    </row>
    <row r="66" customFormat="false" ht="42" hidden="false" customHeight="true" outlineLevel="0" collapsed="false">
      <c r="A66" s="20" t="s">
        <v>4413</v>
      </c>
      <c r="B66" s="20" t="s">
        <v>4414</v>
      </c>
      <c r="C66" s="20" t="s">
        <v>4294</v>
      </c>
    </row>
    <row r="67" customFormat="false" ht="42" hidden="false" customHeight="true" outlineLevel="0" collapsed="false">
      <c r="A67" s="19" t="s">
        <v>4415</v>
      </c>
      <c r="B67" s="19" t="s">
        <v>4416</v>
      </c>
      <c r="C67" s="19" t="s">
        <v>4294</v>
      </c>
    </row>
    <row r="68" customFormat="false" ht="42" hidden="false" customHeight="true" outlineLevel="0" collapsed="false">
      <c r="A68" s="20" t="s">
        <v>4417</v>
      </c>
      <c r="B68" s="20" t="s">
        <v>4418</v>
      </c>
      <c r="C68" s="20" t="s">
        <v>4294</v>
      </c>
    </row>
    <row r="69" customFormat="false" ht="42" hidden="false" customHeight="true" outlineLevel="0" collapsed="false">
      <c r="A69" s="19" t="s">
        <v>4419</v>
      </c>
      <c r="B69" s="19" t="s">
        <v>4420</v>
      </c>
      <c r="C69" s="19" t="s">
        <v>4294</v>
      </c>
    </row>
    <row r="70" customFormat="false" ht="42" hidden="false" customHeight="true" outlineLevel="0" collapsed="false">
      <c r="A70" s="20" t="s">
        <v>4421</v>
      </c>
      <c r="B70" s="20" t="s">
        <v>4422</v>
      </c>
      <c r="C70" s="20" t="s">
        <v>4294</v>
      </c>
    </row>
    <row r="71" customFormat="false" ht="42" hidden="false" customHeight="true" outlineLevel="0" collapsed="false">
      <c r="A71" s="19" t="s">
        <v>4423</v>
      </c>
      <c r="B71" s="19" t="s">
        <v>4424</v>
      </c>
      <c r="C71" s="19" t="s">
        <v>4294</v>
      </c>
    </row>
    <row r="72" customFormat="false" ht="42" hidden="false" customHeight="true" outlineLevel="0" collapsed="false">
      <c r="A72" s="20" t="s">
        <v>4425</v>
      </c>
      <c r="B72" s="20" t="s">
        <v>4426</v>
      </c>
      <c r="C72" s="20" t="s">
        <v>4294</v>
      </c>
    </row>
    <row r="73" customFormat="false" ht="42" hidden="false" customHeight="true" outlineLevel="0" collapsed="false">
      <c r="A73" s="19" t="s">
        <v>4427</v>
      </c>
      <c r="B73" s="19" t="s">
        <v>4428</v>
      </c>
      <c r="C73" s="19" t="s">
        <v>4294</v>
      </c>
    </row>
    <row r="74" customFormat="false" ht="42" hidden="false" customHeight="true" outlineLevel="0" collapsed="false">
      <c r="A74" s="20" t="s">
        <v>4429</v>
      </c>
      <c r="B74" s="20" t="s">
        <v>4430</v>
      </c>
      <c r="C74" s="20" t="s">
        <v>4294</v>
      </c>
    </row>
    <row r="75" customFormat="false" ht="42" hidden="false" customHeight="true" outlineLevel="0" collapsed="false">
      <c r="A75" s="19" t="s">
        <v>4431</v>
      </c>
      <c r="B75" s="19" t="s">
        <v>4432</v>
      </c>
      <c r="C75" s="19" t="s">
        <v>4294</v>
      </c>
    </row>
    <row r="76" customFormat="false" ht="42" hidden="false" customHeight="true" outlineLevel="0" collapsed="false">
      <c r="A76" s="20" t="s">
        <v>4433</v>
      </c>
      <c r="B76" s="20" t="s">
        <v>4434</v>
      </c>
      <c r="C76" s="20" t="s">
        <v>4294</v>
      </c>
    </row>
    <row r="77" customFormat="false" ht="42" hidden="false" customHeight="true" outlineLevel="0" collapsed="false">
      <c r="A77" s="19" t="s">
        <v>4435</v>
      </c>
      <c r="B77" s="19" t="s">
        <v>4436</v>
      </c>
      <c r="C77" s="19" t="s">
        <v>4294</v>
      </c>
    </row>
    <row r="78" customFormat="false" ht="42" hidden="false" customHeight="true" outlineLevel="0" collapsed="false">
      <c r="A78" s="20" t="s">
        <v>4437</v>
      </c>
      <c r="B78" s="20" t="s">
        <v>4438</v>
      </c>
      <c r="C78" s="20" t="s">
        <v>4294</v>
      </c>
    </row>
    <row r="79" customFormat="false" ht="42" hidden="false" customHeight="true" outlineLevel="0" collapsed="false">
      <c r="A79" s="19" t="s">
        <v>4439</v>
      </c>
      <c r="B79" s="19" t="s">
        <v>4440</v>
      </c>
      <c r="C79" s="19" t="s">
        <v>4294</v>
      </c>
    </row>
    <row r="80" customFormat="false" ht="42" hidden="false" customHeight="true" outlineLevel="0" collapsed="false">
      <c r="A80" s="20" t="s">
        <v>4441</v>
      </c>
      <c r="B80" s="20" t="s">
        <v>4442</v>
      </c>
      <c r="C80" s="20" t="s">
        <v>4294</v>
      </c>
    </row>
    <row r="81" customFormat="false" ht="42" hidden="false" customHeight="true" outlineLevel="0" collapsed="false">
      <c r="A81" s="19" t="s">
        <v>4443</v>
      </c>
      <c r="B81" s="19" t="s">
        <v>4444</v>
      </c>
      <c r="C81" s="19" t="s">
        <v>4294</v>
      </c>
    </row>
    <row r="82" customFormat="false" ht="42" hidden="false" customHeight="true" outlineLevel="0" collapsed="false">
      <c r="A82" s="20" t="s">
        <v>4445</v>
      </c>
      <c r="B82" s="20" t="s">
        <v>4446</v>
      </c>
      <c r="C82" s="20" t="s">
        <v>4294</v>
      </c>
    </row>
    <row r="83" customFormat="false" ht="42" hidden="false" customHeight="true" outlineLevel="0" collapsed="false">
      <c r="A83" s="19" t="s">
        <v>4447</v>
      </c>
      <c r="B83" s="19" t="s">
        <v>4448</v>
      </c>
      <c r="C83" s="19" t="s">
        <v>4294</v>
      </c>
    </row>
    <row r="84" customFormat="false" ht="42" hidden="false" customHeight="true" outlineLevel="0" collapsed="false">
      <c r="A84" s="20" t="s">
        <v>4449</v>
      </c>
      <c r="B84" s="20" t="s">
        <v>4450</v>
      </c>
      <c r="C84" s="20" t="s">
        <v>4294</v>
      </c>
    </row>
    <row r="85" customFormat="false" ht="42" hidden="false" customHeight="true" outlineLevel="0" collapsed="false">
      <c r="A85" s="19" t="s">
        <v>4451</v>
      </c>
      <c r="B85" s="19" t="s">
        <v>4452</v>
      </c>
      <c r="C85" s="19" t="s">
        <v>4294</v>
      </c>
    </row>
    <row r="86" customFormat="false" ht="42" hidden="false" customHeight="true" outlineLevel="0" collapsed="false">
      <c r="A86" s="20" t="s">
        <v>4453</v>
      </c>
      <c r="B86" s="20" t="s">
        <v>4454</v>
      </c>
      <c r="C86" s="20" t="s">
        <v>4294</v>
      </c>
    </row>
    <row r="87" customFormat="false" ht="42" hidden="false" customHeight="true" outlineLevel="0" collapsed="false">
      <c r="A87" s="19" t="s">
        <v>4455</v>
      </c>
      <c r="B87" s="19" t="s">
        <v>4456</v>
      </c>
      <c r="C87" s="19" t="s">
        <v>4294</v>
      </c>
    </row>
    <row r="88" customFormat="false" ht="42" hidden="false" customHeight="true" outlineLevel="0" collapsed="false">
      <c r="A88" s="20" t="s">
        <v>4457</v>
      </c>
      <c r="B88" s="20" t="s">
        <v>4458</v>
      </c>
      <c r="C88" s="20" t="s">
        <v>4294</v>
      </c>
    </row>
    <row r="89" customFormat="false" ht="42" hidden="false" customHeight="true" outlineLevel="0" collapsed="false">
      <c r="A89" s="19" t="s">
        <v>4459</v>
      </c>
      <c r="B89" s="19" t="s">
        <v>4460</v>
      </c>
      <c r="C89" s="19" t="s">
        <v>4294</v>
      </c>
    </row>
    <row r="90" customFormat="false" ht="42" hidden="false" customHeight="true" outlineLevel="0" collapsed="false">
      <c r="A90" s="20" t="s">
        <v>4461</v>
      </c>
      <c r="B90" s="20" t="s">
        <v>4462</v>
      </c>
      <c r="C90" s="20" t="s">
        <v>4294</v>
      </c>
    </row>
    <row r="91" customFormat="false" ht="42" hidden="false" customHeight="true" outlineLevel="0" collapsed="false">
      <c r="A91" s="19" t="s">
        <v>4463</v>
      </c>
      <c r="B91" s="19" t="s">
        <v>4464</v>
      </c>
      <c r="C91" s="19" t="s">
        <v>4294</v>
      </c>
    </row>
    <row r="92" customFormat="false" ht="42" hidden="false" customHeight="true" outlineLevel="0" collapsed="false">
      <c r="A92" s="20" t="s">
        <v>4465</v>
      </c>
      <c r="B92" s="20" t="s">
        <v>4466</v>
      </c>
      <c r="C92" s="20" t="s">
        <v>4294</v>
      </c>
    </row>
    <row r="93" customFormat="false" ht="42" hidden="false" customHeight="true" outlineLevel="0" collapsed="false">
      <c r="A93" s="19" t="s">
        <v>4467</v>
      </c>
      <c r="B93" s="19" t="s">
        <v>4468</v>
      </c>
      <c r="C93" s="19" t="s">
        <v>4294</v>
      </c>
    </row>
    <row r="94" customFormat="false" ht="42" hidden="false" customHeight="true" outlineLevel="0" collapsed="false">
      <c r="A94" s="20" t="s">
        <v>4469</v>
      </c>
      <c r="B94" s="20" t="s">
        <v>4470</v>
      </c>
      <c r="C94" s="20" t="s">
        <v>4294</v>
      </c>
    </row>
    <row r="95" customFormat="false" ht="42" hidden="false" customHeight="true" outlineLevel="0" collapsed="false">
      <c r="A95" s="19" t="s">
        <v>4471</v>
      </c>
      <c r="B95" s="19" t="s">
        <v>4472</v>
      </c>
      <c r="C95" s="19" t="s">
        <v>4294</v>
      </c>
    </row>
    <row r="96" customFormat="false" ht="42" hidden="false" customHeight="true" outlineLevel="0" collapsed="false">
      <c r="A96" s="20" t="s">
        <v>4473</v>
      </c>
      <c r="B96" s="20" t="s">
        <v>4474</v>
      </c>
      <c r="C96" s="20" t="s">
        <v>4294</v>
      </c>
    </row>
    <row r="97" customFormat="false" ht="42" hidden="false" customHeight="true" outlineLevel="0" collapsed="false">
      <c r="A97" s="19" t="s">
        <v>4475</v>
      </c>
      <c r="B97" s="19" t="s">
        <v>4476</v>
      </c>
      <c r="C97" s="19" t="s">
        <v>4294</v>
      </c>
    </row>
    <row r="98" customFormat="false" ht="42" hidden="false" customHeight="true" outlineLevel="0" collapsed="false">
      <c r="A98" s="20" t="s">
        <v>4477</v>
      </c>
      <c r="B98" s="20" t="s">
        <v>4478</v>
      </c>
      <c r="C98" s="20" t="s">
        <v>4294</v>
      </c>
    </row>
    <row r="99" customFormat="false" ht="42" hidden="false" customHeight="true" outlineLevel="0" collapsed="false">
      <c r="A99" s="19" t="s">
        <v>4479</v>
      </c>
      <c r="B99" s="19" t="s">
        <v>4480</v>
      </c>
      <c r="C99" s="19" t="s">
        <v>4294</v>
      </c>
    </row>
    <row r="100" customFormat="false" ht="42" hidden="false" customHeight="true" outlineLevel="0" collapsed="false">
      <c r="A100" s="20" t="s">
        <v>4481</v>
      </c>
      <c r="B100" s="20" t="s">
        <v>4482</v>
      </c>
      <c r="C100" s="20" t="s">
        <v>4294</v>
      </c>
    </row>
    <row r="101" customFormat="false" ht="42" hidden="false" customHeight="true" outlineLevel="0" collapsed="false">
      <c r="A101" s="19" t="s">
        <v>4483</v>
      </c>
      <c r="B101" s="19" t="s">
        <v>4484</v>
      </c>
      <c r="C101" s="19" t="s">
        <v>4294</v>
      </c>
    </row>
    <row r="102" customFormat="false" ht="42" hidden="false" customHeight="true" outlineLevel="0" collapsed="false">
      <c r="A102" s="20" t="s">
        <v>4485</v>
      </c>
      <c r="B102" s="20" t="s">
        <v>4486</v>
      </c>
      <c r="C102" s="20" t="s">
        <v>4294</v>
      </c>
    </row>
    <row r="103" customFormat="false" ht="42" hidden="false" customHeight="true" outlineLevel="0" collapsed="false">
      <c r="A103" s="19" t="s">
        <v>4487</v>
      </c>
      <c r="B103" s="19" t="s">
        <v>4488</v>
      </c>
      <c r="C103" s="19" t="s">
        <v>4294</v>
      </c>
    </row>
    <row r="104" customFormat="false" ht="42" hidden="false" customHeight="true" outlineLevel="0" collapsed="false">
      <c r="A104" s="20" t="s">
        <v>4489</v>
      </c>
      <c r="B104" s="20" t="s">
        <v>4490</v>
      </c>
      <c r="C104" s="20" t="s">
        <v>4294</v>
      </c>
    </row>
    <row r="105" customFormat="false" ht="42" hidden="false" customHeight="true" outlineLevel="0" collapsed="false">
      <c r="A105" s="19" t="s">
        <v>4491</v>
      </c>
      <c r="B105" s="19" t="s">
        <v>4492</v>
      </c>
      <c r="C105" s="19" t="s">
        <v>4294</v>
      </c>
    </row>
  </sheetData>
  <autoFilter ref="A5:C105"/>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0" width="13"/>
    <col collapsed="false" customWidth="true" hidden="false" outlineLevel="0" max="2" min="2" style="10" width="29"/>
    <col collapsed="false" customWidth="true" hidden="false" outlineLevel="0" max="3" min="3" style="10" width="53"/>
    <col collapsed="false" customWidth="true" hidden="false" outlineLevel="0" max="4" min="4" style="10" width="48"/>
    <col collapsed="false" customWidth="true" hidden="false" outlineLevel="0" max="6" min="5" style="10" width="115"/>
  </cols>
  <sheetData>
    <row r="1" customFormat="false" ht="33.75" hidden="false" customHeight="true" outlineLevel="0" collapsed="false">
      <c r="A1" s="54" t="s">
        <v>4493</v>
      </c>
      <c r="B1" s="54"/>
      <c r="C1" s="54"/>
      <c r="D1" s="54"/>
      <c r="E1" s="54"/>
      <c r="F1" s="54"/>
    </row>
    <row r="2" customFormat="false" ht="24.75" hidden="false" customHeight="true" outlineLevel="0" collapsed="false">
      <c r="A2" s="55" t="s">
        <v>4494</v>
      </c>
      <c r="B2" s="55"/>
      <c r="C2" s="55"/>
      <c r="D2" s="55"/>
      <c r="E2" s="55"/>
      <c r="F2" s="55"/>
    </row>
    <row r="3" customFormat="false" ht="24.75" hidden="false" customHeight="true" outlineLevel="0" collapsed="false">
      <c r="A3" s="55"/>
      <c r="B3" s="55"/>
      <c r="C3" s="55"/>
      <c r="D3" s="55"/>
      <c r="E3" s="55"/>
      <c r="F3" s="55"/>
    </row>
    <row r="5" customFormat="false" ht="48" hidden="false" customHeight="true" outlineLevel="0" collapsed="false">
      <c r="A5" s="22" t="s">
        <v>307</v>
      </c>
      <c r="B5" s="22" t="s">
        <v>329</v>
      </c>
      <c r="C5" s="22" t="s">
        <v>2847</v>
      </c>
      <c r="D5" s="22" t="s">
        <v>310</v>
      </c>
      <c r="E5" s="22" t="s">
        <v>1178</v>
      </c>
      <c r="F5" s="22" t="s">
        <v>732</v>
      </c>
    </row>
    <row r="6" customFormat="false" ht="99.75" hidden="false" customHeight="true" outlineLevel="0" collapsed="false">
      <c r="A6" s="20" t="s">
        <v>2848</v>
      </c>
      <c r="B6" s="20" t="s">
        <v>8</v>
      </c>
      <c r="C6" s="20" t="s">
        <v>735</v>
      </c>
      <c r="D6" s="20" t="s">
        <v>2417</v>
      </c>
      <c r="E6" s="20" t="s">
        <v>2849</v>
      </c>
      <c r="F6" s="20" t="s">
        <v>2850</v>
      </c>
    </row>
    <row r="7" customFormat="false" ht="99.75" hidden="false" customHeight="true" outlineLevel="0" collapsed="false">
      <c r="A7" s="19" t="s">
        <v>2851</v>
      </c>
      <c r="B7" s="19" t="s">
        <v>8</v>
      </c>
      <c r="C7" s="19" t="s">
        <v>2852</v>
      </c>
      <c r="D7" s="19" t="s">
        <v>2853</v>
      </c>
      <c r="E7" s="19" t="s">
        <v>2854</v>
      </c>
      <c r="F7" s="19" t="s">
        <v>2855</v>
      </c>
    </row>
    <row r="8" customFormat="false" ht="99.75" hidden="false" customHeight="true" outlineLevel="0" collapsed="false">
      <c r="A8" s="20" t="s">
        <v>2856</v>
      </c>
      <c r="B8" s="20" t="s">
        <v>8</v>
      </c>
      <c r="C8" s="20" t="s">
        <v>735</v>
      </c>
      <c r="D8" s="20" t="s">
        <v>2417</v>
      </c>
      <c r="E8" s="20" t="s">
        <v>2857</v>
      </c>
      <c r="F8" s="20" t="s">
        <v>2858</v>
      </c>
    </row>
    <row r="9" customFormat="false" ht="99.75" hidden="false" customHeight="true" outlineLevel="0" collapsed="false">
      <c r="A9" s="19" t="s">
        <v>2859</v>
      </c>
      <c r="B9" s="19" t="s">
        <v>2860</v>
      </c>
      <c r="C9" s="19" t="s">
        <v>239</v>
      </c>
      <c r="D9" s="19" t="s">
        <v>2417</v>
      </c>
      <c r="E9" s="19" t="s">
        <v>2861</v>
      </c>
      <c r="F9" s="19" t="s">
        <v>2862</v>
      </c>
    </row>
    <row r="10" customFormat="false" ht="99.75" hidden="false" customHeight="true" outlineLevel="0" collapsed="false">
      <c r="A10" s="20" t="s">
        <v>2863</v>
      </c>
      <c r="B10" s="20" t="s">
        <v>2860</v>
      </c>
      <c r="C10" s="20" t="s">
        <v>735</v>
      </c>
      <c r="D10" s="20" t="s">
        <v>2417</v>
      </c>
      <c r="E10" s="20" t="s">
        <v>2864</v>
      </c>
      <c r="F10" s="20" t="s">
        <v>2865</v>
      </c>
    </row>
    <row r="11" customFormat="false" ht="99.75" hidden="false" customHeight="true" outlineLevel="0" collapsed="false">
      <c r="A11" s="19" t="s">
        <v>2866</v>
      </c>
      <c r="B11" s="19" t="s">
        <v>2867</v>
      </c>
      <c r="C11" s="19" t="s">
        <v>239</v>
      </c>
      <c r="D11" s="19" t="s">
        <v>2417</v>
      </c>
      <c r="E11" s="19" t="s">
        <v>2868</v>
      </c>
      <c r="F11" s="19" t="s">
        <v>2869</v>
      </c>
    </row>
    <row r="12" customFormat="false" ht="99.75" hidden="false" customHeight="true" outlineLevel="0" collapsed="false">
      <c r="A12" s="20" t="s">
        <v>2870</v>
      </c>
      <c r="B12" s="20" t="s">
        <v>2871</v>
      </c>
      <c r="C12" s="20" t="s">
        <v>247</v>
      </c>
      <c r="D12" s="20" t="s">
        <v>2417</v>
      </c>
      <c r="E12" s="20" t="s">
        <v>2872</v>
      </c>
      <c r="F12" s="20" t="s">
        <v>2873</v>
      </c>
    </row>
    <row r="13" customFormat="false" ht="99.75" hidden="false" customHeight="true" outlineLevel="0" collapsed="false">
      <c r="A13" s="19" t="s">
        <v>2874</v>
      </c>
      <c r="B13" s="19" t="s">
        <v>2871</v>
      </c>
      <c r="C13" s="19" t="s">
        <v>2875</v>
      </c>
      <c r="D13" s="19" t="s">
        <v>2417</v>
      </c>
      <c r="E13" s="19" t="s">
        <v>2876</v>
      </c>
      <c r="F13" s="19" t="s">
        <v>2877</v>
      </c>
    </row>
    <row r="14" customFormat="false" ht="99.75" hidden="false" customHeight="true" outlineLevel="0" collapsed="false">
      <c r="A14" s="20" t="s">
        <v>2878</v>
      </c>
      <c r="B14" s="20" t="s">
        <v>2871</v>
      </c>
      <c r="C14" s="20" t="s">
        <v>2875</v>
      </c>
      <c r="D14" s="20" t="s">
        <v>2417</v>
      </c>
      <c r="E14" s="20" t="s">
        <v>2879</v>
      </c>
      <c r="F14" s="20" t="s">
        <v>2880</v>
      </c>
    </row>
    <row r="15" customFormat="false" ht="99.75" hidden="false" customHeight="true" outlineLevel="0" collapsed="false">
      <c r="A15" s="19" t="s">
        <v>2881</v>
      </c>
      <c r="B15" s="19" t="s">
        <v>2882</v>
      </c>
      <c r="C15" s="19" t="s">
        <v>2883</v>
      </c>
      <c r="D15" s="19" t="s">
        <v>2884</v>
      </c>
      <c r="E15" s="19" t="s">
        <v>2885</v>
      </c>
      <c r="F15" s="19" t="s">
        <v>2886</v>
      </c>
    </row>
    <row r="16" customFormat="false" ht="99.75" hidden="false" customHeight="true" outlineLevel="0" collapsed="false">
      <c r="A16" s="20" t="s">
        <v>2887</v>
      </c>
      <c r="B16" s="20" t="s">
        <v>2882</v>
      </c>
      <c r="C16" s="20" t="s">
        <v>2883</v>
      </c>
      <c r="D16" s="20" t="s">
        <v>2888</v>
      </c>
      <c r="E16" s="20" t="s">
        <v>2889</v>
      </c>
      <c r="F16" s="20" t="s">
        <v>2890</v>
      </c>
    </row>
    <row r="17" customFormat="false" ht="99.75" hidden="false" customHeight="true" outlineLevel="0" collapsed="false">
      <c r="A17" s="19" t="s">
        <v>2891</v>
      </c>
      <c r="B17" s="19" t="s">
        <v>2892</v>
      </c>
      <c r="C17" s="19" t="s">
        <v>2852</v>
      </c>
      <c r="D17" s="19" t="s">
        <v>2417</v>
      </c>
      <c r="E17" s="19" t="s">
        <v>2893</v>
      </c>
      <c r="F17" s="19" t="s">
        <v>2894</v>
      </c>
    </row>
    <row r="18" customFormat="false" ht="99.75" hidden="false" customHeight="true" outlineLevel="0" collapsed="false">
      <c r="A18" s="20" t="s">
        <v>2895</v>
      </c>
      <c r="B18" s="20" t="s">
        <v>2896</v>
      </c>
      <c r="C18" s="20" t="s">
        <v>2852</v>
      </c>
      <c r="D18" s="20" t="s">
        <v>2417</v>
      </c>
      <c r="E18" s="20" t="s">
        <v>2897</v>
      </c>
      <c r="F18" s="20" t="s">
        <v>2898</v>
      </c>
    </row>
    <row r="19" customFormat="false" ht="99.75" hidden="false" customHeight="true" outlineLevel="0" collapsed="false">
      <c r="A19" s="19" t="s">
        <v>2899</v>
      </c>
      <c r="B19" s="19" t="s">
        <v>2900</v>
      </c>
      <c r="C19" s="19" t="s">
        <v>2852</v>
      </c>
      <c r="D19" s="19" t="s">
        <v>2884</v>
      </c>
      <c r="E19" s="19" t="s">
        <v>2901</v>
      </c>
      <c r="F19" s="19" t="s">
        <v>2902</v>
      </c>
    </row>
    <row r="20" customFormat="false" ht="99.75" hidden="false" customHeight="true" outlineLevel="0" collapsed="false">
      <c r="A20" s="20" t="s">
        <v>2903</v>
      </c>
      <c r="B20" s="20" t="s">
        <v>2904</v>
      </c>
      <c r="C20" s="20" t="s">
        <v>2852</v>
      </c>
      <c r="D20" s="20" t="s">
        <v>2888</v>
      </c>
      <c r="E20" s="20" t="s">
        <v>2905</v>
      </c>
      <c r="F20" s="20" t="s">
        <v>2906</v>
      </c>
    </row>
    <row r="21" customFormat="false" ht="99.75" hidden="false" customHeight="true" outlineLevel="0" collapsed="false">
      <c r="A21" s="19" t="s">
        <v>2907</v>
      </c>
      <c r="B21" s="19" t="s">
        <v>23</v>
      </c>
      <c r="C21" s="19" t="s">
        <v>2908</v>
      </c>
      <c r="D21" s="19" t="s">
        <v>2398</v>
      </c>
      <c r="E21" s="19" t="s">
        <v>2909</v>
      </c>
      <c r="F21" s="19" t="s">
        <v>2910</v>
      </c>
    </row>
    <row r="22" customFormat="false" ht="99.75" hidden="false" customHeight="true" outlineLevel="0" collapsed="false">
      <c r="A22" s="20" t="s">
        <v>2911</v>
      </c>
      <c r="B22" s="20" t="s">
        <v>23</v>
      </c>
      <c r="C22" s="20" t="s">
        <v>2912</v>
      </c>
      <c r="D22" s="20" t="s">
        <v>2417</v>
      </c>
      <c r="E22" s="20" t="s">
        <v>2913</v>
      </c>
      <c r="F22" s="20" t="s">
        <v>2914</v>
      </c>
    </row>
    <row r="23" customFormat="false" ht="99.75" hidden="false" customHeight="true" outlineLevel="0" collapsed="false">
      <c r="A23" s="19" t="s">
        <v>2915</v>
      </c>
      <c r="B23" s="19" t="s">
        <v>2916</v>
      </c>
      <c r="C23" s="19" t="s">
        <v>252</v>
      </c>
      <c r="D23" s="19" t="s">
        <v>2417</v>
      </c>
      <c r="E23" s="19" t="s">
        <v>2917</v>
      </c>
      <c r="F23" s="19" t="s">
        <v>2918</v>
      </c>
    </row>
    <row r="24" customFormat="false" ht="99.75" hidden="false" customHeight="true" outlineLevel="0" collapsed="false">
      <c r="A24" s="20" t="s">
        <v>2919</v>
      </c>
      <c r="B24" s="20" t="s">
        <v>1215</v>
      </c>
      <c r="C24" s="20" t="s">
        <v>259</v>
      </c>
      <c r="D24" s="20" t="s">
        <v>2417</v>
      </c>
      <c r="E24" s="20" t="s">
        <v>2920</v>
      </c>
      <c r="F24" s="20" t="s">
        <v>2921</v>
      </c>
    </row>
    <row r="25" customFormat="false" ht="99.75" hidden="false" customHeight="true" outlineLevel="0" collapsed="false">
      <c r="A25" s="19" t="s">
        <v>2922</v>
      </c>
      <c r="B25" s="19" t="s">
        <v>1215</v>
      </c>
      <c r="C25" s="19" t="s">
        <v>274</v>
      </c>
      <c r="D25" s="19" t="s">
        <v>2417</v>
      </c>
      <c r="E25" s="19" t="s">
        <v>2923</v>
      </c>
      <c r="F25" s="19" t="s">
        <v>2921</v>
      </c>
    </row>
    <row r="26" customFormat="false" ht="99.75" hidden="false" customHeight="true" outlineLevel="0" collapsed="false">
      <c r="A26" s="20" t="s">
        <v>2924</v>
      </c>
      <c r="B26" s="20" t="s">
        <v>2916</v>
      </c>
      <c r="C26" s="20" t="s">
        <v>2925</v>
      </c>
      <c r="D26" s="20" t="s">
        <v>2417</v>
      </c>
      <c r="E26" s="20" t="s">
        <v>2926</v>
      </c>
      <c r="F26" s="20" t="s">
        <v>2927</v>
      </c>
    </row>
    <row r="27" customFormat="false" ht="99.75" hidden="false" customHeight="true" outlineLevel="0" collapsed="false">
      <c r="A27" s="19" t="s">
        <v>2928</v>
      </c>
      <c r="B27" s="19" t="s">
        <v>2929</v>
      </c>
      <c r="C27" s="19" t="s">
        <v>2908</v>
      </c>
      <c r="D27" s="19" t="s">
        <v>2417</v>
      </c>
      <c r="E27" s="19" t="s">
        <v>4099</v>
      </c>
      <c r="F27" s="19" t="s">
        <v>2931</v>
      </c>
    </row>
    <row r="28" customFormat="false" ht="99.75" hidden="false" customHeight="true" outlineLevel="0" collapsed="false">
      <c r="A28" s="20" t="s">
        <v>2932</v>
      </c>
      <c r="B28" s="20" t="s">
        <v>2933</v>
      </c>
      <c r="C28" s="20" t="s">
        <v>2934</v>
      </c>
      <c r="D28" s="20" t="s">
        <v>2417</v>
      </c>
      <c r="E28" s="20" t="s">
        <v>2935</v>
      </c>
      <c r="F28" s="20" t="s">
        <v>2936</v>
      </c>
    </row>
    <row r="29" customFormat="false" ht="99.75" hidden="false" customHeight="true" outlineLevel="0" collapsed="false">
      <c r="A29" s="19" t="s">
        <v>2937</v>
      </c>
      <c r="B29" s="19" t="s">
        <v>2933</v>
      </c>
      <c r="C29" s="19" t="s">
        <v>2934</v>
      </c>
      <c r="D29" s="19" t="s">
        <v>2938</v>
      </c>
      <c r="E29" s="19" t="s">
        <v>1070</v>
      </c>
      <c r="F29" s="19" t="s">
        <v>2939</v>
      </c>
    </row>
    <row r="30" customFormat="false" ht="99.75" hidden="false" customHeight="true" outlineLevel="0" collapsed="false">
      <c r="A30" s="20" t="s">
        <v>2940</v>
      </c>
      <c r="B30" s="20" t="s">
        <v>1090</v>
      </c>
      <c r="C30" s="20" t="s">
        <v>2941</v>
      </c>
      <c r="D30" s="20" t="s">
        <v>2942</v>
      </c>
      <c r="E30" s="20" t="s">
        <v>2943</v>
      </c>
      <c r="F30" s="20" t="s">
        <v>2944</v>
      </c>
    </row>
    <row r="31" customFormat="false" ht="99.75" hidden="false" customHeight="true" outlineLevel="0" collapsed="false">
      <c r="A31" s="19" t="s">
        <v>2945</v>
      </c>
      <c r="B31" s="19" t="s">
        <v>278</v>
      </c>
      <c r="C31" s="19" t="s">
        <v>278</v>
      </c>
      <c r="D31" s="19" t="s">
        <v>2417</v>
      </c>
      <c r="E31" s="19" t="s">
        <v>2946</v>
      </c>
      <c r="F31" s="19" t="s">
        <v>2947</v>
      </c>
    </row>
    <row r="32" customFormat="false" ht="99.75" hidden="false" customHeight="true" outlineLevel="0" collapsed="false">
      <c r="A32" s="20" t="s">
        <v>2948</v>
      </c>
      <c r="B32" s="20" t="s">
        <v>278</v>
      </c>
      <c r="C32" s="20" t="s">
        <v>278</v>
      </c>
      <c r="D32" s="20" t="s">
        <v>2417</v>
      </c>
      <c r="E32" s="20" t="s">
        <v>2949</v>
      </c>
      <c r="F32" s="20" t="s">
        <v>2950</v>
      </c>
    </row>
    <row r="33" customFormat="false" ht="99.75" hidden="false" customHeight="true" outlineLevel="0" collapsed="false">
      <c r="A33" s="19" t="s">
        <v>2951</v>
      </c>
      <c r="B33" s="19" t="s">
        <v>660</v>
      </c>
      <c r="C33" s="19" t="s">
        <v>278</v>
      </c>
      <c r="D33" s="19" t="s">
        <v>2884</v>
      </c>
      <c r="E33" s="19" t="s">
        <v>2952</v>
      </c>
      <c r="F33" s="19" t="s">
        <v>2953</v>
      </c>
    </row>
    <row r="34" customFormat="false" ht="99.75" hidden="false" customHeight="true" outlineLevel="0" collapsed="false">
      <c r="A34" s="20" t="s">
        <v>2954</v>
      </c>
      <c r="B34" s="20" t="s">
        <v>660</v>
      </c>
      <c r="C34" s="20" t="s">
        <v>278</v>
      </c>
      <c r="D34" s="20" t="s">
        <v>2955</v>
      </c>
      <c r="E34" s="20" t="s">
        <v>2956</v>
      </c>
      <c r="F34" s="20" t="s">
        <v>2957</v>
      </c>
    </row>
    <row r="35" customFormat="false" ht="99.75" hidden="false" customHeight="true" outlineLevel="0" collapsed="false">
      <c r="A35" s="19" t="s">
        <v>2958</v>
      </c>
      <c r="B35" s="19" t="s">
        <v>660</v>
      </c>
      <c r="C35" s="19" t="s">
        <v>2959</v>
      </c>
      <c r="D35" s="19" t="s">
        <v>2884</v>
      </c>
      <c r="E35" s="19" t="s">
        <v>2960</v>
      </c>
      <c r="F35" s="19" t="s">
        <v>2961</v>
      </c>
    </row>
    <row r="36" customFormat="false" ht="99.75" hidden="false" customHeight="true" outlineLevel="0" collapsed="false">
      <c r="A36" s="20" t="s">
        <v>2962</v>
      </c>
      <c r="B36" s="20" t="s">
        <v>35</v>
      </c>
      <c r="C36" s="20" t="s">
        <v>2963</v>
      </c>
      <c r="D36" s="20" t="s">
        <v>2417</v>
      </c>
      <c r="E36" s="20" t="s">
        <v>2964</v>
      </c>
      <c r="F36" s="20" t="s">
        <v>2965</v>
      </c>
    </row>
    <row r="37" customFormat="false" ht="99.75" hidden="false" customHeight="true" outlineLevel="0" collapsed="false">
      <c r="A37" s="19" t="s">
        <v>2966</v>
      </c>
      <c r="B37" s="19" t="s">
        <v>2967</v>
      </c>
      <c r="C37" s="19" t="s">
        <v>2968</v>
      </c>
      <c r="D37" s="19" t="s">
        <v>2884</v>
      </c>
      <c r="E37" s="19" t="s">
        <v>2969</v>
      </c>
      <c r="F37" s="19" t="s">
        <v>2970</v>
      </c>
    </row>
    <row r="38" customFormat="false" ht="99.75" hidden="false" customHeight="true" outlineLevel="0" collapsed="false">
      <c r="A38" s="20" t="s">
        <v>2971</v>
      </c>
      <c r="B38" s="20" t="s">
        <v>2967</v>
      </c>
      <c r="C38" s="20" t="s">
        <v>2972</v>
      </c>
      <c r="D38" s="20" t="s">
        <v>2973</v>
      </c>
      <c r="E38" s="20" t="s">
        <v>2974</v>
      </c>
      <c r="F38" s="20" t="s">
        <v>2975</v>
      </c>
    </row>
    <row r="39" customFormat="false" ht="99.75" hidden="false" customHeight="true" outlineLevel="0" collapsed="false">
      <c r="A39" s="19" t="s">
        <v>2976</v>
      </c>
      <c r="B39" s="19" t="s">
        <v>41</v>
      </c>
      <c r="C39" s="19" t="s">
        <v>2852</v>
      </c>
      <c r="D39" s="19" t="s">
        <v>2417</v>
      </c>
      <c r="E39" s="19" t="s">
        <v>2977</v>
      </c>
      <c r="F39" s="19" t="s">
        <v>2978</v>
      </c>
    </row>
    <row r="40" customFormat="false" ht="99.75" hidden="false" customHeight="true" outlineLevel="0" collapsed="false">
      <c r="A40" s="20" t="s">
        <v>2979</v>
      </c>
      <c r="B40" s="20" t="s">
        <v>41</v>
      </c>
      <c r="C40" s="20" t="s">
        <v>2852</v>
      </c>
      <c r="D40" s="20" t="s">
        <v>2938</v>
      </c>
      <c r="E40" s="20" t="s">
        <v>2980</v>
      </c>
      <c r="F40" s="20" t="s">
        <v>2939</v>
      </c>
    </row>
    <row r="41" customFormat="false" ht="99.75" hidden="false" customHeight="true" outlineLevel="0" collapsed="false">
      <c r="A41" s="19" t="s">
        <v>2981</v>
      </c>
      <c r="B41" s="19" t="s">
        <v>41</v>
      </c>
      <c r="C41" s="19" t="s">
        <v>2852</v>
      </c>
      <c r="D41" s="19" t="s">
        <v>2417</v>
      </c>
      <c r="E41" s="19" t="s">
        <v>2982</v>
      </c>
      <c r="F41" s="19" t="s">
        <v>2983</v>
      </c>
    </row>
    <row r="42" customFormat="false" ht="99.75" hidden="false" customHeight="true" outlineLevel="0" collapsed="false">
      <c r="A42" s="20" t="s">
        <v>2984</v>
      </c>
      <c r="B42" s="20" t="s">
        <v>41</v>
      </c>
      <c r="C42" s="20" t="s">
        <v>2852</v>
      </c>
      <c r="D42" s="20" t="s">
        <v>2417</v>
      </c>
      <c r="E42" s="20" t="s">
        <v>2985</v>
      </c>
      <c r="F42" s="20" t="s">
        <v>2986</v>
      </c>
    </row>
    <row r="43" customFormat="false" ht="99.75" hidden="false" customHeight="true" outlineLevel="0" collapsed="false">
      <c r="A43" s="19" t="s">
        <v>2987</v>
      </c>
      <c r="B43" s="19" t="s">
        <v>41</v>
      </c>
      <c r="C43" s="19" t="s">
        <v>2852</v>
      </c>
      <c r="D43" s="19" t="s">
        <v>2417</v>
      </c>
      <c r="E43" s="19" t="s">
        <v>2988</v>
      </c>
      <c r="F43" s="19" t="s">
        <v>2989</v>
      </c>
    </row>
    <row r="44" customFormat="false" ht="99.75" hidden="false" customHeight="true" outlineLevel="0" collapsed="false">
      <c r="A44" s="20" t="s">
        <v>2990</v>
      </c>
      <c r="B44" s="20" t="s">
        <v>41</v>
      </c>
      <c r="C44" s="20" t="s">
        <v>2852</v>
      </c>
      <c r="D44" s="20" t="s">
        <v>2417</v>
      </c>
      <c r="E44" s="20" t="s">
        <v>2991</v>
      </c>
      <c r="F44" s="20" t="s">
        <v>2992</v>
      </c>
    </row>
    <row r="45" customFormat="false" ht="99.75" hidden="false" customHeight="true" outlineLevel="0" collapsed="false">
      <c r="A45" s="19" t="s">
        <v>2993</v>
      </c>
      <c r="B45" s="19" t="s">
        <v>1254</v>
      </c>
      <c r="C45" s="19" t="s">
        <v>2852</v>
      </c>
      <c r="D45" s="19" t="s">
        <v>2938</v>
      </c>
      <c r="E45" s="19" t="s">
        <v>2994</v>
      </c>
      <c r="F45" s="19" t="s">
        <v>2939</v>
      </c>
    </row>
    <row r="46" customFormat="false" ht="99.75" hidden="false" customHeight="true" outlineLevel="0" collapsed="false">
      <c r="A46" s="20" t="s">
        <v>2995</v>
      </c>
      <c r="B46" s="20" t="s">
        <v>2691</v>
      </c>
      <c r="C46" s="20" t="s">
        <v>2996</v>
      </c>
      <c r="D46" s="20" t="s">
        <v>2938</v>
      </c>
      <c r="E46" s="20" t="s">
        <v>2997</v>
      </c>
      <c r="F46" s="20" t="s">
        <v>2939</v>
      </c>
    </row>
    <row r="47" customFormat="false" ht="99.75" hidden="false" customHeight="true" outlineLevel="0" collapsed="false">
      <c r="A47" s="19" t="s">
        <v>2998</v>
      </c>
      <c r="B47" s="19" t="s">
        <v>776</v>
      </c>
      <c r="C47" s="19" t="s">
        <v>2999</v>
      </c>
      <c r="D47" s="19" t="s">
        <v>2938</v>
      </c>
      <c r="E47" s="19" t="s">
        <v>3000</v>
      </c>
      <c r="F47" s="19" t="s">
        <v>2939</v>
      </c>
    </row>
    <row r="48" customFormat="false" ht="99.75" hidden="false" customHeight="true" outlineLevel="0" collapsed="false">
      <c r="A48" s="20" t="s">
        <v>3001</v>
      </c>
      <c r="B48" s="20" t="s">
        <v>776</v>
      </c>
      <c r="C48" s="20" t="s">
        <v>3002</v>
      </c>
      <c r="D48" s="20" t="s">
        <v>2417</v>
      </c>
      <c r="E48" s="20" t="s">
        <v>3003</v>
      </c>
      <c r="F48" s="20" t="s">
        <v>3004</v>
      </c>
    </row>
    <row r="49" customFormat="false" ht="99.75" hidden="false" customHeight="true" outlineLevel="0" collapsed="false">
      <c r="A49" s="19" t="s">
        <v>3005</v>
      </c>
      <c r="B49" s="19" t="s">
        <v>3006</v>
      </c>
      <c r="C49" s="19" t="s">
        <v>2852</v>
      </c>
      <c r="D49" s="19" t="s">
        <v>2417</v>
      </c>
      <c r="E49" s="19" t="s">
        <v>3007</v>
      </c>
      <c r="F49" s="19" t="s">
        <v>3008</v>
      </c>
    </row>
    <row r="50" customFormat="false" ht="99.75" hidden="false" customHeight="true" outlineLevel="0" collapsed="false">
      <c r="A50" s="20" t="s">
        <v>3009</v>
      </c>
      <c r="B50" s="20" t="s">
        <v>3010</v>
      </c>
      <c r="C50" s="20" t="s">
        <v>2999</v>
      </c>
      <c r="D50" s="20" t="s">
        <v>2417</v>
      </c>
      <c r="E50" s="20" t="s">
        <v>3011</v>
      </c>
      <c r="F50" s="20" t="s">
        <v>3012</v>
      </c>
    </row>
    <row r="51" customFormat="false" ht="99.75" hidden="false" customHeight="true" outlineLevel="0" collapsed="false">
      <c r="A51" s="19" t="s">
        <v>3013</v>
      </c>
      <c r="B51" s="19" t="s">
        <v>3010</v>
      </c>
      <c r="C51" s="19" t="s">
        <v>2852</v>
      </c>
      <c r="D51" s="19" t="s">
        <v>2417</v>
      </c>
      <c r="E51" s="19" t="s">
        <v>3014</v>
      </c>
      <c r="F51" s="19" t="s">
        <v>3015</v>
      </c>
    </row>
    <row r="52" customFormat="false" ht="99.75" hidden="false" customHeight="true" outlineLevel="0" collapsed="false">
      <c r="A52" s="20" t="s">
        <v>3016</v>
      </c>
      <c r="B52" s="20" t="s">
        <v>3010</v>
      </c>
      <c r="C52" s="20" t="s">
        <v>2852</v>
      </c>
      <c r="D52" s="20" t="s">
        <v>2417</v>
      </c>
      <c r="E52" s="20" t="s">
        <v>3017</v>
      </c>
      <c r="F52" s="20" t="s">
        <v>3018</v>
      </c>
    </row>
    <row r="53" customFormat="false" ht="99.75" hidden="false" customHeight="true" outlineLevel="0" collapsed="false">
      <c r="A53" s="19" t="s">
        <v>3019</v>
      </c>
      <c r="B53" s="19" t="s">
        <v>3010</v>
      </c>
      <c r="C53" s="19" t="s">
        <v>2999</v>
      </c>
      <c r="D53" s="19" t="s">
        <v>2417</v>
      </c>
      <c r="E53" s="19" t="s">
        <v>3020</v>
      </c>
      <c r="F53" s="19" t="s">
        <v>3021</v>
      </c>
    </row>
    <row r="54" customFormat="false" ht="99.75" hidden="false" customHeight="true" outlineLevel="0" collapsed="false">
      <c r="A54" s="20" t="s">
        <v>3022</v>
      </c>
      <c r="B54" s="20" t="s">
        <v>1339</v>
      </c>
      <c r="C54" s="20" t="s">
        <v>735</v>
      </c>
      <c r="D54" s="20" t="s">
        <v>2938</v>
      </c>
      <c r="E54" s="20" t="s">
        <v>3023</v>
      </c>
      <c r="F54" s="20" t="s">
        <v>2939</v>
      </c>
    </row>
    <row r="55" customFormat="false" ht="99.75" hidden="false" customHeight="true" outlineLevel="0" collapsed="false">
      <c r="A55" s="19" t="s">
        <v>3024</v>
      </c>
      <c r="B55" s="19" t="s">
        <v>98</v>
      </c>
      <c r="C55" s="19" t="s">
        <v>98</v>
      </c>
      <c r="D55" s="19" t="s">
        <v>2417</v>
      </c>
      <c r="E55" s="19" t="s">
        <v>3025</v>
      </c>
      <c r="F55" s="19" t="s">
        <v>3026</v>
      </c>
    </row>
    <row r="56" customFormat="false" ht="99.75" hidden="false" customHeight="true" outlineLevel="0" collapsed="false">
      <c r="A56" s="20" t="s">
        <v>3027</v>
      </c>
      <c r="B56" s="20" t="s">
        <v>98</v>
      </c>
      <c r="C56" s="20" t="s">
        <v>98</v>
      </c>
      <c r="D56" s="20" t="s">
        <v>2417</v>
      </c>
      <c r="E56" s="20" t="s">
        <v>3028</v>
      </c>
      <c r="F56" s="20" t="s">
        <v>3029</v>
      </c>
    </row>
    <row r="57" customFormat="false" ht="99.75" hidden="false" customHeight="true" outlineLevel="0" collapsed="false">
      <c r="A57" s="19" t="s">
        <v>3030</v>
      </c>
      <c r="B57" s="19" t="s">
        <v>98</v>
      </c>
      <c r="C57" s="19" t="s">
        <v>98</v>
      </c>
      <c r="D57" s="19" t="s">
        <v>2417</v>
      </c>
      <c r="E57" s="19" t="s">
        <v>3031</v>
      </c>
      <c r="F57" s="19" t="s">
        <v>3032</v>
      </c>
    </row>
    <row r="58" customFormat="false" ht="99.75" hidden="false" customHeight="true" outlineLevel="0" collapsed="false">
      <c r="A58" s="20" t="s">
        <v>3033</v>
      </c>
      <c r="B58" s="20" t="s">
        <v>98</v>
      </c>
      <c r="C58" s="20" t="s">
        <v>98</v>
      </c>
      <c r="D58" s="20" t="s">
        <v>2417</v>
      </c>
      <c r="E58" s="20" t="s">
        <v>3034</v>
      </c>
      <c r="F58" s="20" t="s">
        <v>3035</v>
      </c>
    </row>
    <row r="59" customFormat="false" ht="99.75" hidden="false" customHeight="true" outlineLevel="0" collapsed="false">
      <c r="A59" s="19" t="s">
        <v>3036</v>
      </c>
      <c r="B59" s="19" t="s">
        <v>98</v>
      </c>
      <c r="C59" s="19" t="s">
        <v>3037</v>
      </c>
      <c r="D59" s="19" t="s">
        <v>2884</v>
      </c>
      <c r="E59" s="19" t="s">
        <v>3038</v>
      </c>
      <c r="F59" s="19" t="s">
        <v>3039</v>
      </c>
    </row>
    <row r="60" customFormat="false" ht="99.75" hidden="false" customHeight="true" outlineLevel="0" collapsed="false">
      <c r="A60" s="20" t="s">
        <v>3040</v>
      </c>
      <c r="B60" s="20" t="s">
        <v>98</v>
      </c>
      <c r="C60" s="20" t="s">
        <v>3037</v>
      </c>
      <c r="D60" s="20" t="s">
        <v>2884</v>
      </c>
      <c r="E60" s="20" t="s">
        <v>3041</v>
      </c>
      <c r="F60" s="20" t="s">
        <v>3042</v>
      </c>
    </row>
    <row r="61" customFormat="false" ht="99.75" hidden="false" customHeight="true" outlineLevel="0" collapsed="false">
      <c r="A61" s="19" t="s">
        <v>3043</v>
      </c>
      <c r="B61" s="19" t="s">
        <v>56</v>
      </c>
      <c r="C61" s="19" t="s">
        <v>56</v>
      </c>
      <c r="D61" s="19" t="s">
        <v>2417</v>
      </c>
      <c r="E61" s="19" t="s">
        <v>3044</v>
      </c>
      <c r="F61" s="19" t="s">
        <v>3045</v>
      </c>
    </row>
    <row r="62" customFormat="false" ht="99.75" hidden="false" customHeight="true" outlineLevel="0" collapsed="false">
      <c r="A62" s="20" t="s">
        <v>3046</v>
      </c>
      <c r="B62" s="20" t="s">
        <v>3047</v>
      </c>
      <c r="C62" s="20" t="s">
        <v>3048</v>
      </c>
      <c r="D62" s="20" t="s">
        <v>2938</v>
      </c>
      <c r="E62" s="20" t="s">
        <v>3049</v>
      </c>
      <c r="F62" s="20" t="s">
        <v>2939</v>
      </c>
    </row>
    <row r="63" customFormat="false" ht="99.75" hidden="false" customHeight="true" outlineLevel="0" collapsed="false">
      <c r="A63" s="19" t="s">
        <v>3050</v>
      </c>
      <c r="B63" s="19" t="s">
        <v>3047</v>
      </c>
      <c r="C63" s="19" t="s">
        <v>3051</v>
      </c>
      <c r="D63" s="19" t="s">
        <v>326</v>
      </c>
      <c r="E63" s="19" t="s">
        <v>3052</v>
      </c>
      <c r="F63" s="19" t="s">
        <v>3053</v>
      </c>
    </row>
    <row r="64" customFormat="false" ht="99.75" hidden="false" customHeight="true" outlineLevel="0" collapsed="false">
      <c r="A64" s="20" t="s">
        <v>3054</v>
      </c>
      <c r="B64" s="20" t="s">
        <v>3055</v>
      </c>
      <c r="C64" s="20" t="s">
        <v>3051</v>
      </c>
      <c r="D64" s="20" t="s">
        <v>326</v>
      </c>
      <c r="E64" s="20" t="s">
        <v>3056</v>
      </c>
      <c r="F64" s="20" t="s">
        <v>3057</v>
      </c>
    </row>
    <row r="65" customFormat="false" ht="99.75" hidden="false" customHeight="true" outlineLevel="0" collapsed="false">
      <c r="A65" s="19" t="s">
        <v>3058</v>
      </c>
      <c r="B65" s="19" t="s">
        <v>146</v>
      </c>
      <c r="C65" s="19" t="s">
        <v>2883</v>
      </c>
      <c r="D65" s="19" t="s">
        <v>3059</v>
      </c>
      <c r="E65" s="19" t="s">
        <v>3060</v>
      </c>
      <c r="F65" s="19" t="s">
        <v>3061</v>
      </c>
    </row>
    <row r="66" customFormat="false" ht="99.75" hidden="false" customHeight="true" outlineLevel="0" collapsed="false">
      <c r="A66" s="20" t="s">
        <v>3062</v>
      </c>
      <c r="B66" s="20" t="s">
        <v>3063</v>
      </c>
      <c r="C66" s="20" t="s">
        <v>2908</v>
      </c>
      <c r="D66" s="20" t="s">
        <v>3064</v>
      </c>
      <c r="E66" s="20" t="s">
        <v>3065</v>
      </c>
      <c r="F66" s="20" t="s">
        <v>3066</v>
      </c>
    </row>
    <row r="67" customFormat="false" ht="99.75" hidden="false" customHeight="true" outlineLevel="0" collapsed="false">
      <c r="A67" s="19" t="s">
        <v>3067</v>
      </c>
      <c r="B67" s="19" t="s">
        <v>3063</v>
      </c>
      <c r="C67" s="19" t="s">
        <v>2925</v>
      </c>
      <c r="D67" s="19" t="s">
        <v>3064</v>
      </c>
      <c r="E67" s="19" t="s">
        <v>3068</v>
      </c>
      <c r="F67" s="19" t="s">
        <v>3069</v>
      </c>
    </row>
    <row r="68" customFormat="false" ht="99.75" hidden="false" customHeight="true" outlineLevel="0" collapsed="false">
      <c r="A68" s="20" t="s">
        <v>3070</v>
      </c>
      <c r="B68" s="20" t="s">
        <v>657</v>
      </c>
      <c r="C68" s="20" t="s">
        <v>3071</v>
      </c>
      <c r="D68" s="20" t="s">
        <v>2884</v>
      </c>
      <c r="E68" s="20" t="s">
        <v>3072</v>
      </c>
      <c r="F68" s="20" t="s">
        <v>3073</v>
      </c>
    </row>
    <row r="69" customFormat="false" ht="99.75" hidden="false" customHeight="true" outlineLevel="0" collapsed="false">
      <c r="A69" s="19" t="s">
        <v>3074</v>
      </c>
      <c r="B69" s="19" t="s">
        <v>657</v>
      </c>
      <c r="C69" s="19" t="s">
        <v>56</v>
      </c>
      <c r="D69" s="19" t="s">
        <v>2938</v>
      </c>
      <c r="E69" s="19" t="s">
        <v>1082</v>
      </c>
      <c r="F69" s="19" t="s">
        <v>2939</v>
      </c>
    </row>
    <row r="70" customFormat="false" ht="99.75" hidden="false" customHeight="true" outlineLevel="0" collapsed="false">
      <c r="A70" s="20" t="s">
        <v>3075</v>
      </c>
      <c r="B70" s="20" t="s">
        <v>657</v>
      </c>
      <c r="C70" s="20" t="s">
        <v>62</v>
      </c>
      <c r="D70" s="20" t="s">
        <v>2417</v>
      </c>
      <c r="E70" s="20" t="s">
        <v>3076</v>
      </c>
      <c r="F70" s="20" t="s">
        <v>3077</v>
      </c>
    </row>
    <row r="71" customFormat="false" ht="99.75" hidden="false" customHeight="true" outlineLevel="0" collapsed="false">
      <c r="A71" s="19" t="s">
        <v>3078</v>
      </c>
      <c r="B71" s="19" t="s">
        <v>3079</v>
      </c>
      <c r="C71" s="19" t="s">
        <v>735</v>
      </c>
      <c r="D71" s="19" t="s">
        <v>2417</v>
      </c>
      <c r="E71" s="19" t="s">
        <v>3080</v>
      </c>
      <c r="F71" s="19" t="s">
        <v>3081</v>
      </c>
    </row>
    <row r="72" customFormat="false" ht="99.75" hidden="false" customHeight="true" outlineLevel="0" collapsed="false">
      <c r="A72" s="20" t="s">
        <v>3082</v>
      </c>
      <c r="B72" s="20" t="s">
        <v>3083</v>
      </c>
      <c r="C72" s="20" t="s">
        <v>735</v>
      </c>
      <c r="D72" s="20" t="s">
        <v>2417</v>
      </c>
      <c r="E72" s="20" t="s">
        <v>3084</v>
      </c>
      <c r="F72" s="20" t="s">
        <v>3085</v>
      </c>
    </row>
    <row r="73" customFormat="false" ht="99.75" hidden="false" customHeight="true" outlineLevel="0" collapsed="false">
      <c r="A73" s="19" t="s">
        <v>3086</v>
      </c>
      <c r="B73" s="19" t="s">
        <v>3087</v>
      </c>
      <c r="C73" s="19" t="s">
        <v>735</v>
      </c>
      <c r="D73" s="19" t="s">
        <v>2853</v>
      </c>
      <c r="E73" s="19" t="s">
        <v>3088</v>
      </c>
      <c r="F73" s="19" t="s">
        <v>3089</v>
      </c>
    </row>
    <row r="74" customFormat="false" ht="99.75" hidden="false" customHeight="true" outlineLevel="0" collapsed="false">
      <c r="A74" s="20" t="s">
        <v>3090</v>
      </c>
      <c r="B74" s="20" t="s">
        <v>3087</v>
      </c>
      <c r="C74" s="20" t="s">
        <v>3091</v>
      </c>
      <c r="D74" s="20" t="s">
        <v>2884</v>
      </c>
      <c r="E74" s="20" t="s">
        <v>3092</v>
      </c>
      <c r="F74" s="20" t="s">
        <v>3093</v>
      </c>
    </row>
    <row r="75" customFormat="false" ht="99.75" hidden="false" customHeight="true" outlineLevel="0" collapsed="false">
      <c r="A75" s="19" t="s">
        <v>3094</v>
      </c>
      <c r="B75" s="19" t="s">
        <v>3087</v>
      </c>
      <c r="C75" s="19" t="s">
        <v>2941</v>
      </c>
      <c r="D75" s="19" t="s">
        <v>2417</v>
      </c>
      <c r="E75" s="19" t="s">
        <v>3095</v>
      </c>
      <c r="F75" s="19" t="s">
        <v>3096</v>
      </c>
    </row>
    <row r="76" customFormat="false" ht="99.75" hidden="false" customHeight="true" outlineLevel="0" collapsed="false">
      <c r="A76" s="20" t="s">
        <v>3097</v>
      </c>
      <c r="B76" s="20" t="s">
        <v>3087</v>
      </c>
      <c r="C76" s="20" t="s">
        <v>56</v>
      </c>
      <c r="D76" s="20" t="s">
        <v>2398</v>
      </c>
      <c r="E76" s="20" t="s">
        <v>3098</v>
      </c>
      <c r="F76" s="20" t="s">
        <v>3099</v>
      </c>
    </row>
    <row r="77" customFormat="false" ht="99.75" hidden="false" customHeight="true" outlineLevel="0" collapsed="false">
      <c r="A77" s="19" t="s">
        <v>3100</v>
      </c>
      <c r="B77" s="19" t="s">
        <v>3087</v>
      </c>
      <c r="C77" s="19" t="s">
        <v>62</v>
      </c>
      <c r="D77" s="19" t="s">
        <v>2398</v>
      </c>
      <c r="E77" s="19" t="s">
        <v>3101</v>
      </c>
      <c r="F77" s="19" t="s">
        <v>3102</v>
      </c>
    </row>
    <row r="78" customFormat="false" ht="99.75" hidden="false" customHeight="true" outlineLevel="0" collapsed="false">
      <c r="A78" s="20" t="s">
        <v>3103</v>
      </c>
      <c r="B78" s="20" t="s">
        <v>3104</v>
      </c>
      <c r="C78" s="20" t="s">
        <v>735</v>
      </c>
      <c r="D78" s="20" t="s">
        <v>2417</v>
      </c>
      <c r="E78" s="20" t="s">
        <v>3105</v>
      </c>
      <c r="F78" s="20" t="s">
        <v>3106</v>
      </c>
    </row>
    <row r="79" customFormat="false" ht="99.75" hidden="false" customHeight="true" outlineLevel="0" collapsed="false">
      <c r="A79" s="19" t="s">
        <v>3107</v>
      </c>
      <c r="B79" s="19" t="s">
        <v>647</v>
      </c>
      <c r="C79" s="19" t="s">
        <v>3108</v>
      </c>
      <c r="D79" s="19" t="s">
        <v>2417</v>
      </c>
      <c r="E79" s="19" t="s">
        <v>3109</v>
      </c>
      <c r="F79" s="19" t="s">
        <v>3110</v>
      </c>
    </row>
    <row r="80" customFormat="false" ht="99.75" hidden="false" customHeight="true" outlineLevel="0" collapsed="false">
      <c r="A80" s="20" t="s">
        <v>3111</v>
      </c>
      <c r="B80" s="20" t="s">
        <v>647</v>
      </c>
      <c r="C80" s="20" t="s">
        <v>735</v>
      </c>
      <c r="D80" s="20" t="s">
        <v>2417</v>
      </c>
      <c r="E80" s="20" t="s">
        <v>3112</v>
      </c>
      <c r="F80" s="20" t="s">
        <v>3113</v>
      </c>
    </row>
    <row r="81" customFormat="false" ht="99.75" hidden="false" customHeight="true" outlineLevel="0" collapsed="false">
      <c r="A81" s="19" t="s">
        <v>3114</v>
      </c>
      <c r="B81" s="19" t="s">
        <v>3115</v>
      </c>
      <c r="C81" s="19" t="s">
        <v>735</v>
      </c>
      <c r="D81" s="19" t="s">
        <v>2938</v>
      </c>
      <c r="E81" s="19" t="s">
        <v>1050</v>
      </c>
      <c r="F81" s="19" t="s">
        <v>2939</v>
      </c>
    </row>
    <row r="82" customFormat="false" ht="99.75" hidden="false" customHeight="true" outlineLevel="0" collapsed="false">
      <c r="A82" s="20" t="s">
        <v>3116</v>
      </c>
      <c r="B82" s="20" t="s">
        <v>3115</v>
      </c>
      <c r="C82" s="20" t="s">
        <v>735</v>
      </c>
      <c r="D82" s="20" t="s">
        <v>2938</v>
      </c>
      <c r="E82" s="20" t="s">
        <v>1054</v>
      </c>
      <c r="F82" s="20" t="s">
        <v>2939</v>
      </c>
    </row>
    <row r="83" customFormat="false" ht="99.75" hidden="false" customHeight="true" outlineLevel="0" collapsed="false">
      <c r="A83" s="19" t="s">
        <v>3117</v>
      </c>
      <c r="B83" s="19" t="s">
        <v>3115</v>
      </c>
      <c r="C83" s="19" t="s">
        <v>735</v>
      </c>
      <c r="D83" s="19" t="s">
        <v>2938</v>
      </c>
      <c r="E83" s="19" t="s">
        <v>3118</v>
      </c>
      <c r="F83" s="19" t="s">
        <v>2939</v>
      </c>
    </row>
    <row r="84" customFormat="false" ht="99.75" hidden="false" customHeight="true" outlineLevel="0" collapsed="false">
      <c r="A84" s="20" t="s">
        <v>3119</v>
      </c>
      <c r="B84" s="20" t="s">
        <v>62</v>
      </c>
      <c r="C84" s="20" t="s">
        <v>3120</v>
      </c>
      <c r="D84" s="20" t="s">
        <v>2938</v>
      </c>
      <c r="E84" s="20" t="s">
        <v>3121</v>
      </c>
      <c r="F84" s="20" t="s">
        <v>2939</v>
      </c>
    </row>
    <row r="85" customFormat="false" ht="99.75" hidden="false" customHeight="true" outlineLevel="0" collapsed="false">
      <c r="A85" s="19" t="s">
        <v>3122</v>
      </c>
      <c r="B85" s="19" t="s">
        <v>62</v>
      </c>
      <c r="C85" s="19" t="s">
        <v>62</v>
      </c>
      <c r="D85" s="19" t="s">
        <v>2938</v>
      </c>
      <c r="E85" s="19" t="s">
        <v>3123</v>
      </c>
      <c r="F85" s="19" t="s">
        <v>2939</v>
      </c>
    </row>
    <row r="86" customFormat="false" ht="99.75" hidden="false" customHeight="true" outlineLevel="0" collapsed="false">
      <c r="A86" s="20" t="s">
        <v>3124</v>
      </c>
      <c r="B86" s="20" t="s">
        <v>1143</v>
      </c>
      <c r="C86" s="20" t="s">
        <v>1143</v>
      </c>
      <c r="D86" s="20" t="s">
        <v>2369</v>
      </c>
      <c r="E86" s="20" t="s">
        <v>3125</v>
      </c>
      <c r="F86" s="20" t="s">
        <v>3126</v>
      </c>
    </row>
    <row r="87" customFormat="false" ht="99.75" hidden="false" customHeight="true" outlineLevel="0" collapsed="false">
      <c r="A87" s="19" t="s">
        <v>3127</v>
      </c>
      <c r="B87" s="19" t="s">
        <v>1143</v>
      </c>
      <c r="C87" s="19" t="s">
        <v>1143</v>
      </c>
      <c r="D87" s="19" t="s">
        <v>3128</v>
      </c>
      <c r="E87" s="19" t="s">
        <v>3129</v>
      </c>
      <c r="F87" s="19" t="s">
        <v>3130</v>
      </c>
    </row>
    <row r="88" customFormat="false" ht="99.75" hidden="false" customHeight="true" outlineLevel="0" collapsed="false">
      <c r="A88" s="20" t="s">
        <v>3131</v>
      </c>
      <c r="B88" s="20" t="s">
        <v>1143</v>
      </c>
      <c r="C88" s="20" t="s">
        <v>1143</v>
      </c>
      <c r="D88" s="20" t="s">
        <v>2524</v>
      </c>
      <c r="E88" s="20" t="s">
        <v>3132</v>
      </c>
      <c r="F88" s="20" t="s">
        <v>3133</v>
      </c>
    </row>
    <row r="89" customFormat="false" ht="99.75" hidden="false" customHeight="true" outlineLevel="0" collapsed="false">
      <c r="A89" s="19" t="s">
        <v>3134</v>
      </c>
      <c r="B89" s="19" t="s">
        <v>1143</v>
      </c>
      <c r="C89" s="19" t="s">
        <v>1143</v>
      </c>
      <c r="D89" s="19" t="s">
        <v>2938</v>
      </c>
      <c r="E89" s="19" t="s">
        <v>3135</v>
      </c>
      <c r="F89" s="19" t="s">
        <v>2939</v>
      </c>
    </row>
    <row r="90" customFormat="false" ht="99.75" hidden="false" customHeight="true" outlineLevel="0" collapsed="false">
      <c r="A90" s="20" t="s">
        <v>3136</v>
      </c>
      <c r="B90" s="20" t="s">
        <v>1143</v>
      </c>
      <c r="C90" s="20" t="s">
        <v>1143</v>
      </c>
      <c r="D90" s="20" t="s">
        <v>2369</v>
      </c>
      <c r="E90" s="20" t="s">
        <v>3137</v>
      </c>
      <c r="F90" s="20" t="s">
        <v>3138</v>
      </c>
    </row>
    <row r="91" customFormat="false" ht="99.75" hidden="false" customHeight="true" outlineLevel="0" collapsed="false">
      <c r="A91" s="19" t="s">
        <v>3139</v>
      </c>
      <c r="B91" s="19" t="s">
        <v>1143</v>
      </c>
      <c r="C91" s="19" t="s">
        <v>1143</v>
      </c>
      <c r="D91" s="19" t="s">
        <v>2888</v>
      </c>
      <c r="E91" s="19" t="s">
        <v>3140</v>
      </c>
      <c r="F91" s="19" t="s">
        <v>3141</v>
      </c>
    </row>
    <row r="92" customFormat="false" ht="99.75" hidden="false" customHeight="true" outlineLevel="0" collapsed="false">
      <c r="A92" s="20" t="s">
        <v>3142</v>
      </c>
      <c r="B92" s="20" t="s">
        <v>1143</v>
      </c>
      <c r="C92" s="20" t="s">
        <v>1143</v>
      </c>
      <c r="D92" s="20" t="s">
        <v>3143</v>
      </c>
      <c r="E92" s="20" t="s">
        <v>3144</v>
      </c>
      <c r="F92" s="20" t="s">
        <v>3145</v>
      </c>
    </row>
    <row r="93" customFormat="false" ht="99.75" hidden="false" customHeight="true" outlineLevel="0" collapsed="false">
      <c r="A93" s="19" t="s">
        <v>3146</v>
      </c>
      <c r="B93" s="19" t="s">
        <v>915</v>
      </c>
      <c r="C93" s="19" t="s">
        <v>735</v>
      </c>
      <c r="D93" s="19" t="s">
        <v>3147</v>
      </c>
      <c r="E93" s="19" t="s">
        <v>3148</v>
      </c>
      <c r="F93" s="19" t="s">
        <v>3149</v>
      </c>
    </row>
    <row r="94" customFormat="false" ht="99.75" hidden="false" customHeight="true" outlineLevel="0" collapsed="false">
      <c r="A94" s="20" t="s">
        <v>3150</v>
      </c>
      <c r="B94" s="20" t="s">
        <v>915</v>
      </c>
      <c r="C94" s="20" t="s">
        <v>2875</v>
      </c>
      <c r="D94" s="20" t="s">
        <v>2369</v>
      </c>
      <c r="E94" s="20" t="s">
        <v>3151</v>
      </c>
      <c r="F94" s="20" t="s">
        <v>3152</v>
      </c>
    </row>
    <row r="95" customFormat="false" ht="99.75" hidden="false" customHeight="true" outlineLevel="0" collapsed="false">
      <c r="A95" s="19" t="s">
        <v>3153</v>
      </c>
      <c r="B95" s="19" t="s">
        <v>3154</v>
      </c>
      <c r="C95" s="19" t="s">
        <v>3155</v>
      </c>
      <c r="D95" s="19" t="s">
        <v>3156</v>
      </c>
      <c r="E95" s="19" t="s">
        <v>3157</v>
      </c>
      <c r="F95" s="19" t="s">
        <v>3158</v>
      </c>
    </row>
    <row r="96" customFormat="false" ht="99.75" hidden="false" customHeight="true" outlineLevel="0" collapsed="false">
      <c r="A96" s="20" t="s">
        <v>3159</v>
      </c>
      <c r="B96" s="20" t="s">
        <v>3160</v>
      </c>
      <c r="C96" s="20" t="s">
        <v>2908</v>
      </c>
      <c r="D96" s="20" t="s">
        <v>3161</v>
      </c>
      <c r="E96" s="20" t="s">
        <v>3162</v>
      </c>
      <c r="F96" s="20" t="s">
        <v>4134</v>
      </c>
    </row>
    <row r="97" customFormat="false" ht="99.75" hidden="false" customHeight="true" outlineLevel="0" collapsed="false">
      <c r="A97" s="19" t="s">
        <v>3164</v>
      </c>
      <c r="B97" s="19" t="s">
        <v>3160</v>
      </c>
      <c r="C97" s="19" t="s">
        <v>735</v>
      </c>
      <c r="D97" s="19" t="s">
        <v>3165</v>
      </c>
      <c r="E97" s="19" t="s">
        <v>3166</v>
      </c>
      <c r="F97" s="19" t="s">
        <v>3167</v>
      </c>
    </row>
    <row r="98" customFormat="false" ht="114.75" hidden="false" customHeight="true" outlineLevel="0" collapsed="false">
      <c r="A98" s="20" t="s">
        <v>3168</v>
      </c>
      <c r="B98" s="20" t="s">
        <v>1449</v>
      </c>
      <c r="C98" s="20" t="s">
        <v>735</v>
      </c>
      <c r="D98" s="20" t="s">
        <v>3169</v>
      </c>
      <c r="E98" s="20" t="s">
        <v>3170</v>
      </c>
      <c r="F98" s="20" t="s">
        <v>3171</v>
      </c>
    </row>
    <row r="99" customFormat="false" ht="114.75" hidden="false" customHeight="true" outlineLevel="0" collapsed="false">
      <c r="A99" s="19" t="s">
        <v>3172</v>
      </c>
      <c r="B99" s="19" t="s">
        <v>3173</v>
      </c>
      <c r="C99" s="19" t="s">
        <v>3174</v>
      </c>
      <c r="D99" s="19" t="s">
        <v>1195</v>
      </c>
      <c r="E99" s="19" t="s">
        <v>3175</v>
      </c>
      <c r="F99" s="19" t="s">
        <v>3176</v>
      </c>
    </row>
    <row r="100" customFormat="false" ht="114.75" hidden="false" customHeight="true" outlineLevel="0" collapsed="false">
      <c r="A100" s="20" t="s">
        <v>3177</v>
      </c>
      <c r="B100" s="20" t="s">
        <v>247</v>
      </c>
      <c r="C100" s="20" t="s">
        <v>2875</v>
      </c>
      <c r="D100" s="20" t="s">
        <v>2938</v>
      </c>
      <c r="E100" s="20" t="s">
        <v>3178</v>
      </c>
      <c r="F100" s="20" t="s">
        <v>2939</v>
      </c>
    </row>
    <row r="101" customFormat="false" ht="114.75" hidden="false" customHeight="true" outlineLevel="0" collapsed="false">
      <c r="A101" s="19" t="s">
        <v>3179</v>
      </c>
      <c r="B101" s="19" t="s">
        <v>23</v>
      </c>
      <c r="C101" s="19" t="s">
        <v>2908</v>
      </c>
      <c r="D101" s="19" t="s">
        <v>1209</v>
      </c>
      <c r="E101" s="19" t="s">
        <v>3180</v>
      </c>
      <c r="F101" s="19" t="s">
        <v>3181</v>
      </c>
    </row>
    <row r="102" customFormat="false" ht="114.75" hidden="false" customHeight="true" outlineLevel="0" collapsed="false">
      <c r="A102" s="20" t="s">
        <v>3182</v>
      </c>
      <c r="B102" s="20" t="s">
        <v>47</v>
      </c>
      <c r="C102" s="20" t="s">
        <v>3183</v>
      </c>
      <c r="D102" s="20" t="s">
        <v>2938</v>
      </c>
      <c r="E102" s="20" t="s">
        <v>1070</v>
      </c>
      <c r="F102" s="20" t="s">
        <v>2939</v>
      </c>
    </row>
    <row r="103" customFormat="false" ht="114.75" hidden="false" customHeight="true" outlineLevel="0" collapsed="false">
      <c r="A103" s="19" t="s">
        <v>3184</v>
      </c>
      <c r="B103" s="19" t="s">
        <v>3185</v>
      </c>
      <c r="C103" s="19" t="s">
        <v>2852</v>
      </c>
      <c r="D103" s="19" t="s">
        <v>1219</v>
      </c>
      <c r="E103" s="19" t="s">
        <v>3186</v>
      </c>
      <c r="F103" s="19" t="s">
        <v>3187</v>
      </c>
    </row>
    <row r="104" customFormat="false" ht="114.75" hidden="false" customHeight="true" outlineLevel="0" collapsed="false">
      <c r="A104" s="20" t="s">
        <v>3188</v>
      </c>
      <c r="B104" s="20" t="s">
        <v>660</v>
      </c>
      <c r="C104" s="20" t="s">
        <v>3189</v>
      </c>
      <c r="D104" s="20" t="s">
        <v>1209</v>
      </c>
      <c r="E104" s="20" t="s">
        <v>3190</v>
      </c>
      <c r="F104" s="20" t="s">
        <v>3191</v>
      </c>
    </row>
    <row r="105" customFormat="false" ht="114.75" hidden="false" customHeight="true" outlineLevel="0" collapsed="false">
      <c r="A105" s="19" t="s">
        <v>3192</v>
      </c>
      <c r="B105" s="19" t="s">
        <v>3193</v>
      </c>
      <c r="C105" s="19" t="s">
        <v>3189</v>
      </c>
      <c r="D105" s="19" t="s">
        <v>3194</v>
      </c>
      <c r="E105" s="19" t="s">
        <v>3195</v>
      </c>
      <c r="F105" s="19" t="s">
        <v>3196</v>
      </c>
    </row>
    <row r="106" customFormat="false" ht="114.75" hidden="false" customHeight="true" outlineLevel="0" collapsed="false">
      <c r="A106" s="20" t="s">
        <v>3197</v>
      </c>
      <c r="B106" s="20" t="s">
        <v>802</v>
      </c>
      <c r="C106" s="20" t="s">
        <v>278</v>
      </c>
      <c r="D106" s="20" t="s">
        <v>2369</v>
      </c>
      <c r="E106" s="20" t="s">
        <v>4139</v>
      </c>
      <c r="F106" s="20" t="s">
        <v>3199</v>
      </c>
    </row>
    <row r="107" customFormat="false" ht="114.75" hidden="false" customHeight="true" outlineLevel="0" collapsed="false">
      <c r="A107" s="19" t="s">
        <v>3200</v>
      </c>
      <c r="B107" s="19" t="s">
        <v>3201</v>
      </c>
      <c r="C107" s="19" t="s">
        <v>278</v>
      </c>
      <c r="D107" s="19" t="s">
        <v>1204</v>
      </c>
      <c r="E107" s="19" t="s">
        <v>3202</v>
      </c>
      <c r="F107" s="19" t="s">
        <v>3203</v>
      </c>
    </row>
    <row r="108" customFormat="false" ht="114.75" hidden="false" customHeight="true" outlineLevel="0" collapsed="false">
      <c r="A108" s="20" t="s">
        <v>3204</v>
      </c>
      <c r="B108" s="20" t="s">
        <v>2967</v>
      </c>
      <c r="C108" s="20" t="s">
        <v>3205</v>
      </c>
      <c r="D108" s="20" t="s">
        <v>3206</v>
      </c>
      <c r="E108" s="20" t="s">
        <v>3207</v>
      </c>
      <c r="F108" s="20" t="s">
        <v>3208</v>
      </c>
    </row>
    <row r="109" customFormat="false" ht="114.75" hidden="false" customHeight="true" outlineLevel="0" collapsed="false">
      <c r="A109" s="19" t="s">
        <v>3209</v>
      </c>
      <c r="B109" s="19" t="s">
        <v>3210</v>
      </c>
      <c r="C109" s="19" t="s">
        <v>278</v>
      </c>
      <c r="D109" s="19" t="s">
        <v>3206</v>
      </c>
      <c r="E109" s="19" t="s">
        <v>3211</v>
      </c>
      <c r="F109" s="19" t="s">
        <v>3212</v>
      </c>
    </row>
    <row r="110" customFormat="false" ht="114.75" hidden="false" customHeight="true" outlineLevel="0" collapsed="false">
      <c r="A110" s="20" t="s">
        <v>3213</v>
      </c>
      <c r="B110" s="20" t="s">
        <v>3210</v>
      </c>
      <c r="C110" s="20" t="s">
        <v>98</v>
      </c>
      <c r="D110" s="20" t="s">
        <v>3206</v>
      </c>
      <c r="E110" s="20" t="s">
        <v>3214</v>
      </c>
      <c r="F110" s="20" t="s">
        <v>3215</v>
      </c>
    </row>
    <row r="111" customFormat="false" ht="114.75" hidden="false" customHeight="true" outlineLevel="0" collapsed="false">
      <c r="A111" s="19" t="s">
        <v>3216</v>
      </c>
      <c r="B111" s="19" t="s">
        <v>3210</v>
      </c>
      <c r="C111" s="19" t="s">
        <v>1143</v>
      </c>
      <c r="D111" s="19" t="s">
        <v>3206</v>
      </c>
      <c r="E111" s="19" t="s">
        <v>3217</v>
      </c>
      <c r="F111" s="19" t="s">
        <v>3218</v>
      </c>
    </row>
    <row r="112" customFormat="false" ht="114.75" hidden="false" customHeight="true" outlineLevel="0" collapsed="false">
      <c r="A112" s="20" t="s">
        <v>3219</v>
      </c>
      <c r="B112" s="20" t="s">
        <v>647</v>
      </c>
      <c r="C112" s="20" t="s">
        <v>3108</v>
      </c>
      <c r="D112" s="20" t="s">
        <v>2369</v>
      </c>
      <c r="E112" s="20" t="s">
        <v>3220</v>
      </c>
      <c r="F112" s="20" t="s">
        <v>3221</v>
      </c>
    </row>
    <row r="113" customFormat="false" ht="114.75" hidden="false" customHeight="true" outlineLevel="0" collapsed="false">
      <c r="A113" s="19" t="s">
        <v>3222</v>
      </c>
      <c r="B113" s="19" t="s">
        <v>3223</v>
      </c>
      <c r="C113" s="19" t="s">
        <v>239</v>
      </c>
      <c r="D113" s="19" t="s">
        <v>2938</v>
      </c>
      <c r="E113" s="19" t="s">
        <v>3224</v>
      </c>
      <c r="F113" s="19" t="s">
        <v>2939</v>
      </c>
    </row>
    <row r="114" customFormat="false" ht="114.75" hidden="false" customHeight="true" outlineLevel="0" collapsed="false">
      <c r="A114" s="20" t="s">
        <v>3225</v>
      </c>
      <c r="B114" s="20" t="s">
        <v>3226</v>
      </c>
      <c r="C114" s="20" t="s">
        <v>735</v>
      </c>
      <c r="D114" s="20" t="s">
        <v>2369</v>
      </c>
      <c r="E114" s="20" t="s">
        <v>4142</v>
      </c>
      <c r="F114" s="20" t="s">
        <v>3228</v>
      </c>
    </row>
    <row r="115" customFormat="false" ht="114.75" hidden="false" customHeight="true" outlineLevel="0" collapsed="false">
      <c r="A115" s="19" t="s">
        <v>3229</v>
      </c>
      <c r="B115" s="19" t="s">
        <v>1339</v>
      </c>
      <c r="C115" s="19" t="s">
        <v>3091</v>
      </c>
      <c r="D115" s="19" t="s">
        <v>3206</v>
      </c>
      <c r="E115" s="19" t="s">
        <v>3230</v>
      </c>
      <c r="F115" s="19" t="s">
        <v>3231</v>
      </c>
    </row>
    <row r="116" customFormat="false" ht="114.75" hidden="false" customHeight="true" outlineLevel="0" collapsed="false">
      <c r="A116" s="20" t="s">
        <v>3232</v>
      </c>
      <c r="B116" s="20" t="s">
        <v>1339</v>
      </c>
      <c r="C116" s="20" t="s">
        <v>56</v>
      </c>
      <c r="D116" s="20" t="s">
        <v>1209</v>
      </c>
      <c r="E116" s="20" t="s">
        <v>3233</v>
      </c>
      <c r="F116" s="20" t="s">
        <v>3234</v>
      </c>
    </row>
    <row r="117" customFormat="false" ht="114.75" hidden="false" customHeight="true" outlineLevel="0" collapsed="false">
      <c r="A117" s="19" t="s">
        <v>3235</v>
      </c>
      <c r="B117" s="19" t="s">
        <v>1339</v>
      </c>
      <c r="C117" s="19" t="s">
        <v>62</v>
      </c>
      <c r="D117" s="19" t="s">
        <v>1209</v>
      </c>
      <c r="E117" s="19" t="s">
        <v>3236</v>
      </c>
      <c r="F117" s="19" t="s">
        <v>3237</v>
      </c>
    </row>
    <row r="118" customFormat="false" ht="114.75" hidden="false" customHeight="true" outlineLevel="0" collapsed="false">
      <c r="A118" s="20" t="s">
        <v>3238</v>
      </c>
      <c r="B118" s="20" t="s">
        <v>1311</v>
      </c>
      <c r="C118" s="20" t="s">
        <v>735</v>
      </c>
      <c r="D118" s="20" t="s">
        <v>1209</v>
      </c>
      <c r="E118" s="20" t="s">
        <v>3239</v>
      </c>
      <c r="F118" s="20" t="s">
        <v>3240</v>
      </c>
    </row>
    <row r="119" customFormat="false" ht="114.75" hidden="false" customHeight="true" outlineLevel="0" collapsed="false">
      <c r="A119" s="19" t="s">
        <v>3241</v>
      </c>
      <c r="B119" s="19" t="s">
        <v>2724</v>
      </c>
      <c r="C119" s="19" t="s">
        <v>735</v>
      </c>
      <c r="D119" s="19" t="s">
        <v>2938</v>
      </c>
      <c r="E119" s="19" t="s">
        <v>3242</v>
      </c>
      <c r="F119" s="19" t="s">
        <v>2939</v>
      </c>
    </row>
    <row r="120" customFormat="false" ht="114.75" hidden="false" customHeight="true" outlineLevel="0" collapsed="false">
      <c r="A120" s="20" t="s">
        <v>3243</v>
      </c>
      <c r="B120" s="20" t="s">
        <v>98</v>
      </c>
      <c r="C120" s="20" t="s">
        <v>3037</v>
      </c>
      <c r="D120" s="20" t="s">
        <v>3206</v>
      </c>
      <c r="E120" s="20" t="s">
        <v>3244</v>
      </c>
      <c r="F120" s="20" t="s">
        <v>3245</v>
      </c>
    </row>
    <row r="121" customFormat="false" ht="114.75" hidden="false" customHeight="true" outlineLevel="0" collapsed="false">
      <c r="A121" s="19" t="s">
        <v>3246</v>
      </c>
      <c r="B121" s="19" t="s">
        <v>3247</v>
      </c>
      <c r="C121" s="19" t="s">
        <v>98</v>
      </c>
      <c r="D121" s="19" t="s">
        <v>2938</v>
      </c>
      <c r="E121" s="19" t="s">
        <v>3248</v>
      </c>
      <c r="F121" s="19" t="s">
        <v>2939</v>
      </c>
    </row>
    <row r="122" customFormat="false" ht="114.75" hidden="false" customHeight="true" outlineLevel="0" collapsed="false">
      <c r="A122" s="20" t="s">
        <v>3249</v>
      </c>
      <c r="B122" s="20" t="s">
        <v>3250</v>
      </c>
      <c r="C122" s="20" t="s">
        <v>98</v>
      </c>
      <c r="D122" s="20" t="s">
        <v>3251</v>
      </c>
      <c r="E122" s="20" t="s">
        <v>3252</v>
      </c>
      <c r="F122" s="20" t="s">
        <v>3253</v>
      </c>
    </row>
    <row r="123" customFormat="false" ht="114.75" hidden="false" customHeight="true" outlineLevel="0" collapsed="false">
      <c r="A123" s="19" t="s">
        <v>3254</v>
      </c>
      <c r="B123" s="19" t="s">
        <v>3255</v>
      </c>
      <c r="C123" s="19" t="s">
        <v>1143</v>
      </c>
      <c r="D123" s="19" t="s">
        <v>2938</v>
      </c>
      <c r="E123" s="19" t="s">
        <v>3256</v>
      </c>
      <c r="F123" s="19" t="s">
        <v>2939</v>
      </c>
    </row>
    <row r="124" customFormat="false" ht="114.75" hidden="false" customHeight="true" outlineLevel="0" collapsed="false">
      <c r="A124" s="20" t="s">
        <v>3257</v>
      </c>
      <c r="B124" s="20" t="s">
        <v>3258</v>
      </c>
      <c r="C124" s="20" t="s">
        <v>1143</v>
      </c>
      <c r="D124" s="20" t="s">
        <v>2369</v>
      </c>
      <c r="E124" s="20" t="s">
        <v>3259</v>
      </c>
      <c r="F124" s="20" t="s">
        <v>3260</v>
      </c>
    </row>
    <row r="125" customFormat="false" ht="114.75" hidden="false" customHeight="true" outlineLevel="0" collapsed="false">
      <c r="A125" s="19" t="s">
        <v>3261</v>
      </c>
      <c r="B125" s="19" t="s">
        <v>3262</v>
      </c>
      <c r="C125" s="19" t="s">
        <v>1143</v>
      </c>
      <c r="D125" s="19" t="s">
        <v>3263</v>
      </c>
      <c r="E125" s="19" t="s">
        <v>3264</v>
      </c>
      <c r="F125" s="19" t="s">
        <v>3265</v>
      </c>
    </row>
    <row r="126" customFormat="false" ht="114.75" hidden="false" customHeight="true" outlineLevel="0" collapsed="false">
      <c r="A126" s="20" t="s">
        <v>3266</v>
      </c>
      <c r="B126" s="20" t="s">
        <v>3267</v>
      </c>
      <c r="C126" s="20" t="s">
        <v>1143</v>
      </c>
      <c r="D126" s="20" t="s">
        <v>2938</v>
      </c>
      <c r="E126" s="20" t="s">
        <v>1078</v>
      </c>
      <c r="F126" s="20" t="s">
        <v>2939</v>
      </c>
    </row>
    <row r="127" customFormat="false" ht="114.75" hidden="false" customHeight="true" outlineLevel="0" collapsed="false">
      <c r="A127" s="19" t="s">
        <v>3268</v>
      </c>
      <c r="B127" s="19" t="s">
        <v>3269</v>
      </c>
      <c r="C127" s="19" t="s">
        <v>1143</v>
      </c>
      <c r="D127" s="19" t="s">
        <v>3206</v>
      </c>
      <c r="E127" s="19" t="s">
        <v>3270</v>
      </c>
      <c r="F127" s="19" t="s">
        <v>3271</v>
      </c>
    </row>
    <row r="128" customFormat="false" ht="114.75" hidden="false" customHeight="true" outlineLevel="0" collapsed="false">
      <c r="A128" s="20" t="s">
        <v>3272</v>
      </c>
      <c r="B128" s="20" t="s">
        <v>3273</v>
      </c>
      <c r="C128" s="20" t="s">
        <v>3051</v>
      </c>
      <c r="D128" s="20" t="s">
        <v>3274</v>
      </c>
      <c r="E128" s="20" t="s">
        <v>3275</v>
      </c>
      <c r="F128" s="20" t="s">
        <v>3276</v>
      </c>
    </row>
    <row r="129" customFormat="false" ht="114.75" hidden="false" customHeight="true" outlineLevel="0" collapsed="false">
      <c r="A129" s="19" t="s">
        <v>3277</v>
      </c>
      <c r="B129" s="19" t="s">
        <v>3278</v>
      </c>
      <c r="C129" s="19" t="s">
        <v>3120</v>
      </c>
      <c r="D129" s="19" t="s">
        <v>2938</v>
      </c>
      <c r="E129" s="19" t="s">
        <v>3279</v>
      </c>
      <c r="F129" s="19" t="s">
        <v>2939</v>
      </c>
    </row>
    <row r="130" customFormat="false" ht="114.75" hidden="false" customHeight="true" outlineLevel="0" collapsed="false">
      <c r="A130" s="20" t="s">
        <v>3280</v>
      </c>
      <c r="B130" s="20" t="s">
        <v>1316</v>
      </c>
      <c r="C130" s="20" t="s">
        <v>3108</v>
      </c>
      <c r="D130" s="20" t="s">
        <v>1219</v>
      </c>
      <c r="E130" s="20" t="s">
        <v>3281</v>
      </c>
      <c r="F130" s="20" t="s">
        <v>3282</v>
      </c>
    </row>
    <row r="131" customFormat="false" ht="114.75" hidden="false" customHeight="true" outlineLevel="0" collapsed="false">
      <c r="A131" s="19" t="s">
        <v>3283</v>
      </c>
      <c r="B131" s="19" t="s">
        <v>3284</v>
      </c>
      <c r="C131" s="19" t="s">
        <v>2875</v>
      </c>
      <c r="D131" s="19" t="s">
        <v>2369</v>
      </c>
      <c r="E131" s="19" t="s">
        <v>3285</v>
      </c>
      <c r="F131" s="19" t="s">
        <v>3286</v>
      </c>
    </row>
    <row r="132" customFormat="false" ht="114.75" hidden="false" customHeight="true" outlineLevel="0" collapsed="false">
      <c r="A132" s="20" t="s">
        <v>3287</v>
      </c>
      <c r="B132" s="20" t="s">
        <v>2716</v>
      </c>
      <c r="C132" s="20" t="s">
        <v>2852</v>
      </c>
      <c r="D132" s="20" t="s">
        <v>3274</v>
      </c>
      <c r="E132" s="20" t="s">
        <v>3288</v>
      </c>
      <c r="F132" s="20" t="s">
        <v>3289</v>
      </c>
    </row>
    <row r="133" customFormat="false" ht="114.75" hidden="false" customHeight="true" outlineLevel="0" collapsed="false">
      <c r="A133" s="19" t="s">
        <v>3290</v>
      </c>
      <c r="B133" s="19" t="s">
        <v>3291</v>
      </c>
      <c r="C133" s="19" t="s">
        <v>3292</v>
      </c>
      <c r="D133" s="19" t="s">
        <v>2938</v>
      </c>
      <c r="E133" s="19" t="s">
        <v>1309</v>
      </c>
      <c r="F133" s="19" t="s">
        <v>2939</v>
      </c>
    </row>
    <row r="134" customFormat="false" ht="114.75" hidden="false" customHeight="true" outlineLevel="0" collapsed="false">
      <c r="A134" s="20" t="s">
        <v>3293</v>
      </c>
      <c r="B134" s="20" t="s">
        <v>672</v>
      </c>
      <c r="C134" s="20" t="s">
        <v>735</v>
      </c>
      <c r="D134" s="20" t="s">
        <v>2938</v>
      </c>
      <c r="E134" s="20" t="s">
        <v>673</v>
      </c>
      <c r="F134" s="20" t="s">
        <v>2939</v>
      </c>
    </row>
    <row r="135" customFormat="false" ht="114.75" hidden="false" customHeight="true" outlineLevel="0" collapsed="false">
      <c r="A135" s="19" t="s">
        <v>3294</v>
      </c>
      <c r="B135" s="19" t="s">
        <v>3295</v>
      </c>
      <c r="C135" s="19" t="s">
        <v>3296</v>
      </c>
      <c r="D135" s="19" t="s">
        <v>2938</v>
      </c>
      <c r="E135" s="19" t="s">
        <v>3297</v>
      </c>
      <c r="F135" s="19" t="s">
        <v>2939</v>
      </c>
    </row>
    <row r="136" customFormat="false" ht="114.75" hidden="false" customHeight="true" outlineLevel="0" collapsed="false">
      <c r="A136" s="20" t="s">
        <v>3298</v>
      </c>
      <c r="B136" s="20" t="s">
        <v>672</v>
      </c>
      <c r="C136" s="20" t="s">
        <v>3299</v>
      </c>
      <c r="D136" s="20" t="s">
        <v>2938</v>
      </c>
      <c r="E136" s="20" t="s">
        <v>3300</v>
      </c>
      <c r="F136" s="20" t="s">
        <v>2939</v>
      </c>
    </row>
    <row r="137" customFormat="false" ht="114.75" hidden="false" customHeight="true" outlineLevel="0" collapsed="false">
      <c r="A137" s="19" t="s">
        <v>3301</v>
      </c>
      <c r="B137" s="19" t="s">
        <v>672</v>
      </c>
      <c r="C137" s="19" t="s">
        <v>3299</v>
      </c>
      <c r="D137" s="19" t="s">
        <v>2938</v>
      </c>
      <c r="E137" s="19" t="s">
        <v>3302</v>
      </c>
      <c r="F137" s="19" t="s">
        <v>2939</v>
      </c>
    </row>
    <row r="138" customFormat="false" ht="114.75" hidden="false" customHeight="true" outlineLevel="0" collapsed="false">
      <c r="A138" s="20" t="s">
        <v>3303</v>
      </c>
      <c r="B138" s="20" t="s">
        <v>672</v>
      </c>
      <c r="C138" s="20" t="s">
        <v>3299</v>
      </c>
      <c r="D138" s="20" t="s">
        <v>2938</v>
      </c>
      <c r="E138" s="20" t="s">
        <v>1062</v>
      </c>
      <c r="F138" s="20" t="s">
        <v>2939</v>
      </c>
    </row>
    <row r="139" customFormat="false" ht="114.75" hidden="false" customHeight="true" outlineLevel="0" collapsed="false">
      <c r="A139" s="19" t="s">
        <v>3304</v>
      </c>
      <c r="B139" s="19" t="s">
        <v>672</v>
      </c>
      <c r="C139" s="19" t="s">
        <v>3299</v>
      </c>
      <c r="D139" s="19" t="s">
        <v>2938</v>
      </c>
      <c r="E139" s="19" t="s">
        <v>1062</v>
      </c>
      <c r="F139" s="19" t="s">
        <v>2939</v>
      </c>
    </row>
    <row r="140" customFormat="false" ht="114.75" hidden="false" customHeight="true" outlineLevel="0" collapsed="false">
      <c r="A140" s="20" t="s">
        <v>3305</v>
      </c>
      <c r="B140" s="20" t="s">
        <v>672</v>
      </c>
      <c r="C140" s="20" t="s">
        <v>3299</v>
      </c>
      <c r="D140" s="20" t="s">
        <v>2938</v>
      </c>
      <c r="E140" s="20" t="s">
        <v>1062</v>
      </c>
      <c r="F140" s="20" t="s">
        <v>2939</v>
      </c>
    </row>
    <row r="141" customFormat="false" ht="114.75" hidden="false" customHeight="true" outlineLevel="0" collapsed="false">
      <c r="A141" s="19" t="s">
        <v>3306</v>
      </c>
      <c r="B141" s="19" t="s">
        <v>672</v>
      </c>
      <c r="C141" s="19" t="s">
        <v>3299</v>
      </c>
      <c r="D141" s="19" t="s">
        <v>2938</v>
      </c>
      <c r="E141" s="19" t="s">
        <v>1062</v>
      </c>
      <c r="F141" s="19" t="s">
        <v>2939</v>
      </c>
    </row>
    <row r="142" customFormat="false" ht="114.75" hidden="false" customHeight="true" outlineLevel="0" collapsed="false">
      <c r="A142" s="20" t="s">
        <v>3307</v>
      </c>
      <c r="B142" s="20" t="s">
        <v>672</v>
      </c>
      <c r="C142" s="20" t="s">
        <v>3299</v>
      </c>
      <c r="D142" s="20" t="s">
        <v>1792</v>
      </c>
      <c r="E142" s="20" t="s">
        <v>3308</v>
      </c>
      <c r="F142" s="20" t="s">
        <v>3309</v>
      </c>
    </row>
    <row r="143" customFormat="false" ht="114.75" hidden="false" customHeight="true" outlineLevel="0" collapsed="false">
      <c r="A143" s="19" t="s">
        <v>3310</v>
      </c>
      <c r="B143" s="19" t="s">
        <v>672</v>
      </c>
      <c r="C143" s="19" t="s">
        <v>3299</v>
      </c>
      <c r="D143" s="19" t="s">
        <v>2938</v>
      </c>
      <c r="E143" s="19" t="s">
        <v>3311</v>
      </c>
      <c r="F143" s="19" t="s">
        <v>2939</v>
      </c>
    </row>
    <row r="144" customFormat="false" ht="114.75" hidden="false" customHeight="true" outlineLevel="0" collapsed="false">
      <c r="A144" s="20" t="s">
        <v>3312</v>
      </c>
      <c r="B144" s="20" t="s">
        <v>672</v>
      </c>
      <c r="C144" s="20" t="s">
        <v>3299</v>
      </c>
      <c r="D144" s="20" t="s">
        <v>2938</v>
      </c>
      <c r="E144" s="20" t="s">
        <v>3313</v>
      </c>
      <c r="F144" s="20" t="s">
        <v>2939</v>
      </c>
    </row>
    <row r="145" customFormat="false" ht="114.75" hidden="false" customHeight="true" outlineLevel="0" collapsed="false">
      <c r="A145" s="19" t="s">
        <v>3314</v>
      </c>
      <c r="B145" s="19" t="s">
        <v>672</v>
      </c>
      <c r="C145" s="19" t="s">
        <v>3299</v>
      </c>
      <c r="D145" s="19" t="s">
        <v>2938</v>
      </c>
      <c r="E145" s="19" t="s">
        <v>3315</v>
      </c>
      <c r="F145" s="19" t="s">
        <v>2939</v>
      </c>
    </row>
    <row r="146" customFormat="false" ht="114.75" hidden="false" customHeight="true" outlineLevel="0" collapsed="false">
      <c r="A146" s="20" t="s">
        <v>3316</v>
      </c>
      <c r="B146" s="20" t="s">
        <v>672</v>
      </c>
      <c r="C146" s="20" t="s">
        <v>3299</v>
      </c>
      <c r="D146" s="20" t="s">
        <v>2938</v>
      </c>
      <c r="E146" s="20" t="s">
        <v>1058</v>
      </c>
      <c r="F146" s="20" t="s">
        <v>2939</v>
      </c>
    </row>
    <row r="147" customFormat="false" ht="114.75" hidden="false" customHeight="true" outlineLevel="0" collapsed="false">
      <c r="A147" s="19" t="s">
        <v>3317</v>
      </c>
      <c r="B147" s="19" t="s">
        <v>672</v>
      </c>
      <c r="C147" s="19" t="s">
        <v>3299</v>
      </c>
      <c r="D147" s="19" t="s">
        <v>2938</v>
      </c>
      <c r="E147" s="19" t="s">
        <v>3318</v>
      </c>
      <c r="F147" s="19" t="s">
        <v>2939</v>
      </c>
    </row>
    <row r="148" customFormat="false" ht="114.75" hidden="false" customHeight="true" outlineLevel="0" collapsed="false">
      <c r="A148" s="20" t="s">
        <v>3319</v>
      </c>
      <c r="B148" s="20" t="s">
        <v>672</v>
      </c>
      <c r="C148" s="20" t="s">
        <v>3299</v>
      </c>
      <c r="D148" s="20" t="s">
        <v>2938</v>
      </c>
      <c r="E148" s="20" t="s">
        <v>1050</v>
      </c>
      <c r="F148" s="20" t="s">
        <v>2939</v>
      </c>
    </row>
    <row r="149" customFormat="false" ht="114.75" hidden="false" customHeight="true" outlineLevel="0" collapsed="false">
      <c r="A149" s="19" t="s">
        <v>3320</v>
      </c>
      <c r="B149" s="19" t="s">
        <v>672</v>
      </c>
      <c r="C149" s="19" t="s">
        <v>3299</v>
      </c>
      <c r="D149" s="19" t="s">
        <v>326</v>
      </c>
      <c r="E149" s="19" t="s">
        <v>3321</v>
      </c>
      <c r="F149" s="19" t="s">
        <v>3322</v>
      </c>
    </row>
    <row r="150" customFormat="false" ht="114.75" hidden="false" customHeight="true" outlineLevel="0" collapsed="false">
      <c r="A150" s="20" t="s">
        <v>3323</v>
      </c>
      <c r="B150" s="20" t="s">
        <v>3324</v>
      </c>
      <c r="C150" s="20" t="s">
        <v>3325</v>
      </c>
      <c r="D150" s="20" t="s">
        <v>3326</v>
      </c>
      <c r="E150" s="20" t="s">
        <v>3327</v>
      </c>
      <c r="F150" s="20" t="s">
        <v>3328</v>
      </c>
    </row>
    <row r="151" customFormat="false" ht="114.75" hidden="false" customHeight="true" outlineLevel="0" collapsed="false">
      <c r="A151" s="19" t="s">
        <v>3329</v>
      </c>
      <c r="B151" s="19" t="s">
        <v>3324</v>
      </c>
      <c r="C151" s="19" t="s">
        <v>3325</v>
      </c>
      <c r="D151" s="19" t="s">
        <v>3326</v>
      </c>
      <c r="E151" s="19" t="s">
        <v>3330</v>
      </c>
      <c r="F151" s="19" t="s">
        <v>3331</v>
      </c>
    </row>
    <row r="152" customFormat="false" ht="114.75" hidden="false" customHeight="true" outlineLevel="0" collapsed="false">
      <c r="A152" s="20" t="s">
        <v>3332</v>
      </c>
      <c r="B152" s="20" t="s">
        <v>3324</v>
      </c>
      <c r="C152" s="20" t="s">
        <v>3325</v>
      </c>
      <c r="D152" s="20" t="s">
        <v>3326</v>
      </c>
      <c r="E152" s="20" t="s">
        <v>3333</v>
      </c>
      <c r="F152" s="20" t="s">
        <v>3334</v>
      </c>
    </row>
    <row r="153" customFormat="false" ht="114.75" hidden="false" customHeight="true" outlineLevel="0" collapsed="false">
      <c r="A153" s="19" t="s">
        <v>3335</v>
      </c>
      <c r="B153" s="19" t="s">
        <v>3324</v>
      </c>
      <c r="C153" s="19" t="s">
        <v>3325</v>
      </c>
      <c r="D153" s="19" t="s">
        <v>3326</v>
      </c>
      <c r="E153" s="19" t="s">
        <v>3336</v>
      </c>
      <c r="F153" s="19" t="s">
        <v>3337</v>
      </c>
    </row>
    <row r="154" customFormat="false" ht="114.75" hidden="false" customHeight="true" outlineLevel="0" collapsed="false">
      <c r="A154" s="20" t="s">
        <v>3338</v>
      </c>
      <c r="B154" s="20" t="s">
        <v>3324</v>
      </c>
      <c r="C154" s="20" t="s">
        <v>3325</v>
      </c>
      <c r="D154" s="20" t="s">
        <v>3326</v>
      </c>
      <c r="E154" s="20" t="s">
        <v>3339</v>
      </c>
      <c r="F154" s="20" t="s">
        <v>3340</v>
      </c>
    </row>
    <row r="155" customFormat="false" ht="114.75" hidden="false" customHeight="true" outlineLevel="0" collapsed="false">
      <c r="A155" s="19" t="s">
        <v>3341</v>
      </c>
      <c r="B155" s="19" t="s">
        <v>107</v>
      </c>
      <c r="C155" s="19" t="s">
        <v>62</v>
      </c>
      <c r="D155" s="19" t="s">
        <v>2938</v>
      </c>
      <c r="E155" s="19" t="s">
        <v>1034</v>
      </c>
      <c r="F155" s="19" t="s">
        <v>2939</v>
      </c>
    </row>
    <row r="156" customFormat="false" ht="114.75" hidden="false" customHeight="true" outlineLevel="0" collapsed="false">
      <c r="A156" s="20" t="s">
        <v>3342</v>
      </c>
      <c r="B156" s="20" t="s">
        <v>107</v>
      </c>
      <c r="C156" s="20" t="s">
        <v>62</v>
      </c>
      <c r="D156" s="20" t="s">
        <v>1233</v>
      </c>
      <c r="E156" s="20" t="s">
        <v>3343</v>
      </c>
      <c r="F156" s="20" t="s">
        <v>3344</v>
      </c>
    </row>
    <row r="157" customFormat="false" ht="114.75" hidden="false" customHeight="true" outlineLevel="0" collapsed="false">
      <c r="A157" s="19" t="s">
        <v>3345</v>
      </c>
      <c r="B157" s="19" t="s">
        <v>107</v>
      </c>
      <c r="C157" s="19" t="s">
        <v>62</v>
      </c>
      <c r="D157" s="19" t="s">
        <v>2938</v>
      </c>
      <c r="E157" s="19" t="s">
        <v>3346</v>
      </c>
      <c r="F157" s="19" t="s">
        <v>2939</v>
      </c>
    </row>
    <row r="158" customFormat="false" ht="114.75" hidden="false" customHeight="true" outlineLevel="0" collapsed="false">
      <c r="A158" s="20" t="s">
        <v>3347</v>
      </c>
      <c r="B158" s="20" t="s">
        <v>107</v>
      </c>
      <c r="C158" s="20" t="s">
        <v>62</v>
      </c>
      <c r="D158" s="20" t="s">
        <v>1233</v>
      </c>
      <c r="E158" s="20" t="s">
        <v>3348</v>
      </c>
      <c r="F158" s="20" t="s">
        <v>3349</v>
      </c>
    </row>
    <row r="159" customFormat="false" ht="114.75" hidden="false" customHeight="true" outlineLevel="0" collapsed="false">
      <c r="A159" s="19" t="s">
        <v>3350</v>
      </c>
      <c r="B159" s="19" t="s">
        <v>107</v>
      </c>
      <c r="C159" s="19" t="s">
        <v>62</v>
      </c>
      <c r="D159" s="19" t="s">
        <v>2938</v>
      </c>
      <c r="E159" s="19" t="s">
        <v>3351</v>
      </c>
      <c r="F159" s="19" t="s">
        <v>2939</v>
      </c>
    </row>
    <row r="160" customFormat="false" ht="114.75" hidden="false" customHeight="true" outlineLevel="0" collapsed="false">
      <c r="A160" s="20" t="s">
        <v>3352</v>
      </c>
      <c r="B160" s="20" t="s">
        <v>107</v>
      </c>
      <c r="C160" s="20" t="s">
        <v>62</v>
      </c>
      <c r="D160" s="20" t="s">
        <v>2938</v>
      </c>
      <c r="E160" s="20" t="s">
        <v>3353</v>
      </c>
      <c r="F160" s="20" t="s">
        <v>2939</v>
      </c>
    </row>
    <row r="161" customFormat="false" ht="114.75" hidden="false" customHeight="true" outlineLevel="0" collapsed="false">
      <c r="A161" s="19" t="s">
        <v>3354</v>
      </c>
      <c r="B161" s="19" t="s">
        <v>107</v>
      </c>
      <c r="C161" s="19" t="s">
        <v>62</v>
      </c>
      <c r="D161" s="19" t="s">
        <v>2938</v>
      </c>
      <c r="E161" s="19" t="s">
        <v>3355</v>
      </c>
      <c r="F161" s="19" t="s">
        <v>2939</v>
      </c>
    </row>
    <row r="162" customFormat="false" ht="114.75" hidden="false" customHeight="true" outlineLevel="0" collapsed="false">
      <c r="A162" s="20" t="s">
        <v>3356</v>
      </c>
      <c r="B162" s="20" t="s">
        <v>107</v>
      </c>
      <c r="C162" s="20" t="s">
        <v>62</v>
      </c>
      <c r="D162" s="20" t="s">
        <v>2938</v>
      </c>
      <c r="E162" s="20" t="s">
        <v>1042</v>
      </c>
      <c r="F162" s="20" t="s">
        <v>2939</v>
      </c>
    </row>
    <row r="163" customFormat="false" ht="114.75" hidden="false" customHeight="true" outlineLevel="0" collapsed="false">
      <c r="A163" s="19" t="s">
        <v>3357</v>
      </c>
      <c r="B163" s="19" t="s">
        <v>107</v>
      </c>
      <c r="C163" s="19" t="s">
        <v>62</v>
      </c>
      <c r="D163" s="19" t="s">
        <v>2938</v>
      </c>
      <c r="E163" s="19" t="s">
        <v>1042</v>
      </c>
      <c r="F163" s="19" t="s">
        <v>2939</v>
      </c>
    </row>
    <row r="164" customFormat="false" ht="114.75" hidden="false" customHeight="true" outlineLevel="0" collapsed="false">
      <c r="A164" s="20" t="s">
        <v>3358</v>
      </c>
      <c r="B164" s="20" t="s">
        <v>107</v>
      </c>
      <c r="C164" s="20" t="s">
        <v>62</v>
      </c>
      <c r="D164" s="20" t="s">
        <v>1233</v>
      </c>
      <c r="E164" s="20" t="s">
        <v>3359</v>
      </c>
      <c r="F164" s="20" t="s">
        <v>3360</v>
      </c>
    </row>
    <row r="165" customFormat="false" ht="114.75" hidden="false" customHeight="true" outlineLevel="0" collapsed="false">
      <c r="A165" s="19" t="s">
        <v>3361</v>
      </c>
      <c r="B165" s="19" t="s">
        <v>107</v>
      </c>
      <c r="C165" s="19" t="s">
        <v>62</v>
      </c>
      <c r="D165" s="19" t="s">
        <v>2938</v>
      </c>
      <c r="E165" s="19" t="s">
        <v>3362</v>
      </c>
      <c r="F165" s="19" t="s">
        <v>2939</v>
      </c>
    </row>
    <row r="166" customFormat="false" ht="114.75" hidden="false" customHeight="true" outlineLevel="0" collapsed="false">
      <c r="A166" s="20" t="s">
        <v>3363</v>
      </c>
      <c r="B166" s="20" t="s">
        <v>107</v>
      </c>
      <c r="C166" s="20" t="s">
        <v>62</v>
      </c>
      <c r="D166" s="20" t="s">
        <v>2938</v>
      </c>
      <c r="E166" s="20" t="s">
        <v>1038</v>
      </c>
      <c r="F166" s="20" t="s">
        <v>2939</v>
      </c>
    </row>
    <row r="167" customFormat="false" ht="114.75" hidden="false" customHeight="true" outlineLevel="0" collapsed="false">
      <c r="A167" s="19" t="s">
        <v>3364</v>
      </c>
      <c r="B167" s="19" t="s">
        <v>107</v>
      </c>
      <c r="C167" s="19" t="s">
        <v>62</v>
      </c>
      <c r="D167" s="19" t="s">
        <v>2938</v>
      </c>
      <c r="E167" s="19" t="s">
        <v>3365</v>
      </c>
      <c r="F167" s="19" t="s">
        <v>2939</v>
      </c>
    </row>
    <row r="168" customFormat="false" ht="114.75" hidden="false" customHeight="true" outlineLevel="0" collapsed="false">
      <c r="A168" s="20" t="s">
        <v>3366</v>
      </c>
      <c r="B168" s="20" t="s">
        <v>107</v>
      </c>
      <c r="C168" s="20" t="s">
        <v>62</v>
      </c>
      <c r="D168" s="20" t="s">
        <v>2938</v>
      </c>
      <c r="E168" s="20" t="s">
        <v>3367</v>
      </c>
      <c r="F168" s="20" t="s">
        <v>2939</v>
      </c>
    </row>
    <row r="169" customFormat="false" ht="114.75" hidden="false" customHeight="true" outlineLevel="0" collapsed="false">
      <c r="A169" s="19" t="s">
        <v>3368</v>
      </c>
      <c r="B169" s="19" t="s">
        <v>107</v>
      </c>
      <c r="C169" s="19" t="s">
        <v>62</v>
      </c>
      <c r="D169" s="19" t="s">
        <v>1233</v>
      </c>
      <c r="E169" s="19" t="s">
        <v>3369</v>
      </c>
      <c r="F169" s="19" t="s">
        <v>3370</v>
      </c>
    </row>
    <row r="170" customFormat="false" ht="114.75" hidden="false" customHeight="true" outlineLevel="0" collapsed="false">
      <c r="A170" s="20" t="s">
        <v>3371</v>
      </c>
      <c r="B170" s="20" t="s">
        <v>107</v>
      </c>
      <c r="C170" s="20" t="s">
        <v>62</v>
      </c>
      <c r="D170" s="20" t="s">
        <v>1233</v>
      </c>
      <c r="E170" s="20" t="s">
        <v>3372</v>
      </c>
      <c r="F170" s="20" t="s">
        <v>3373</v>
      </c>
    </row>
    <row r="171" customFormat="false" ht="114.75" hidden="false" customHeight="true" outlineLevel="0" collapsed="false">
      <c r="A171" s="19" t="s">
        <v>3374</v>
      </c>
      <c r="B171" s="19" t="s">
        <v>107</v>
      </c>
      <c r="C171" s="19" t="s">
        <v>62</v>
      </c>
      <c r="D171" s="19" t="s">
        <v>2938</v>
      </c>
      <c r="E171" s="19" t="s">
        <v>2101</v>
      </c>
      <c r="F171" s="19" t="s">
        <v>2939</v>
      </c>
    </row>
    <row r="172" customFormat="false" ht="114.75" hidden="false" customHeight="true" outlineLevel="0" collapsed="false">
      <c r="A172" s="20" t="s">
        <v>3375</v>
      </c>
      <c r="B172" s="20" t="s">
        <v>107</v>
      </c>
      <c r="C172" s="20" t="s">
        <v>62</v>
      </c>
      <c r="D172" s="20" t="s">
        <v>2938</v>
      </c>
      <c r="E172" s="20" t="s">
        <v>2071</v>
      </c>
      <c r="F172" s="20" t="s">
        <v>2939</v>
      </c>
    </row>
    <row r="173" customFormat="false" ht="114.75" hidden="false" customHeight="true" outlineLevel="0" collapsed="false">
      <c r="A173" s="19" t="s">
        <v>3376</v>
      </c>
      <c r="B173" s="19" t="s">
        <v>107</v>
      </c>
      <c r="C173" s="19" t="s">
        <v>62</v>
      </c>
      <c r="D173" s="19" t="s">
        <v>3377</v>
      </c>
      <c r="E173" s="19" t="s">
        <v>3378</v>
      </c>
      <c r="F173" s="19" t="s">
        <v>3379</v>
      </c>
    </row>
    <row r="174" customFormat="false" ht="114.75" hidden="false" customHeight="true" outlineLevel="0" collapsed="false">
      <c r="A174" s="20" t="s">
        <v>3380</v>
      </c>
      <c r="B174" s="20" t="s">
        <v>107</v>
      </c>
      <c r="C174" s="20" t="s">
        <v>62</v>
      </c>
      <c r="D174" s="20" t="s">
        <v>2938</v>
      </c>
      <c r="E174" s="20" t="s">
        <v>1042</v>
      </c>
      <c r="F174" s="20" t="s">
        <v>2939</v>
      </c>
    </row>
    <row r="175" customFormat="false" ht="114.75" hidden="false" customHeight="true" outlineLevel="0" collapsed="false">
      <c r="A175" s="19" t="s">
        <v>3381</v>
      </c>
      <c r="B175" s="19" t="s">
        <v>107</v>
      </c>
      <c r="C175" s="19" t="s">
        <v>62</v>
      </c>
      <c r="D175" s="19" t="s">
        <v>3382</v>
      </c>
      <c r="E175" s="19" t="s">
        <v>3383</v>
      </c>
      <c r="F175" s="19" t="s">
        <v>3384</v>
      </c>
    </row>
    <row r="176" customFormat="false" ht="114.75" hidden="false" customHeight="true" outlineLevel="0" collapsed="false">
      <c r="A176" s="20" t="s">
        <v>3385</v>
      </c>
      <c r="B176" s="20" t="s">
        <v>691</v>
      </c>
      <c r="C176" s="20" t="s">
        <v>3386</v>
      </c>
      <c r="D176" s="20" t="s">
        <v>2233</v>
      </c>
      <c r="E176" s="20" t="s">
        <v>2231</v>
      </c>
      <c r="F176" s="20" t="s">
        <v>3387</v>
      </c>
    </row>
    <row r="177" customFormat="false" ht="114.75" hidden="false" customHeight="true" outlineLevel="0" collapsed="false">
      <c r="A177" s="19" t="s">
        <v>3388</v>
      </c>
      <c r="B177" s="19" t="s">
        <v>691</v>
      </c>
      <c r="C177" s="19" t="s">
        <v>3386</v>
      </c>
      <c r="D177" s="19" t="s">
        <v>2237</v>
      </c>
      <c r="E177" s="19" t="s">
        <v>2235</v>
      </c>
      <c r="F177" s="19" t="s">
        <v>3389</v>
      </c>
    </row>
    <row r="178" customFormat="false" ht="114.75" hidden="false" customHeight="true" outlineLevel="0" collapsed="false">
      <c r="A178" s="20" t="s">
        <v>3390</v>
      </c>
      <c r="B178" s="20" t="s">
        <v>691</v>
      </c>
      <c r="C178" s="20" t="s">
        <v>3386</v>
      </c>
      <c r="D178" s="20" t="s">
        <v>2938</v>
      </c>
      <c r="E178" s="20" t="s">
        <v>3391</v>
      </c>
      <c r="F178" s="20" t="s">
        <v>2939</v>
      </c>
    </row>
    <row r="179" customFormat="false" ht="114.75" hidden="false" customHeight="true" outlineLevel="0" collapsed="false">
      <c r="A179" s="19" t="s">
        <v>3392</v>
      </c>
      <c r="B179" s="19" t="s">
        <v>691</v>
      </c>
      <c r="C179" s="19" t="s">
        <v>3386</v>
      </c>
      <c r="D179" s="19" t="s">
        <v>1792</v>
      </c>
      <c r="E179" s="19" t="s">
        <v>2241</v>
      </c>
      <c r="F179" s="19" t="s">
        <v>3393</v>
      </c>
    </row>
    <row r="180" customFormat="false" ht="114.75" hidden="false" customHeight="true" outlineLevel="0" collapsed="false">
      <c r="A180" s="20" t="s">
        <v>3394</v>
      </c>
      <c r="B180" s="20" t="s">
        <v>691</v>
      </c>
      <c r="C180" s="20" t="s">
        <v>3386</v>
      </c>
      <c r="D180" s="20" t="s">
        <v>1792</v>
      </c>
      <c r="E180" s="20" t="s">
        <v>2244</v>
      </c>
      <c r="F180" s="20" t="s">
        <v>3395</v>
      </c>
    </row>
    <row r="181" customFormat="false" ht="114.75" hidden="false" customHeight="true" outlineLevel="0" collapsed="false">
      <c r="A181" s="19" t="s">
        <v>3396</v>
      </c>
      <c r="B181" s="19" t="s">
        <v>691</v>
      </c>
      <c r="C181" s="19" t="s">
        <v>3386</v>
      </c>
      <c r="D181" s="19" t="s">
        <v>2249</v>
      </c>
      <c r="E181" s="19" t="s">
        <v>2247</v>
      </c>
      <c r="F181" s="19" t="s">
        <v>3397</v>
      </c>
    </row>
    <row r="182" customFormat="false" ht="114.75" hidden="false" customHeight="true" outlineLevel="0" collapsed="false">
      <c r="A182" s="20" t="s">
        <v>3398</v>
      </c>
      <c r="B182" s="20" t="s">
        <v>691</v>
      </c>
      <c r="C182" s="20" t="s">
        <v>3386</v>
      </c>
      <c r="D182" s="20" t="s">
        <v>2253</v>
      </c>
      <c r="E182" s="20" t="s">
        <v>2251</v>
      </c>
      <c r="F182" s="20" t="s">
        <v>3399</v>
      </c>
    </row>
    <row r="183" customFormat="false" ht="114.75" hidden="false" customHeight="true" outlineLevel="0" collapsed="false">
      <c r="A183" s="19" t="s">
        <v>3400</v>
      </c>
      <c r="B183" s="19" t="s">
        <v>691</v>
      </c>
      <c r="C183" s="19" t="s">
        <v>3386</v>
      </c>
      <c r="D183" s="19" t="s">
        <v>2257</v>
      </c>
      <c r="E183" s="19" t="s">
        <v>2255</v>
      </c>
      <c r="F183" s="19" t="s">
        <v>3401</v>
      </c>
    </row>
    <row r="184" customFormat="false" ht="114.75" hidden="false" customHeight="true" outlineLevel="0" collapsed="false">
      <c r="A184" s="20" t="s">
        <v>3402</v>
      </c>
      <c r="B184" s="20" t="s">
        <v>691</v>
      </c>
      <c r="C184" s="20" t="s">
        <v>3386</v>
      </c>
      <c r="D184" s="20" t="s">
        <v>2261</v>
      </c>
      <c r="E184" s="20" t="s">
        <v>2259</v>
      </c>
      <c r="F184" s="20" t="s">
        <v>3403</v>
      </c>
    </row>
    <row r="185" customFormat="false" ht="114.75" hidden="false" customHeight="true" outlineLevel="0" collapsed="false">
      <c r="A185" s="19" t="s">
        <v>3404</v>
      </c>
      <c r="B185" s="19" t="s">
        <v>691</v>
      </c>
      <c r="C185" s="19" t="s">
        <v>3386</v>
      </c>
      <c r="D185" s="19" t="s">
        <v>1792</v>
      </c>
      <c r="E185" s="19" t="s">
        <v>2263</v>
      </c>
      <c r="F185" s="19" t="s">
        <v>3405</v>
      </c>
    </row>
    <row r="186" customFormat="false" ht="114.75" hidden="false" customHeight="true" outlineLevel="0" collapsed="false">
      <c r="A186" s="20" t="s">
        <v>3406</v>
      </c>
      <c r="B186" s="20" t="s">
        <v>691</v>
      </c>
      <c r="C186" s="20" t="s">
        <v>3386</v>
      </c>
      <c r="D186" s="20" t="s">
        <v>2268</v>
      </c>
      <c r="E186" s="20" t="s">
        <v>2266</v>
      </c>
      <c r="F186" s="20" t="s">
        <v>3407</v>
      </c>
    </row>
    <row r="187" customFormat="false" ht="114.75" hidden="false" customHeight="true" outlineLevel="0" collapsed="false">
      <c r="A187" s="19" t="s">
        <v>3408</v>
      </c>
      <c r="B187" s="19" t="s">
        <v>691</v>
      </c>
      <c r="C187" s="19" t="s">
        <v>3386</v>
      </c>
      <c r="D187" s="19" t="s">
        <v>2272</v>
      </c>
      <c r="E187" s="19" t="s">
        <v>2270</v>
      </c>
      <c r="F187" s="19" t="s">
        <v>3409</v>
      </c>
    </row>
    <row r="188" customFormat="false" ht="120" hidden="false" customHeight="true" outlineLevel="0" collapsed="false">
      <c r="A188" s="20" t="s">
        <v>3410</v>
      </c>
      <c r="B188" s="20" t="s">
        <v>3411</v>
      </c>
      <c r="C188" s="20" t="s">
        <v>3412</v>
      </c>
      <c r="D188" s="20" t="s">
        <v>3413</v>
      </c>
      <c r="E188" s="20" t="s">
        <v>3414</v>
      </c>
      <c r="F188" s="20" t="s">
        <v>3415</v>
      </c>
    </row>
    <row r="189" customFormat="false" ht="120" hidden="false" customHeight="true" outlineLevel="0" collapsed="false">
      <c r="A189" s="19" t="s">
        <v>3416</v>
      </c>
      <c r="B189" s="19" t="s">
        <v>672</v>
      </c>
      <c r="C189" s="19" t="s">
        <v>3412</v>
      </c>
      <c r="D189" s="19" t="s">
        <v>3417</v>
      </c>
      <c r="E189" s="19" t="s">
        <v>3418</v>
      </c>
      <c r="F189" s="19" t="s">
        <v>3419</v>
      </c>
    </row>
    <row r="190" customFormat="false" ht="120" hidden="false" customHeight="true" outlineLevel="0" collapsed="false">
      <c r="A190" s="20" t="s">
        <v>3420</v>
      </c>
      <c r="B190" s="20" t="s">
        <v>3421</v>
      </c>
      <c r="C190" s="20" t="s">
        <v>3412</v>
      </c>
      <c r="D190" s="20" t="s">
        <v>3422</v>
      </c>
      <c r="E190" s="20" t="s">
        <v>3423</v>
      </c>
      <c r="F190" s="20" t="s">
        <v>3424</v>
      </c>
    </row>
    <row r="191" customFormat="false" ht="120" hidden="false" customHeight="true" outlineLevel="0" collapsed="false">
      <c r="A191" s="19" t="s">
        <v>3425</v>
      </c>
      <c r="B191" s="19" t="s">
        <v>3426</v>
      </c>
      <c r="C191" s="19" t="s">
        <v>3412</v>
      </c>
      <c r="D191" s="19" t="s">
        <v>2690</v>
      </c>
      <c r="E191" s="19" t="s">
        <v>3427</v>
      </c>
      <c r="F191" s="19" t="s">
        <v>3428</v>
      </c>
    </row>
    <row r="192" customFormat="false" ht="120" hidden="false" customHeight="true" outlineLevel="0" collapsed="false">
      <c r="A192" s="20" t="s">
        <v>3429</v>
      </c>
      <c r="B192" s="20" t="s">
        <v>3430</v>
      </c>
      <c r="C192" s="20" t="s">
        <v>3412</v>
      </c>
      <c r="D192" s="20" t="s">
        <v>2938</v>
      </c>
      <c r="E192" s="20" t="s">
        <v>1070</v>
      </c>
      <c r="F192" s="20" t="s">
        <v>2939</v>
      </c>
    </row>
    <row r="193" customFormat="false" ht="120" hidden="false" customHeight="true" outlineLevel="0" collapsed="false">
      <c r="A193" s="19" t="s">
        <v>3431</v>
      </c>
      <c r="B193" s="19" t="s">
        <v>3432</v>
      </c>
      <c r="C193" s="19" t="s">
        <v>3412</v>
      </c>
      <c r="D193" s="19" t="s">
        <v>2690</v>
      </c>
      <c r="E193" s="19" t="s">
        <v>3433</v>
      </c>
      <c r="F193" s="19" t="s">
        <v>3434</v>
      </c>
    </row>
    <row r="194" customFormat="false" ht="120" hidden="false" customHeight="true" outlineLevel="0" collapsed="false">
      <c r="A194" s="20" t="s">
        <v>3435</v>
      </c>
      <c r="B194" s="20" t="s">
        <v>3436</v>
      </c>
      <c r="C194" s="20" t="s">
        <v>3412</v>
      </c>
      <c r="D194" s="20" t="s">
        <v>2938</v>
      </c>
      <c r="E194" s="20" t="s">
        <v>1070</v>
      </c>
      <c r="F194" s="20" t="s">
        <v>2939</v>
      </c>
    </row>
    <row r="195" customFormat="false" ht="120" hidden="false" customHeight="true" outlineLevel="0" collapsed="false">
      <c r="A195" s="19" t="s">
        <v>3437</v>
      </c>
      <c r="B195" s="19" t="s">
        <v>3438</v>
      </c>
      <c r="C195" s="19" t="s">
        <v>3412</v>
      </c>
      <c r="D195" s="19" t="s">
        <v>2938</v>
      </c>
      <c r="E195" s="19" t="s">
        <v>1070</v>
      </c>
      <c r="F195" s="19" t="s">
        <v>2939</v>
      </c>
    </row>
    <row r="196" customFormat="false" ht="120" hidden="false" customHeight="true" outlineLevel="0" collapsed="false">
      <c r="A196" s="20" t="s">
        <v>3439</v>
      </c>
      <c r="B196" s="20" t="s">
        <v>3440</v>
      </c>
      <c r="C196" s="20" t="s">
        <v>3412</v>
      </c>
      <c r="D196" s="20" t="s">
        <v>2938</v>
      </c>
      <c r="E196" s="20" t="s">
        <v>1309</v>
      </c>
      <c r="F196" s="20" t="s">
        <v>2939</v>
      </c>
    </row>
    <row r="197" customFormat="false" ht="120" hidden="false" customHeight="true" outlineLevel="0" collapsed="false">
      <c r="A197" s="19" t="s">
        <v>3441</v>
      </c>
      <c r="B197" s="19" t="s">
        <v>3442</v>
      </c>
      <c r="C197" s="19" t="s">
        <v>3412</v>
      </c>
      <c r="D197" s="19" t="s">
        <v>2938</v>
      </c>
      <c r="E197" s="19" t="s">
        <v>3443</v>
      </c>
      <c r="F197" s="19" t="s">
        <v>2939</v>
      </c>
    </row>
    <row r="198" customFormat="false" ht="120" hidden="false" customHeight="true" outlineLevel="0" collapsed="false">
      <c r="A198" s="20" t="s">
        <v>3444</v>
      </c>
      <c r="B198" s="20" t="s">
        <v>2376</v>
      </c>
      <c r="C198" s="20" t="s">
        <v>3412</v>
      </c>
      <c r="D198" s="20" t="s">
        <v>1792</v>
      </c>
      <c r="E198" s="20" t="s">
        <v>3445</v>
      </c>
      <c r="F198" s="20" t="s">
        <v>3446</v>
      </c>
    </row>
    <row r="199" customFormat="false" ht="120" hidden="false" customHeight="true" outlineLevel="0" collapsed="false">
      <c r="A199" s="19" t="s">
        <v>3447</v>
      </c>
      <c r="B199" s="19" t="s">
        <v>3448</v>
      </c>
      <c r="C199" s="19" t="s">
        <v>3412</v>
      </c>
      <c r="D199" s="19" t="s">
        <v>3449</v>
      </c>
      <c r="E199" s="19" t="s">
        <v>3450</v>
      </c>
      <c r="F199" s="19" t="s">
        <v>3451</v>
      </c>
    </row>
    <row r="200" customFormat="false" ht="120" hidden="false" customHeight="true" outlineLevel="0" collapsed="false">
      <c r="A200" s="20" t="s">
        <v>3452</v>
      </c>
      <c r="B200" s="20" t="s">
        <v>3453</v>
      </c>
      <c r="C200" s="20" t="s">
        <v>3412</v>
      </c>
      <c r="D200" s="20" t="s">
        <v>2938</v>
      </c>
      <c r="E200" s="20" t="s">
        <v>3454</v>
      </c>
      <c r="F200" s="20" t="s">
        <v>2939</v>
      </c>
    </row>
    <row r="201" customFormat="false" ht="120" hidden="false" customHeight="true" outlineLevel="0" collapsed="false">
      <c r="A201" s="19" t="s">
        <v>3455</v>
      </c>
      <c r="B201" s="19" t="s">
        <v>3456</v>
      </c>
      <c r="C201" s="19" t="s">
        <v>3412</v>
      </c>
      <c r="D201" s="19" t="s">
        <v>2938</v>
      </c>
      <c r="E201" s="19" t="s">
        <v>1074</v>
      </c>
      <c r="F201" s="19" t="s">
        <v>2939</v>
      </c>
    </row>
    <row r="202" customFormat="false" ht="120" hidden="false" customHeight="true" outlineLevel="0" collapsed="false">
      <c r="A202" s="20" t="s">
        <v>3457</v>
      </c>
      <c r="B202" s="20" t="s">
        <v>3458</v>
      </c>
      <c r="C202" s="20" t="s">
        <v>3412</v>
      </c>
      <c r="D202" s="20" t="s">
        <v>2938</v>
      </c>
      <c r="E202" s="20" t="s">
        <v>3459</v>
      </c>
      <c r="F202" s="20" t="s">
        <v>2939</v>
      </c>
    </row>
    <row r="203" customFormat="false" ht="120" hidden="false" customHeight="true" outlineLevel="0" collapsed="false">
      <c r="A203" s="19" t="s">
        <v>3460</v>
      </c>
      <c r="B203" s="19" t="s">
        <v>3461</v>
      </c>
      <c r="C203" s="19" t="s">
        <v>3412</v>
      </c>
      <c r="D203" s="19" t="s">
        <v>2938</v>
      </c>
      <c r="E203" s="19" t="s">
        <v>1872</v>
      </c>
      <c r="F203" s="19" t="s">
        <v>2939</v>
      </c>
    </row>
    <row r="204" customFormat="false" ht="120" hidden="false" customHeight="true" outlineLevel="0" collapsed="false">
      <c r="A204" s="20" t="s">
        <v>3462</v>
      </c>
      <c r="B204" s="20" t="s">
        <v>3463</v>
      </c>
      <c r="C204" s="20" t="s">
        <v>3412</v>
      </c>
      <c r="D204" s="20" t="s">
        <v>2938</v>
      </c>
      <c r="E204" s="20" t="s">
        <v>1019</v>
      </c>
      <c r="F204" s="20" t="s">
        <v>2939</v>
      </c>
    </row>
    <row r="205" customFormat="false" ht="120" hidden="false" customHeight="true" outlineLevel="0" collapsed="false">
      <c r="A205" s="19" t="s">
        <v>3464</v>
      </c>
      <c r="B205" s="19" t="s">
        <v>1316</v>
      </c>
      <c r="C205" s="19" t="s">
        <v>3412</v>
      </c>
      <c r="D205" s="19" t="s">
        <v>3449</v>
      </c>
      <c r="E205" s="19" t="s">
        <v>3465</v>
      </c>
      <c r="F205" s="19" t="s">
        <v>3466</v>
      </c>
    </row>
    <row r="206" customFormat="false" ht="135" hidden="false" customHeight="true" outlineLevel="0" collapsed="false">
      <c r="A206" s="20" t="s">
        <v>3467</v>
      </c>
      <c r="B206" s="20" t="s">
        <v>1018</v>
      </c>
      <c r="C206" s="20" t="s">
        <v>3468</v>
      </c>
      <c r="D206" s="20" t="s">
        <v>2690</v>
      </c>
      <c r="E206" s="20" t="s">
        <v>1019</v>
      </c>
      <c r="F206" s="20" t="s">
        <v>3469</v>
      </c>
    </row>
    <row r="207" customFormat="false" ht="135" hidden="false" customHeight="true" outlineLevel="0" collapsed="false">
      <c r="A207" s="19" t="s">
        <v>3470</v>
      </c>
      <c r="B207" s="19" t="s">
        <v>1022</v>
      </c>
      <c r="C207" s="19" t="s">
        <v>3468</v>
      </c>
      <c r="D207" s="19" t="s">
        <v>2690</v>
      </c>
      <c r="E207" s="19" t="s">
        <v>1023</v>
      </c>
      <c r="F207" s="19" t="s">
        <v>3471</v>
      </c>
    </row>
    <row r="208" customFormat="false" ht="135" hidden="false" customHeight="true" outlineLevel="0" collapsed="false">
      <c r="A208" s="20" t="s">
        <v>3472</v>
      </c>
      <c r="B208" s="20" t="s">
        <v>1026</v>
      </c>
      <c r="C208" s="20" t="s">
        <v>3468</v>
      </c>
      <c r="D208" s="20" t="s">
        <v>2690</v>
      </c>
      <c r="E208" s="20" t="s">
        <v>1027</v>
      </c>
      <c r="F208" s="20" t="s">
        <v>3473</v>
      </c>
    </row>
    <row r="209" customFormat="false" ht="135" hidden="false" customHeight="true" outlineLevel="0" collapsed="false">
      <c r="A209" s="19" t="s">
        <v>3474</v>
      </c>
      <c r="B209" s="19" t="s">
        <v>1030</v>
      </c>
      <c r="C209" s="19" t="s">
        <v>3468</v>
      </c>
      <c r="D209" s="19" t="s">
        <v>2690</v>
      </c>
      <c r="E209" s="19" t="s">
        <v>1031</v>
      </c>
      <c r="F209" s="19" t="s">
        <v>3473</v>
      </c>
    </row>
    <row r="210" customFormat="false" ht="135" hidden="false" customHeight="true" outlineLevel="0" collapsed="false">
      <c r="A210" s="20" t="s">
        <v>3475</v>
      </c>
      <c r="B210" s="20" t="s">
        <v>1033</v>
      </c>
      <c r="C210" s="20" t="s">
        <v>3468</v>
      </c>
      <c r="D210" s="20" t="s">
        <v>2690</v>
      </c>
      <c r="E210" s="20" t="s">
        <v>1034</v>
      </c>
      <c r="F210" s="20" t="s">
        <v>3476</v>
      </c>
    </row>
    <row r="211" customFormat="false" ht="135" hidden="false" customHeight="true" outlineLevel="0" collapsed="false">
      <c r="A211" s="19" t="s">
        <v>3477</v>
      </c>
      <c r="B211" s="19" t="s">
        <v>1037</v>
      </c>
      <c r="C211" s="19" t="s">
        <v>3468</v>
      </c>
      <c r="D211" s="19" t="s">
        <v>2690</v>
      </c>
      <c r="E211" s="19" t="s">
        <v>1038</v>
      </c>
      <c r="F211" s="19" t="s">
        <v>3478</v>
      </c>
    </row>
    <row r="212" customFormat="false" ht="135" hidden="false" customHeight="true" outlineLevel="0" collapsed="false">
      <c r="A212" s="20" t="s">
        <v>3479</v>
      </c>
      <c r="B212" s="20" t="s">
        <v>1041</v>
      </c>
      <c r="C212" s="20" t="s">
        <v>3468</v>
      </c>
      <c r="D212" s="20" t="s">
        <v>2690</v>
      </c>
      <c r="E212" s="20" t="s">
        <v>1042</v>
      </c>
      <c r="F212" s="20" t="s">
        <v>3480</v>
      </c>
    </row>
    <row r="213" customFormat="false" ht="135" hidden="false" customHeight="true" outlineLevel="0" collapsed="false">
      <c r="A213" s="19" t="s">
        <v>3481</v>
      </c>
      <c r="B213" s="19" t="s">
        <v>1045</v>
      </c>
      <c r="C213" s="19" t="s">
        <v>3468</v>
      </c>
      <c r="D213" s="19" t="s">
        <v>2690</v>
      </c>
      <c r="E213" s="19" t="s">
        <v>1046</v>
      </c>
      <c r="F213" s="19" t="s">
        <v>3482</v>
      </c>
    </row>
    <row r="214" customFormat="false" ht="135" hidden="false" customHeight="true" outlineLevel="0" collapsed="false">
      <c r="A214" s="20" t="s">
        <v>3483</v>
      </c>
      <c r="B214" s="20" t="s">
        <v>1049</v>
      </c>
      <c r="C214" s="20" t="s">
        <v>3468</v>
      </c>
      <c r="D214" s="20" t="s">
        <v>2690</v>
      </c>
      <c r="E214" s="20" t="s">
        <v>1050</v>
      </c>
      <c r="F214" s="20" t="s">
        <v>3484</v>
      </c>
    </row>
    <row r="215" customFormat="false" ht="135" hidden="false" customHeight="true" outlineLevel="0" collapsed="false">
      <c r="A215" s="19" t="s">
        <v>3485</v>
      </c>
      <c r="B215" s="19" t="s">
        <v>1053</v>
      </c>
      <c r="C215" s="19" t="s">
        <v>3468</v>
      </c>
      <c r="D215" s="19" t="s">
        <v>2690</v>
      </c>
      <c r="E215" s="19" t="s">
        <v>1054</v>
      </c>
      <c r="F215" s="19" t="s">
        <v>3486</v>
      </c>
    </row>
    <row r="216" customFormat="false" ht="135" hidden="false" customHeight="true" outlineLevel="0" collapsed="false">
      <c r="A216" s="20" t="s">
        <v>3487</v>
      </c>
      <c r="B216" s="20" t="s">
        <v>1057</v>
      </c>
      <c r="C216" s="20" t="s">
        <v>3468</v>
      </c>
      <c r="D216" s="20" t="s">
        <v>2690</v>
      </c>
      <c r="E216" s="20" t="s">
        <v>1058</v>
      </c>
      <c r="F216" s="20" t="s">
        <v>3488</v>
      </c>
    </row>
    <row r="217" customFormat="false" ht="135" hidden="false" customHeight="true" outlineLevel="0" collapsed="false">
      <c r="A217" s="19" t="s">
        <v>3489</v>
      </c>
      <c r="B217" s="19" t="s">
        <v>1061</v>
      </c>
      <c r="C217" s="19" t="s">
        <v>3468</v>
      </c>
      <c r="D217" s="19" t="s">
        <v>2690</v>
      </c>
      <c r="E217" s="19" t="s">
        <v>1062</v>
      </c>
      <c r="F217" s="19" t="s">
        <v>3490</v>
      </c>
    </row>
    <row r="218" customFormat="false" ht="135" hidden="false" customHeight="true" outlineLevel="0" collapsed="false">
      <c r="A218" s="20" t="s">
        <v>3491</v>
      </c>
      <c r="B218" s="20" t="s">
        <v>1065</v>
      </c>
      <c r="C218" s="20" t="s">
        <v>3468</v>
      </c>
      <c r="D218" s="20" t="s">
        <v>2690</v>
      </c>
      <c r="E218" s="20" t="s">
        <v>1066</v>
      </c>
      <c r="F218" s="20" t="s">
        <v>3492</v>
      </c>
    </row>
    <row r="219" customFormat="false" ht="135" hidden="false" customHeight="true" outlineLevel="0" collapsed="false">
      <c r="A219" s="19" t="s">
        <v>3493</v>
      </c>
      <c r="B219" s="19" t="s">
        <v>1069</v>
      </c>
      <c r="C219" s="19" t="s">
        <v>3468</v>
      </c>
      <c r="D219" s="19" t="s">
        <v>2690</v>
      </c>
      <c r="E219" s="19" t="s">
        <v>1070</v>
      </c>
      <c r="F219" s="19" t="s">
        <v>3494</v>
      </c>
    </row>
    <row r="220" customFormat="false" ht="135" hidden="false" customHeight="true" outlineLevel="0" collapsed="false">
      <c r="A220" s="20" t="s">
        <v>3495</v>
      </c>
      <c r="B220" s="20" t="s">
        <v>1073</v>
      </c>
      <c r="C220" s="20" t="s">
        <v>3468</v>
      </c>
      <c r="D220" s="20" t="s">
        <v>2690</v>
      </c>
      <c r="E220" s="20" t="s">
        <v>1074</v>
      </c>
      <c r="F220" s="20" t="s">
        <v>3496</v>
      </c>
    </row>
    <row r="221" customFormat="false" ht="135" hidden="false" customHeight="true" outlineLevel="0" collapsed="false">
      <c r="A221" s="19" t="s">
        <v>3497</v>
      </c>
      <c r="B221" s="19" t="s">
        <v>1077</v>
      </c>
      <c r="C221" s="19" t="s">
        <v>3468</v>
      </c>
      <c r="D221" s="19" t="s">
        <v>2690</v>
      </c>
      <c r="E221" s="19" t="s">
        <v>1078</v>
      </c>
      <c r="F221" s="19" t="s">
        <v>3498</v>
      </c>
    </row>
    <row r="222" customFormat="false" ht="135" hidden="false" customHeight="true" outlineLevel="0" collapsed="false">
      <c r="A222" s="20" t="s">
        <v>3499</v>
      </c>
      <c r="B222" s="20" t="s">
        <v>1081</v>
      </c>
      <c r="C222" s="20" t="s">
        <v>3468</v>
      </c>
      <c r="D222" s="20" t="s">
        <v>2690</v>
      </c>
      <c r="E222" s="20" t="s">
        <v>1082</v>
      </c>
      <c r="F222" s="20" t="s">
        <v>3500</v>
      </c>
    </row>
  </sheetData>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8"/>
    <col collapsed="false" customWidth="true" hidden="false" outlineLevel="0" max="2" min="2" style="10" width="42"/>
    <col collapsed="false" customWidth="true" hidden="false" outlineLevel="0" max="3" min="3" style="10" width="128"/>
    <col collapsed="false" customWidth="true" hidden="false" outlineLevel="0" max="4" min="4" style="10" width="55"/>
  </cols>
  <sheetData>
    <row r="1" customFormat="false" ht="34.5" hidden="false" customHeight="true" outlineLevel="0" collapsed="false">
      <c r="A1" s="1" t="s">
        <v>4495</v>
      </c>
      <c r="B1" s="1"/>
      <c r="C1" s="1"/>
      <c r="D1" s="1"/>
    </row>
    <row r="2" customFormat="false" ht="67.5" hidden="false" customHeight="true" outlineLevel="0" collapsed="false">
      <c r="A2" s="2" t="s">
        <v>4496</v>
      </c>
      <c r="B2" s="2"/>
      <c r="C2" s="2"/>
      <c r="D2" s="2"/>
    </row>
    <row r="5" customFormat="false" ht="30" hidden="false" customHeight="true" outlineLevel="0" collapsed="false">
      <c r="A5" s="3" t="s">
        <v>307</v>
      </c>
      <c r="B5" s="3" t="s">
        <v>308</v>
      </c>
      <c r="C5" s="3" t="s">
        <v>731</v>
      </c>
      <c r="D5" s="3" t="s">
        <v>310</v>
      </c>
    </row>
    <row r="6" customFormat="false" ht="54" hidden="false" customHeight="true" outlineLevel="0" collapsed="false">
      <c r="A6" s="4" t="s">
        <v>4497</v>
      </c>
      <c r="B6" s="4" t="s">
        <v>38</v>
      </c>
      <c r="C6" s="4" t="s">
        <v>4498</v>
      </c>
      <c r="D6" s="4" t="s">
        <v>4499</v>
      </c>
    </row>
    <row r="7" customFormat="false" ht="54" hidden="false" customHeight="true" outlineLevel="0" collapsed="false">
      <c r="A7" s="5" t="s">
        <v>4500</v>
      </c>
      <c r="B7" s="5" t="s">
        <v>4501</v>
      </c>
      <c r="C7" s="5" t="s">
        <v>4502</v>
      </c>
      <c r="D7" s="5" t="s">
        <v>4499</v>
      </c>
    </row>
    <row r="8" customFormat="false" ht="54" hidden="false" customHeight="true" outlineLevel="0" collapsed="false">
      <c r="A8" s="4" t="s">
        <v>4503</v>
      </c>
      <c r="B8" s="4" t="s">
        <v>4504</v>
      </c>
      <c r="C8" s="4" t="s">
        <v>4505</v>
      </c>
      <c r="D8" s="4" t="s">
        <v>4499</v>
      </c>
    </row>
    <row r="9" customFormat="false" ht="37.5" hidden="false" customHeight="true" outlineLevel="0" collapsed="false">
      <c r="A9" s="5" t="s">
        <v>4506</v>
      </c>
      <c r="B9" s="5" t="s">
        <v>4507</v>
      </c>
      <c r="C9" s="5" t="s">
        <v>4508</v>
      </c>
      <c r="D9" s="5" t="s">
        <v>4499</v>
      </c>
    </row>
    <row r="10" customFormat="false" ht="37.5" hidden="false" customHeight="true" outlineLevel="0" collapsed="false">
      <c r="A10" s="4" t="s">
        <v>4509</v>
      </c>
      <c r="B10" s="4" t="s">
        <v>4510</v>
      </c>
      <c r="C10" s="4" t="s">
        <v>4511</v>
      </c>
      <c r="D10" s="4" t="s">
        <v>4499</v>
      </c>
    </row>
    <row r="11" customFormat="false" ht="37.5" hidden="false" customHeight="true" outlineLevel="0" collapsed="false">
      <c r="A11" s="5" t="s">
        <v>4512</v>
      </c>
      <c r="B11" s="5" t="s">
        <v>4513</v>
      </c>
      <c r="C11" s="5" t="s">
        <v>4514</v>
      </c>
      <c r="D11" s="5" t="s">
        <v>4499</v>
      </c>
    </row>
    <row r="12" customFormat="false" ht="37.5" hidden="false" customHeight="true" outlineLevel="0" collapsed="false">
      <c r="A12" s="4" t="s">
        <v>4515</v>
      </c>
      <c r="B12" s="4" t="s">
        <v>4516</v>
      </c>
      <c r="C12" s="4" t="s">
        <v>4517</v>
      </c>
      <c r="D12" s="4" t="s">
        <v>4499</v>
      </c>
    </row>
    <row r="13" customFormat="false" ht="54" hidden="false" customHeight="true" outlineLevel="0" collapsed="false">
      <c r="A13" s="5" t="s">
        <v>4518</v>
      </c>
      <c r="B13" s="5" t="s">
        <v>4519</v>
      </c>
      <c r="C13" s="5" t="s">
        <v>4520</v>
      </c>
      <c r="D13" s="5" t="s">
        <v>4499</v>
      </c>
    </row>
    <row r="14" customFormat="false" ht="54" hidden="false" customHeight="true" outlineLevel="0" collapsed="false">
      <c r="A14" s="4" t="s">
        <v>4521</v>
      </c>
      <c r="B14" s="4" t="s">
        <v>4522</v>
      </c>
      <c r="C14" s="4" t="s">
        <v>4523</v>
      </c>
      <c r="D14" s="4" t="s">
        <v>4499</v>
      </c>
    </row>
    <row r="15" customFormat="false" ht="54" hidden="false" customHeight="true" outlineLevel="0" collapsed="false">
      <c r="A15" s="5" t="s">
        <v>97</v>
      </c>
      <c r="B15" s="5" t="s">
        <v>4524</v>
      </c>
      <c r="C15" s="5" t="s">
        <v>4525</v>
      </c>
      <c r="D15" s="5" t="s">
        <v>4499</v>
      </c>
    </row>
    <row r="16" customFormat="false" ht="54" hidden="false" customHeight="true" outlineLevel="0" collapsed="false">
      <c r="A16" s="4" t="s">
        <v>4526</v>
      </c>
      <c r="B16" s="4" t="s">
        <v>4527</v>
      </c>
      <c r="C16" s="4" t="s">
        <v>4528</v>
      </c>
      <c r="D16" s="4" t="s">
        <v>4499</v>
      </c>
    </row>
    <row r="17" customFormat="false" ht="54" hidden="false" customHeight="true" outlineLevel="0" collapsed="false">
      <c r="A17" s="5" t="s">
        <v>4529</v>
      </c>
      <c r="B17" s="5" t="s">
        <v>4530</v>
      </c>
      <c r="C17" s="5" t="s">
        <v>4531</v>
      </c>
      <c r="D17" s="5" t="s">
        <v>4499</v>
      </c>
    </row>
    <row r="18" customFormat="false" ht="37.5" hidden="false" customHeight="true" outlineLevel="0" collapsed="false">
      <c r="A18" s="4" t="s">
        <v>4532</v>
      </c>
      <c r="B18" s="4" t="s">
        <v>4533</v>
      </c>
      <c r="C18" s="4" t="s">
        <v>4534</v>
      </c>
      <c r="D18" s="4" t="s">
        <v>4499</v>
      </c>
    </row>
    <row r="19" customFormat="false" ht="37.5" hidden="false" customHeight="true" outlineLevel="0" collapsed="false">
      <c r="A19" s="5" t="s">
        <v>4535</v>
      </c>
      <c r="B19" s="5" t="s">
        <v>4536</v>
      </c>
      <c r="C19" s="5" t="s">
        <v>4537</v>
      </c>
      <c r="D19" s="5" t="s">
        <v>4499</v>
      </c>
    </row>
    <row r="20" customFormat="false" ht="37.5" hidden="false" customHeight="true" outlineLevel="0" collapsed="false">
      <c r="A20" s="4" t="s">
        <v>4538</v>
      </c>
      <c r="B20" s="4" t="s">
        <v>4539</v>
      </c>
      <c r="C20" s="4" t="s">
        <v>4540</v>
      </c>
      <c r="D20" s="4" t="s">
        <v>4499</v>
      </c>
    </row>
    <row r="21" customFormat="false" ht="37.5" hidden="false" customHeight="true" outlineLevel="0" collapsed="false">
      <c r="A21" s="5" t="s">
        <v>4541</v>
      </c>
      <c r="B21" s="5" t="s">
        <v>4542</v>
      </c>
      <c r="C21" s="5" t="s">
        <v>4543</v>
      </c>
      <c r="D21" s="5" t="s">
        <v>4499</v>
      </c>
    </row>
    <row r="22" customFormat="false" ht="54" hidden="false" customHeight="true" outlineLevel="0" collapsed="false">
      <c r="A22" s="4" t="s">
        <v>4544</v>
      </c>
      <c r="B22" s="4" t="s">
        <v>4545</v>
      </c>
      <c r="C22" s="4" t="s">
        <v>4546</v>
      </c>
      <c r="D22" s="4" t="s">
        <v>4499</v>
      </c>
    </row>
    <row r="23" customFormat="false" ht="54" hidden="false" customHeight="true" outlineLevel="0" collapsed="false">
      <c r="A23" s="5" t="s">
        <v>115</v>
      </c>
      <c r="B23" s="5" t="s">
        <v>4547</v>
      </c>
      <c r="C23" s="5" t="s">
        <v>4548</v>
      </c>
      <c r="D23" s="5" t="s">
        <v>4499</v>
      </c>
    </row>
    <row r="24" customFormat="false" ht="37.5" hidden="false" customHeight="true" outlineLevel="0" collapsed="false">
      <c r="A24" s="4" t="s">
        <v>22</v>
      </c>
      <c r="B24" s="4" t="s">
        <v>4549</v>
      </c>
      <c r="C24" s="4" t="s">
        <v>4550</v>
      </c>
      <c r="D24" s="4" t="s">
        <v>4499</v>
      </c>
    </row>
    <row r="25" customFormat="false" ht="54" hidden="false" customHeight="true" outlineLevel="0" collapsed="false">
      <c r="A25" s="5" t="s">
        <v>4551</v>
      </c>
      <c r="B25" s="5" t="s">
        <v>4552</v>
      </c>
      <c r="C25" s="5" t="s">
        <v>4553</v>
      </c>
      <c r="D25" s="5" t="s">
        <v>4499</v>
      </c>
    </row>
    <row r="26" customFormat="false" ht="37.5" hidden="false" customHeight="true" outlineLevel="0" collapsed="false">
      <c r="A26" s="4" t="s">
        <v>4554</v>
      </c>
      <c r="B26" s="4" t="s">
        <v>4555</v>
      </c>
      <c r="C26" s="4" t="s">
        <v>4556</v>
      </c>
      <c r="D26" s="4" t="s">
        <v>4499</v>
      </c>
    </row>
    <row r="27" customFormat="false" ht="37.5" hidden="false" customHeight="true" outlineLevel="0" collapsed="false">
      <c r="A27" s="5" t="s">
        <v>4557</v>
      </c>
      <c r="B27" s="5" t="s">
        <v>4558</v>
      </c>
      <c r="C27" s="5" t="s">
        <v>4559</v>
      </c>
      <c r="D27" s="5" t="s">
        <v>4499</v>
      </c>
    </row>
    <row r="28" customFormat="false" ht="37.5" hidden="false" customHeight="true" outlineLevel="0" collapsed="false">
      <c r="A28" s="4" t="s">
        <v>4560</v>
      </c>
      <c r="B28" s="4" t="s">
        <v>4561</v>
      </c>
      <c r="C28" s="4" t="s">
        <v>4562</v>
      </c>
      <c r="D28" s="4" t="s">
        <v>4499</v>
      </c>
    </row>
    <row r="29" customFormat="false" ht="37.5" hidden="false" customHeight="true" outlineLevel="0" collapsed="false">
      <c r="A29" s="5" t="s">
        <v>4563</v>
      </c>
      <c r="B29" s="5" t="s">
        <v>4564</v>
      </c>
      <c r="C29" s="5" t="s">
        <v>4565</v>
      </c>
      <c r="D29" s="5" t="s">
        <v>4499</v>
      </c>
    </row>
    <row r="30" customFormat="false" ht="54" hidden="false" customHeight="true" outlineLevel="0" collapsed="false">
      <c r="A30" s="4" t="s">
        <v>4566</v>
      </c>
      <c r="B30" s="4" t="s">
        <v>4567</v>
      </c>
      <c r="C30" s="4" t="s">
        <v>4568</v>
      </c>
      <c r="D30" s="4" t="s">
        <v>4499</v>
      </c>
    </row>
    <row r="31" customFormat="false" ht="37.5" hidden="false" customHeight="true" outlineLevel="0" collapsed="false">
      <c r="A31" s="5" t="s">
        <v>4569</v>
      </c>
      <c r="B31" s="5" t="s">
        <v>4570</v>
      </c>
      <c r="C31" s="5" t="s">
        <v>4571</v>
      </c>
      <c r="D31" s="5" t="s">
        <v>4499</v>
      </c>
    </row>
    <row r="32" customFormat="false" ht="37.5" hidden="false" customHeight="true" outlineLevel="0" collapsed="false">
      <c r="A32" s="4" t="s">
        <v>4572</v>
      </c>
      <c r="B32" s="4" t="s">
        <v>4573</v>
      </c>
      <c r="C32" s="4" t="s">
        <v>4574</v>
      </c>
      <c r="D32" s="4" t="s">
        <v>4499</v>
      </c>
    </row>
    <row r="33" customFormat="false" ht="37.5" hidden="false" customHeight="true" outlineLevel="0" collapsed="false">
      <c r="A33" s="5" t="s">
        <v>4575</v>
      </c>
      <c r="B33" s="5" t="s">
        <v>4576</v>
      </c>
      <c r="C33" s="5" t="s">
        <v>4577</v>
      </c>
      <c r="D33" s="5" t="s">
        <v>4499</v>
      </c>
    </row>
    <row r="34" customFormat="false" ht="37.5" hidden="false" customHeight="true" outlineLevel="0" collapsed="false">
      <c r="A34" s="4" t="s">
        <v>4578</v>
      </c>
      <c r="B34" s="4" t="s">
        <v>4579</v>
      </c>
      <c r="C34" s="4" t="s">
        <v>4580</v>
      </c>
      <c r="D34" s="4" t="s">
        <v>4581</v>
      </c>
    </row>
    <row r="35" customFormat="false" ht="54" hidden="false" customHeight="true" outlineLevel="0" collapsed="false">
      <c r="A35" s="5" t="s">
        <v>4582</v>
      </c>
      <c r="B35" s="5" t="s">
        <v>4583</v>
      </c>
      <c r="C35" s="5" t="s">
        <v>4584</v>
      </c>
      <c r="D35" s="5" t="s">
        <v>4499</v>
      </c>
    </row>
    <row r="36" customFormat="false" ht="37.5" hidden="false" customHeight="true" outlineLevel="0" collapsed="false">
      <c r="A36" s="4" t="s">
        <v>4585</v>
      </c>
      <c r="B36" s="4" t="s">
        <v>4586</v>
      </c>
      <c r="C36" s="4" t="s">
        <v>4587</v>
      </c>
      <c r="D36" s="4" t="s">
        <v>4499</v>
      </c>
    </row>
    <row r="37" customFormat="false" ht="37.5" hidden="false" customHeight="true" outlineLevel="0" collapsed="false">
      <c r="A37" s="5" t="s">
        <v>4588</v>
      </c>
      <c r="B37" s="5" t="s">
        <v>4589</v>
      </c>
      <c r="C37" s="5" t="s">
        <v>4590</v>
      </c>
      <c r="D37" s="5" t="s">
        <v>4581</v>
      </c>
    </row>
    <row r="38" customFormat="false" ht="37.5" hidden="false" customHeight="true" outlineLevel="0" collapsed="false">
      <c r="A38" s="4" t="s">
        <v>4591</v>
      </c>
      <c r="B38" s="4" t="s">
        <v>4592</v>
      </c>
      <c r="C38" s="4" t="s">
        <v>4593</v>
      </c>
      <c r="D38" s="4" t="s">
        <v>4499</v>
      </c>
    </row>
    <row r="39" customFormat="false" ht="37.5" hidden="false" customHeight="true" outlineLevel="0" collapsed="false">
      <c r="A39" s="5" t="s">
        <v>172</v>
      </c>
      <c r="B39" s="5" t="s">
        <v>4594</v>
      </c>
      <c r="C39" s="5" t="s">
        <v>4595</v>
      </c>
      <c r="D39" s="5" t="s">
        <v>4499</v>
      </c>
    </row>
    <row r="40" customFormat="false" ht="37.5" hidden="false" customHeight="true" outlineLevel="0" collapsed="false">
      <c r="A40" s="4" t="s">
        <v>4596</v>
      </c>
      <c r="B40" s="4" t="s">
        <v>4597</v>
      </c>
      <c r="C40" s="4" t="s">
        <v>4598</v>
      </c>
      <c r="D40" s="4" t="s">
        <v>4499</v>
      </c>
    </row>
    <row r="41" customFormat="false" ht="37.5" hidden="false" customHeight="true" outlineLevel="0" collapsed="false">
      <c r="A41" s="5" t="s">
        <v>4599</v>
      </c>
      <c r="B41" s="5" t="s">
        <v>4600</v>
      </c>
      <c r="C41" s="5" t="s">
        <v>4601</v>
      </c>
      <c r="D41" s="5" t="s">
        <v>4499</v>
      </c>
    </row>
    <row r="42" customFormat="false" ht="37.5" hidden="false" customHeight="true" outlineLevel="0" collapsed="false">
      <c r="A42" s="4" t="s">
        <v>4602</v>
      </c>
      <c r="B42" s="4" t="s">
        <v>4603</v>
      </c>
      <c r="C42" s="4" t="s">
        <v>4604</v>
      </c>
      <c r="D42" s="4" t="s">
        <v>4499</v>
      </c>
    </row>
    <row r="43" customFormat="false" ht="37.5" hidden="false" customHeight="true" outlineLevel="0" collapsed="false">
      <c r="A43" s="5" t="s">
        <v>4605</v>
      </c>
      <c r="B43" s="5" t="s">
        <v>4606</v>
      </c>
      <c r="C43" s="5" t="s">
        <v>4607</v>
      </c>
      <c r="D43" s="5" t="s">
        <v>4499</v>
      </c>
    </row>
    <row r="44" customFormat="false" ht="54" hidden="false" customHeight="true" outlineLevel="0" collapsed="false">
      <c r="A44" s="4" t="s">
        <v>4608</v>
      </c>
      <c r="B44" s="4" t="s">
        <v>4609</v>
      </c>
      <c r="C44" s="4" t="s">
        <v>4610</v>
      </c>
      <c r="D44" s="4" t="s">
        <v>4581</v>
      </c>
    </row>
    <row r="45" customFormat="false" ht="37.5" hidden="false" customHeight="true" outlineLevel="0" collapsed="false">
      <c r="A45" s="5" t="s">
        <v>4611</v>
      </c>
      <c r="B45" s="5" t="s">
        <v>4612</v>
      </c>
      <c r="C45" s="5" t="s">
        <v>4613</v>
      </c>
      <c r="D45" s="5" t="s">
        <v>4499</v>
      </c>
    </row>
    <row r="46" customFormat="false" ht="54" hidden="false" customHeight="true" outlineLevel="0" collapsed="false">
      <c r="A46" s="4" t="s">
        <v>4614</v>
      </c>
      <c r="B46" s="4" t="s">
        <v>4615</v>
      </c>
      <c r="C46" s="4" t="s">
        <v>4616</v>
      </c>
      <c r="D46" s="4" t="s">
        <v>4499</v>
      </c>
    </row>
    <row r="47" customFormat="false" ht="37.5" hidden="false" customHeight="true" outlineLevel="0" collapsed="false">
      <c r="A47" s="5" t="s">
        <v>4617</v>
      </c>
      <c r="B47" s="5" t="s">
        <v>4618</v>
      </c>
      <c r="C47" s="5" t="s">
        <v>4619</v>
      </c>
      <c r="D47" s="5" t="s">
        <v>4499</v>
      </c>
    </row>
    <row r="48" customFormat="false" ht="37.5" hidden="false" customHeight="true" outlineLevel="0" collapsed="false">
      <c r="A48" s="4" t="s">
        <v>4620</v>
      </c>
      <c r="B48" s="4" t="s">
        <v>4621</v>
      </c>
      <c r="C48" s="4" t="s">
        <v>4622</v>
      </c>
      <c r="D48" s="4" t="s">
        <v>4499</v>
      </c>
    </row>
    <row r="49" customFormat="false" ht="37.5" hidden="false" customHeight="true" outlineLevel="0" collapsed="false">
      <c r="A49" s="5" t="s">
        <v>4623</v>
      </c>
      <c r="B49" s="5" t="s">
        <v>4624</v>
      </c>
      <c r="C49" s="5" t="s">
        <v>4625</v>
      </c>
      <c r="D49" s="5" t="s">
        <v>4499</v>
      </c>
    </row>
    <row r="50" customFormat="false" ht="37.5" hidden="false" customHeight="true" outlineLevel="0" collapsed="false">
      <c r="A50" s="4" t="s">
        <v>4626</v>
      </c>
      <c r="B50" s="4" t="s">
        <v>4627</v>
      </c>
      <c r="C50" s="4" t="s">
        <v>4628</v>
      </c>
      <c r="D50" s="4" t="s">
        <v>4499</v>
      </c>
    </row>
    <row r="51" customFormat="false" ht="37.5" hidden="false" customHeight="true" outlineLevel="0" collapsed="false">
      <c r="A51" s="5" t="s">
        <v>37</v>
      </c>
      <c r="B51" s="5" t="s">
        <v>4629</v>
      </c>
      <c r="C51" s="5" t="s">
        <v>4630</v>
      </c>
      <c r="D51" s="5" t="s">
        <v>4499</v>
      </c>
    </row>
    <row r="52" customFormat="false" ht="54" hidden="false" customHeight="true" outlineLevel="0" collapsed="false">
      <c r="A52" s="4" t="s">
        <v>4631</v>
      </c>
      <c r="B52" s="4" t="s">
        <v>4632</v>
      </c>
      <c r="C52" s="4" t="s">
        <v>4633</v>
      </c>
      <c r="D52" s="4" t="s">
        <v>4499</v>
      </c>
    </row>
    <row r="53" customFormat="false" ht="37.5" hidden="false" customHeight="true" outlineLevel="0" collapsed="false">
      <c r="A53" s="5" t="s">
        <v>4634</v>
      </c>
      <c r="B53" s="5" t="s">
        <v>4635</v>
      </c>
      <c r="C53" s="5" t="s">
        <v>4636</v>
      </c>
      <c r="D53" s="5" t="s">
        <v>4499</v>
      </c>
    </row>
    <row r="54" customFormat="false" ht="37.5" hidden="false" customHeight="true" outlineLevel="0" collapsed="false">
      <c r="A54" s="4" t="s">
        <v>4637</v>
      </c>
      <c r="B54" s="4" t="s">
        <v>4638</v>
      </c>
      <c r="C54" s="4" t="s">
        <v>4639</v>
      </c>
      <c r="D54" s="4" t="s">
        <v>4499</v>
      </c>
    </row>
    <row r="55" customFormat="false" ht="54" hidden="false" customHeight="true" outlineLevel="0" collapsed="false">
      <c r="A55" s="5" t="s">
        <v>28</v>
      </c>
      <c r="B55" s="5" t="s">
        <v>4640</v>
      </c>
      <c r="C55" s="5" t="s">
        <v>4641</v>
      </c>
      <c r="D55" s="5" t="s">
        <v>4499</v>
      </c>
    </row>
    <row r="56" customFormat="false" ht="37.5" hidden="false" customHeight="true" outlineLevel="0" collapsed="false">
      <c r="A56" s="4" t="s">
        <v>4642</v>
      </c>
      <c r="B56" s="4" t="s">
        <v>4643</v>
      </c>
      <c r="C56" s="4" t="s">
        <v>4644</v>
      </c>
      <c r="D56" s="4" t="s">
        <v>4499</v>
      </c>
    </row>
    <row r="57" customFormat="false" ht="37.5" hidden="false" customHeight="true" outlineLevel="0" collapsed="false">
      <c r="A57" s="5" t="s">
        <v>106</v>
      </c>
      <c r="B57" s="5" t="s">
        <v>4645</v>
      </c>
      <c r="C57" s="5" t="s">
        <v>4646</v>
      </c>
      <c r="D57" s="5" t="s">
        <v>4499</v>
      </c>
    </row>
    <row r="58" customFormat="false" ht="37.5" hidden="false" customHeight="true" outlineLevel="0" collapsed="false">
      <c r="A58" s="4" t="s">
        <v>4647</v>
      </c>
      <c r="B58" s="4" t="s">
        <v>4648</v>
      </c>
      <c r="C58" s="4" t="s">
        <v>4649</v>
      </c>
      <c r="D58" s="4" t="s">
        <v>4499</v>
      </c>
    </row>
    <row r="59" customFormat="false" ht="54" hidden="false" customHeight="true" outlineLevel="0" collapsed="false">
      <c r="A59" s="5" t="s">
        <v>4650</v>
      </c>
      <c r="B59" s="5" t="s">
        <v>4651</v>
      </c>
      <c r="C59" s="5" t="s">
        <v>4652</v>
      </c>
      <c r="D59" s="5" t="s">
        <v>4499</v>
      </c>
    </row>
    <row r="60" customFormat="false" ht="54" hidden="false" customHeight="true" outlineLevel="0" collapsed="false">
      <c r="A60" s="4" t="s">
        <v>4653</v>
      </c>
      <c r="B60" s="4" t="s">
        <v>4654</v>
      </c>
      <c r="C60" s="4" t="s">
        <v>4655</v>
      </c>
      <c r="D60" s="4" t="s">
        <v>4499</v>
      </c>
    </row>
    <row r="61" customFormat="false" ht="37.5" hidden="false" customHeight="true" outlineLevel="0" collapsed="false">
      <c r="A61" s="5" t="s">
        <v>61</v>
      </c>
      <c r="B61" s="5" t="s">
        <v>4656</v>
      </c>
      <c r="C61" s="5" t="s">
        <v>4657</v>
      </c>
      <c r="D61" s="5" t="s">
        <v>4499</v>
      </c>
    </row>
    <row r="62" customFormat="false" ht="54" hidden="false" customHeight="true" outlineLevel="0" collapsed="false">
      <c r="A62" s="4" t="s">
        <v>55</v>
      </c>
      <c r="B62" s="4" t="s">
        <v>4658</v>
      </c>
      <c r="C62" s="4" t="s">
        <v>4659</v>
      </c>
      <c r="D62" s="4" t="s">
        <v>4499</v>
      </c>
    </row>
    <row r="63" customFormat="false" ht="37.5" hidden="false" customHeight="true" outlineLevel="0" collapsed="false">
      <c r="A63" s="5" t="s">
        <v>4660</v>
      </c>
      <c r="B63" s="5" t="s">
        <v>4661</v>
      </c>
      <c r="C63" s="5" t="s">
        <v>4662</v>
      </c>
      <c r="D63" s="5" t="s">
        <v>4499</v>
      </c>
    </row>
    <row r="64" customFormat="false" ht="37.5" hidden="false" customHeight="true" outlineLevel="0" collapsed="false">
      <c r="A64" s="4" t="s">
        <v>4663</v>
      </c>
      <c r="B64" s="4" t="s">
        <v>4664</v>
      </c>
      <c r="C64" s="4" t="s">
        <v>4665</v>
      </c>
      <c r="D64" s="4" t="s">
        <v>4499</v>
      </c>
    </row>
    <row r="65" customFormat="false" ht="37.5" hidden="false" customHeight="true" outlineLevel="0" collapsed="false">
      <c r="A65" s="5" t="s">
        <v>4666</v>
      </c>
      <c r="B65" s="5" t="s">
        <v>4667</v>
      </c>
      <c r="C65" s="5" t="s">
        <v>4668</v>
      </c>
      <c r="D65" s="5" t="s">
        <v>4499</v>
      </c>
    </row>
    <row r="66" customFormat="false" ht="37.5" hidden="false" customHeight="true" outlineLevel="0" collapsed="false">
      <c r="A66" s="4" t="s">
        <v>4669</v>
      </c>
      <c r="B66" s="4" t="s">
        <v>4670</v>
      </c>
      <c r="C66" s="4" t="s">
        <v>4671</v>
      </c>
      <c r="D66" s="4" t="s">
        <v>4499</v>
      </c>
    </row>
    <row r="67" customFormat="false" ht="37.5" hidden="false" customHeight="true" outlineLevel="0" collapsed="false">
      <c r="A67" s="5" t="s">
        <v>4672</v>
      </c>
      <c r="B67" s="5" t="s">
        <v>4673</v>
      </c>
      <c r="C67" s="5" t="s">
        <v>4674</v>
      </c>
      <c r="D67" s="5" t="s">
        <v>4499</v>
      </c>
    </row>
    <row r="68" customFormat="false" ht="37.5" hidden="false" customHeight="true" outlineLevel="0" collapsed="false">
      <c r="A68" s="4" t="s">
        <v>4675</v>
      </c>
      <c r="B68" s="4" t="s">
        <v>4676</v>
      </c>
      <c r="C68" s="4" t="s">
        <v>4677</v>
      </c>
      <c r="D68" s="4" t="s">
        <v>4678</v>
      </c>
    </row>
    <row r="69" customFormat="false" ht="37.5" hidden="false" customHeight="true" outlineLevel="0" collapsed="false">
      <c r="A69" s="5" t="s">
        <v>4679</v>
      </c>
      <c r="B69" s="5" t="s">
        <v>4680</v>
      </c>
      <c r="C69" s="5" t="s">
        <v>4681</v>
      </c>
      <c r="D69" s="5" t="s">
        <v>4499</v>
      </c>
    </row>
    <row r="70" customFormat="false" ht="37.5" hidden="false" customHeight="true" outlineLevel="0" collapsed="false">
      <c r="A70" s="4" t="s">
        <v>4682</v>
      </c>
      <c r="B70" s="4" t="s">
        <v>149</v>
      </c>
      <c r="C70" s="4" t="s">
        <v>4683</v>
      </c>
      <c r="D70" s="4" t="s">
        <v>4499</v>
      </c>
    </row>
    <row r="71" customFormat="false" ht="54" hidden="false" customHeight="true" outlineLevel="0" collapsed="false">
      <c r="A71" s="5" t="s">
        <v>4684</v>
      </c>
      <c r="B71" s="5" t="s">
        <v>4685</v>
      </c>
      <c r="C71" s="5" t="s">
        <v>4686</v>
      </c>
      <c r="D71" s="5" t="s">
        <v>4678</v>
      </c>
    </row>
    <row r="72" customFormat="false" ht="37.5" hidden="false" customHeight="true" outlineLevel="0" collapsed="false">
      <c r="A72" s="4" t="s">
        <v>4687</v>
      </c>
      <c r="B72" s="4" t="s">
        <v>4688</v>
      </c>
      <c r="C72" s="4" t="s">
        <v>4689</v>
      </c>
      <c r="D72" s="4" t="s">
        <v>4499</v>
      </c>
    </row>
    <row r="73" customFormat="false" ht="37.5" hidden="false" customHeight="true" outlineLevel="0" collapsed="false">
      <c r="A73" s="5" t="s">
        <v>4690</v>
      </c>
      <c r="B73" s="5" t="s">
        <v>74</v>
      </c>
      <c r="C73" s="5" t="s">
        <v>4691</v>
      </c>
      <c r="D73" s="5" t="s">
        <v>4499</v>
      </c>
    </row>
    <row r="74" customFormat="false" ht="37.5" hidden="false" customHeight="true" outlineLevel="0" collapsed="false">
      <c r="A74" s="4" t="s">
        <v>4692</v>
      </c>
      <c r="B74" s="4" t="s">
        <v>915</v>
      </c>
      <c r="C74" s="4" t="s">
        <v>4693</v>
      </c>
      <c r="D74" s="4" t="s">
        <v>4499</v>
      </c>
    </row>
    <row r="75" customFormat="false" ht="37.5" hidden="false" customHeight="true" outlineLevel="0" collapsed="false">
      <c r="A75" s="5" t="s">
        <v>4694</v>
      </c>
      <c r="B75" s="5" t="s">
        <v>4695</v>
      </c>
      <c r="C75" s="5" t="s">
        <v>4696</v>
      </c>
      <c r="D75" s="5" t="s">
        <v>4499</v>
      </c>
    </row>
    <row r="76" customFormat="false" ht="37.5" hidden="false" customHeight="true" outlineLevel="0" collapsed="false">
      <c r="A76" s="4" t="s">
        <v>4697</v>
      </c>
      <c r="B76" s="4" t="s">
        <v>4698</v>
      </c>
      <c r="C76" s="4" t="s">
        <v>4699</v>
      </c>
      <c r="D76" s="4" t="s">
        <v>4499</v>
      </c>
    </row>
    <row r="77" customFormat="false" ht="37.5" hidden="false" customHeight="true" outlineLevel="0" collapsed="false">
      <c r="A77" s="5" t="s">
        <v>4700</v>
      </c>
      <c r="B77" s="5" t="s">
        <v>4701</v>
      </c>
      <c r="C77" s="5" t="s">
        <v>4702</v>
      </c>
      <c r="D77" s="5" t="s">
        <v>4499</v>
      </c>
    </row>
    <row r="78" customFormat="false" ht="37.5" hidden="false" customHeight="true" outlineLevel="0" collapsed="false">
      <c r="A78" s="4" t="s">
        <v>4703</v>
      </c>
      <c r="B78" s="4" t="s">
        <v>719</v>
      </c>
      <c r="C78" s="4" t="s">
        <v>4704</v>
      </c>
      <c r="D78" s="4" t="s">
        <v>4499</v>
      </c>
    </row>
    <row r="79" customFormat="false" ht="54" hidden="false" customHeight="true" outlineLevel="0" collapsed="false">
      <c r="A79" s="5" t="s">
        <v>4705</v>
      </c>
      <c r="B79" s="5" t="s">
        <v>4706</v>
      </c>
      <c r="C79" s="5" t="s">
        <v>4707</v>
      </c>
      <c r="D79" s="5" t="s">
        <v>4678</v>
      </c>
    </row>
    <row r="80" customFormat="false" ht="37.5" hidden="false" customHeight="true" outlineLevel="0" collapsed="false">
      <c r="A80" s="4" t="s">
        <v>4708</v>
      </c>
      <c r="B80" s="4" t="s">
        <v>4709</v>
      </c>
      <c r="C80" s="4" t="s">
        <v>4710</v>
      </c>
      <c r="D80" s="4" t="s">
        <v>4499</v>
      </c>
    </row>
    <row r="81" customFormat="false" ht="37.5" hidden="false" customHeight="true" outlineLevel="0" collapsed="false">
      <c r="A81" s="5" t="s">
        <v>4711</v>
      </c>
      <c r="B81" s="5" t="s">
        <v>459</v>
      </c>
      <c r="C81" s="5" t="s">
        <v>4712</v>
      </c>
      <c r="D81" s="5" t="s">
        <v>4499</v>
      </c>
    </row>
    <row r="82" customFormat="false" ht="37.5" hidden="false" customHeight="true" outlineLevel="0" collapsed="false">
      <c r="A82" s="4" t="s">
        <v>4713</v>
      </c>
      <c r="B82" s="4" t="s">
        <v>4714</v>
      </c>
      <c r="C82" s="4" t="s">
        <v>4715</v>
      </c>
      <c r="D82" s="4" t="s">
        <v>4499</v>
      </c>
    </row>
    <row r="83" customFormat="false" ht="37.5" hidden="false" customHeight="true" outlineLevel="0" collapsed="false">
      <c r="A83" s="5" t="s">
        <v>4716</v>
      </c>
      <c r="B83" s="5" t="s">
        <v>4717</v>
      </c>
      <c r="C83" s="5" t="s">
        <v>4718</v>
      </c>
      <c r="D83" s="5" t="s">
        <v>4719</v>
      </c>
    </row>
    <row r="84" customFormat="false" ht="37.5" hidden="false" customHeight="true" outlineLevel="0" collapsed="false">
      <c r="A84" s="4" t="s">
        <v>4720</v>
      </c>
      <c r="B84" s="4" t="s">
        <v>4717</v>
      </c>
      <c r="C84" s="4" t="s">
        <v>4721</v>
      </c>
      <c r="D84" s="4" t="s">
        <v>4719</v>
      </c>
    </row>
    <row r="85" customFormat="false" ht="37.5" hidden="false" customHeight="true" outlineLevel="0" collapsed="false">
      <c r="A85" s="5" t="s">
        <v>4722</v>
      </c>
      <c r="B85" s="5" t="s">
        <v>4717</v>
      </c>
      <c r="C85" s="5" t="s">
        <v>4723</v>
      </c>
      <c r="D85" s="5" t="s">
        <v>4719</v>
      </c>
    </row>
    <row r="86" customFormat="false" ht="37.5" hidden="false" customHeight="true" outlineLevel="0" collapsed="false">
      <c r="A86" s="4" t="s">
        <v>4724</v>
      </c>
      <c r="B86" s="4" t="s">
        <v>4717</v>
      </c>
      <c r="C86" s="4" t="s">
        <v>4725</v>
      </c>
      <c r="D86" s="4" t="s">
        <v>4719</v>
      </c>
    </row>
    <row r="87" customFormat="false" ht="37.5" hidden="false" customHeight="true" outlineLevel="0" collapsed="false">
      <c r="A87" s="5" t="s">
        <v>4726</v>
      </c>
      <c r="B87" s="5" t="s">
        <v>4717</v>
      </c>
      <c r="C87" s="5" t="s">
        <v>4727</v>
      </c>
      <c r="D87" s="5" t="s">
        <v>4719</v>
      </c>
    </row>
    <row r="88" customFormat="false" ht="37.5" hidden="false" customHeight="true" outlineLevel="0" collapsed="false">
      <c r="A88" s="4" t="s">
        <v>4728</v>
      </c>
      <c r="B88" s="4" t="s">
        <v>4717</v>
      </c>
      <c r="C88" s="4" t="s">
        <v>4729</v>
      </c>
      <c r="D88" s="4" t="s">
        <v>4719</v>
      </c>
    </row>
    <row r="89" customFormat="false" ht="37.5" hidden="false" customHeight="true" outlineLevel="0" collapsed="false">
      <c r="A89" s="5" t="s">
        <v>4730</v>
      </c>
      <c r="B89" s="5" t="s">
        <v>4731</v>
      </c>
      <c r="C89" s="5" t="s">
        <v>4732</v>
      </c>
      <c r="D89" s="5" t="s">
        <v>4733</v>
      </c>
    </row>
    <row r="90" customFormat="false" ht="37.5" hidden="false" customHeight="true" outlineLevel="0" collapsed="false">
      <c r="A90" s="4" t="s">
        <v>4734</v>
      </c>
      <c r="B90" s="4" t="s">
        <v>4735</v>
      </c>
      <c r="C90" s="4" t="s">
        <v>4736</v>
      </c>
      <c r="D90" s="4" t="s">
        <v>4733</v>
      </c>
    </row>
    <row r="91" customFormat="false" ht="37.5" hidden="false" customHeight="true" outlineLevel="0" collapsed="false">
      <c r="A91" s="5" t="s">
        <v>4737</v>
      </c>
      <c r="B91" s="5" t="s">
        <v>4738</v>
      </c>
      <c r="C91" s="5" t="s">
        <v>4739</v>
      </c>
      <c r="D91" s="5" t="s">
        <v>4733</v>
      </c>
    </row>
  </sheetData>
  <autoFilter ref="A5:D91"/>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27"/>
    <col collapsed="false" customWidth="true" hidden="false" outlineLevel="0" max="2" min="2" style="10" width="12"/>
    <col collapsed="false" customWidth="true" hidden="false" outlineLevel="0" max="3" min="3" style="10" width="38"/>
    <col collapsed="false" customWidth="true" hidden="false" outlineLevel="0" max="4" min="4" style="10" width="95"/>
    <col collapsed="false" customWidth="true" hidden="false" outlineLevel="0" max="5" min="5" style="10" width="18"/>
    <col collapsed="false" customWidth="true" hidden="false" outlineLevel="0" max="7" min="6" style="10" width="28"/>
    <col collapsed="false" customWidth="true" hidden="false" outlineLevel="0" max="8" min="8" style="10" width="15"/>
    <col collapsed="false" customWidth="true" hidden="false" outlineLevel="0" max="9" min="9" style="10" width="20"/>
    <col collapsed="false" customWidth="true" hidden="false" outlineLevel="0" max="10" min="10" style="10" width="15"/>
    <col collapsed="false" customWidth="true" hidden="false" outlineLevel="0" max="11" min="11" style="10" width="62"/>
  </cols>
  <sheetData>
    <row r="1" customFormat="false" ht="34.5" hidden="false" customHeight="true" outlineLevel="0" collapsed="false">
      <c r="A1" s="1" t="s">
        <v>4740</v>
      </c>
      <c r="B1" s="1"/>
      <c r="C1" s="1"/>
      <c r="D1" s="1"/>
      <c r="E1" s="1"/>
      <c r="F1" s="1"/>
      <c r="G1" s="1"/>
      <c r="H1" s="1"/>
      <c r="I1" s="1"/>
      <c r="J1" s="1"/>
      <c r="K1" s="1"/>
    </row>
    <row r="2" customFormat="false" ht="67.5" hidden="false" customHeight="true" outlineLevel="0" collapsed="false">
      <c r="A2" s="2" t="s">
        <v>4741</v>
      </c>
      <c r="B2" s="2"/>
      <c r="C2" s="2"/>
      <c r="D2" s="2"/>
      <c r="E2" s="2"/>
      <c r="F2" s="2"/>
      <c r="G2" s="2"/>
      <c r="H2" s="2"/>
      <c r="I2" s="2"/>
      <c r="J2" s="2"/>
      <c r="K2" s="2"/>
    </row>
    <row r="5" customFormat="false" ht="30" hidden="false" customHeight="true" outlineLevel="0" collapsed="false">
      <c r="A5" s="3" t="s">
        <v>307</v>
      </c>
      <c r="B5" s="3" t="s">
        <v>4742</v>
      </c>
      <c r="C5" s="3" t="s">
        <v>4743</v>
      </c>
      <c r="D5" s="3" t="s">
        <v>4744</v>
      </c>
      <c r="E5" s="3" t="s">
        <v>1431</v>
      </c>
      <c r="F5" s="3" t="s">
        <v>308</v>
      </c>
      <c r="G5" s="3" t="s">
        <v>4745</v>
      </c>
      <c r="H5" s="3" t="s">
        <v>1896</v>
      </c>
      <c r="I5" s="3" t="s">
        <v>4746</v>
      </c>
      <c r="J5" s="3" t="s">
        <v>4747</v>
      </c>
      <c r="K5" s="3" t="s">
        <v>4748</v>
      </c>
    </row>
    <row r="6" customFormat="false" ht="37.5" hidden="false" customHeight="true" outlineLevel="0" collapsed="false">
      <c r="A6" s="4" t="s">
        <v>4749</v>
      </c>
      <c r="B6" s="4" t="n">
        <v>1</v>
      </c>
      <c r="C6" s="4" t="s">
        <v>4750</v>
      </c>
      <c r="D6" s="4" t="s">
        <v>4751</v>
      </c>
      <c r="E6" s="4" t="s">
        <v>4752</v>
      </c>
      <c r="F6" s="4" t="s">
        <v>4753</v>
      </c>
      <c r="G6" s="4" t="s">
        <v>2165</v>
      </c>
      <c r="H6" s="4" t="n">
        <v>25</v>
      </c>
      <c r="I6" s="4" t="s">
        <v>4754</v>
      </c>
      <c r="J6" s="4" t="n">
        <v>10</v>
      </c>
      <c r="K6" s="4" t="s">
        <v>4755</v>
      </c>
    </row>
    <row r="7" customFormat="false" ht="37.5" hidden="false" customHeight="true" outlineLevel="0" collapsed="false">
      <c r="A7" s="5" t="s">
        <v>4756</v>
      </c>
      <c r="B7" s="5" t="n">
        <v>1</v>
      </c>
      <c r="C7" s="5" t="s">
        <v>4757</v>
      </c>
      <c r="D7" s="5" t="s">
        <v>4758</v>
      </c>
      <c r="E7" s="5" t="s">
        <v>4752</v>
      </c>
      <c r="F7" s="5" t="s">
        <v>4759</v>
      </c>
      <c r="G7" s="5" t="s">
        <v>4749</v>
      </c>
      <c r="H7" s="5" t="n">
        <v>25</v>
      </c>
      <c r="I7" s="5" t="s">
        <v>2496</v>
      </c>
      <c r="J7" s="5" t="n">
        <v>10</v>
      </c>
      <c r="K7" s="5" t="s">
        <v>4755</v>
      </c>
    </row>
    <row r="8" customFormat="false" ht="37.5" hidden="false" customHeight="true" outlineLevel="0" collapsed="false">
      <c r="A8" s="4" t="s">
        <v>4760</v>
      </c>
      <c r="B8" s="4" t="n">
        <v>1</v>
      </c>
      <c r="C8" s="4" t="s">
        <v>4761</v>
      </c>
      <c r="D8" s="4" t="s">
        <v>4762</v>
      </c>
      <c r="E8" s="4" t="s">
        <v>4763</v>
      </c>
      <c r="F8" s="4" t="s">
        <v>4764</v>
      </c>
      <c r="G8" s="4" t="s">
        <v>4756</v>
      </c>
      <c r="H8" s="4" t="n">
        <v>25</v>
      </c>
      <c r="I8" s="4" t="s">
        <v>4765</v>
      </c>
      <c r="J8" s="4" t="n">
        <v>10</v>
      </c>
      <c r="K8" s="4" t="s">
        <v>4755</v>
      </c>
    </row>
    <row r="9" customFormat="false" ht="37.5" hidden="false" customHeight="true" outlineLevel="0" collapsed="false">
      <c r="A9" s="5" t="s">
        <v>4766</v>
      </c>
      <c r="B9" s="5" t="n">
        <v>1</v>
      </c>
      <c r="C9" s="5" t="s">
        <v>4767</v>
      </c>
      <c r="D9" s="5" t="s">
        <v>4768</v>
      </c>
      <c r="E9" s="5" t="s">
        <v>4752</v>
      </c>
      <c r="F9" s="5" t="s">
        <v>2447</v>
      </c>
      <c r="G9" s="5" t="s">
        <v>4760</v>
      </c>
      <c r="H9" s="5" t="n">
        <v>25</v>
      </c>
      <c r="I9" s="5" t="s">
        <v>4769</v>
      </c>
      <c r="J9" s="5" t="n">
        <v>10</v>
      </c>
      <c r="K9" s="5" t="s">
        <v>4755</v>
      </c>
    </row>
    <row r="10" customFormat="false" ht="37.5" hidden="false" customHeight="true" outlineLevel="0" collapsed="false">
      <c r="A10" s="4" t="s">
        <v>4770</v>
      </c>
      <c r="B10" s="4" t="n">
        <v>1</v>
      </c>
      <c r="C10" s="4" t="s">
        <v>4771</v>
      </c>
      <c r="D10" s="4" t="s">
        <v>4772</v>
      </c>
      <c r="E10" s="4" t="s">
        <v>4752</v>
      </c>
      <c r="F10" s="4" t="s">
        <v>4773</v>
      </c>
      <c r="G10" s="4" t="s">
        <v>4766</v>
      </c>
      <c r="H10" s="4" t="n">
        <v>25</v>
      </c>
      <c r="I10" s="4" t="s">
        <v>4774</v>
      </c>
      <c r="J10" s="4" t="n">
        <v>10</v>
      </c>
      <c r="K10" s="4" t="s">
        <v>4755</v>
      </c>
    </row>
    <row r="11" customFormat="false" ht="37.5" hidden="false" customHeight="true" outlineLevel="0" collapsed="false">
      <c r="A11" s="5" t="s">
        <v>4775</v>
      </c>
      <c r="B11" s="5" t="n">
        <v>2</v>
      </c>
      <c r="C11" s="5" t="s">
        <v>4776</v>
      </c>
      <c r="D11" s="5" t="s">
        <v>4777</v>
      </c>
      <c r="E11" s="5" t="s">
        <v>4763</v>
      </c>
      <c r="F11" s="5" t="s">
        <v>4778</v>
      </c>
      <c r="G11" s="5" t="s">
        <v>2165</v>
      </c>
      <c r="H11" s="5" t="n">
        <v>25</v>
      </c>
      <c r="I11" s="5" t="s">
        <v>4754</v>
      </c>
      <c r="J11" s="5" t="n">
        <v>10</v>
      </c>
      <c r="K11" s="5" t="s">
        <v>4755</v>
      </c>
    </row>
    <row r="12" customFormat="false" ht="37.5" hidden="false" customHeight="true" outlineLevel="0" collapsed="false">
      <c r="A12" s="4" t="s">
        <v>4779</v>
      </c>
      <c r="B12" s="4" t="n">
        <v>2</v>
      </c>
      <c r="C12" s="4" t="s">
        <v>4780</v>
      </c>
      <c r="D12" s="4" t="s">
        <v>4781</v>
      </c>
      <c r="E12" s="4" t="s">
        <v>4782</v>
      </c>
      <c r="F12" s="4" t="s">
        <v>4783</v>
      </c>
      <c r="G12" s="4" t="s">
        <v>4775</v>
      </c>
      <c r="H12" s="4" t="n">
        <v>25</v>
      </c>
      <c r="I12" s="4" t="s">
        <v>2496</v>
      </c>
      <c r="J12" s="4" t="n">
        <v>10</v>
      </c>
      <c r="K12" s="4" t="s">
        <v>4755</v>
      </c>
    </row>
    <row r="13" customFormat="false" ht="37.5" hidden="false" customHeight="true" outlineLevel="0" collapsed="false">
      <c r="A13" s="5" t="s">
        <v>4784</v>
      </c>
      <c r="B13" s="5" t="n">
        <v>2</v>
      </c>
      <c r="C13" s="5" t="s">
        <v>4785</v>
      </c>
      <c r="D13" s="5" t="s">
        <v>4786</v>
      </c>
      <c r="E13" s="5" t="s">
        <v>4763</v>
      </c>
      <c r="F13" s="5" t="s">
        <v>4784</v>
      </c>
      <c r="G13" s="5" t="s">
        <v>4779</v>
      </c>
      <c r="H13" s="5" t="n">
        <v>25</v>
      </c>
      <c r="I13" s="5" t="s">
        <v>4769</v>
      </c>
      <c r="J13" s="5" t="n">
        <v>10</v>
      </c>
      <c r="K13" s="5" t="s">
        <v>4755</v>
      </c>
    </row>
    <row r="14" customFormat="false" ht="37.5" hidden="false" customHeight="true" outlineLevel="0" collapsed="false">
      <c r="A14" s="4" t="s">
        <v>4787</v>
      </c>
      <c r="B14" s="4" t="n">
        <v>2</v>
      </c>
      <c r="C14" s="4" t="s">
        <v>4788</v>
      </c>
      <c r="D14" s="4" t="s">
        <v>4789</v>
      </c>
      <c r="E14" s="4" t="s">
        <v>4752</v>
      </c>
      <c r="F14" s="4" t="s">
        <v>4790</v>
      </c>
      <c r="G14" s="4" t="s">
        <v>4784</v>
      </c>
      <c r="H14" s="4" t="n">
        <v>25</v>
      </c>
      <c r="I14" s="4" t="s">
        <v>4765</v>
      </c>
      <c r="J14" s="4" t="n">
        <v>10</v>
      </c>
      <c r="K14" s="4" t="s">
        <v>4755</v>
      </c>
    </row>
    <row r="15" customFormat="false" ht="37.5" hidden="false" customHeight="true" outlineLevel="0" collapsed="false">
      <c r="A15" s="5" t="s">
        <v>4791</v>
      </c>
      <c r="B15" s="5" t="n">
        <v>2</v>
      </c>
      <c r="C15" s="5" t="s">
        <v>4792</v>
      </c>
      <c r="D15" s="5" t="s">
        <v>4793</v>
      </c>
      <c r="E15" s="5" t="s">
        <v>4752</v>
      </c>
      <c r="F15" s="5" t="s">
        <v>2496</v>
      </c>
      <c r="G15" s="5" t="s">
        <v>4787</v>
      </c>
      <c r="H15" s="5" t="n">
        <v>25</v>
      </c>
      <c r="I15" s="5" t="s">
        <v>2496</v>
      </c>
      <c r="J15" s="5" t="n">
        <v>10</v>
      </c>
      <c r="K15" s="5" t="s">
        <v>4755</v>
      </c>
    </row>
    <row r="16" customFormat="false" ht="37.5" hidden="false" customHeight="true" outlineLevel="0" collapsed="false">
      <c r="A16" s="4" t="s">
        <v>4794</v>
      </c>
      <c r="B16" s="4" t="n">
        <v>3</v>
      </c>
      <c r="C16" s="4" t="s">
        <v>4795</v>
      </c>
      <c r="D16" s="4" t="s">
        <v>4796</v>
      </c>
      <c r="E16" s="4" t="s">
        <v>4752</v>
      </c>
      <c r="F16" s="4" t="s">
        <v>4797</v>
      </c>
      <c r="G16" s="4" t="s">
        <v>2165</v>
      </c>
      <c r="H16" s="4" t="n">
        <v>50</v>
      </c>
      <c r="I16" s="4" t="s">
        <v>2496</v>
      </c>
      <c r="J16" s="4" t="n">
        <v>20</v>
      </c>
      <c r="K16" s="4" t="s">
        <v>4755</v>
      </c>
    </row>
    <row r="17" customFormat="false" ht="37.5" hidden="false" customHeight="true" outlineLevel="0" collapsed="false">
      <c r="A17" s="5" t="s">
        <v>4798</v>
      </c>
      <c r="B17" s="5" t="n">
        <v>3</v>
      </c>
      <c r="C17" s="5" t="s">
        <v>4799</v>
      </c>
      <c r="D17" s="5" t="s">
        <v>4800</v>
      </c>
      <c r="E17" s="5" t="s">
        <v>4752</v>
      </c>
      <c r="F17" s="5" t="s">
        <v>4801</v>
      </c>
      <c r="G17" s="5" t="s">
        <v>4794</v>
      </c>
      <c r="H17" s="5" t="n">
        <v>50</v>
      </c>
      <c r="I17" s="5" t="s">
        <v>4754</v>
      </c>
      <c r="J17" s="5" t="n">
        <v>20</v>
      </c>
      <c r="K17" s="5" t="s">
        <v>4755</v>
      </c>
    </row>
    <row r="18" customFormat="false" ht="37.5" hidden="false" customHeight="true" outlineLevel="0" collapsed="false">
      <c r="A18" s="4" t="s">
        <v>4802</v>
      </c>
      <c r="B18" s="4" t="n">
        <v>3</v>
      </c>
      <c r="C18" s="4" t="s">
        <v>4803</v>
      </c>
      <c r="D18" s="4" t="s">
        <v>4804</v>
      </c>
      <c r="E18" s="4" t="s">
        <v>4752</v>
      </c>
      <c r="F18" s="4" t="s">
        <v>4805</v>
      </c>
      <c r="G18" s="4" t="s">
        <v>4798</v>
      </c>
      <c r="H18" s="4" t="n">
        <v>50</v>
      </c>
      <c r="I18" s="4" t="s">
        <v>4769</v>
      </c>
      <c r="J18" s="4" t="n">
        <v>20</v>
      </c>
      <c r="K18" s="4" t="s">
        <v>4755</v>
      </c>
    </row>
    <row r="19" customFormat="false" ht="37.5" hidden="false" customHeight="true" outlineLevel="0" collapsed="false">
      <c r="A19" s="5" t="s">
        <v>4806</v>
      </c>
      <c r="B19" s="5" t="n">
        <v>3</v>
      </c>
      <c r="C19" s="5" t="s">
        <v>4807</v>
      </c>
      <c r="D19" s="5" t="s">
        <v>4808</v>
      </c>
      <c r="E19" s="5" t="s">
        <v>4752</v>
      </c>
      <c r="F19" s="5" t="s">
        <v>4809</v>
      </c>
      <c r="G19" s="5" t="s">
        <v>4802</v>
      </c>
      <c r="H19" s="5" t="n">
        <v>50</v>
      </c>
      <c r="I19" s="5" t="s">
        <v>4774</v>
      </c>
      <c r="J19" s="5" t="n">
        <v>20</v>
      </c>
      <c r="K19" s="5" t="s">
        <v>4755</v>
      </c>
    </row>
    <row r="20" customFormat="false" ht="37.5" hidden="false" customHeight="true" outlineLevel="0" collapsed="false">
      <c r="A20" s="4" t="s">
        <v>4810</v>
      </c>
      <c r="B20" s="4" t="n">
        <v>3</v>
      </c>
      <c r="C20" s="4" t="s">
        <v>4811</v>
      </c>
      <c r="D20" s="4" t="s">
        <v>4812</v>
      </c>
      <c r="E20" s="4" t="s">
        <v>4752</v>
      </c>
      <c r="F20" s="4" t="s">
        <v>4813</v>
      </c>
      <c r="G20" s="4" t="s">
        <v>4806</v>
      </c>
      <c r="H20" s="4" t="n">
        <v>50</v>
      </c>
      <c r="I20" s="4" t="s">
        <v>4765</v>
      </c>
      <c r="J20" s="4" t="n">
        <v>20</v>
      </c>
      <c r="K20" s="4" t="s">
        <v>4755</v>
      </c>
    </row>
    <row r="21" customFormat="false" ht="37.5" hidden="false" customHeight="true" outlineLevel="0" collapsed="false">
      <c r="A21" s="5" t="s">
        <v>4814</v>
      </c>
      <c r="B21" s="5" t="n">
        <v>4</v>
      </c>
      <c r="C21" s="5" t="s">
        <v>4815</v>
      </c>
      <c r="D21" s="5" t="s">
        <v>4816</v>
      </c>
      <c r="E21" s="5" t="s">
        <v>4752</v>
      </c>
      <c r="F21" s="5" t="s">
        <v>4817</v>
      </c>
      <c r="G21" s="5" t="s">
        <v>2165</v>
      </c>
      <c r="H21" s="5" t="n">
        <v>50</v>
      </c>
      <c r="I21" s="5" t="s">
        <v>4754</v>
      </c>
      <c r="J21" s="5" t="n">
        <v>20</v>
      </c>
      <c r="K21" s="5" t="s">
        <v>4755</v>
      </c>
    </row>
    <row r="22" customFormat="false" ht="37.5" hidden="false" customHeight="true" outlineLevel="0" collapsed="false">
      <c r="A22" s="4" t="s">
        <v>4818</v>
      </c>
      <c r="B22" s="4" t="n">
        <v>4</v>
      </c>
      <c r="C22" s="4" t="s">
        <v>4819</v>
      </c>
      <c r="D22" s="4" t="s">
        <v>4820</v>
      </c>
      <c r="E22" s="4" t="s">
        <v>4752</v>
      </c>
      <c r="F22" s="4" t="s">
        <v>4821</v>
      </c>
      <c r="G22" s="4" t="s">
        <v>4814</v>
      </c>
      <c r="H22" s="4" t="n">
        <v>50</v>
      </c>
      <c r="I22" s="4" t="s">
        <v>2496</v>
      </c>
      <c r="J22" s="4" t="n">
        <v>20</v>
      </c>
      <c r="K22" s="4" t="s">
        <v>4755</v>
      </c>
    </row>
    <row r="23" customFormat="false" ht="37.5" hidden="false" customHeight="true" outlineLevel="0" collapsed="false">
      <c r="A23" s="5" t="s">
        <v>4822</v>
      </c>
      <c r="B23" s="5" t="n">
        <v>4</v>
      </c>
      <c r="C23" s="5" t="s">
        <v>4823</v>
      </c>
      <c r="D23" s="5" t="s">
        <v>4824</v>
      </c>
      <c r="E23" s="5" t="s">
        <v>4763</v>
      </c>
      <c r="F23" s="5" t="s">
        <v>4825</v>
      </c>
      <c r="G23" s="5" t="s">
        <v>4818</v>
      </c>
      <c r="H23" s="5" t="n">
        <v>50</v>
      </c>
      <c r="I23" s="5" t="s">
        <v>4774</v>
      </c>
      <c r="J23" s="5" t="n">
        <v>20</v>
      </c>
      <c r="K23" s="5" t="s">
        <v>4755</v>
      </c>
    </row>
    <row r="24" customFormat="false" ht="37.5" hidden="false" customHeight="true" outlineLevel="0" collapsed="false">
      <c r="A24" s="4" t="s">
        <v>4826</v>
      </c>
      <c r="B24" s="4" t="n">
        <v>4</v>
      </c>
      <c r="C24" s="4" t="s">
        <v>4827</v>
      </c>
      <c r="D24" s="4" t="s">
        <v>4828</v>
      </c>
      <c r="E24" s="4" t="s">
        <v>4752</v>
      </c>
      <c r="F24" s="4" t="s">
        <v>4829</v>
      </c>
      <c r="G24" s="4" t="s">
        <v>4822</v>
      </c>
      <c r="H24" s="4" t="n">
        <v>50</v>
      </c>
      <c r="I24" s="4" t="s">
        <v>4769</v>
      </c>
      <c r="J24" s="4" t="n">
        <v>20</v>
      </c>
      <c r="K24" s="4" t="s">
        <v>4755</v>
      </c>
    </row>
    <row r="25" customFormat="false" ht="37.5" hidden="false" customHeight="true" outlineLevel="0" collapsed="false">
      <c r="A25" s="5" t="s">
        <v>4830</v>
      </c>
      <c r="B25" s="5" t="n">
        <v>4</v>
      </c>
      <c r="C25" s="5" t="s">
        <v>4831</v>
      </c>
      <c r="D25" s="5" t="s">
        <v>4832</v>
      </c>
      <c r="E25" s="5" t="s">
        <v>4752</v>
      </c>
      <c r="F25" s="5" t="s">
        <v>4833</v>
      </c>
      <c r="G25" s="5" t="s">
        <v>4826</v>
      </c>
      <c r="H25" s="5" t="n">
        <v>50</v>
      </c>
      <c r="I25" s="5" t="s">
        <v>4765</v>
      </c>
      <c r="J25" s="5" t="n">
        <v>20</v>
      </c>
      <c r="K25" s="5" t="s">
        <v>4755</v>
      </c>
    </row>
    <row r="26" customFormat="false" ht="37.5" hidden="false" customHeight="true" outlineLevel="0" collapsed="false">
      <c r="A26" s="4" t="s">
        <v>4834</v>
      </c>
      <c r="B26" s="4" t="n">
        <v>5</v>
      </c>
      <c r="C26" s="4" t="s">
        <v>4835</v>
      </c>
      <c r="D26" s="4" t="s">
        <v>4836</v>
      </c>
      <c r="E26" s="4" t="s">
        <v>4752</v>
      </c>
      <c r="F26" s="4" t="s">
        <v>4837</v>
      </c>
      <c r="G26" s="4" t="s">
        <v>2165</v>
      </c>
      <c r="H26" s="4" t="n">
        <v>50</v>
      </c>
      <c r="I26" s="4" t="s">
        <v>2496</v>
      </c>
      <c r="J26" s="4" t="n">
        <v>20</v>
      </c>
      <c r="K26" s="4" t="s">
        <v>4755</v>
      </c>
    </row>
    <row r="27" customFormat="false" ht="37.5" hidden="false" customHeight="true" outlineLevel="0" collapsed="false">
      <c r="A27" s="5" t="s">
        <v>4838</v>
      </c>
      <c r="B27" s="5" t="n">
        <v>5</v>
      </c>
      <c r="C27" s="5" t="s">
        <v>4839</v>
      </c>
      <c r="D27" s="5" t="s">
        <v>4840</v>
      </c>
      <c r="E27" s="5" t="s">
        <v>4752</v>
      </c>
      <c r="F27" s="5" t="s">
        <v>4841</v>
      </c>
      <c r="G27" s="5" t="s">
        <v>4834</v>
      </c>
      <c r="H27" s="5" t="n">
        <v>50</v>
      </c>
      <c r="I27" s="5" t="s">
        <v>4754</v>
      </c>
      <c r="J27" s="5" t="n">
        <v>20</v>
      </c>
      <c r="K27" s="5" t="s">
        <v>4755</v>
      </c>
    </row>
    <row r="28" customFormat="false" ht="37.5" hidden="false" customHeight="true" outlineLevel="0" collapsed="false">
      <c r="A28" s="4" t="s">
        <v>4842</v>
      </c>
      <c r="B28" s="4" t="n">
        <v>5</v>
      </c>
      <c r="C28" s="4" t="s">
        <v>4843</v>
      </c>
      <c r="D28" s="4" t="s">
        <v>4844</v>
      </c>
      <c r="E28" s="4" t="s">
        <v>4763</v>
      </c>
      <c r="F28" s="4" t="s">
        <v>4845</v>
      </c>
      <c r="G28" s="4" t="s">
        <v>4838</v>
      </c>
      <c r="H28" s="4" t="n">
        <v>50</v>
      </c>
      <c r="I28" s="4" t="s">
        <v>4769</v>
      </c>
      <c r="J28" s="4" t="n">
        <v>20</v>
      </c>
      <c r="K28" s="4" t="s">
        <v>4755</v>
      </c>
    </row>
    <row r="29" customFormat="false" ht="37.5" hidden="false" customHeight="true" outlineLevel="0" collapsed="false">
      <c r="A29" s="5" t="s">
        <v>4846</v>
      </c>
      <c r="B29" s="5" t="n">
        <v>5</v>
      </c>
      <c r="C29" s="5" t="s">
        <v>4847</v>
      </c>
      <c r="D29" s="5" t="s">
        <v>4848</v>
      </c>
      <c r="E29" s="5" t="s">
        <v>4763</v>
      </c>
      <c r="F29" s="5" t="s">
        <v>4846</v>
      </c>
      <c r="G29" s="5" t="s">
        <v>4842</v>
      </c>
      <c r="H29" s="5" t="n">
        <v>50</v>
      </c>
      <c r="I29" s="5" t="s">
        <v>4765</v>
      </c>
      <c r="J29" s="5" t="n">
        <v>20</v>
      </c>
      <c r="K29" s="5" t="s">
        <v>4755</v>
      </c>
    </row>
    <row r="30" customFormat="false" ht="37.5" hidden="false" customHeight="true" outlineLevel="0" collapsed="false">
      <c r="A30" s="4" t="s">
        <v>4849</v>
      </c>
      <c r="B30" s="4" t="n">
        <v>5</v>
      </c>
      <c r="C30" s="4" t="s">
        <v>4850</v>
      </c>
      <c r="D30" s="4" t="s">
        <v>4851</v>
      </c>
      <c r="E30" s="4" t="s">
        <v>4752</v>
      </c>
      <c r="F30" s="4" t="s">
        <v>4852</v>
      </c>
      <c r="G30" s="4" t="s">
        <v>4846</v>
      </c>
      <c r="H30" s="4" t="n">
        <v>50</v>
      </c>
      <c r="I30" s="4" t="s">
        <v>4774</v>
      </c>
      <c r="J30" s="4" t="n">
        <v>20</v>
      </c>
      <c r="K30" s="4" t="s">
        <v>4755</v>
      </c>
    </row>
  </sheetData>
  <autoFilter ref="A5:K30"/>
  <mergeCells count="2">
    <mergeCell ref="A1:K1"/>
    <mergeCell ref="A2:K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0" width="55"/>
    <col collapsed="false" customWidth="true" hidden="false" outlineLevel="0" max="3" min="2" style="10" width="28"/>
    <col collapsed="false" customWidth="true" hidden="false" outlineLevel="0" max="4" min="4" style="10" width="20"/>
  </cols>
  <sheetData>
    <row r="1" customFormat="false" ht="34.5" hidden="false" customHeight="true" outlineLevel="0" collapsed="false">
      <c r="A1" s="1" t="s">
        <v>4853</v>
      </c>
      <c r="B1" s="1"/>
      <c r="C1" s="1"/>
      <c r="D1" s="1"/>
    </row>
    <row r="2" customFormat="false" ht="67.5" hidden="false" customHeight="true" outlineLevel="0" collapsed="false">
      <c r="A2" s="2" t="s">
        <v>4854</v>
      </c>
      <c r="B2" s="2"/>
      <c r="C2" s="2"/>
      <c r="D2" s="2"/>
    </row>
    <row r="5" customFormat="false" ht="30" hidden="false" customHeight="true" outlineLevel="0" collapsed="false">
      <c r="A5" s="3" t="s">
        <v>1913</v>
      </c>
      <c r="B5" s="3" t="s">
        <v>350</v>
      </c>
      <c r="C5" s="3" t="s">
        <v>1548</v>
      </c>
      <c r="D5" s="3" t="s">
        <v>4855</v>
      </c>
    </row>
    <row r="6" customFormat="false" ht="37.5" hidden="false" customHeight="true" outlineLevel="0" collapsed="false">
      <c r="A6" s="4" t="s">
        <v>4856</v>
      </c>
      <c r="B6" s="4" t="n">
        <f aca="false">Kalkulator!C17</f>
        <v>60</v>
      </c>
      <c r="C6" s="4" t="n">
        <v>60</v>
      </c>
      <c r="D6" s="8" t="b">
        <f aca="false">B6=C6</f>
        <v>1</v>
      </c>
    </row>
    <row r="7" customFormat="false" ht="37.5" hidden="false" customHeight="true" outlineLevel="0" collapsed="false">
      <c r="A7" s="5" t="s">
        <v>4857</v>
      </c>
      <c r="B7" s="5" t="n">
        <f aca="false">Kalkulator!C18</f>
        <v>45</v>
      </c>
      <c r="C7" s="5" t="n">
        <v>45</v>
      </c>
      <c r="D7" s="81" t="b">
        <f aca="false">B7=C7</f>
        <v>1</v>
      </c>
    </row>
    <row r="8" customFormat="false" ht="37.5" hidden="false" customHeight="true" outlineLevel="0" collapsed="false">
      <c r="A8" s="4" t="s">
        <v>4858</v>
      </c>
      <c r="B8" s="4" t="n">
        <f aca="false">Kalkulator!C19</f>
        <v>40</v>
      </c>
      <c r="C8" s="4" t="n">
        <v>40</v>
      </c>
      <c r="D8" s="8" t="b">
        <f aca="false">B8=C8</f>
        <v>1</v>
      </c>
    </row>
    <row r="9" customFormat="false" ht="37.5" hidden="false" customHeight="true" outlineLevel="0" collapsed="false">
      <c r="A9" s="5" t="s">
        <v>4859</v>
      </c>
      <c r="B9" s="5" t="n">
        <f aca="false">Kalkulator!C20</f>
        <v>40</v>
      </c>
      <c r="C9" s="5" t="n">
        <v>40</v>
      </c>
      <c r="D9" s="81" t="b">
        <f aca="false">B9=C9</f>
        <v>1</v>
      </c>
    </row>
    <row r="10" customFormat="false" ht="37.5" hidden="false" customHeight="true" outlineLevel="0" collapsed="false">
      <c r="A10" s="4" t="s">
        <v>4860</v>
      </c>
      <c r="B10" s="4" t="n">
        <f aca="false">Kalkulator!C21</f>
        <v>80</v>
      </c>
      <c r="C10" s="4" t="n">
        <v>80</v>
      </c>
      <c r="D10" s="8" t="b">
        <f aca="false">B10=C10</f>
        <v>1</v>
      </c>
    </row>
    <row r="11" customFormat="false" ht="37.5" hidden="false" customHeight="true" outlineLevel="0" collapsed="false">
      <c r="A11" s="5" t="s">
        <v>4861</v>
      </c>
      <c r="B11" s="5" t="n">
        <f aca="false">Kalkulator!C22</f>
        <v>450</v>
      </c>
      <c r="C11" s="5" t="n">
        <v>450</v>
      </c>
      <c r="D11" s="81" t="b">
        <f aca="false">B11=C11</f>
        <v>1</v>
      </c>
    </row>
    <row r="12" customFormat="false" ht="37.5" hidden="false" customHeight="true" outlineLevel="0" collapsed="false">
      <c r="A12" s="4" t="s">
        <v>4862</v>
      </c>
      <c r="B12" s="4" t="n">
        <f aca="false">Kalkulator!C27</f>
        <v>15</v>
      </c>
      <c r="C12" s="4" t="n">
        <v>15</v>
      </c>
      <c r="D12" s="8" t="b">
        <f aca="false">B12=C12</f>
        <v>1</v>
      </c>
    </row>
    <row r="13" customFormat="false" ht="37.5" hidden="false" customHeight="true" outlineLevel="0" collapsed="false">
      <c r="A13" s="5" t="s">
        <v>4863</v>
      </c>
      <c r="B13" s="5" t="n">
        <f aca="false">Kalkulator!C35</f>
        <v>17</v>
      </c>
      <c r="C13" s="5" t="n">
        <v>17</v>
      </c>
      <c r="D13" s="81" t="b">
        <f aca="false">B13=C13</f>
        <v>1</v>
      </c>
    </row>
    <row r="14" customFormat="false" ht="37.5" hidden="false" customHeight="true" outlineLevel="0" collapsed="false">
      <c r="A14" s="4" t="s">
        <v>4864</v>
      </c>
      <c r="B14" s="4" t="n">
        <f aca="false">Kalkulator!C38</f>
        <v>42</v>
      </c>
      <c r="C14" s="4" t="n">
        <v>42</v>
      </c>
      <c r="D14" s="8" t="b">
        <f aca="false">B14=C14</f>
        <v>1</v>
      </c>
    </row>
    <row r="15" customFormat="false" ht="37.5" hidden="false" customHeight="true" outlineLevel="0" collapsed="false">
      <c r="A15" s="5" t="s">
        <v>4865</v>
      </c>
      <c r="B15" s="5" t="n">
        <f aca="false">Kalkulator!C39</f>
        <v>59</v>
      </c>
      <c r="C15" s="5" t="n">
        <v>59</v>
      </c>
      <c r="D15" s="81" t="b">
        <f aca="false">B15=C15</f>
        <v>1</v>
      </c>
    </row>
    <row r="16" customFormat="false" ht="37.5" hidden="false" customHeight="true" outlineLevel="0" collapsed="false">
      <c r="A16" s="4" t="s">
        <v>4866</v>
      </c>
      <c r="B16" s="4" t="n">
        <f aca="false">Kalkulator!C46</f>
        <v>2</v>
      </c>
      <c r="C16" s="4" t="n">
        <v>2</v>
      </c>
      <c r="D16" s="8" t="b">
        <f aca="false">B16=C16</f>
        <v>1</v>
      </c>
    </row>
    <row r="17" customFormat="false" ht="37.5" hidden="false" customHeight="true" outlineLevel="0" collapsed="false">
      <c r="A17" s="5" t="s">
        <v>4867</v>
      </c>
      <c r="B17" s="11" t="n">
        <f aca="false">Kalkulator!C47</f>
        <v>0.75</v>
      </c>
      <c r="C17" s="5" t="n">
        <v>0.75</v>
      </c>
      <c r="D17" s="81" t="b">
        <f aca="false">B17=C17</f>
        <v>1</v>
      </c>
    </row>
    <row r="18" customFormat="false" ht="37.5" hidden="false" customHeight="true" outlineLevel="0" collapsed="false">
      <c r="A18" s="4" t="s">
        <v>4868</v>
      </c>
      <c r="B18" s="4" t="n">
        <f aca="false">Kalkulator!C48</f>
        <v>100</v>
      </c>
      <c r="C18" s="4" t="n">
        <v>100</v>
      </c>
      <c r="D18" s="8" t="b">
        <f aca="false">B18=C18</f>
        <v>1</v>
      </c>
    </row>
    <row r="19" customFormat="false" ht="37.5" hidden="false" customHeight="true" outlineLevel="0" collapsed="false">
      <c r="A19" s="5" t="s">
        <v>4869</v>
      </c>
      <c r="B19" s="5" t="n">
        <f aca="false">Kalkulator!C49</f>
        <v>37.5</v>
      </c>
      <c r="C19" s="5" t="n">
        <v>37.5</v>
      </c>
      <c r="D19" s="81" t="b">
        <f aca="false">B19=C19</f>
        <v>1</v>
      </c>
    </row>
    <row r="20" customFormat="false" ht="37.5" hidden="false" customHeight="true" outlineLevel="0" collapsed="false">
      <c r="A20" s="4" t="s">
        <v>4870</v>
      </c>
      <c r="B20" s="4" t="n">
        <f aca="false">Kalkulator!C54</f>
        <v>220</v>
      </c>
      <c r="C20" s="4" t="n">
        <v>220</v>
      </c>
      <c r="D20" s="8" t="b">
        <f aca="false">B20=C20</f>
        <v>1</v>
      </c>
    </row>
    <row r="21" customFormat="false" ht="37.5" hidden="false" customHeight="true" outlineLevel="0" collapsed="false">
      <c r="A21" s="5" t="s">
        <v>4871</v>
      </c>
      <c r="B21" s="5" t="n">
        <f aca="false">Kalkulator!C55</f>
        <v>190</v>
      </c>
      <c r="C21" s="5" t="n">
        <v>190</v>
      </c>
      <c r="D21" s="81" t="b">
        <f aca="false">B21=C21</f>
        <v>1</v>
      </c>
    </row>
    <row r="22" customFormat="false" ht="37.5" hidden="false" customHeight="true" outlineLevel="0" collapsed="false">
      <c r="A22" s="4" t="s">
        <v>4872</v>
      </c>
      <c r="B22" s="9" t="n">
        <f aca="false">Kalkulator!C57</f>
        <v>150</v>
      </c>
      <c r="C22" s="4" t="n">
        <v>150</v>
      </c>
      <c r="D22" s="8" t="b">
        <f aca="false">B22=C22</f>
        <v>1</v>
      </c>
    </row>
    <row r="23" customFormat="false" ht="37.5" hidden="false" customHeight="true" outlineLevel="0" collapsed="false">
      <c r="A23" s="5" t="s">
        <v>4873</v>
      </c>
      <c r="B23" s="5" t="n">
        <f aca="false">Kalkulator!C61</f>
        <v>10000</v>
      </c>
      <c r="C23" s="5" t="n">
        <v>10000</v>
      </c>
      <c r="D23" s="81" t="b">
        <f aca="false">B23=C23</f>
        <v>1</v>
      </c>
    </row>
    <row r="24" customFormat="false" ht="37.5" hidden="false" customHeight="true" outlineLevel="0" collapsed="false">
      <c r="A24" s="4" t="s">
        <v>4874</v>
      </c>
      <c r="B24" s="4" t="n">
        <f aca="false">Kalkulator!C62</f>
        <v>50000</v>
      </c>
      <c r="C24" s="4" t="n">
        <v>50000</v>
      </c>
      <c r="D24" s="8" t="b">
        <f aca="false">B24=C24</f>
        <v>1</v>
      </c>
    </row>
    <row r="25" customFormat="false" ht="37.5" hidden="false" customHeight="true" outlineLevel="0" collapsed="false">
      <c r="A25" s="5" t="s">
        <v>4875</v>
      </c>
      <c r="B25" s="5" t="n">
        <f aca="false">Kalkulator!C64</f>
        <v>1000</v>
      </c>
      <c r="C25" s="5" t="n">
        <v>1000</v>
      </c>
      <c r="D25" s="81" t="b">
        <f aca="false">B25=C25</f>
        <v>1</v>
      </c>
    </row>
    <row r="26" customFormat="false" ht="37.5" hidden="false" customHeight="true" outlineLevel="0" collapsed="false">
      <c r="A26" s="4" t="s">
        <v>4876</v>
      </c>
      <c r="B26" s="4" t="n">
        <f aca="false">Kalkulator!C67</f>
        <v>1000</v>
      </c>
      <c r="C26" s="4" t="n">
        <v>1000</v>
      </c>
      <c r="D26" s="8" t="b">
        <f aca="false">B26=C26</f>
        <v>1</v>
      </c>
    </row>
    <row r="27" customFormat="false" ht="37.5" hidden="false" customHeight="true" outlineLevel="0" collapsed="false">
      <c r="A27" s="5" t="s">
        <v>4877</v>
      </c>
      <c r="B27" s="5" t="n">
        <f aca="false">Kalkulator!C68</f>
        <v>400</v>
      </c>
      <c r="C27" s="5" t="n">
        <v>400</v>
      </c>
      <c r="D27" s="81" t="b">
        <f aca="false">B27=C27</f>
        <v>1</v>
      </c>
    </row>
    <row r="28" customFormat="false" ht="37.5" hidden="false" customHeight="true" outlineLevel="0" collapsed="false">
      <c r="A28" s="4" t="s">
        <v>4878</v>
      </c>
      <c r="B28" s="4" t="n">
        <f aca="false">Kalkulator!C70</f>
        <v>2000</v>
      </c>
      <c r="C28" s="4" t="n">
        <v>2000</v>
      </c>
      <c r="D28" s="8" t="b">
        <f aca="false">B28=C28</f>
        <v>1</v>
      </c>
    </row>
    <row r="29" customFormat="false" ht="37.5" hidden="false" customHeight="true" outlineLevel="0" collapsed="false">
      <c r="A29" s="5" t="s">
        <v>4879</v>
      </c>
      <c r="B29" s="5" t="n">
        <f aca="false">Kalkulator!C74</f>
        <v>1000</v>
      </c>
      <c r="C29" s="5" t="n">
        <v>1000</v>
      </c>
      <c r="D29" s="81" t="b">
        <f aca="false">B29=C29</f>
        <v>1</v>
      </c>
    </row>
    <row r="30" customFormat="false" ht="37.5" hidden="false" customHeight="true" outlineLevel="0" collapsed="false">
      <c r="A30" s="4" t="s">
        <v>4880</v>
      </c>
      <c r="B30" s="4" t="n">
        <f aca="false">Kalkulator!C75</f>
        <v>4000</v>
      </c>
      <c r="C30" s="4" t="n">
        <v>4000</v>
      </c>
      <c r="D30" s="8" t="b">
        <f aca="false">B30=C30</f>
        <v>1</v>
      </c>
    </row>
    <row r="31" customFormat="false" ht="37.5" hidden="false" customHeight="true" outlineLevel="0" collapsed="false">
      <c r="A31" s="5" t="s">
        <v>4881</v>
      </c>
      <c r="B31" s="5" t="n">
        <f aca="false">Kalkulator!C76</f>
        <v>50</v>
      </c>
      <c r="C31" s="5" t="n">
        <v>50</v>
      </c>
      <c r="D31" s="81" t="b">
        <f aca="false">B31=C31</f>
        <v>1</v>
      </c>
    </row>
    <row r="32" customFormat="false" ht="37.5" hidden="false" customHeight="true" outlineLevel="0" collapsed="false">
      <c r="A32" s="4" t="s">
        <v>4882</v>
      </c>
      <c r="B32" s="4" t="n">
        <f aca="false">Kalkulator!C77</f>
        <v>3950</v>
      </c>
      <c r="C32" s="4" t="n">
        <v>3950</v>
      </c>
      <c r="D32" s="8" t="b">
        <f aca="false">B32=C32</f>
        <v>1</v>
      </c>
    </row>
    <row r="33" customFormat="false" ht="37.5" hidden="false" customHeight="true" outlineLevel="0" collapsed="false">
      <c r="A33" s="5" t="s">
        <v>4883</v>
      </c>
      <c r="B33" s="5" t="n">
        <f aca="false">COUNTA('Decyzje v9'!A6:A63)</f>
        <v>58</v>
      </c>
      <c r="C33" s="5" t="n">
        <v>58</v>
      </c>
      <c r="D33" s="81" t="b">
        <f aca="false">B33=C33</f>
        <v>1</v>
      </c>
    </row>
    <row r="34" customFormat="false" ht="37.5" hidden="false" customHeight="true" outlineLevel="0" collapsed="false">
      <c r="A34" s="4" t="s">
        <v>4884</v>
      </c>
      <c r="B34" s="4" t="n">
        <f aca="false">COUNTA('Decyzje v9'!A64:A82)</f>
        <v>19</v>
      </c>
      <c r="C34" s="4" t="n">
        <v>19</v>
      </c>
      <c r="D34" s="8" t="b">
        <f aca="false">B34=C34</f>
        <v>1</v>
      </c>
    </row>
    <row r="35" customFormat="false" ht="37.5" hidden="false" customHeight="true" outlineLevel="0" collapsed="false">
      <c r="A35" s="5" t="s">
        <v>4885</v>
      </c>
      <c r="B35" s="5" t="n">
        <f aca="false">COUNTA('Samouczek v9'!A6:A30)</f>
        <v>25</v>
      </c>
      <c r="C35" s="5" t="n">
        <v>25</v>
      </c>
      <c r="D35" s="81" t="b">
        <f aca="false">B35=C35</f>
        <v>1</v>
      </c>
    </row>
  </sheetData>
  <autoFilter ref="A5:D35"/>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135"/>
    <col collapsed="false" customWidth="true" hidden="false" outlineLevel="0" max="4" min="4" style="0" width="44"/>
  </cols>
  <sheetData>
    <row r="1" customFormat="false" ht="34.5" hidden="false" customHeight="true" outlineLevel="0" collapsed="false">
      <c r="A1" s="1" t="s">
        <v>4886</v>
      </c>
      <c r="B1" s="1"/>
      <c r="C1" s="1"/>
      <c r="D1" s="1"/>
    </row>
    <row r="2" customFormat="false" ht="67.5" hidden="false" customHeight="true" outlineLevel="0" collapsed="false">
      <c r="A2" s="2" t="s">
        <v>4887</v>
      </c>
      <c r="B2" s="2"/>
      <c r="C2" s="2"/>
      <c r="D2" s="2"/>
    </row>
    <row r="5" customFormat="false" ht="30" hidden="false" customHeight="true" outlineLevel="0" collapsed="false">
      <c r="A5" s="3" t="s">
        <v>307</v>
      </c>
      <c r="B5" s="3" t="s">
        <v>308</v>
      </c>
      <c r="C5" s="3" t="s">
        <v>4888</v>
      </c>
      <c r="D5" s="3" t="s">
        <v>310</v>
      </c>
    </row>
    <row r="6" customFormat="false" ht="54" hidden="false" customHeight="true" outlineLevel="0" collapsed="false">
      <c r="A6" s="4" t="s">
        <v>4889</v>
      </c>
      <c r="B6" s="4" t="s">
        <v>4890</v>
      </c>
      <c r="C6" s="4" t="s">
        <v>4891</v>
      </c>
      <c r="D6" s="4" t="s">
        <v>4892</v>
      </c>
    </row>
    <row r="7" customFormat="false" ht="37.5" hidden="false" customHeight="true" outlineLevel="0" collapsed="false">
      <c r="A7" s="5" t="s">
        <v>4893</v>
      </c>
      <c r="B7" s="5" t="s">
        <v>4894</v>
      </c>
      <c r="C7" s="5" t="s">
        <v>4895</v>
      </c>
      <c r="D7" s="5" t="s">
        <v>4892</v>
      </c>
    </row>
    <row r="8" customFormat="false" ht="54" hidden="false" customHeight="true" outlineLevel="0" collapsed="false">
      <c r="A8" s="4" t="s">
        <v>4896</v>
      </c>
      <c r="B8" s="4" t="s">
        <v>4897</v>
      </c>
      <c r="C8" s="4" t="s">
        <v>4898</v>
      </c>
      <c r="D8" s="4" t="s">
        <v>4892</v>
      </c>
    </row>
    <row r="9" customFormat="false" ht="37.5" hidden="false" customHeight="true" outlineLevel="0" collapsed="false">
      <c r="A9" s="5" t="s">
        <v>4899</v>
      </c>
      <c r="B9" s="5" t="s">
        <v>4900</v>
      </c>
      <c r="C9" s="5" t="s">
        <v>4901</v>
      </c>
      <c r="D9" s="5" t="s">
        <v>4892</v>
      </c>
    </row>
    <row r="10" customFormat="false" ht="54" hidden="false" customHeight="true" outlineLevel="0" collapsed="false">
      <c r="A10" s="4" t="s">
        <v>13</v>
      </c>
      <c r="B10" s="4" t="s">
        <v>4902</v>
      </c>
      <c r="C10" s="4" t="s">
        <v>4903</v>
      </c>
      <c r="D10" s="4" t="s">
        <v>4892</v>
      </c>
    </row>
    <row r="11" customFormat="false" ht="54" hidden="false" customHeight="true" outlineLevel="0" collapsed="false">
      <c r="A11" s="5" t="s">
        <v>4904</v>
      </c>
      <c r="B11" s="5" t="s">
        <v>4905</v>
      </c>
      <c r="C11" s="5" t="s">
        <v>4906</v>
      </c>
      <c r="D11" s="5" t="s">
        <v>4892</v>
      </c>
    </row>
    <row r="12" customFormat="false" ht="37.5" hidden="false" customHeight="true" outlineLevel="0" collapsed="false">
      <c r="A12" s="4" t="s">
        <v>4907</v>
      </c>
      <c r="B12" s="4" t="s">
        <v>4908</v>
      </c>
      <c r="C12" s="4" t="s">
        <v>4909</v>
      </c>
      <c r="D12" s="4" t="s">
        <v>4892</v>
      </c>
    </row>
    <row r="13" customFormat="false" ht="37.5" hidden="false" customHeight="true" outlineLevel="0" collapsed="false">
      <c r="A13" s="5" t="s">
        <v>4910</v>
      </c>
      <c r="B13" s="5" t="s">
        <v>4911</v>
      </c>
      <c r="C13" s="5" t="s">
        <v>4912</v>
      </c>
      <c r="D13" s="5" t="s">
        <v>4892</v>
      </c>
    </row>
    <row r="14" customFormat="false" ht="54" hidden="false" customHeight="true" outlineLevel="0" collapsed="false">
      <c r="A14" s="4" t="s">
        <v>7</v>
      </c>
      <c r="B14" s="4" t="s">
        <v>4913</v>
      </c>
      <c r="C14" s="4" t="s">
        <v>4914</v>
      </c>
      <c r="D14" s="4" t="s">
        <v>4892</v>
      </c>
    </row>
    <row r="15" customFormat="false" ht="37.5" hidden="false" customHeight="true" outlineLevel="0" collapsed="false">
      <c r="A15" s="5" t="s">
        <v>4915</v>
      </c>
      <c r="B15" s="5" t="s">
        <v>4916</v>
      </c>
      <c r="C15" s="5" t="s">
        <v>4917</v>
      </c>
      <c r="D15" s="5" t="s">
        <v>4892</v>
      </c>
    </row>
    <row r="16" customFormat="false" ht="54" hidden="false" customHeight="true" outlineLevel="0" collapsed="false">
      <c r="A16" s="4" t="s">
        <v>4918</v>
      </c>
      <c r="B16" s="4" t="s">
        <v>4919</v>
      </c>
      <c r="C16" s="4" t="s">
        <v>4920</v>
      </c>
      <c r="D16" s="4" t="s">
        <v>4892</v>
      </c>
    </row>
    <row r="17" customFormat="false" ht="54" hidden="false" customHeight="true" outlineLevel="0" collapsed="false">
      <c r="A17" s="5" t="s">
        <v>4921</v>
      </c>
      <c r="B17" s="5" t="s">
        <v>4922</v>
      </c>
      <c r="C17" s="5" t="s">
        <v>4923</v>
      </c>
      <c r="D17" s="5" t="s">
        <v>4892</v>
      </c>
    </row>
    <row r="18" customFormat="false" ht="37.5" hidden="false" customHeight="true" outlineLevel="0" collapsed="false">
      <c r="A18" s="4" t="s">
        <v>4924</v>
      </c>
      <c r="B18" s="4" t="s">
        <v>4925</v>
      </c>
      <c r="C18" s="4" t="s">
        <v>4926</v>
      </c>
      <c r="D18" s="4" t="s">
        <v>4892</v>
      </c>
    </row>
    <row r="19" customFormat="false" ht="54" hidden="false" customHeight="true" outlineLevel="0" collapsed="false">
      <c r="A19" s="5" t="s">
        <v>4927</v>
      </c>
      <c r="B19" s="5" t="s">
        <v>4928</v>
      </c>
      <c r="C19" s="5" t="s">
        <v>4929</v>
      </c>
      <c r="D19" s="5" t="s">
        <v>4892</v>
      </c>
    </row>
    <row r="20" customFormat="false" ht="54" hidden="false" customHeight="true" outlineLevel="0" collapsed="false">
      <c r="A20" s="4" t="s">
        <v>4930</v>
      </c>
      <c r="B20" s="4" t="s">
        <v>4931</v>
      </c>
      <c r="C20" s="4" t="s">
        <v>4932</v>
      </c>
      <c r="D20" s="4" t="s">
        <v>4892</v>
      </c>
    </row>
    <row r="21" customFormat="false" ht="54" hidden="false" customHeight="true" outlineLevel="0" collapsed="false">
      <c r="A21" s="5" t="s">
        <v>4933</v>
      </c>
      <c r="B21" s="5" t="s">
        <v>4934</v>
      </c>
      <c r="C21" s="5" t="s">
        <v>4935</v>
      </c>
      <c r="D21" s="5" t="s">
        <v>4892</v>
      </c>
    </row>
    <row r="22" customFormat="false" ht="37.5" hidden="false" customHeight="true" outlineLevel="0" collapsed="false">
      <c r="A22" s="4" t="s">
        <v>4936</v>
      </c>
      <c r="B22" s="4" t="s">
        <v>4937</v>
      </c>
      <c r="C22" s="4" t="s">
        <v>4938</v>
      </c>
      <c r="D22" s="4" t="s">
        <v>4892</v>
      </c>
    </row>
    <row r="23" customFormat="false" ht="90" hidden="false" customHeight="true" outlineLevel="0" collapsed="false">
      <c r="A23" s="5" t="s">
        <v>160</v>
      </c>
      <c r="B23" s="5" t="s">
        <v>4939</v>
      </c>
      <c r="C23" s="5" t="s">
        <v>150</v>
      </c>
      <c r="D23" s="5" t="s">
        <v>1233</v>
      </c>
    </row>
    <row r="24" customFormat="false" ht="54" hidden="false" customHeight="true" outlineLevel="0" collapsed="false">
      <c r="A24" s="4" t="s">
        <v>4940</v>
      </c>
      <c r="B24" s="4" t="s">
        <v>4941</v>
      </c>
      <c r="C24" s="4" t="s">
        <v>4942</v>
      </c>
      <c r="D24" s="4" t="s">
        <v>4943</v>
      </c>
    </row>
    <row r="25" customFormat="false" ht="54" hidden="false" customHeight="true" outlineLevel="0" collapsed="false">
      <c r="A25" s="5" t="s">
        <v>4944</v>
      </c>
      <c r="B25" s="5" t="s">
        <v>4945</v>
      </c>
      <c r="C25" s="5" t="s">
        <v>153</v>
      </c>
      <c r="D25" s="5" t="s">
        <v>1233</v>
      </c>
    </row>
    <row r="26" customFormat="false" ht="54" hidden="false" customHeight="true" outlineLevel="0" collapsed="false">
      <c r="A26" s="4" t="s">
        <v>4946</v>
      </c>
      <c r="B26" s="4" t="s">
        <v>4947</v>
      </c>
      <c r="C26" s="4" t="s">
        <v>4948</v>
      </c>
      <c r="D26" s="4" t="s">
        <v>4949</v>
      </c>
    </row>
    <row r="27" customFormat="false" ht="37.5" hidden="false" customHeight="true" outlineLevel="0" collapsed="false">
      <c r="A27" s="5" t="s">
        <v>4950</v>
      </c>
      <c r="B27" s="5" t="s">
        <v>4951</v>
      </c>
      <c r="C27" s="5" t="s">
        <v>4952</v>
      </c>
      <c r="D27" s="5" t="s">
        <v>4953</v>
      </c>
    </row>
    <row r="28" customFormat="false" ht="72" hidden="false" customHeight="true" outlineLevel="0" collapsed="false">
      <c r="A28" s="4" t="s">
        <v>4954</v>
      </c>
      <c r="B28" s="4" t="s">
        <v>4955</v>
      </c>
      <c r="C28" s="4" t="s">
        <v>156</v>
      </c>
      <c r="D28" s="4" t="s">
        <v>4956</v>
      </c>
    </row>
    <row r="29" customFormat="false" ht="54" hidden="false" customHeight="true" outlineLevel="0" collapsed="false">
      <c r="A29" s="5" t="s">
        <v>4957</v>
      </c>
      <c r="B29" s="5" t="s">
        <v>4958</v>
      </c>
      <c r="C29" s="5" t="s">
        <v>147</v>
      </c>
      <c r="D29" s="5" t="s">
        <v>4959</v>
      </c>
    </row>
    <row r="30" customFormat="false" ht="54" hidden="false" customHeight="true" outlineLevel="0" collapsed="false">
      <c r="A30" s="4" t="s">
        <v>4960</v>
      </c>
      <c r="B30" s="4" t="s">
        <v>4961</v>
      </c>
      <c r="C30" s="4" t="s">
        <v>4962</v>
      </c>
      <c r="D30" s="4" t="s">
        <v>1233</v>
      </c>
    </row>
    <row r="31" customFormat="false" ht="54" hidden="false" customHeight="true" outlineLevel="0" collapsed="false">
      <c r="A31" s="5" t="s">
        <v>4963</v>
      </c>
      <c r="B31" s="5" t="s">
        <v>125</v>
      </c>
      <c r="C31" s="5" t="s">
        <v>126</v>
      </c>
      <c r="D31" s="5" t="s">
        <v>4964</v>
      </c>
    </row>
    <row r="32" customFormat="false" ht="72" hidden="false" customHeight="true" outlineLevel="0" collapsed="false">
      <c r="A32" s="4" t="s">
        <v>4965</v>
      </c>
      <c r="B32" s="4" t="s">
        <v>4966</v>
      </c>
      <c r="C32" s="4" t="s">
        <v>123</v>
      </c>
      <c r="D32" s="4" t="s">
        <v>4967</v>
      </c>
    </row>
    <row r="33" customFormat="false" ht="72" hidden="false" customHeight="true" outlineLevel="0" collapsed="false">
      <c r="A33" s="5" t="s">
        <v>4968</v>
      </c>
      <c r="B33" s="5" t="s">
        <v>4969</v>
      </c>
      <c r="C33" s="5" t="s">
        <v>129</v>
      </c>
      <c r="D33" s="5" t="s">
        <v>4970</v>
      </c>
    </row>
    <row r="34" customFormat="false" ht="72" hidden="false" customHeight="true" outlineLevel="0" collapsed="false">
      <c r="A34" s="4" t="s">
        <v>4971</v>
      </c>
      <c r="B34" s="4" t="s">
        <v>131</v>
      </c>
      <c r="C34" s="4" t="s">
        <v>132</v>
      </c>
      <c r="D34" s="4" t="s">
        <v>1233</v>
      </c>
    </row>
    <row r="35" customFormat="false" ht="54" hidden="false" customHeight="true" outlineLevel="0" collapsed="false">
      <c r="A35" s="5" t="s">
        <v>4972</v>
      </c>
      <c r="B35" s="5" t="s">
        <v>4973</v>
      </c>
      <c r="C35" s="5" t="s">
        <v>4974</v>
      </c>
      <c r="D35" s="5" t="s">
        <v>4975</v>
      </c>
    </row>
    <row r="36" customFormat="false" ht="72" hidden="false" customHeight="true" outlineLevel="0" collapsed="false">
      <c r="A36" s="4" t="s">
        <v>4976</v>
      </c>
      <c r="B36" s="4" t="s">
        <v>4977</v>
      </c>
      <c r="C36" s="4" t="s">
        <v>135</v>
      </c>
      <c r="D36" s="4" t="s">
        <v>4970</v>
      </c>
    </row>
    <row r="37" customFormat="false" ht="54" hidden="false" customHeight="true" outlineLevel="0" collapsed="false">
      <c r="A37" s="5" t="s">
        <v>139</v>
      </c>
      <c r="B37" s="5" t="s">
        <v>4978</v>
      </c>
      <c r="C37" s="5" t="s">
        <v>4979</v>
      </c>
      <c r="D37" s="5" t="s">
        <v>4980</v>
      </c>
    </row>
    <row r="38" customFormat="false" ht="37.5" hidden="false" customHeight="true" outlineLevel="0" collapsed="false">
      <c r="A38" s="4" t="s">
        <v>4981</v>
      </c>
      <c r="B38" s="4" t="s">
        <v>4982</v>
      </c>
      <c r="C38" s="4" t="s">
        <v>4983</v>
      </c>
      <c r="D38" s="4" t="s">
        <v>4984</v>
      </c>
    </row>
  </sheetData>
  <autoFilter ref="A5:D38"/>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3"/>
    <col collapsed="false" customWidth="true" hidden="false" outlineLevel="0" max="3" min="3" style="0" width="48"/>
    <col collapsed="false" customWidth="true" hidden="false" outlineLevel="0" max="4" min="4" style="0" width="120"/>
    <col collapsed="false" customWidth="true" hidden="false" outlineLevel="0" max="5" min="5" style="0" width="24"/>
    <col collapsed="false" customWidth="true" hidden="false" outlineLevel="0" max="7" min="6" style="0" width="35"/>
  </cols>
  <sheetData>
    <row r="1" customFormat="false" ht="34.5" hidden="false" customHeight="true" outlineLevel="0" collapsed="false">
      <c r="A1" s="1" t="s">
        <v>4985</v>
      </c>
      <c r="B1" s="1"/>
      <c r="C1" s="1"/>
      <c r="D1" s="1"/>
      <c r="E1" s="1"/>
      <c r="F1" s="1"/>
      <c r="G1" s="1"/>
    </row>
    <row r="2" customFormat="false" ht="67.5" hidden="false" customHeight="true" outlineLevel="0" collapsed="false">
      <c r="A2" s="2" t="s">
        <v>4986</v>
      </c>
      <c r="B2" s="2"/>
      <c r="C2" s="2"/>
      <c r="D2" s="2"/>
      <c r="E2" s="2"/>
      <c r="F2" s="2"/>
      <c r="G2" s="2"/>
    </row>
    <row r="5" customFormat="false" ht="30" hidden="false" customHeight="true" outlineLevel="0" collapsed="false">
      <c r="A5" s="3" t="s">
        <v>4987</v>
      </c>
      <c r="B5" s="3" t="s">
        <v>307</v>
      </c>
      <c r="C5" s="3" t="s">
        <v>4988</v>
      </c>
      <c r="D5" s="3" t="s">
        <v>4989</v>
      </c>
      <c r="E5" s="3" t="s">
        <v>4990</v>
      </c>
      <c r="F5" s="3" t="s">
        <v>308</v>
      </c>
      <c r="G5" s="3" t="s">
        <v>4745</v>
      </c>
    </row>
    <row r="6" customFormat="false" ht="37.5" hidden="false" customHeight="true" outlineLevel="0" collapsed="false">
      <c r="A6" s="4" t="n">
        <v>1</v>
      </c>
      <c r="B6" s="4" t="s">
        <v>4991</v>
      </c>
      <c r="C6" s="4" t="s">
        <v>4992</v>
      </c>
      <c r="D6" s="4" t="s">
        <v>179</v>
      </c>
      <c r="E6" s="4" t="s">
        <v>4752</v>
      </c>
      <c r="F6" s="4" t="s">
        <v>4993</v>
      </c>
      <c r="G6" s="4" t="s">
        <v>2165</v>
      </c>
    </row>
    <row r="7" customFormat="false" ht="37.5" hidden="false" customHeight="true" outlineLevel="0" collapsed="false">
      <c r="A7" s="5" t="n">
        <v>2</v>
      </c>
      <c r="B7" s="5" t="s">
        <v>4994</v>
      </c>
      <c r="C7" s="5" t="s">
        <v>4995</v>
      </c>
      <c r="D7" s="5" t="s">
        <v>182</v>
      </c>
      <c r="E7" s="5" t="s">
        <v>4752</v>
      </c>
      <c r="F7" s="5" t="s">
        <v>4996</v>
      </c>
      <c r="G7" s="5" t="s">
        <v>4991</v>
      </c>
    </row>
    <row r="8" customFormat="false" ht="37.5" hidden="false" customHeight="true" outlineLevel="0" collapsed="false">
      <c r="A8" s="4" t="n">
        <v>3</v>
      </c>
      <c r="B8" s="4" t="s">
        <v>4760</v>
      </c>
      <c r="C8" s="4" t="s">
        <v>4997</v>
      </c>
      <c r="D8" s="4" t="s">
        <v>184</v>
      </c>
      <c r="E8" s="4" t="s">
        <v>4763</v>
      </c>
      <c r="F8" s="4" t="s">
        <v>4998</v>
      </c>
      <c r="G8" s="4" t="s">
        <v>4994</v>
      </c>
    </row>
    <row r="9" customFormat="false" ht="37.5" hidden="false" customHeight="true" outlineLevel="0" collapsed="false">
      <c r="A9" s="5" t="n">
        <v>4</v>
      </c>
      <c r="B9" s="5" t="s">
        <v>4999</v>
      </c>
      <c r="C9" s="5" t="s">
        <v>5000</v>
      </c>
      <c r="D9" s="5" t="s">
        <v>186</v>
      </c>
      <c r="E9" s="5" t="s">
        <v>4752</v>
      </c>
      <c r="F9" s="5" t="s">
        <v>2496</v>
      </c>
      <c r="G9" s="5" t="s">
        <v>4760</v>
      </c>
    </row>
    <row r="10" customFormat="false" ht="37.5" hidden="false" customHeight="true" outlineLevel="0" collapsed="false">
      <c r="A10" s="4" t="n">
        <v>5</v>
      </c>
      <c r="B10" s="4" t="s">
        <v>5001</v>
      </c>
      <c r="C10" s="4" t="s">
        <v>5002</v>
      </c>
      <c r="D10" s="4" t="s">
        <v>188</v>
      </c>
      <c r="E10" s="4" t="s">
        <v>4763</v>
      </c>
      <c r="F10" s="4" t="s">
        <v>5003</v>
      </c>
      <c r="G10" s="4" t="s">
        <v>4999</v>
      </c>
    </row>
    <row r="11" customFormat="false" ht="37.5" hidden="false" customHeight="true" outlineLevel="0" collapsed="false">
      <c r="A11" s="5" t="n">
        <v>6</v>
      </c>
      <c r="B11" s="5" t="s">
        <v>5004</v>
      </c>
      <c r="C11" s="5" t="s">
        <v>5005</v>
      </c>
      <c r="D11" s="5" t="s">
        <v>190</v>
      </c>
      <c r="E11" s="5" t="s">
        <v>4763</v>
      </c>
      <c r="F11" s="5" t="s">
        <v>5006</v>
      </c>
      <c r="G11" s="5" t="s">
        <v>5001</v>
      </c>
    </row>
    <row r="12" customFormat="false" ht="37.5" hidden="false" customHeight="true" outlineLevel="0" collapsed="false">
      <c r="A12" s="4" t="n">
        <v>7</v>
      </c>
      <c r="B12" s="4" t="s">
        <v>4766</v>
      </c>
      <c r="C12" s="4" t="s">
        <v>5007</v>
      </c>
      <c r="D12" s="4" t="s">
        <v>192</v>
      </c>
      <c r="E12" s="4" t="s">
        <v>4752</v>
      </c>
      <c r="F12" s="4" t="s">
        <v>2447</v>
      </c>
      <c r="G12" s="4" t="s">
        <v>5004</v>
      </c>
    </row>
    <row r="13" customFormat="false" ht="37.5" hidden="false" customHeight="true" outlineLevel="0" collapsed="false">
      <c r="A13" s="5" t="n">
        <v>8</v>
      </c>
      <c r="B13" s="5" t="s">
        <v>4770</v>
      </c>
      <c r="C13" s="5" t="s">
        <v>5008</v>
      </c>
      <c r="D13" s="5" t="s">
        <v>194</v>
      </c>
      <c r="E13" s="5" t="s">
        <v>4752</v>
      </c>
      <c r="F13" s="5" t="s">
        <v>4773</v>
      </c>
      <c r="G13" s="5" t="s">
        <v>4766</v>
      </c>
    </row>
    <row r="14" customFormat="false" ht="37.5" hidden="false" customHeight="true" outlineLevel="0" collapsed="false">
      <c r="A14" s="4" t="n">
        <v>9</v>
      </c>
      <c r="B14" s="4" t="s">
        <v>4784</v>
      </c>
      <c r="C14" s="4" t="s">
        <v>5009</v>
      </c>
      <c r="D14" s="4" t="s">
        <v>196</v>
      </c>
      <c r="E14" s="4" t="s">
        <v>4763</v>
      </c>
      <c r="F14" s="4" t="s">
        <v>4784</v>
      </c>
      <c r="G14" s="4" t="s">
        <v>4770</v>
      </c>
    </row>
    <row r="15" customFormat="false" ht="37.5" hidden="false" customHeight="true" outlineLevel="0" collapsed="false">
      <c r="A15" s="5" t="n">
        <v>10</v>
      </c>
      <c r="B15" s="5" t="s">
        <v>4779</v>
      </c>
      <c r="C15" s="5" t="s">
        <v>5010</v>
      </c>
      <c r="D15" s="5" t="s">
        <v>198</v>
      </c>
      <c r="E15" s="5" t="s">
        <v>4782</v>
      </c>
      <c r="F15" s="5" t="s">
        <v>4783</v>
      </c>
      <c r="G15" s="5" t="s">
        <v>4784</v>
      </c>
    </row>
    <row r="16" customFormat="false" ht="37.5" hidden="false" customHeight="true" outlineLevel="0" collapsed="false">
      <c r="A16" s="4" t="n">
        <v>11</v>
      </c>
      <c r="B16" s="4" t="s">
        <v>4810</v>
      </c>
      <c r="C16" s="4" t="s">
        <v>5011</v>
      </c>
      <c r="D16" s="4" t="s">
        <v>200</v>
      </c>
      <c r="E16" s="4" t="s">
        <v>4752</v>
      </c>
      <c r="F16" s="4" t="s">
        <v>4813</v>
      </c>
      <c r="G16" s="4" t="s">
        <v>4779</v>
      </c>
    </row>
    <row r="17" customFormat="false" ht="37.5" hidden="false" customHeight="true" outlineLevel="0" collapsed="false">
      <c r="A17" s="5" t="n">
        <v>12</v>
      </c>
      <c r="B17" s="5" t="s">
        <v>4787</v>
      </c>
      <c r="C17" s="5" t="s">
        <v>5012</v>
      </c>
      <c r="D17" s="5" t="s">
        <v>202</v>
      </c>
      <c r="E17" s="5" t="s">
        <v>4752</v>
      </c>
      <c r="F17" s="5" t="s">
        <v>4790</v>
      </c>
      <c r="G17" s="5" t="s">
        <v>4810</v>
      </c>
    </row>
    <row r="18" customFormat="false" ht="37.5" hidden="false" customHeight="true" outlineLevel="0" collapsed="false">
      <c r="A18" s="4" t="n">
        <v>13</v>
      </c>
      <c r="B18" s="4" t="s">
        <v>4798</v>
      </c>
      <c r="C18" s="4" t="s">
        <v>5013</v>
      </c>
      <c r="D18" s="4" t="s">
        <v>204</v>
      </c>
      <c r="E18" s="4" t="s">
        <v>4752</v>
      </c>
      <c r="F18" s="4" t="s">
        <v>4801</v>
      </c>
      <c r="G18" s="4" t="s">
        <v>4787</v>
      </c>
    </row>
    <row r="19" customFormat="false" ht="37.5" hidden="false" customHeight="true" outlineLevel="0" collapsed="false">
      <c r="A19" s="5" t="n">
        <v>14</v>
      </c>
      <c r="B19" s="5" t="s">
        <v>4794</v>
      </c>
      <c r="C19" s="5" t="s">
        <v>5014</v>
      </c>
      <c r="D19" s="5" t="s">
        <v>206</v>
      </c>
      <c r="E19" s="5" t="s">
        <v>4752</v>
      </c>
      <c r="F19" s="5" t="s">
        <v>4797</v>
      </c>
      <c r="G19" s="5" t="s">
        <v>4798</v>
      </c>
    </row>
    <row r="20" customFormat="false" ht="37.5" hidden="false" customHeight="true" outlineLevel="0" collapsed="false">
      <c r="A20" s="4" t="n">
        <v>15</v>
      </c>
      <c r="B20" s="4" t="s">
        <v>4802</v>
      </c>
      <c r="C20" s="4" t="s">
        <v>5015</v>
      </c>
      <c r="D20" s="4" t="s">
        <v>208</v>
      </c>
      <c r="E20" s="4" t="s">
        <v>4752</v>
      </c>
      <c r="F20" s="4" t="s">
        <v>4805</v>
      </c>
      <c r="G20" s="4" t="s">
        <v>4794</v>
      </c>
    </row>
    <row r="21" customFormat="false" ht="37.5" hidden="false" customHeight="true" outlineLevel="0" collapsed="false">
      <c r="A21" s="5" t="n">
        <v>16</v>
      </c>
      <c r="B21" s="5" t="s">
        <v>4806</v>
      </c>
      <c r="C21" s="5" t="s">
        <v>5016</v>
      </c>
      <c r="D21" s="5" t="s">
        <v>210</v>
      </c>
      <c r="E21" s="5" t="s">
        <v>4752</v>
      </c>
      <c r="F21" s="5" t="s">
        <v>4809</v>
      </c>
      <c r="G21" s="5" t="s">
        <v>4802</v>
      </c>
    </row>
    <row r="22" customFormat="false" ht="37.5" hidden="false" customHeight="true" outlineLevel="0" collapsed="false">
      <c r="A22" s="4" t="n">
        <v>17</v>
      </c>
      <c r="B22" s="4" t="s">
        <v>5017</v>
      </c>
      <c r="C22" s="4" t="s">
        <v>5018</v>
      </c>
      <c r="D22" s="4" t="s">
        <v>212</v>
      </c>
      <c r="E22" s="4" t="s">
        <v>4763</v>
      </c>
      <c r="F22" s="4" t="s">
        <v>5019</v>
      </c>
      <c r="G22" s="4" t="s">
        <v>4806</v>
      </c>
    </row>
    <row r="23" customFormat="false" ht="37.5" hidden="false" customHeight="true" outlineLevel="0" collapsed="false">
      <c r="A23" s="5" t="n">
        <v>18</v>
      </c>
      <c r="B23" s="5" t="s">
        <v>4830</v>
      </c>
      <c r="C23" s="5" t="s">
        <v>5020</v>
      </c>
      <c r="D23" s="5" t="s">
        <v>214</v>
      </c>
      <c r="E23" s="5" t="s">
        <v>4752</v>
      </c>
      <c r="F23" s="5" t="s">
        <v>4833</v>
      </c>
      <c r="G23" s="5" t="s">
        <v>5017</v>
      </c>
    </row>
    <row r="24" customFormat="false" ht="37.5" hidden="false" customHeight="true" outlineLevel="0" collapsed="false">
      <c r="A24" s="4" t="n">
        <v>19</v>
      </c>
      <c r="B24" s="4" t="s">
        <v>4834</v>
      </c>
      <c r="C24" s="4" t="s">
        <v>5021</v>
      </c>
      <c r="D24" s="4" t="s">
        <v>216</v>
      </c>
      <c r="E24" s="4" t="s">
        <v>4752</v>
      </c>
      <c r="F24" s="4" t="s">
        <v>4837</v>
      </c>
      <c r="G24" s="4" t="s">
        <v>4830</v>
      </c>
    </row>
    <row r="25" customFormat="false" ht="37.5" hidden="false" customHeight="true" outlineLevel="0" collapsed="false">
      <c r="A25" s="5" t="n">
        <v>20</v>
      </c>
      <c r="B25" s="5" t="s">
        <v>4814</v>
      </c>
      <c r="C25" s="5" t="s">
        <v>5022</v>
      </c>
      <c r="D25" s="5" t="s">
        <v>218</v>
      </c>
      <c r="E25" s="5" t="s">
        <v>4752</v>
      </c>
      <c r="F25" s="5" t="s">
        <v>4817</v>
      </c>
      <c r="G25" s="5" t="s">
        <v>4834</v>
      </c>
    </row>
    <row r="26" customFormat="false" ht="37.5" hidden="false" customHeight="true" outlineLevel="0" collapsed="false">
      <c r="A26" s="4" t="n">
        <v>21</v>
      </c>
      <c r="B26" s="4" t="s">
        <v>4818</v>
      </c>
      <c r="C26" s="4" t="s">
        <v>5023</v>
      </c>
      <c r="D26" s="4" t="s">
        <v>220</v>
      </c>
      <c r="E26" s="4" t="s">
        <v>4752</v>
      </c>
      <c r="F26" s="4" t="s">
        <v>4821</v>
      </c>
      <c r="G26" s="4" t="s">
        <v>4814</v>
      </c>
    </row>
    <row r="27" customFormat="false" ht="37.5" hidden="false" customHeight="true" outlineLevel="0" collapsed="false">
      <c r="A27" s="5" t="n">
        <v>22</v>
      </c>
      <c r="B27" s="5" t="s">
        <v>4822</v>
      </c>
      <c r="C27" s="5" t="s">
        <v>5024</v>
      </c>
      <c r="D27" s="5" t="s">
        <v>222</v>
      </c>
      <c r="E27" s="5" t="s">
        <v>4763</v>
      </c>
      <c r="F27" s="5" t="s">
        <v>4825</v>
      </c>
      <c r="G27" s="5" t="s">
        <v>4818</v>
      </c>
    </row>
    <row r="28" customFormat="false" ht="37.5" hidden="false" customHeight="true" outlineLevel="0" collapsed="false">
      <c r="A28" s="4" t="n">
        <v>23</v>
      </c>
      <c r="B28" s="4" t="s">
        <v>4838</v>
      </c>
      <c r="C28" s="4" t="s">
        <v>5025</v>
      </c>
      <c r="D28" s="4" t="s">
        <v>224</v>
      </c>
      <c r="E28" s="4" t="s">
        <v>4763</v>
      </c>
      <c r="F28" s="4" t="s">
        <v>5026</v>
      </c>
      <c r="G28" s="4" t="s">
        <v>4822</v>
      </c>
    </row>
    <row r="29" customFormat="false" ht="37.5" hidden="false" customHeight="true" outlineLevel="0" collapsed="false">
      <c r="A29" s="5" t="n">
        <v>24</v>
      </c>
      <c r="B29" s="5" t="s">
        <v>4842</v>
      </c>
      <c r="C29" s="5" t="s">
        <v>5027</v>
      </c>
      <c r="D29" s="5" t="s">
        <v>226</v>
      </c>
      <c r="E29" s="5" t="s">
        <v>4763</v>
      </c>
      <c r="F29" s="5" t="s">
        <v>4845</v>
      </c>
      <c r="G29" s="5" t="s">
        <v>4838</v>
      </c>
    </row>
    <row r="30" customFormat="false" ht="37.5" hidden="false" customHeight="true" outlineLevel="0" collapsed="false">
      <c r="A30" s="4" t="n">
        <v>25</v>
      </c>
      <c r="B30" s="4" t="s">
        <v>4849</v>
      </c>
      <c r="C30" s="4" t="s">
        <v>5028</v>
      </c>
      <c r="D30" s="4" t="s">
        <v>228</v>
      </c>
      <c r="E30" s="4" t="s">
        <v>4752</v>
      </c>
      <c r="F30" s="4" t="s">
        <v>4852</v>
      </c>
      <c r="G30" s="4" t="s">
        <v>4842</v>
      </c>
    </row>
  </sheetData>
  <autoFilter ref="A5:G30"/>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3" min="2" style="0" width="28"/>
    <col collapsed="false" customWidth="true" hidden="false" outlineLevel="0" max="4" min="4" style="0" width="20"/>
  </cols>
  <sheetData>
    <row r="1" customFormat="false" ht="34.5" hidden="false" customHeight="true" outlineLevel="0" collapsed="false">
      <c r="A1" s="1" t="s">
        <v>5029</v>
      </c>
      <c r="B1" s="1"/>
      <c r="C1" s="1"/>
      <c r="D1" s="1"/>
    </row>
    <row r="2" customFormat="false" ht="67.5" hidden="false" customHeight="true" outlineLevel="0" collapsed="false">
      <c r="A2" s="2" t="s">
        <v>5030</v>
      </c>
      <c r="B2" s="2"/>
      <c r="C2" s="2"/>
      <c r="D2" s="2"/>
    </row>
    <row r="5" customFormat="false" ht="30" hidden="false" customHeight="true" outlineLevel="0" collapsed="false">
      <c r="A5" s="3" t="s">
        <v>5031</v>
      </c>
      <c r="B5" s="3" t="s">
        <v>350</v>
      </c>
      <c r="C5" s="3" t="s">
        <v>1548</v>
      </c>
      <c r="D5" s="3" t="s">
        <v>4855</v>
      </c>
    </row>
    <row r="6" customFormat="false" ht="37.5" hidden="false" customHeight="true" outlineLevel="0" collapsed="false">
      <c r="A6" s="4" t="s">
        <v>5032</v>
      </c>
      <c r="B6" s="4" t="n">
        <f aca="false">'Kalkulator v10'!C13</f>
        <v>20</v>
      </c>
      <c r="C6" s="4" t="n">
        <v>20</v>
      </c>
      <c r="D6" s="8" t="b">
        <f aca="false">B6=C6</f>
        <v>1</v>
      </c>
    </row>
    <row r="7" customFormat="false" ht="37.5" hidden="false" customHeight="true" outlineLevel="0" collapsed="false">
      <c r="A7" s="5" t="s">
        <v>5033</v>
      </c>
      <c r="B7" s="5" t="n">
        <f aca="false">'Kalkulator v10'!C16</f>
        <v>20</v>
      </c>
      <c r="C7" s="5" t="n">
        <v>20</v>
      </c>
      <c r="D7" s="81" t="b">
        <f aca="false">B7=C7</f>
        <v>1</v>
      </c>
    </row>
    <row r="8" customFormat="false" ht="37.5" hidden="false" customHeight="true" outlineLevel="0" collapsed="false">
      <c r="A8" s="4" t="s">
        <v>5034</v>
      </c>
      <c r="B8" s="4" t="n">
        <f aca="false">'Kalkulator v10'!C17</f>
        <v>120</v>
      </c>
      <c r="C8" s="4" t="n">
        <v>120</v>
      </c>
      <c r="D8" s="8" t="b">
        <f aca="false">B8=C8</f>
        <v>1</v>
      </c>
    </row>
    <row r="9" customFormat="false" ht="37.5" hidden="false" customHeight="true" outlineLevel="0" collapsed="false">
      <c r="A9" s="5" t="s">
        <v>5035</v>
      </c>
      <c r="B9" s="5" t="n">
        <f aca="false">'Kalkulator v10'!C18</f>
        <v>25</v>
      </c>
      <c r="C9" s="5" t="n">
        <v>25</v>
      </c>
      <c r="D9" s="81" t="b">
        <f aca="false">B9=C9</f>
        <v>1</v>
      </c>
    </row>
    <row r="10" customFormat="false" ht="37.5" hidden="false" customHeight="true" outlineLevel="0" collapsed="false">
      <c r="A10" s="4" t="s">
        <v>5036</v>
      </c>
      <c r="B10" s="4" t="n">
        <f aca="false">'Kalkulator v10'!C19</f>
        <v>25</v>
      </c>
      <c r="C10" s="4" t="n">
        <v>25</v>
      </c>
      <c r="D10" s="8" t="b">
        <f aca="false">B10=C10</f>
        <v>1</v>
      </c>
    </row>
    <row r="11" customFormat="false" ht="37.5" hidden="false" customHeight="true" outlineLevel="0" collapsed="false">
      <c r="A11" s="5" t="s">
        <v>5037</v>
      </c>
      <c r="B11" s="5" t="n">
        <f aca="false">'Kalkulator v10'!C20</f>
        <v>25</v>
      </c>
      <c r="C11" s="5" t="n">
        <v>25</v>
      </c>
      <c r="D11" s="81" t="b">
        <f aca="false">B11=C11</f>
        <v>1</v>
      </c>
    </row>
    <row r="12" customFormat="false" ht="37.5" hidden="false" customHeight="true" outlineLevel="0" collapsed="false">
      <c r="A12" s="4" t="s">
        <v>5038</v>
      </c>
      <c r="B12" s="4" t="n">
        <f aca="false">'Kalkulator v10'!C21</f>
        <v>50</v>
      </c>
      <c r="C12" s="4" t="n">
        <v>50</v>
      </c>
      <c r="D12" s="8" t="b">
        <f aca="false">B12=C12</f>
        <v>1</v>
      </c>
    </row>
    <row r="13" customFormat="false" ht="37.5" hidden="false" customHeight="true" outlineLevel="0" collapsed="false">
      <c r="A13" s="5" t="s">
        <v>5039</v>
      </c>
      <c r="B13" s="5" t="n">
        <f aca="false">'Kalkulator v10'!C22</f>
        <v>250</v>
      </c>
      <c r="C13" s="5" t="n">
        <v>250</v>
      </c>
      <c r="D13" s="81" t="b">
        <f aca="false">B13=C13</f>
        <v>1</v>
      </c>
    </row>
    <row r="14" customFormat="false" ht="37.5" hidden="false" customHeight="true" outlineLevel="0" collapsed="false">
      <c r="A14" s="4" t="s">
        <v>5040</v>
      </c>
      <c r="B14" s="4" t="n">
        <f aca="false">'Kalkulator v10'!C27</f>
        <v>15</v>
      </c>
      <c r="C14" s="4" t="n">
        <v>15</v>
      </c>
      <c r="D14" s="8" t="b">
        <f aca="false">B14=C14</f>
        <v>1</v>
      </c>
    </row>
    <row r="15" customFormat="false" ht="37.5" hidden="false" customHeight="true" outlineLevel="0" collapsed="false">
      <c r="A15" s="5" t="s">
        <v>5041</v>
      </c>
      <c r="B15" s="5" t="n">
        <f aca="false">'Kalkulator v10'!C30</f>
        <v>330</v>
      </c>
      <c r="C15" s="5" t="n">
        <v>330</v>
      </c>
      <c r="D15" s="81" t="b">
        <f aca="false">B15=C15</f>
        <v>1</v>
      </c>
    </row>
    <row r="16" customFormat="false" ht="37.5" hidden="false" customHeight="true" outlineLevel="0" collapsed="false">
      <c r="A16" s="4" t="s">
        <v>5042</v>
      </c>
      <c r="B16" s="4" t="n">
        <f aca="false">'Kalkulator v10'!C31</f>
        <v>200</v>
      </c>
      <c r="C16" s="4" t="n">
        <v>200</v>
      </c>
      <c r="D16" s="8" t="b">
        <f aca="false">B16=C16</f>
        <v>1</v>
      </c>
    </row>
    <row r="17" customFormat="false" ht="37.5" hidden="false" customHeight="true" outlineLevel="0" collapsed="false">
      <c r="A17" s="5" t="s">
        <v>5043</v>
      </c>
      <c r="B17" s="5" t="n">
        <f aca="false">'Kalkulator v10'!C32</f>
        <v>130</v>
      </c>
      <c r="C17" s="5" t="n">
        <v>130</v>
      </c>
      <c r="D17" s="81" t="b">
        <f aca="false">B17=C17</f>
        <v>1</v>
      </c>
    </row>
    <row r="18" customFormat="false" ht="37.5" hidden="false" customHeight="true" outlineLevel="0" collapsed="false">
      <c r="A18" s="4" t="s">
        <v>5044</v>
      </c>
      <c r="B18" s="4" t="n">
        <f aca="false">'Kalkulator v10'!C33</f>
        <v>17</v>
      </c>
      <c r="C18" s="4" t="n">
        <v>17</v>
      </c>
      <c r="D18" s="8" t="b">
        <f aca="false">B18=C18</f>
        <v>1</v>
      </c>
    </row>
    <row r="19" customFormat="false" ht="37.5" hidden="false" customHeight="true" outlineLevel="0" collapsed="false">
      <c r="A19" s="5" t="s">
        <v>5045</v>
      </c>
      <c r="B19" s="5" t="n">
        <f aca="false">'Kalkulator v10'!C34</f>
        <v>0</v>
      </c>
      <c r="C19" s="5" t="n">
        <v>0</v>
      </c>
      <c r="D19" s="81" t="b">
        <f aca="false">B19=C19</f>
        <v>1</v>
      </c>
    </row>
    <row r="20" customFormat="false" ht="37.5" hidden="false" customHeight="true" outlineLevel="0" collapsed="false">
      <c r="A20" s="4" t="s">
        <v>5046</v>
      </c>
      <c r="B20" s="4" t="n">
        <f aca="false">'Kalkulator v10'!C35</f>
        <v>330</v>
      </c>
      <c r="C20" s="4" t="n">
        <v>330</v>
      </c>
      <c r="D20" s="8" t="b">
        <f aca="false">B20=C20</f>
        <v>1</v>
      </c>
    </row>
    <row r="21" customFormat="false" ht="37.5" hidden="false" customHeight="true" outlineLevel="0" collapsed="false">
      <c r="A21" s="5" t="s">
        <v>5047</v>
      </c>
      <c r="B21" s="5" t="n">
        <f aca="false">'Kalkulator v10'!C36</f>
        <v>42</v>
      </c>
      <c r="C21" s="5" t="n">
        <v>42</v>
      </c>
      <c r="D21" s="81" t="b">
        <f aca="false">B21=C21</f>
        <v>1</v>
      </c>
    </row>
    <row r="22" customFormat="false" ht="37.5" hidden="false" customHeight="true" outlineLevel="0" collapsed="false">
      <c r="A22" s="4" t="s">
        <v>5048</v>
      </c>
      <c r="B22" s="4" t="n">
        <f aca="false">'Kalkulator v10'!C37</f>
        <v>59</v>
      </c>
      <c r="C22" s="4" t="n">
        <v>59</v>
      </c>
      <c r="D22" s="8" t="b">
        <f aca="false">B22=C22</f>
        <v>1</v>
      </c>
    </row>
    <row r="23" customFormat="false" ht="37.5" hidden="false" customHeight="true" outlineLevel="0" collapsed="false">
      <c r="A23" s="5" t="s">
        <v>5049</v>
      </c>
      <c r="B23" s="5" t="n">
        <f aca="false">'Kalkulator v10'!C45</f>
        <v>12</v>
      </c>
      <c r="C23" s="5" t="n">
        <v>12</v>
      </c>
      <c r="D23" s="81" t="b">
        <f aca="false">B23=C23</f>
        <v>1</v>
      </c>
    </row>
    <row r="24" customFormat="false" ht="37.5" hidden="false" customHeight="true" outlineLevel="0" collapsed="false">
      <c r="A24" s="4" t="s">
        <v>5050</v>
      </c>
      <c r="B24" s="7" t="n">
        <f aca="false">'Kalkulator v10'!C46</f>
        <v>0.75</v>
      </c>
      <c r="C24" s="4" t="n">
        <v>0.75</v>
      </c>
      <c r="D24" s="8" t="b">
        <f aca="false">B24=C24</f>
        <v>1</v>
      </c>
    </row>
    <row r="25" customFormat="false" ht="37.5" hidden="false" customHeight="true" outlineLevel="0" collapsed="false">
      <c r="A25" s="5" t="s">
        <v>5051</v>
      </c>
      <c r="B25" s="5" t="n">
        <f aca="false">'Kalkulator v10'!C47</f>
        <v>37.5</v>
      </c>
      <c r="C25" s="5" t="n">
        <v>37.5</v>
      </c>
      <c r="D25" s="81" t="b">
        <f aca="false">B25=C25</f>
        <v>1</v>
      </c>
    </row>
    <row r="26" customFormat="false" ht="37.5" hidden="false" customHeight="true" outlineLevel="0" collapsed="false">
      <c r="A26" s="4" t="s">
        <v>5052</v>
      </c>
      <c r="B26" s="4" t="n">
        <f aca="false">'Kalkulator v10'!C48</f>
        <v>450</v>
      </c>
      <c r="C26" s="4" t="n">
        <v>450</v>
      </c>
      <c r="D26" s="8" t="b">
        <f aca="false">B26=C26</f>
        <v>1</v>
      </c>
    </row>
    <row r="27" customFormat="false" ht="37.5" hidden="false" customHeight="true" outlineLevel="0" collapsed="false">
      <c r="A27" s="5" t="s">
        <v>5053</v>
      </c>
      <c r="B27" s="81" t="b">
        <f aca="false">'Kalkulator v10'!C50</f>
        <v>1</v>
      </c>
      <c r="C27" s="81" t="b">
        <f aca="false">TRUE()</f>
        <v>1</v>
      </c>
      <c r="D27" s="81" t="b">
        <f aca="false">B27=C27</f>
        <v>1</v>
      </c>
    </row>
    <row r="28" customFormat="false" ht="37.5" hidden="false" customHeight="true" outlineLevel="0" collapsed="false">
      <c r="A28" s="4" t="s">
        <v>5054</v>
      </c>
      <c r="B28" s="4" t="n">
        <f aca="false">'Kalkulator v10'!C56</f>
        <v>120</v>
      </c>
      <c r="C28" s="4" t="n">
        <v>120</v>
      </c>
      <c r="D28" s="8" t="b">
        <f aca="false">B28=C28</f>
        <v>1</v>
      </c>
    </row>
    <row r="29" customFormat="false" ht="37.5" hidden="false" customHeight="true" outlineLevel="0" collapsed="false">
      <c r="A29" s="5" t="s">
        <v>5055</v>
      </c>
      <c r="B29" s="5" t="n">
        <f aca="false">'Kalkulator v10'!C57</f>
        <v>48</v>
      </c>
      <c r="C29" s="5" t="n">
        <v>48</v>
      </c>
      <c r="D29" s="81" t="b">
        <f aca="false">B29=C29</f>
        <v>1</v>
      </c>
    </row>
    <row r="30" customFormat="false" ht="37.5" hidden="false" customHeight="true" outlineLevel="0" collapsed="false">
      <c r="A30" s="4" t="s">
        <v>5056</v>
      </c>
      <c r="B30" s="4" t="n">
        <f aca="false">'Kalkulator v10'!C58</f>
        <v>218</v>
      </c>
      <c r="C30" s="4" t="n">
        <v>218</v>
      </c>
      <c r="D30" s="8" t="b">
        <f aca="false">B30=C30</f>
        <v>1</v>
      </c>
    </row>
    <row r="31" customFormat="false" ht="37.5" hidden="false" customHeight="true" outlineLevel="0" collapsed="false">
      <c r="A31" s="5" t="s">
        <v>5057</v>
      </c>
      <c r="B31" s="12" t="n">
        <f aca="false">'Kalkulator v10'!C60</f>
        <v>150</v>
      </c>
      <c r="C31" s="5" t="n">
        <v>150</v>
      </c>
      <c r="D31" s="81" t="b">
        <f aca="false">B31=C31</f>
        <v>1</v>
      </c>
    </row>
    <row r="32" customFormat="false" ht="37.5" hidden="false" customHeight="true" outlineLevel="0" collapsed="false">
      <c r="A32" s="4" t="s">
        <v>5058</v>
      </c>
      <c r="B32" s="4" t="n">
        <f aca="false">'Kalkulator v10'!C61</f>
        <v>2</v>
      </c>
      <c r="C32" s="4" t="n">
        <v>2</v>
      </c>
      <c r="D32" s="8" t="b">
        <f aca="false">B32=C32</f>
        <v>1</v>
      </c>
    </row>
    <row r="33" customFormat="false" ht="37.5" hidden="false" customHeight="true" outlineLevel="0" collapsed="false">
      <c r="A33" s="5" t="s">
        <v>5059</v>
      </c>
      <c r="B33" s="5" t="n">
        <f aca="false">'Kalkulator v10'!C62</f>
        <v>3</v>
      </c>
      <c r="C33" s="5" t="n">
        <v>3</v>
      </c>
      <c r="D33" s="81" t="b">
        <f aca="false">B33=C33</f>
        <v>1</v>
      </c>
    </row>
    <row r="34" customFormat="false" ht="37.5" hidden="false" customHeight="true" outlineLevel="0" collapsed="false">
      <c r="A34" s="4" t="s">
        <v>5060</v>
      </c>
      <c r="B34" s="4" t="n">
        <f aca="false">'Kalkulator v10'!C65</f>
        <v>25</v>
      </c>
      <c r="C34" s="4" t="n">
        <v>25</v>
      </c>
      <c r="D34" s="8" t="b">
        <f aca="false">B34=C34</f>
        <v>1</v>
      </c>
    </row>
    <row r="35" customFormat="false" ht="37.5" hidden="false" customHeight="true" outlineLevel="0" collapsed="false">
      <c r="A35" s="5" t="s">
        <v>5061</v>
      </c>
      <c r="B35" s="5" t="n">
        <f aca="false">'Kalkulator v10'!C68</f>
        <v>1000</v>
      </c>
      <c r="C35" s="5" t="n">
        <v>1000</v>
      </c>
      <c r="D35" s="81" t="b">
        <f aca="false">B35=C35</f>
        <v>1</v>
      </c>
    </row>
    <row r="36" customFormat="false" ht="37.5" hidden="false" customHeight="true" outlineLevel="0" collapsed="false">
      <c r="A36" s="4" t="s">
        <v>5062</v>
      </c>
      <c r="B36" s="4" t="n">
        <f aca="false">'Kalkulator v10'!C69</f>
        <v>12500</v>
      </c>
      <c r="C36" s="4" t="n">
        <v>12500</v>
      </c>
      <c r="D36" s="8" t="b">
        <f aca="false">B36=C36</f>
        <v>1</v>
      </c>
    </row>
    <row r="37" customFormat="false" ht="37.5" hidden="false" customHeight="true" outlineLevel="0" collapsed="false">
      <c r="A37" s="5" t="s">
        <v>5063</v>
      </c>
      <c r="B37" s="5" t="n">
        <f aca="false">'Kalkulator v10'!C70</f>
        <v>37500</v>
      </c>
      <c r="C37" s="5" t="n">
        <v>37500</v>
      </c>
      <c r="D37" s="81" t="b">
        <f aca="false">B37=C37</f>
        <v>1</v>
      </c>
    </row>
    <row r="38" customFormat="false" ht="37.5" hidden="false" customHeight="true" outlineLevel="0" collapsed="false">
      <c r="A38" s="4" t="s">
        <v>5064</v>
      </c>
      <c r="B38" s="4" t="n">
        <f aca="false">'Kalkulator v10'!C71</f>
        <v>25000</v>
      </c>
      <c r="C38" s="4" t="n">
        <v>25000</v>
      </c>
      <c r="D38" s="8" t="b">
        <f aca="false">B38=C38</f>
        <v>1</v>
      </c>
    </row>
    <row r="39" customFormat="false" ht="37.5" hidden="false" customHeight="true" outlineLevel="0" collapsed="false">
      <c r="A39" s="5" t="s">
        <v>5065</v>
      </c>
      <c r="B39" s="5" t="n">
        <f aca="false">'Kalkulator v10'!C72</f>
        <v>50000</v>
      </c>
      <c r="C39" s="5" t="n">
        <v>50000</v>
      </c>
      <c r="D39" s="81" t="b">
        <f aca="false">B39=C39</f>
        <v>1</v>
      </c>
    </row>
    <row r="40" customFormat="false" ht="37.5" hidden="false" customHeight="true" outlineLevel="0" collapsed="false">
      <c r="A40" s="4" t="s">
        <v>5066</v>
      </c>
      <c r="B40" s="4" t="n">
        <f aca="false">'Kalkulator v10'!C76</f>
        <v>10000</v>
      </c>
      <c r="C40" s="4" t="n">
        <v>10000</v>
      </c>
      <c r="D40" s="8" t="b">
        <f aca="false">B40=C40</f>
        <v>1</v>
      </c>
    </row>
    <row r="41" customFormat="false" ht="37.5" hidden="false" customHeight="true" outlineLevel="0" collapsed="false">
      <c r="A41" s="5" t="s">
        <v>5067</v>
      </c>
      <c r="B41" s="5" t="n">
        <f aca="false">'Kalkulator v10'!C77</f>
        <v>50000</v>
      </c>
      <c r="C41" s="5" t="n">
        <v>50000</v>
      </c>
      <c r="D41" s="81" t="b">
        <f aca="false">B41=C41</f>
        <v>1</v>
      </c>
    </row>
    <row r="42" customFormat="false" ht="37.5" hidden="false" customHeight="true" outlineLevel="0" collapsed="false">
      <c r="A42" s="4" t="s">
        <v>5068</v>
      </c>
      <c r="B42" s="4" t="n">
        <f aca="false">'Kalkulator v10'!C79</f>
        <v>1000</v>
      </c>
      <c r="C42" s="4" t="n">
        <v>1000</v>
      </c>
      <c r="D42" s="8" t="b">
        <f aca="false">B42=C42</f>
        <v>1</v>
      </c>
    </row>
    <row r="43" customFormat="false" ht="37.5" hidden="false" customHeight="true" outlineLevel="0" collapsed="false">
      <c r="A43" s="5" t="s">
        <v>5069</v>
      </c>
      <c r="B43" s="5" t="n">
        <f aca="false">'Kalkulator v10'!C81</f>
        <v>2000</v>
      </c>
      <c r="C43" s="5" t="n">
        <v>2000</v>
      </c>
      <c r="D43" s="81" t="b">
        <f aca="false">B43=C43</f>
        <v>1</v>
      </c>
    </row>
    <row r="44" customFormat="false" ht="37.5" hidden="false" customHeight="true" outlineLevel="0" collapsed="false">
      <c r="A44" s="4" t="s">
        <v>5070</v>
      </c>
      <c r="B44" s="4" t="n">
        <f aca="false">'Kalkulator v10'!C83</f>
        <v>1000</v>
      </c>
      <c r="C44" s="4" t="n">
        <v>1000</v>
      </c>
      <c r="D44" s="8" t="b">
        <f aca="false">B44=C44</f>
        <v>1</v>
      </c>
    </row>
    <row r="45" customFormat="false" ht="37.5" hidden="false" customHeight="true" outlineLevel="0" collapsed="false">
      <c r="A45" s="5" t="s">
        <v>5071</v>
      </c>
      <c r="B45" s="5" t="n">
        <f aca="false">'Kalkulator v10'!C84</f>
        <v>4000</v>
      </c>
      <c r="C45" s="5" t="n">
        <v>4000</v>
      </c>
      <c r="D45" s="81" t="b">
        <f aca="false">B45=C45</f>
        <v>1</v>
      </c>
    </row>
    <row r="46" customFormat="false" ht="37.5" hidden="false" customHeight="true" outlineLevel="0" collapsed="false">
      <c r="A46" s="4" t="s">
        <v>5072</v>
      </c>
      <c r="B46" s="4" t="n">
        <f aca="false">'Kalkulator v10'!C85</f>
        <v>50</v>
      </c>
      <c r="C46" s="4" t="n">
        <v>50</v>
      </c>
      <c r="D46" s="8" t="b">
        <f aca="false">B46=C46</f>
        <v>1</v>
      </c>
    </row>
    <row r="47" customFormat="false" ht="37.5" hidden="false" customHeight="true" outlineLevel="0" collapsed="false">
      <c r="A47" s="5" t="s">
        <v>5073</v>
      </c>
      <c r="B47" s="5" t="n">
        <f aca="false">'Kalkulator v10'!C86</f>
        <v>3950</v>
      </c>
      <c r="C47" s="5" t="n">
        <v>3950</v>
      </c>
      <c r="D47" s="81" t="b">
        <f aca="false">B47=C47</f>
        <v>1</v>
      </c>
    </row>
    <row r="48" customFormat="false" ht="37.5" hidden="false" customHeight="true" outlineLevel="0" collapsed="false">
      <c r="A48" s="4" t="s">
        <v>5074</v>
      </c>
      <c r="B48" s="4" t="n">
        <f aca="false">'Kalkulator v10'!C90</f>
        <v>24</v>
      </c>
      <c r="C48" s="4" t="n">
        <v>24</v>
      </c>
      <c r="D48" s="8" t="b">
        <f aca="false">B48=C48</f>
        <v>1</v>
      </c>
    </row>
    <row r="49" customFormat="false" ht="37.5" hidden="false" customHeight="true" outlineLevel="0" collapsed="false">
      <c r="A49" s="5" t="s">
        <v>5075</v>
      </c>
      <c r="B49" s="5" t="n">
        <f aca="false">'Kalkulator v10'!C91</f>
        <v>8</v>
      </c>
      <c r="C49" s="5" t="n">
        <v>8</v>
      </c>
      <c r="D49" s="81" t="b">
        <f aca="false">B49=C49</f>
        <v>1</v>
      </c>
    </row>
    <row r="50" customFormat="false" ht="37.5" hidden="false" customHeight="true" outlineLevel="0" collapsed="false">
      <c r="A50" s="4" t="s">
        <v>5076</v>
      </c>
      <c r="B50" s="4" t="n">
        <f aca="false">'Kalkulator v10'!C92</f>
        <v>240</v>
      </c>
      <c r="C50" s="4" t="n">
        <v>240</v>
      </c>
      <c r="D50" s="8" t="b">
        <f aca="false">B50=C50</f>
        <v>1</v>
      </c>
    </row>
    <row r="51" customFormat="false" ht="37.5" hidden="false" customHeight="true" outlineLevel="0" collapsed="false">
      <c r="A51" s="5" t="s">
        <v>5077</v>
      </c>
      <c r="B51" s="5" t="n">
        <f aca="false">'Kalkulator v10'!C93</f>
        <v>160</v>
      </c>
      <c r="C51" s="5" t="n">
        <v>160</v>
      </c>
      <c r="D51" s="81" t="b">
        <f aca="false">B51=C51</f>
        <v>1</v>
      </c>
    </row>
    <row r="52" customFormat="false" ht="37.5" hidden="false" customHeight="true" outlineLevel="0" collapsed="false">
      <c r="A52" s="4" t="s">
        <v>5078</v>
      </c>
      <c r="B52" s="4" t="n">
        <f aca="false">'Kalkulator v10'!C94</f>
        <v>20</v>
      </c>
      <c r="C52" s="4" t="n">
        <v>20</v>
      </c>
      <c r="D52" s="8" t="b">
        <f aca="false">B52=C52</f>
        <v>1</v>
      </c>
    </row>
    <row r="53" customFormat="false" ht="37.5" hidden="false" customHeight="true" outlineLevel="0" collapsed="false">
      <c r="A53" s="5" t="s">
        <v>5079</v>
      </c>
      <c r="B53" s="5" t="n">
        <f aca="false">'Kalkulator v10'!C95</f>
        <v>0</v>
      </c>
      <c r="C53" s="5" t="n">
        <v>0</v>
      </c>
      <c r="D53" s="81" t="b">
        <f aca="false">B53=C53</f>
        <v>1</v>
      </c>
    </row>
    <row r="54" customFormat="false" ht="37.5" hidden="false" customHeight="true" outlineLevel="0" collapsed="false">
      <c r="A54" s="4" t="s">
        <v>5080</v>
      </c>
      <c r="B54" s="4" t="n">
        <f aca="false">'Kalkulator v10'!C96</f>
        <v>8</v>
      </c>
      <c r="C54" s="4" t="n">
        <v>8</v>
      </c>
      <c r="D54" s="8" t="b">
        <f aca="false">B54=C54</f>
        <v>1</v>
      </c>
    </row>
    <row r="55" customFormat="false" ht="37.5" hidden="false" customHeight="true" outlineLevel="0" collapsed="false">
      <c r="A55" s="5" t="s">
        <v>5081</v>
      </c>
      <c r="B55" s="5" t="n">
        <f aca="false">IF(120&lt;180,MAX(0,50-ROUNDDOWN(MAX(0,120-120)/15,0)),0)</f>
        <v>50</v>
      </c>
      <c r="C55" s="5" t="n">
        <v>50</v>
      </c>
      <c r="D55" s="81" t="b">
        <f aca="false">B55=C55</f>
        <v>1</v>
      </c>
    </row>
    <row r="56" customFormat="false" ht="37.5" hidden="false" customHeight="true" outlineLevel="0" collapsed="false">
      <c r="A56" s="4" t="s">
        <v>5082</v>
      </c>
      <c r="B56" s="4" t="n">
        <f aca="false">IF(135&lt;180,MAX(0,50-ROUNDDOWN(MAX(0,135-120)/15,0)),0)</f>
        <v>49</v>
      </c>
      <c r="C56" s="4" t="n">
        <v>49</v>
      </c>
      <c r="D56" s="8" t="b">
        <f aca="false">B56=C56</f>
        <v>1</v>
      </c>
    </row>
    <row r="57" customFormat="false" ht="37.5" hidden="false" customHeight="true" outlineLevel="0" collapsed="false">
      <c r="A57" s="5" t="s">
        <v>5083</v>
      </c>
      <c r="B57" s="5" t="n">
        <f aca="false">IF(150&lt;180,MAX(0,50-ROUNDDOWN(MAX(0,150-120)/15,0)),0)</f>
        <v>48</v>
      </c>
      <c r="C57" s="5" t="n">
        <v>48</v>
      </c>
      <c r="D57" s="81" t="b">
        <f aca="false">B57=C57</f>
        <v>1</v>
      </c>
    </row>
    <row r="58" customFormat="false" ht="37.5" hidden="false" customHeight="true" outlineLevel="0" collapsed="false">
      <c r="A58" s="4" t="s">
        <v>5084</v>
      </c>
      <c r="B58" s="4" t="n">
        <f aca="false">IF(165&lt;180,MAX(0,50-ROUNDDOWN(MAX(0,165-120)/15,0)),0)</f>
        <v>47</v>
      </c>
      <c r="C58" s="4" t="n">
        <v>47</v>
      </c>
      <c r="D58" s="8" t="b">
        <f aca="false">B58=C58</f>
        <v>1</v>
      </c>
    </row>
    <row r="59" customFormat="false" ht="37.5" hidden="false" customHeight="true" outlineLevel="0" collapsed="false">
      <c r="A59" s="5" t="s">
        <v>5085</v>
      </c>
      <c r="B59" s="5" t="n">
        <f aca="false">IF(180&lt;180,MAX(0,50-ROUNDDOWN(MAX(0,180-120)/15,0)),0)</f>
        <v>0</v>
      </c>
      <c r="C59" s="5" t="n">
        <v>0</v>
      </c>
      <c r="D59" s="81" t="b">
        <f aca="false">B59=C59</f>
        <v>1</v>
      </c>
    </row>
    <row r="60" customFormat="false" ht="37.5" hidden="false" customHeight="true" outlineLevel="0" collapsed="false">
      <c r="A60" s="4" t="s">
        <v>5086</v>
      </c>
      <c r="B60" s="4" t="n">
        <f aca="false">IF(160&lt;240,MAX(0,50-ROUNDDOWN(MAX(0,160-160)/20,0)),0)</f>
        <v>50</v>
      </c>
      <c r="C60" s="4" t="n">
        <v>50</v>
      </c>
      <c r="D60" s="8" t="b">
        <f aca="false">B60=C60</f>
        <v>1</v>
      </c>
    </row>
    <row r="61" customFormat="false" ht="37.5" hidden="false" customHeight="true" outlineLevel="0" collapsed="false">
      <c r="A61" s="5" t="s">
        <v>5087</v>
      </c>
      <c r="B61" s="5" t="n">
        <f aca="false">IF(180&lt;240,MAX(0,50-ROUNDDOWN(MAX(0,180-160)/20,0)),0)</f>
        <v>49</v>
      </c>
      <c r="C61" s="5" t="n">
        <v>49</v>
      </c>
      <c r="D61" s="81" t="b">
        <f aca="false">B61=C61</f>
        <v>1</v>
      </c>
    </row>
    <row r="62" customFormat="false" ht="37.5" hidden="false" customHeight="true" outlineLevel="0" collapsed="false">
      <c r="A62" s="4" t="s">
        <v>5088</v>
      </c>
      <c r="B62" s="4" t="n">
        <f aca="false">IF(220&lt;240,MAX(0,50-ROUNDDOWN(MAX(0,220-160)/20,0)),0)</f>
        <v>47</v>
      </c>
      <c r="C62" s="4" t="n">
        <v>47</v>
      </c>
      <c r="D62" s="8" t="b">
        <f aca="false">B62=C62</f>
        <v>1</v>
      </c>
    </row>
    <row r="63" customFormat="false" ht="37.5" hidden="false" customHeight="true" outlineLevel="0" collapsed="false">
      <c r="A63" s="5" t="s">
        <v>5089</v>
      </c>
      <c r="B63" s="5" t="n">
        <f aca="false">IF(240&lt;240,MAX(0,50-ROUNDDOWN(MAX(0,240-160)/20,0)),0)</f>
        <v>0</v>
      </c>
      <c r="C63" s="5" t="n">
        <v>0</v>
      </c>
      <c r="D63" s="81" t="b">
        <f aca="false">B63=C63</f>
        <v>1</v>
      </c>
    </row>
    <row r="64" customFormat="false" ht="37.5" hidden="false" customHeight="true" outlineLevel="0" collapsed="false">
      <c r="A64" s="4" t="s">
        <v>5090</v>
      </c>
      <c r="B64" s="4" t="n">
        <f aca="false">MAX(60,180/(1+0.1*(100-1)))</f>
        <v>60</v>
      </c>
      <c r="C64" s="4" t="n">
        <v>60</v>
      </c>
      <c r="D64" s="8" t="b">
        <f aca="false">B64=C64</f>
        <v>1</v>
      </c>
    </row>
    <row r="65" customFormat="false" ht="37.5" hidden="false" customHeight="true" outlineLevel="0" collapsed="false">
      <c r="A65" s="5" t="s">
        <v>5091</v>
      </c>
      <c r="B65" s="5" t="n">
        <f aca="false">MIN(900,240+30*(100-1))</f>
        <v>900</v>
      </c>
      <c r="C65" s="5" t="n">
        <v>900</v>
      </c>
      <c r="D65" s="81" t="b">
        <f aca="false">B65=C65</f>
        <v>1</v>
      </c>
    </row>
    <row r="66" customFormat="false" ht="37.5" hidden="false" customHeight="true" outlineLevel="0" collapsed="false">
      <c r="A66" s="4" t="s">
        <v>431</v>
      </c>
      <c r="B66" s="4" t="n">
        <f aca="false">COUNTA('Samouczek v10'!B6:B30)</f>
        <v>25</v>
      </c>
      <c r="C66" s="4" t="n">
        <v>25</v>
      </c>
      <c r="D66" s="8" t="b">
        <f aca="false">B66=C66</f>
        <v>1</v>
      </c>
    </row>
    <row r="67" customFormat="false" ht="37.5" hidden="false" customHeight="true" outlineLevel="0" collapsed="false">
      <c r="A67" s="5" t="s">
        <v>5092</v>
      </c>
      <c r="B67" s="5" t="n">
        <f aca="false">COUNTA('Budynki v10'!A6:A17)</f>
        <v>12</v>
      </c>
      <c r="C67" s="5" t="n">
        <v>12</v>
      </c>
      <c r="D67" s="81" t="b">
        <f aca="false">B67=C67</f>
        <v>1</v>
      </c>
    </row>
  </sheetData>
  <autoFilter ref="A5:D67"/>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0.xml><?xml version="1.0" encoding="utf-8"?>
<s:worksheet xmlns:s="http://schemas.openxmlformats.org/spreadsheetml/2006/main">
  <s:sheetPr/>
  <s:dimension ref="A1:C96"/>
  <s:sheetViews>
    <s:sheetView workbookViewId="0" tabSelected="1">
      <s:pane ySplit="5" xSplit="0" topLeftCell="A6" activePane="bottomLeft" state="frozen"/>
    </s:sheetView>
  </s:sheetViews>
  <s:sheetFormatPr defaultRowHeight="22"/>
  <s:cols>
    <s:col min="1" max="1" width="32" customWidth="1"/>
    <s:col min="2" max="2" width="126" customWidth="1"/>
    <s:col min="3" max="3" width="54" customWidth="1"/>
  </s:cols>
  <s:sheetData>
    <s:row r="1" ht="34" customHeight="1">
      <s:c r="A1" s="1" t="inlineStr">
        <s:is>
          <s:t xml:space="preserve">HARBORLIGHT11 · aktualne zasady i 25 działań</s:t>
        </s:is>
      </s:c>
    </s:row>
    <s:row r="2" ht="76" customHeight="1">
      <s:c r="A2" s="2" t="inlineStr">
        <s:is>
          <s:t xml:space="preserve">Stan: zatwierdzone v18, opublikowane PRE-PROD 6ec3c6d / 41112673285 oraz osobno oznaczony nowy zakres DEV z 30.10.2026. Pięć widocznych zakładek v11 ma pierwszeństwo; 59 zakładek Excela 10 to niezmienione ukryte archiwum. Testy ręczne mają status Nie wykonano, a koszt GCP nie jest zgadywany.</s:t>
        </s:is>
      </s:c>
    </s:row>
    <s:row r="5" ht="34" customHeight="1">
      <s:c r="A5" s="3" t="inlineStr">
        <s:is>
          <s:t xml:space="preserve">Mechanika</s:t>
        </s:is>
      </s:c>
      <s:c r="B5" s="3" t="inlineStr">
        <s:is>
          <s:t xml:space="preserve">Bieżąca reguła</s:t>
        </s:is>
      </s:c>
      <s:c r="C5" s="3" t="inlineStr">
        <s:is>
          <s:t xml:space="preserve">Źródło / stan</s:t>
        </s:is>
      </s:c>
    </s:row>
    <s:row r="6" ht="80" customHeight="1">
      <s:c r="A6" s="4" t="inlineStr">
        <s:is>
          <s:t xml:space="preserve">Start</s:t>
        </s:is>
      </s:c>
      <s:c r="B6" s="4" t="inlineStr">
        <s:is>
          <s:t xml:space="preserve">Raz przy pierwszym wejściu do nowej wyspy: Ratusz 1, 12 osób w domu, brak przydziałów, po 100 monet i każdego z pięciu materiałów, bazowe H20%. Kolejne wejścia wznawiają zapis, nie przyznają startu ponownie.</s:t>
        </s:is>
      </s:c>
      <s:c r="C6" s="4" t="inlineStr">
        <s:is>
          <s:t xml:space="preserve">docs/ECONOMY-RULES.md · zatwierdzone v18</s:t>
        </s:is>
      </s:c>
    </s:row>
    <s:row r="7" ht="80" customHeight="1">
      <s:c r="A7" s="5" t="inlineStr">
        <s:is>
          <s:t xml:space="preserve">Ochrona powitalna</s:t>
        </s:is>
      </s:c>
      <s:c r="B7" s="5" t="inlineStr">
        <s:is>
          <s:t xml:space="preserve">Przez 72 h minimum 20% obejmuje wszystkich, również nowe osoby. Nie odkłada ukrytego długu kar; koniec nie odejmuje 20 pp.</s:t>
        </s:is>
      </s:c>
      <s:c r="C7" s="5" t="inlineStr">
        <s:is>
          <s:t xml:space="preserve">docs/ECONOMY-RULES.md · zatwierdzone v18</s:t>
        </s:is>
      </s:c>
    </s:row>
    <s:row r="8" ht="80" customHeight="1">
      <s:c r="A8" s="4" t="inlineStr">
        <s:is>
          <s:t xml:space="preserve">Pierwszeństwo H</s:t>
        </s:is>
      </s:c>
      <s:c r="B8" s="4" t="inlineStr">
        <s:is>
          <s:t xml:space="preserve">Wymuszone 100% &gt; minimum powitalne 20% &gt; zwykłe zasady, w tym początkowe 24 h nowej osoby na 0%. Osoba przybyła podczas Latarnianej premii korzysta tylko do wspólnego końca efektu.</s:t>
        </s:is>
      </s:c>
      <s:c r="C8" s="4" t="inlineStr">
        <s:is>
          <s:t xml:space="preserve">docs/ECONOMY-RULES.md · zatwierdzone v18</s:t>
        </s:is>
      </s:c>
    </s:row>
    <s:row r="9" ht="80" customHeight="1">
      <s:c r="A9" s="5" t="inlineStr">
        <s:is>
          <s:t xml:space="preserve">Poziom i mieszkanie</s:t>
        </s:is>
      </s:c>
      <s:c r="B9" s="5" t="inlineStr">
        <s:is>
          <s:t xml:space="preserve">Poziom Ratusza ogranicza rozbudowę innych budynków i daje 24 miejsca populacji/poziom; Dom osobno daje 24 łóżka/poziom. Brak łóżek daje −1 pp/h wszystkim za każdą osobę bez miejsca.</s:t>
        </s:is>
      </s:c>
      <s:c r="C9" s="5" t="inlineStr">
        <s:is>
          <s:t xml:space="preserve">docs/ECONOMY-RULES.md · zatwierdzone v18</s:t>
        </s:is>
      </s:c>
    </s:row>
    <s:row r="10" ht="80" customHeight="1">
      <s:c r="A10" s="4" t="inlineStr">
        <s:is>
          <s:t xml:space="preserve">Przydział</s:t>
        </s:is>
      </s:c>
      <s:c r="B10" s="4" t="inlineStr">
        <s:is>
          <s:t xml:space="preserve">Osiem miejsc pracy: limit 12 × własny poziom i wspólna pula wolnych w domu. Dojście 5 min; w drodze kara bezrobocia jest wstrzymana, licznik zeruje dopiero dotarcie. Podatek zaczyna się po dojściu.</s:t>
        </s:is>
      </s:c>
      <s:c r="C10" s="4" t="inlineStr">
        <s:is>
          <s:t xml:space="preserve">docs/ECONOMY-RULES.md · zatwierdzone v18</s:t>
        </s:is>
      </s:c>
    </s:row>
    <s:row r="11" ht="80" customHeight="1">
      <s:c r="A11" s="5" t="inlineStr">
        <s:is>
          <s:t xml:space="preserve">Odwołanie</s:t>
        </s:is>
      </s:c>
      <s:c r="B11" s="5" t="inlineStr">
        <s:is>
          <s:t xml:space="preserve">Osoba bez ładunku wraca 5 min; tragarz z ładunkiem kończy dostawę, nie bierze nowej i dopiero wraca. Wyraźny popup i licznik np.5(−2) pokazują oczekujące odejścia.</s:t>
        </s:is>
      </s:c>
      <s:c r="C11" s="5" t="inlineStr">
        <s:is>
          <s:t xml:space="preserve">docs/ECONOMY-RULES.md · zatwierdzone v18</s:t>
        </s:is>
      </s:c>
    </s:row>
    <s:row r="12" ht="80" customHeight="1">
      <s:c r="A12" s="4" t="inlineStr">
        <s:is>
          <s:t xml:space="preserve">Jedzenie</s:t>
        </s:is>
      </s:c>
      <s:c r="B12" s="4" t="inlineStr">
        <s:is>
          <s:t xml:space="preserve">Każdy mieszkaniec zużywa 1 żywność/h z dostępnej centrali. Brak jedzenia od razu daje wydajność ×0,5, po 12 h karę−5 pp/h. Posiłek zatrzymuje karę od razu, ale licznik głodu zeruje dopiero pełna godzina nieprzerwanego karmienia.</s:t>
        </s:is>
      </s:c>
      <s:c r="C12" s="4" t="inlineStr">
        <s:is>
          <s:t xml:space="preserve">docs/ECONOMY-RULES.md · zatwierdzone v18</s:t>
        </s:is>
      </s:c>
    </s:row>
    <s:row r="13" ht="80" customHeight="1">
      <s:c r="A13" s="5" t="inlineStr">
        <s:is>
          <s:t xml:space="preserve">Szczęście</s:t>
        </s:is>
      </s:c>
      <s:c r="B13" s="5" t="inlineStr">
        <s:is>
          <s:t xml:space="preserve">Indywidualne H jest ograniczone do−100…100%, wyspa pokazuje średnią. Jedzenie i rzeczywista praca dają osobno+1 pp/h, brak pracy po 12 h daje−5 pp/h. Wyświetlenie zaokrągla w górę; obliczenia zachowują ułamki.</s:t>
        </s:is>
      </s:c>
      <s:c r="C13" s="5" t="inlineStr">
        <s:is>
          <s:t xml:space="preserve">docs/ECONOMY-RULES.md · zatwierdzone v18</s:t>
        </s:is>
      </s:c>
    </s:row>
    <s:row r="14" ht="80" customHeight="1">
      <s:c r="A14" s="4" t="inlineStr">
        <s:is>
          <s:t xml:space="preserve">Przestój</s:t>
        </s:is>
      </s:c>
      <s:c r="B14" s="4" t="inlineStr">
        <s:is>
          <s:t xml:space="preserve">Brak wejścia lub miejsca zatrzymuje produkcję i premię pracy. Indywidualna kara−10 pp od początku, kolejne−10 co 24 h, maks.−50 z tego składnika; bez dodatkowej kary bezrobocia za ten sam przestój. Przyczyna i indywidualne zegary są jawne, smutna ikona dotyczy aktywnej kary.</s:t>
        </s:is>
      </s:c>
      <s:c r="C14" s="4" t="inlineStr">
        <s:is>
          <s:t xml:space="preserve">docs/ECONOMY-RULES.md · zatwierdzone v18</s:t>
        </s:is>
      </s:c>
    </s:row>
    <s:row r="15" ht="80" customHeight="1">
      <s:c r="A15" s="5" t="inlineStr">
        <s:is>
          <s:t xml:space="preserve">Demografia</s:t>
        </s:is>
      </s:c>
      <s:c r="B15" s="5" t="inlineStr">
        <s:is>
          <s:t xml:space="preserve">Dodatni przyrost jest ×2 wobec wcześniejszego wzoru; ujemne odejścia bez przyspieszenia. Minimum 6 osób, maksimum 24 × TH. Kolejność grup odejścia zachowana, potem najmniej szczęśliwy z losowaniem remisów; chronieni nie tworzą długu odejść.</s:t>
        </s:is>
      </s:c>
      <s:c r="C15" s="5" t="inlineStr">
        <s:is>
          <s:t xml:space="preserve">docs/ECONOMY-RULES.md · zatwierdzone v18</s:t>
        </s:is>
      </s:c>
    </s:row>
    <s:row r="16" ht="80" customHeight="1">
      <s:c r="A16" s="4" t="inlineStr">
        <s:is>
          <s:t xml:space="preserve">Czas</s:t>
        </s:is>
      </s:c>
      <s:c r="B16" s="4" t="inlineStr">
        <s:is>
          <s:t xml:space="preserve">Nowa wyspa pokazuje 1 stycznia i aktualną godzinę Warszawy. To fikcyjna data prezentacji; znaczniki kont, efekty i rozliczenia używają rzeczywistego czasu. Odnowienia dzienne o 00:00 Europe/Warsaw uwzględniają DST.</s:t>
        </s:is>
      </s:c>
      <s:c r="C16" s="4" t="inlineStr">
        <s:is>
          <s:t xml:space="preserve">docs/ECONOMY-RULES.md · zatwierdzone v18</s:t>
        </s:is>
      </s:c>
    </s:row>
    <s:row r="17" ht="80" customHeight="1">
      <s:c r="A17" s="5" t="inlineStr">
        <s:is>
          <s:t xml:space="preserve">Aktywność</s:t>
        </s:is>
      </s:c>
      <s:c r="B17" s="5" t="inlineStr">
        <s:is>
          <s:t xml:space="preserve">Rzeczywiste sterowanie w widocznej aktywnej karcie daje produkcję/podatki/prędkość transportu ×2 przez 5 min; potem ×1, po 48 h bez rzeczywistej gry ×0,5. Nieobecność rozliczana przedziałami; jedzenie, efekty i kalendarz nie zwalniają.</s:t>
        </s:is>
      </s:c>
      <s:c r="C17" s="5" t="inlineStr">
        <s:is>
          <s:t xml:space="preserve">docs/ECONOMY-RULES.md · zatwierdzone v18</s:t>
        </s:is>
      </s:c>
    </s:row>
    <s:row r="18" ht="80" customHeight="1">
      <s:c r="A18" s="4" t="inlineStr">
        <s:is>
          <s:t xml:space="preserve">Sesja</s:t>
        </s:is>
      </s:c>
      <s:c r="B18" s="4" t="inlineStr">
        <s:is>
          <s:t xml:space="preserve">Po30 min bez aktywności ostrzeżenie, po dalszych 30 s bez odpowiedzi wylogowanie. Animacja, autosave i odnowienie tokenu nie są aktywnością. Wylogowanie nie zatrzymuje świata.</s:t>
        </s:is>
      </s:c>
      <s:c r="C18" s="4" t="inlineStr">
        <s:is>
          <s:t xml:space="preserve">docs/ECONOMY-RULES.md · zatwierdzone v18</s:t>
        </s:is>
      </s:c>
    </s:row>
    <s:row r="19" ht="80" customHeight="1">
      <s:c r="A19" s="5" t="inlineStr">
        <s:is>
          <s:t xml:space="preserve">Produkcja</s:t>
        </s:is>
      </s:c>
      <s:c r="B19" s="5" t="inlineStr">
        <s:is>
          <s:t xml:space="preserve">Bazowa wydajność/osobę:20,24,26,28… szt./h; oddzielny postęp produktu każdej osoby. Głód, aktywność, Latarnia i odpowiedni efekt wydarzenia składają się z bazą. Zwolnienie usuwa niedokończoną sztukę.</s:t>
        </s:is>
      </s:c>
      <s:c r="C19" s="5" t="inlineStr">
        <s:is>
          <s:t xml:space="preserve">docs/ECONOMY-RULES.md · zatwierdzone v18</s:t>
        </s:is>
      </s:c>
    </s:row>
    <s:row r="20" ht="80" customHeight="1">
      <s:c r="A20" s="4" t="inlineStr">
        <s:is>
          <s:t xml:space="preserve">Przetwórstwo</s:t>
        </s:is>
      </s:c>
      <s:c r="B20" s="4" t="inlineStr">
        <s:is>
          <s:t xml:space="preserve">Młyn:2 zboża → 1 żywność; Tartak:2 drewna → 1 deska. Pobranie dostępnego wejścia przy ukończeniu produktu. Brak wejścia lub miejsca wstrzymuje postęp bez jego utraty.</s:t>
        </s:is>
      </s:c>
      <s:c r="C20" s="4" t="inlineStr">
        <s:is>
          <s:t xml:space="preserve">docs/ECONOMY-RULES.md · zatwierdzone v18</s:t>
        </s:is>
      </s:c>
    </s:row>
    <s:row r="21" ht="80" customHeight="1">
      <s:c r="A21" s="5" t="inlineStr">
        <s:is>
          <s:t xml:space="preserve">Lokalny skład</s:t>
        </s:is>
      </s:c>
      <s:c r="B21" s="5" t="inlineStr">
        <s:is>
          <s:t xml:space="preserve">Gotowe produkty czekają lokalnie do 200 × własny poziom producenta. Tragarze przewożą je do centrali; monety są osobno w skarbcu.</s:t>
        </s:is>
      </s:c>
      <s:c r="C21" s="5" t="inlineStr">
        <s:is>
          <s:t xml:space="preserve">docs/ECONOMY-RULES.md · zatwierdzone v18</s:t>
        </s:is>
      </s:c>
    </s:row>
    <s:row r="22" ht="80" customHeight="1">
      <s:c r="A22" s="4" t="inlineStr">
        <s:is>
          <s:t xml:space="preserve">Zapas bonusowy</s:t>
        </s:is>
      </s:c>
      <s:c r="B22" s="4" t="inlineStr">
        <s:is>
          <s:t xml:space="preserve">resources jest sumą zwykłego i bonusowego zapasu. Nagrody są od razu wydawalne, nie zajmują limitu zwykłych dostaw; wydajemy najpierw bonus. Rezerwacje i ochrona jedzenia nadal obowiązują.</s:t>
        </s:is>
      </s:c>
      <s:c r="C22" s="4" t="inlineStr">
        <s:is>
          <s:t xml:space="preserve">docs/ECONOMY-RULES.md · zatwierdzone v18</s:t>
        </s:is>
      </s:c>
    </s:row>
    <s:row r="23" ht="80" customHeight="1">
      <s:c r="A23" s="5" t="inlineStr">
        <s:is>
          <s:t xml:space="preserve">Pojemność centrali</s:t>
        </s:is>
      </s:c>
      <s:c r="B23" s="5" t="inlineStr">
        <s:is>
          <s:t xml:space="preserve">Magazyn 1:1000/rodzaj i4000 łącznie; wzrost ×1,5 do maks.10 mln/rodzaj i40 mln łącznie osiąganych naL24. Dalszy poziom Magazynu zwiększa tylko limit obsady, nie bazowy ładunek ani rezerwę żywności.</s:t>
        </s:is>
      </s:c>
      <s:c r="C23" s="5" t="inlineStr">
        <s:is>
          <s:t xml:space="preserve">docs/ECONOMY-RULES.md · zatwierdzone v18</s:t>
        </s:is>
      </s:c>
    </s:row>
    <s:row r="24" ht="80" customHeight="1">
      <s:c r="A24" s="4" t="inlineStr">
        <s:is>
          <s:t xml:space="preserve">Przykład bonusu</s:t>
        </s:is>
      </s:c>
      <s:c r="B24" s="4" t="inlineStr">
        <s:is>
          <s:t xml:space="preserve">Limit 300: zwykłe 200 + nagroda 200 = dostępne 400; producent może dowieźć jeszcze 100, razem 500. Nie wolno uznać nagrody za zajęcie zwykłego miejsca.</s:t>
        </s:is>
      </s:c>
      <s:c r="C24" s="4" t="inlineStr">
        <s:is>
          <s:t xml:space="preserve">docs/ECONOMY-RULES.md · zatwierdzone v18</s:t>
        </s:is>
      </s:c>
    </s:row>
    <s:row r="25" ht="80" customHeight="1">
      <s:c r="A25" s="5" t="inlineStr">
        <s:is>
          <s:t xml:space="preserve">Rezerwa jedzenia</s:t>
        </s:is>
      </s:c>
      <s:c r="B25" s="5" t="inlineStr">
        <s:is>
          <s:t xml:space="preserve">Dla Magazynu obowiązuje 50 × min(L,24). Zastawione materiały nadal zajmują fizyczny skład, dopóki tragarz ich nie odbierze, i nie są wydawane drugi raz.</s:t>
        </s:is>
      </s:c>
      <s:c r="C25" s="5" t="inlineStr">
        <s:is>
          <s:t xml:space="preserve">docs/ECONOMY-RULES.md · zatwierdzone v18</s:t>
        </s:is>
      </s:c>
    </s:row>
    <s:row r="26" ht="80" customHeight="1">
      <s:c r="A26" s="4" t="inlineStr">
        <s:is>
          <s:t xml:space="preserve">Kurs</s:t>
        </s:is>
      </s:c>
      <s:c r="B26" s="4" t="inlineStr">
        <s:is>
          <s:t xml:space="preserve">Bazowy pełny kurs 5 min, jeden rodzaj towaru, L1 do 120 sztuk. Drogi i wyżywienie wpływają na przewóz; aktywność zmienia prędkość, nie ładowność. Trwający kurs zachowuje postęp przy zmianie mnożnika.</s:t>
        </s:is>
      </s:c>
      <s:c r="C26" s="4" t="inlineStr">
        <s:is>
          <s:t xml:space="preserve">docs/ECONOMY-RULES.md · zatwierdzone v18</s:t>
        </s:is>
      </s:c>
    </s:row>
    <s:row r="27" ht="80" customHeight="1">
      <s:c r="A27" s="5" t="inlineStr">
        <s:is>
          <s:t xml:space="preserve">Priorytety</s:t>
        </s:is>
      </s:c>
      <s:c r="B27" s="5" t="inlineStr">
        <s:is>
          <s:t xml:space="preserve">Do trzech trwałych priorytetów materiałów/budowy:8+2 losowe,5+3+2 losowe albo 5/3/2; ochrona ratunkowej żywności. Budowy obsługiwane od najstarszej aktywnej.</s:t>
        </s:is>
      </s:c>
      <s:c r="C27" s="5" t="inlineStr">
        <s:is>
          <s:t xml:space="preserve">docs/ECONOMY-RULES.md · zatwierdzone v18</s:t>
        </s:is>
      </s:c>
    </s:row>
    <s:row r="28" ht="80" customHeight="1">
      <s:c r="A28" s="4" t="inlineStr">
        <s:is>
          <s:t xml:space="preserve">Rozbudowa</s:t>
        </s:is>
      </s:c>
      <s:c r="B28" s="4" t="inlineStr">
        <s:is>
          <s:t xml:space="preserve">RatuszL: L aktywnych i L miejsc kolejki. Następny poziom tego samego budynku zajmuje miejsce kolejki także przy wolnym slocie aktywnym. Kolejka kosztuje+10% każdego składnika.</s:t>
        </s:is>
      </s:c>
      <s:c r="C28" s="4" t="inlineStr">
        <s:is>
          <s:t xml:space="preserve">docs/ECONOMY-RULES.md · zatwierdzone v18</s:t>
        </s:is>
      </s:c>
    </s:row>
    <s:row r="29" ht="80" customHeight="1">
      <s:c r="A29" s="5" t="inlineStr">
        <s:is>
          <s:t xml:space="preserve">Rzeczywiste T</s:t>
        </s:is>
      </s:c>
      <s:c r="B29" s="5" t="inlineStr">
        <s:is>
          <s:t xml:space="preserve">T biegnie od pierwszego odbioru materiałów do ostatniej dostawy, również podczas przerw. Budowanie trwaT, Latarnia 4T, Kaplica 3T ×(N−1). Szybsze dostawy skracają również wynikową budowę.</s:t>
        </s:is>
      </s:c>
      <s:c r="C29" s="5" t="inlineStr">
        <s:is>
          <s:t xml:space="preserve">docs/ECONOMY-RULES.md · zatwierdzone v18</s:t>
        </s:is>
      </s:c>
    </s:row>
    <s:row r="30" ht="80" customHeight="1">
      <s:c r="A30" s="4" t="inlineStr">
        <s:is>
          <s:t xml:space="preserve">Pakiet budowlany</s:t>
        </s:is>
      </s:c>
      <s:c r="B30" s="4" t="inlineStr">
        <s:is>
          <s:t xml:space="preserve">1000 × TH monet/24 h, +4 aktywne budowy i dowolna kolejka; planowanie braków za 25% bazowej wartości portowej po dopłacie kolejki. Materiały przypisujemy FIFO, bez podwójnego zastawu.</s:t>
        </s:is>
      </s:c>
      <s:c r="C30" s="4" t="inlineStr">
        <s:is>
          <s:t xml:space="preserve">docs/ECONOMY-RULES.md · zatwierdzone v18</s:t>
        </s:is>
      </s:c>
    </s:row>
    <s:row r="31" ht="80" customHeight="1">
      <s:c r="A31" s="5" t="inlineStr">
        <s:is>
          <s:t xml:space="preserve">Anulowanie</s:t>
        </s:is>
      </s:c>
      <s:c r="B31" s="5" t="inlineStr">
        <s:is>
          <s:t xml:space="preserve">Przed pierwszym przewozem/budową, ze zwrotem rzeczywistych rezerwacji bez zwrotu opłaty prognozy. Późniejszy zależny poziom anulujemy przed wcześniejszym, bez ukrytej kaskady.</s:t>
        </s:is>
      </s:c>
      <s:c r="C31" s="5" t="inlineStr">
        <s:is>
          <s:t xml:space="preserve">docs/ECONOMY-RULES.md · zatwierdzone v18</s:t>
        </s:is>
      </s:c>
    </s:row>
    <s:row r="32" ht="80" customHeight="1">
      <s:c r="A32" s="4" t="inlineStr">
        <s:is>
          <s:t xml:space="preserve">Skrócenie budowy</s:t>
        </s:is>
      </s:c>
      <s:c r="B32" s="4" t="inlineStr">
        <s:is>
          <s:t xml:space="preserve">25/50/75/100% pozostałego czasu,1 moneta za pełną oszczędzoną minutę, min.5. Popup podaje faktycznie oszczędzony czas.</s:t>
        </s:is>
      </s:c>
      <s:c r="C32" s="4" t="inlineStr">
        <s:is>
          <s:t xml:space="preserve">docs/ECONOMY-RULES.md · zatwierdzone v18</s:t>
        </s:is>
      </s:c>
    </s:row>
    <s:row r="33" ht="80" customHeight="1">
      <s:c r="A33" s="5" t="inlineStr">
        <s:is>
          <s:t xml:space="preserve">Natychmiastowy przewóz</s:t>
        </s:is>
      </s:c>
      <s:c r="B33" s="5" t="inlineStr">
        <s:is>
          <s:t xml:space="preserve">10 monet za potrzebny kurs, także niepełny. Wycena uwzględnia wcześniej nadchodzący zwykły ładunek; brak miejsca blokuje usługę przed opłatą. Zakup dotyczy wybranego etapu.</s:t>
        </s:is>
      </s:c>
      <s:c r="C33" s="5" t="inlineStr">
        <s:is>
          <s:t xml:space="preserve">docs/ECONOMY-RULES.md · zatwierdzone v18</s:t>
        </s:is>
      </s:c>
    </s:row>
    <s:row r="34" ht="80" customHeight="1">
      <s:c r="A34" s="4" t="inlineStr">
        <s:is>
          <s:t xml:space="preserve">Dowóz budowy</s:t>
        </s:is>
      </s:c>
      <s:c r="B34" s="4" t="inlineStr">
        <s:is>
          <s:t xml:space="preserve">Przywozi brakujące materiały i zamraża osobną fazę budowania według minionegoT i zwykłej estymaty reszty; bez magazynierów przyjmujemy jednego hipotetycznego tragarza. Nie kończy automatycznie budowania.</s:t>
        </s:is>
      </s:c>
      <s:c r="C34" s="4" t="inlineStr">
        <s:is>
          <s:t xml:space="preserve">docs/ECONOMY-RULES.md · zatwierdzone v18</s:t>
        </s:is>
      </s:c>
    </s:row>
    <s:row r="35" ht="80" customHeight="1">
      <s:c r="A35" s="5" t="inlineStr">
        <s:is>
          <s:t xml:space="preserve">Pełne kupno</s:t>
        </s:is>
      </s:c>
      <s:c r="B35" s="5" t="inlineStr">
        <s:is>
          <s:t xml:space="preserve">Portowa wartość materiałów ×1,25 + nominalne monety + kursy Premium; gotowość po 10 s poza zwykłymi slotami, bez wydania własnych materiałów. Nadal obowiązuje limit Ratusza i kolejność poziomów.</s:t>
        </s:is>
      </s:c>
      <s:c r="C35" s="5" t="inlineStr">
        <s:is>
          <s:t xml:space="preserve">docs/ECONOMY-RULES.md · zatwierdzone v18</s:t>
        </s:is>
      </s:c>
    </s:row>
    <s:row r="36" ht="80" customHeight="1">
      <s:c r="A36" s="4" t="inlineStr">
        <s:is>
          <s:t xml:space="preserve">Dwa kanały zakupu</s:t>
        </s:is>
      </s:c>
      <s:c r="B36" s="4" t="inlineStr">
        <s:is>
          <s:t xml:space="preserve">Za zdobyte monety odTH4; osobny zakup za pieniądze odTH1. Paynow poza PROD ma wyraźną symulację; prawdziwa usługa pozostaje wyłączona do konfiguracji.</s:t>
        </s:is>
      </s:c>
      <s:c r="C36" s="4" t="inlineStr">
        <s:is>
          <s:t xml:space="preserve">docs/ECONOMY-RULES.md · zatwierdzone v18</s:t>
        </s:is>
      </s:c>
    </s:row>
    <s:row r="37" ht="80" customHeight="1">
      <s:c r="A37" s="5" t="inlineStr">
        <s:is>
          <s:t xml:space="preserve">Targ</s:t>
        </s:is>
      </s:c>
      <s:c r="B37" s="5" t="inlineStr">
        <s:is>
          <s:t xml:space="preserve">Od Ratusza 2 wymieniasz pełne dziesiątki w jednej kategorii: 10 → 9. Partia jest zablokowana 1 h i ma 24 h ważności; wymiana działa bez obsady, ale przenoszą ją własni pracownicy. Nowy wynik ma nową ważność, a odbiór Premium nie kasuje zwykłego zlecenia.</s:t>
        </s:is>
      </s:c>
      <s:c r="C37" s="5" t="inlineStr">
        <s:is>
          <s:t xml:space="preserve">logistics.js · v18</s:t>
        </s:is>
      </s:c>
    </s:row>
    <s:row r="38" ht="80" customHeight="1">
      <s:c r="A38" s="4" t="inlineStr">
        <s:is>
          <s:t xml:space="preserve">Port</s:t>
        </s:is>
      </s:c>
      <s:c r="B38" s="4" t="inlineStr">
        <s:is>
          <s:t xml:space="preserve">Od Ratusza 4 kupujesz i sprzedajesz paczki 100 sztuk. Baza kupno/sprzedaż to 50/40 monet dla drewna, kamienia i zboża oraz 150/140 dla desek i żywności; kolejne kupna w ruchomych 3 h podnoszą cenę o 10% bazy. Cena zamraża się w zamówieniu; sprzedaż płaci za faktycznie wysłane dobra.</s:t>
        </s:is>
      </s:c>
      <s:c r="C38" s="4" t="inlineStr">
        <s:is>
          <s:t xml:space="preserve">logistics.js · zachowane reguły</s:t>
        </s:is>
      </s:c>
    </s:row>
    <s:row r="39" ht="80" customHeight="1">
      <s:c r="A39" s="5" t="inlineStr">
        <s:is>
          <s:t xml:space="preserve">Ważność ładunku</s:t>
        </s:is>
      </s:c>
      <s:c r="B39" s="5" t="inlineStr">
        <s:is>
          <s:t xml:space="preserve">Fizyczna partia ma 24 h od przybycia. Faktyczne podjęcie przed końcem chroni rozpoczęty kurs na obu etapach Portu, również statek → Port. Samo zlecenie nie chroni towaru, który nie został podjęty.</s:t>
        </s:is>
      </s:c>
      <s:c r="C39" s="5" t="inlineStr">
        <s:is>
          <s:t xml:space="preserve">logistics.js · v18</s:t>
        </s:is>
      </s:c>
    </s:row>
    <s:row r="40" ht="80" customHeight="1">
      <s:c r="A40" s="4" t="inlineStr">
        <s:is>
          <s:t xml:space="preserve">Zadania Latarni</s:t>
        </s:is>
      </s:c>
      <s:c r="B40" s="4" t="inlineStr">
        <s:is>
          <s:t xml:space="preserve">Trzy oferty, jedno aktywne zadanie, brak porzucania i 60 s na potwierdzenie. Otwarcie utrwala mnożnik ×3 przed 15 s, ×2 przed 5 min, później ×1, ale oferta musi być ważna przy przyjęciu. Darowizny są nieodwracalne, bez tragarzy, z ochroną żywności.</s:t>
        </s:is>
      </s:c>
      <s:c r="C40" s="4" t="inlineStr">
        <s:is>
          <s:t xml:space="preserve">activities.js · potwierdzenie i darowizny</s:t>
        </s:is>
      </s:c>
    </s:row>
    <s:row r="41" ht="80" customHeight="1">
      <s:c r="A41" s="5" t="inlineStr">
        <s:is>
          <s:t xml:space="preserve">Terminy i nagrody zadań</s:t>
        </s:is>
      </s:c>
      <s:c r="B41" s="5" t="inlineStr">
        <s:is>
          <s:t xml:space="preserve">Pierwsze zadanie trwa 6 h; po sukcesie następcy kończą się o północy Warszawy. Nagroda materiałowa trafia do od razu wydawalnego bonusu i nie ginie przez przewóz w toku. Share zadania daje osobny zatwierdzony bonus wyboru, nie dowód publikacji na FB.</s:t>
        </s:is>
      </s:c>
      <s:c r="C41" s="5" t="inlineStr">
        <s:is>
          <s:t xml:space="preserve">activities.js, inventory.js</s:t>
        </s:is>
      </s:c>
    </s:row>
    <s:row r="42" ht="80" customHeight="1">
      <s:c r="A42" s="4" t="inlineStr">
        <s:is>
          <s:t xml:space="preserve">Punkty Domu</s:t>
        </s:is>
      </s:c>
      <s:c r="B42" s="4" t="inlineStr">
        <s:is>
          <s:t xml:space="preserve">O północy pula równa populacji zastępuje poprzednią resztę. O 23:58 automat rozdaje niezużyte punkty uprawnionym o najniższym H. Punkty nie zerują kar i ich liczników.</s:t>
        </s:is>
      </s:c>
      <s:c r="C42" s="4" t="inlineStr">
        <s:is>
          <s:t xml:space="preserve">leisure.js · Europe/Warsaw</s:t>
        </s:is>
      </s:c>
    </s:row>
    <s:row r="43" ht="80" customHeight="1">
      <s:c r="A43" s="5" t="inlineStr">
        <s:is>
          <s:t xml:space="preserve">Atrakcje</s:t>
        </s:is>
      </s:c>
      <s:c r="B43" s="5" t="inlineStr">
        <s:is>
          <s:t xml:space="preserve">Pięć ofert losowanych o północy z katalogu 20 atrakcji: 5–100 pp na 6 h i utrwalony udział 1–50% populacji. Trafiają do uprawnionych o najniższym H; cena to pp po przyzwyczajeniu × rzeczywiści odbiorcy w górę. Tylko jedna nowa atrakcja może być aktywna naraz.</s:t>
        </s:is>
      </s:c>
      <s:c r="C43" s="5" t="inlineStr">
        <s:is>
          <s:t xml:space="preserve">leisure.js · konfiguracja projektu</s:t>
        </s:is>
      </s:c>
    </s:row>
    <s:row r="44" ht="80" customHeight="1">
      <s:c r="A44" s="4" t="inlineStr">
        <s:is>
          <s:t xml:space="preserve">Przyzwyczajanie</s:t>
        </s:is>
      </s:c>
      <s:c r="B44" s="4" t="inlineStr">
        <s:is>
          <s:t xml:space="preserve">Osobno dla każdego rodzaju: 100%, 75%, 50%, 25%, 0%; po 24 h przerwy wraca pełna skuteczność. Przy 0% nie pobieramy opłaty. Oferta zachowuje wylosowany procent, a liczbę osób przelicza do aktualnej populacji.</s:t>
        </s:is>
      </s:c>
      <s:c r="C44" s="4" t="inlineStr">
        <s:is>
          <s:t xml:space="preserve">leisure.js</s:t>
        </s:is>
      </s:c>
    </s:row>
    <s:row r="45" ht="80" customHeight="1">
      <s:c r="A45" s="5" t="inlineStr">
        <s:is>
          <s:t xml:space="preserve">Ścieżki</s:t>
        </s:is>
      </s:c>
      <s:c r="B45" s="5" t="inlineStr">
        <s:is>
          <s:t xml:space="preserve">100 odcinków ma poziomy 0–5; jeden krok kosztuje 100 kamienia. Następny pełny poziom zaczyna się po ukończeniu wszystkich odcinków poprzedniego. Pełne poziomy dają +10…50% szybkości; poziomy 3/4/5 dodatkowo +10/20/30% ładunku.</s:t>
        </s:is>
      </s:c>
      <s:c r="C45" s="5" t="inlineStr">
        <s:is>
          <s:t xml:space="preserve">leisure.js · parametry projektu</s:t>
        </s:is>
      </s:c>
    </s:row>
    <s:row r="46" ht="80" customHeight="1">
      <s:c r="A46" s="4" t="inlineStr">
        <s:is>
          <s:t xml:space="preserve">Kaplica: darmowe i płatne</s:t>
        </s:is>
      </s:c>
      <s:c r="B46" s="4" t="inlineStr">
        <s:is>
          <s:t xml:space="preserve">Jedno darmowe błogosławieństwo odnawia się o północy Warszawy bez kumulowania. Każde ręczne użycie daje 50 sześciu zasobów i +20 pp na 1 h; płatne kosztuje 100 × poziom Kaplicy monet. Płatne i reklamowe współdzielą 4 h blokady od końca efektu, darmowe jej nie przesuwa; ręczne efekty nie nakładają się.</s:t>
        </s:is>
      </s:c>
      <s:c r="C46" s="4" t="inlineStr">
        <s:is>
          <s:t xml:space="preserve">state.js · dailyBlessingStatus</s:t>
        </s:is>
      </s:c>
    </s:row>
    <s:row r="47" ht="80" customHeight="1">
      <s:c r="A47" s="5" t="inlineStr">
        <s:is>
          <s:t xml:space="preserve">Opieka Kaplicy</s:t>
        </s:is>
      </s:c>
      <s:c r="B47" s="5" t="inlineStr">
        <s:is>
          <s:t xml:space="preserve">Od Kaplicy 3 wymagany odstęp to 3 + jej poziom dni. Po przekroczeniu losujemy dalsze 6–15 dni do zagrożenia. Każde rzeczywiste ręczne błogosławieństwo odnawia regularność.</s:t>
        </s:is>
      </s:c>
      <s:c r="C47" s="5" t="inlineStr">
        <s:is>
          <s:t xml:space="preserve">events.js · chapelGraceSeconds</s:t>
        </s:is>
      </s:c>
    </s:row>
    <s:row r="48" ht="80" customHeight="1">
      <s:c r="A48" s="4" t="inlineStr">
        <s:is>
          <s:t xml:space="preserve">Latarnia i wizyty</s:t>
        </s:is>
      </s:c>
      <s:c r="B48" s="4" t="inlineStr">
        <s:is>
          <s:t xml:space="preserve">Ulepszenie daje wszystkim 100% H i produkcję materiałów ×2 na 24 h × nowy poziom; przybyły korzysta do wspólnego końca. Wizyta trwa 4 h bez dojścia i wycofania, po czym uczestnik ma 100% i blokadę wizyt na 24 h, a grupa +10 pp dla wyspy na 6 h. Wymuszenie nie zwraca utraconych ludzi ani materiałów.</s:t>
        </s:is>
      </s:c>
      <s:c r="C48" s="4" t="inlineStr">
        <s:is>
          <s:t xml:space="preserve">residents.js, effects.js</s:t>
        </s:is>
      </s:c>
    </s:row>
    <s:row r="49" ht="80" customHeight="1">
      <s:c r="A49" s="5" t="inlineStr">
        <s:is>
          <s:t xml:space="preserve">Dobre wraki</s:t>
        </s:is>
      </s:c>
      <s:c r="B49" s="5" t="inlineStr">
        <s:is>
          <s:t xml:space="preserve">Zdarzenie losujemy co 36–60 h świata. Podczas globalnej ochrony Latarni najwyżej jedno dobre czeka do końca, a złe terminy są anulowane i losowane ponownie z zachowaniem opieki Kaplicy. Nie dopisujemy fikcyjnego błogosławieństwa.</s:t>
        </s:is>
      </s:c>
      <s:c r="C49" s="5" t="inlineStr">
        <s:is>
          <s:t xml:space="preserve">events.js · konfiguracja projektu</s:t>
        </s:is>
      </s:c>
    </s:row>
    <s:row r="50" ht="80" customHeight="1">
      <s:c r="A50" s="4" t="inlineStr">
        <s:is>
          <s:t xml:space="preserve">Wyniki dobrego wraku</s:t>
        </s:is>
      </s:c>
      <s:c r="B50" s="4" t="inlineStr">
        <s:is>
          <s:t xml:space="preserve">Skarb 50–150 × TH monet, zwrot podatku 20–60 × TH, materiały 50–150 pięciu rodzajów, +1 rozbitek albo nawóz Farmy +25% na 6 h. Brak miejsca na rozbitka daje 500 × TH monet. Wagi są jawną konfiguracją projektu.</s:t>
        </s:is>
      </s:c>
      <s:c r="C50" s="4" t="inlineStr">
        <s:is>
          <s:t xml:space="preserve">events.js · WORLD_EVENT_RULES</s:t>
        </s:is>
      </s:c>
    </s:row>
    <s:row r="51" ht="80" customHeight="1">
      <s:c r="A51" s="5" t="inlineStr">
        <s:is>
          <s:t xml:space="preserve">Złe wraki</s:t>
        </s:is>
      </s:c>
      <s:c r="B51" s="5" t="inlineStr">
        <s:is>
          <s:t xml:space="preserve">Jeden główny skutek i kara H na 6 h: ludność do 20% z minimum 6, wolne monety/drewno do 20% albo transport wolniejszy do 50%. Najwyżej jedno zaległe złe zdarzenie na okres bez rzeczywistej gry. Rezerwacje i niesiony towar pozostają chronione.</s:t>
        </s:is>
      </s:c>
      <s:c r="C51" s="5" t="inlineStr">
        <s:is>
          <s:t xml:space="preserve">events.js · konfiguracja projektu</s:t>
        </s:is>
      </s:c>
    </s:row>
    <s:row r="52" ht="80" customHeight="1">
      <s:c r="A52" s="4" t="inlineStr">
        <s:is>
          <s:t xml:space="preserve">Ekspedycje</s:t>
        </s:is>
      </s:c>
      <s:c r="B52" s="4" t="inlineStr">
        <s:is>
          <s:t xml:space="preserve">Gracz wybiera kulki albo trójki; nagrody rund to 50, 100, 200, 400… przed potrąceniami za czas, a pula 50, 150, 350, 750…. Kontynuacja ryzykuje całą niewypłaconą serię; wypłata ją kończy. Twardy termin kończy próbę, bez automatycznej opłaty za spóźnienie.</s:t>
        </s:is>
      </s:c>
      <s:c r="C52" s="4" t="inlineStr">
        <s:is>
          <s:t xml:space="preserve">minigames.js, activities.js · v18</s:t>
        </s:is>
      </s:c>
    </s:row>
    <s:row r="53" ht="80" customHeight="1">
      <s:c r="A53" s="5" t="inlineStr">
        <s:is>
          <s:t xml:space="preserve">Kulki</s:t>
        </s:is>
      </s:c>
      <s:c r="B53" s="5" t="inlineStr">
        <s:is>
          <s:t xml:space="preserve">Pierwsza runda trwa 180 s, pełna nagroda przez pierwsze 120 s, następnie −1 moneta co 15 s. Późniejsze limity i liczby kulek wynikają z tabeli eksportowanej w Źródła v11. Sterowanie myszą/klawiaturą albo ruchem telefonu/dotykiem.</s:t>
        </s:is>
      </s:c>
      <s:c r="C53" s="5" t="inlineStr">
        <s:is>
          <s:t xml:space="preserve">minigames.js · MINI_GAME_RULES</s:t>
        </s:is>
      </s:c>
    </s:row>
    <s:row r="54" ht="80" customHeight="1">
      <s:c r="A54" s="4" t="inlineStr">
        <s:is>
          <s:t xml:space="preserve">Trójki</s:t>
        </s:is>
      </s:c>
      <s:c r="B54" s="4" t="inlineStr">
        <s:is>
          <s:t xml:space="preserve">Pierwsza plansza ma 24 pola i 240 s; każdy etap dodaje 6 pól i 30 s, do 120 pól i 900 s. Od etapu 4 przemieszczają się zakryte niedopasowane obrazki. Plansza mieści się bez suwaka na pulpicie i telefonach; komplet trzech identycznych znika.</s:t>
        </s:is>
      </s:c>
      <s:c r="C54" s="4" t="inlineStr">
        <s:is>
          <s:t xml:space="preserve">minigames.js · rzeczywiste eksporty</s:t>
        </s:is>
      </s:c>
    </s:row>
    <s:row r="55" ht="80" customHeight="1">
      <s:c r="A55" s="5" t="inlineStr">
        <s:is>
          <s:t xml:space="preserve">Dobrowolny dodatkowy czas</s:t>
        </s:is>
      </s:c>
      <s:c r="B55" s="5" t="inlineStr">
        <s:is>
          <s:t xml:space="preserve">Przed końcem można kupić +30 s za 10 monet, maksymalnie dwa razy na rundę, lub obejrzeć reklamę za +60 s raz. Reklama pauzuje wyłącznie zegar rundy, świat biegnie dalej, a przerwa ma bezpieczny limit. To jawne parametry wdrożeniowe, nie historycznie wybrany cennik.</s:t>
        </s:is>
      </s:c>
      <s:c r="C55" s="5" t="inlineStr">
        <s:is>
          <s:t xml:space="preserve">activities.js · ACTIVITY_RULES</s:t>
        </s:is>
      </s:c>
    </s:row>
    <s:row r="56" ht="80" customHeight="1">
      <s:c r="A56" s="4" t="inlineStr">
        <s:is>
          <s:t xml:space="preserve">Obecność w minigrze</s:t>
        </s:is>
      </s:c>
      <s:c r="B56" s="4" t="inlineStr">
        <s:is>
          <s:t xml:space="preserve">Po 5 min bez aktywności pytanie o obecność, 60 s na odpowiedź. Zegar rundy nie zatrzymuje się przez samo pytanie. Brak odpowiedzi kończy serię i traci niewypłaconą pulę.</s:t>
        </s:is>
      </s:c>
      <s:c r="C56" s="4" t="inlineStr">
        <s:is>
          <s:t xml:space="preserve">activities.js · niezależnie od sesji 30 min</s:t>
        </s:is>
      </s:c>
    </s:row>
    <s:row r="57" ht="80" customHeight="1">
      <s:c r="A57" s="5" t="inlineStr">
        <s:is>
          <s:t xml:space="preserve">Harmonogram propozycji</s:t>
        </s:is>
      </s:c>
      <s:c r="B57" s="5" t="inlineStr">
        <s:is>
          <s:t xml:space="preserve">Pierwsza reklama raz/konto w 4–8 aktywnej minucie, po końcu lub pominięciu pierwszy wybór minigra/reklama po 5–15 min. Po ukończeniu tej aktywności kolejny po 43–62 min, następne po 60–100 min od ukończenia poprzedniej. Harmonogram jest zapisany i nie przerywa trwającej gry.</s:t>
        </s:is>
      </s:c>
      <s:c r="C57" s="5" t="inlineStr">
        <s:is>
          <s:t xml:space="preserve">engagement.js · zatwierdzone v18</s:t>
        </s:is>
      </s:c>
    </s:row>
    <s:row r="58" ht="80" customHeight="1">
      <s:c r="A58" s="4" t="inlineStr">
        <s:is>
          <s:t xml:space="preserve">Premia reklamy</s:t>
        </s:is>
      </s:c>
      <s:c r="B58" s="4" t="inlineStr">
        <s:is>
          <s:t xml:space="preserve">Reklama materiałowa daje po 10–30 pięciu materiałów bez monet. Bonus za czas i błogosławieństwo nie dodaje osobnej premii materiałowej. Rzeczywista nagroda wymaga zaufanego potwierdzenia dostawcy; symulacja jest oznaczona.</s:t>
        </s:is>
      </s:c>
      <s:c r="C58" s="4" t="inlineStr">
        <s:is>
          <s:t xml:space="preserve">commerce.js</s:t>
        </s:is>
      </s:c>
    </s:row>
    <s:row r="59" ht="80" customHeight="1">
      <s:c r="A59" s="5" t="inlineStr">
        <s:is>
          <s:t xml:space="preserve">Standard bez reklam</s:t>
        </s:is>
      </s:c>
      <s:c r="B59" s="5" t="inlineStr">
        <s:is>
          <s:t xml:space="preserve">Potwierdzone zakupy brutto co najmniej 1999 gr w ruchomych 30 dniach dają brak standardowych reklam, niezależnie od pakietu budowlanego. Bonus bez filmu zachowuje limity, a reklamy za czas ekspedycji nadal są oglądane. Początek harmonogramu 4–8 min kotwiczy się raz automatycznie, odbiór premii go nie zeruje.</s:t>
        </s:is>
      </s:c>
      <s:c r="C59" s="5" t="inlineStr">
        <s:is>
          <s:t xml:space="preserve">commerce.js, engagement.js</s:t>
        </s:is>
      </s:c>
    </s:row>
    <s:row r="60" ht="80" customHeight="1">
      <s:c r="A60" s="4" t="inlineStr">
        <s:is>
          <s:t xml:space="preserve">Paynow i monety</s:t>
        </s:is>
      </s:c>
      <s:c r="B60" s="4" t="inlineStr">
        <s:is>
          <s:t xml:space="preserve">Pakiety 1/5/10/20/50/100/500 zł, po 10 monet za 1 zł, są obecnymi parametrami testowymi. DEV i PRE-PROD mają oznaczoną symulację bez pobierania pieniędzy; PROD nie przyznaje zakupów z klientowego potwierdzenia. Rzeczywisty operator wymaga osobnego podłączenia.</s:t>
        </s:is>
      </s:c>
      <s:c r="C60" s="4" t="inlineStr">
        <s:is>
          <s:t xml:space="preserve">commerce.js · COIN_PACKAGES</s:t>
        </s:is>
      </s:c>
    </s:row>
    <s:row r="61" ht="80" customHeight="1">
      <s:c r="A61" s="5" t="inlineStr">
        <s:is>
          <s:t xml:space="preserve">Kody promocyjne</s:t>
        </s:is>
      </s:c>
      <s:c r="B61" s="5" t="inlineStr">
        <s:is>
          <s:t xml:space="preserve">Właściciel ustala kod, nagrodę i globalny limit. Serwer atomowo przyznaje pierwszym N kontom, jedno wykorzystanie na konto; powtórzenie nie wypłaca drugi raz. Kody wymagające niepodłączonej weryfikacji polubienia FB są odrzucane.</s:t>
        </s:is>
      </s:c>
      <s:c r="C61" s="5" t="inlineStr">
        <s:is>
          <s:t xml:space="preserve">backend/account-service.mjs · wymaga aktywnego API</s:t>
        </s:is>
      </s:c>
    </s:row>
    <s:row r="62" ht="80" customHeight="1">
      <s:c r="A62" s="4" t="inlineStr">
        <s:is>
          <s:t xml:space="preserve">Lojalność</s:t>
        </s:is>
      </s:c>
      <s:c r="B62" s="4" t="inlineStr">
        <s:is>
          <s:t xml:space="preserve">Raz na dzień Warszawy 50–200 każdego z sześciu zasobów, również monet; losowanie i odbiór są zapisane. Przerwa resetuje serię, a program kończy dziesiąta odebrana nagroda albo Ratusz 4. Nie wracamy do dawnego otwartego pytania o kwoty.</s:t>
        </s:is>
      </s:c>
      <s:c r="C62" s="4" t="inlineStr">
        <s:is>
          <s:t xml:space="preserve">progression.js · LOYALTY_REWARD_MIN/MAX</s:t>
        </s:is>
      </s:c>
    </s:row>
    <s:row r="63" ht="80" customHeight="1">
      <s:c r="A63" s="5" t="inlineStr">
        <s:is>
          <s:t xml:space="preserve">Skrzynie samouczka</s:t>
        </s:is>
      </s:c>
      <s:c r="B63" s="5" t="inlineStr">
        <s:is>
          <s:t xml:space="preserve">25 rzeczywistych działań z prowadzeniem strzałką; skrzynia daje 100–300 pięciu materiałów, bez monet, a wybór Share raz tyle samo. Przepełnienie blokuje kolejne skrzynie i podwojenia, ale nie pomoc, wydawanie ani zarządzanie. Popup skrzyni czeka do końca minigry; stare odebrane nagrody są zachowane.</s:t>
        </s:is>
      </s:c>
      <s:c r="C63" s="5" t="inlineStr">
        <s:is>
          <s:t xml:space="preserve">progression.js, tutorial-ui.js</s:t>
        </s:is>
      </s:c>
    </s:row>
    <s:row r="64" ht="80" customHeight="1">
      <s:c r="A64" s="4" t="inlineStr">
        <s:is>
          <s:t xml:space="preserve">Społeczność i polecenia</s:t>
        </s:is>
      </s:c>
      <s:c r="B64" s="4" t="inlineStr">
        <s:is>
          <s:t xml:space="preserve">Udostępnienie osiągnięcia inicjuje i zatwierdza gracz; otwarcie formularza nie potwierdza zewnętrznej publikacji. Punkty integracji premii społecznościowych i poleceń nie oznaczają aktywnej weryfikacji Facebooka. Automatyzacja strony gry i osobiste powiadomienia FB są odłożone.</s:t>
        </s:is>
      </s:c>
      <s:c r="C64" s="4" t="inlineStr">
        <s:is>
          <s:t xml:space="preserve">progression.js, auth-providers.js · granice integracji</s:t>
        </s:is>
      </s:c>
    </s:row>
    <s:row r="65" ht="80" customHeight="1">
      <s:c r="A65" s="5" t="inlineStr">
        <s:is>
          <s:t xml:space="preserve">Powiadomienia i opisy</s:t>
        </s:is>
      </s:c>
      <s:c r="B65" s="5" t="inlineStr">
        <s:is>
          <s:t xml:space="preserve">Ostatnie 100 powiadomień; kategorie filtrują również dzwonek. Ręcznie usuwa się tylko przeczytane wiadomości. Port/Targ odświeżają etapy, skrócenie budowy podaje rzeczywiście oszczędzony czas, H100 ma jawną ikonę.</s:t>
        </s:is>
      </s:c>
      <s:c r="C65" s="5" t="inlineStr">
        <s:is>
          <s:t xml:space="preserve">play.js · odbiór v18</s:t>
        </s:is>
      </s:c>
    </s:row>
    <s:row r="66" ht="80" customHeight="1">
      <s:c r="A66" s="4" t="inlineStr">
        <s:is>
          <s:t xml:space="preserve">Zapis konta</s:t>
        </s:is>
      </s:c>
      <s:c r="B66" s="4" t="inlineStr">
        <s:is>
          <s:t xml:space="preserve">Postęp jest wyłącznie w chmurze i wczytuje się przed otwarciem wyspy. Nie zapisujemy wysp, odzyskiwania ani kolejki w localStorage/sessionStorage; sesja logowania i język są dozwolone. Awaria lub konflikt blokuje zatwierdzanie i wymaga jawnego pobrania prawdy serwera.</s:t>
        </s:is>
      </s:c>
      <s:c r="C66" s="4" t="inlineStr">
        <s:is>
          <s:t xml:space="preserve">dev-cloud.js, dev-sync.js</s:t>
        </s:is>
      </s:c>
    </s:row>
    <s:row r="67" ht="80" customHeight="1">
      <s:c r="A67" s="5" t="inlineStr">
        <s:is>
          <s:t xml:space="preserve">Retencja</s:t>
        </s:is>
      </s:c>
      <s:c r="B67" s="5" t="inlineStr">
        <s:is>
          <s:t xml:space="preserve">Po trzech miesiącach kalendarzowych bez rzeczywistej gry wyspa może wygasnąć, a jej generacja blokuje stare karty. Konto, historie płatności/kodów/poleceń i nagrody raz na konto pozostają; PRE-PROD admin1–3 są wyłączone. Automatyczne zwroty wycofano, finalne postanowienia płatnej sprzedaży wymagają przeglądu regulaminu.</s:t>
        </s:is>
      </s:c>
      <s:c r="C67" s="5" t="inlineStr">
        <s:is>
          <s:t xml:space="preserve">backend/account-service.mjs · PROD po aktywacji</s:t>
        </s:is>
      </s:c>
    </s:row>
    <s:row r="68" ht="80" customHeight="1">
      <s:c r="A68" s="4" t="inlineStr">
        <s:is>
          <s:t xml:space="preserve">Środowiska</s:t>
        </s:is>
      </s:c>
      <s:c r="B68" s="4" t="inlineStr">
        <s:is>
          <s:t xml:space="preserve">DEV to ta przestrzeń, PRE-PROD to harborlight-dev, PROD to harborlight-prod. Aktualnie potwierdzony PRE-PROD v18: 6ec3c6d i wdrożenie 41112673285; nowe zmiany tej partii są roboczym DEV do własnego CI/promocji. Zachowujemy UID i historię admin1, bez resetu przy publikacji.</s:t>
        </s:is>
      </s:c>
      <s:c r="C68" s="4" t="inlineStr">
        <s:is>
          <s:t xml:space="preserve">AGENTS.md · rzeczywisty stan publikacji</s:t>
        </s:is>
      </s:c>
    </s:row>
    <s:row r="69" ht="80" customHeight="1">
      <s:c r="A69" s="5" t="inlineStr">
        <s:is>
          <s:t xml:space="preserve">Nowe wylogowanie</s:t>
        </s:is>
      </s:c>
      <s:c r="B69" s="5" t="inlineStr">
        <s:is>
          <s:t xml:space="preserve">W Ustawieniach ma być bezpośredni widoczny przycisk wylogowania. Korzysta z istniejącej bezpiecznej obsługi zapisu i sesji, bez resetowania wyspy. To nowy zakres tej partii DEV, wymagający własnego odbioru i wdrożenia.</s:t>
        </s:is>
      </s:c>
      <s:c r="C69" s="5" t="inlineStr">
        <s:is>
          <s:t xml:space="preserve">Zlecenie 30.10.2026 · nowy DEV</s:t>
        </s:is>
      </s:c>
    </s:row>
    <s:row r="70" ht="80" customHeight="1">
      <s:c r="A70" s="4" t="inlineStr">
        <s:is>
          <s:t xml:space="preserve">Regulamin i prywatność</s:t>
        </s:is>
      </s:c>
      <s:c r="B70" s="4" t="inlineStr">
        <s:is>
          <s:t xml:space="preserve">Robocze dokumenty dla gry wymagają uzupełnienia danych operatora Loremipsum i przeglądu właściciela. Rejestracja ma wymagać odrębnej akceptacji regulaminu i potwierdzenia zapoznania się z polityką prywatności, z wersją dokumentów i serwerowym czasem. Potwierdzenie informacji nie jest wymuszoną zgodą RODO na konieczne przetwarzanie.</s:t>
        </s:is>
      </s:c>
      <s:c r="C70" s="4" t="inlineStr">
        <s:is>
          <s:t xml:space="preserve">Nowy DEV · nie potwierdza jeszcze publikacji</s:t>
        </s:is>
      </s:c>
    </s:row>
    <s:row r="71" ht="30" customHeight="1">
      <s:c r="A71" s="3" t="inlineStr">
        <s:is>
          <s:t xml:space="preserve">SAMOUCZEK · 25 aktualnych rzeczywistych działań z eksportu modułu gry; stabilne ID i zachowane odebrane nagrody</s:t>
        </s:is>
      </s:c>
      <s:c r="B71" s="3"/>
      <s:c r="C71" s="3"/>
    </s:row>
    <s:row r="72" ht="65" customHeight="1">
      <s:c r="A72" s="4" t="inlineStr">
        <s:is>
          <s:t xml:space="preserve">1. Wyślij mieszkańca do Gospodarstwa</s:t>
        </s:is>
      </s:c>
      <s:c r="B72" s="4" t="inlineStr">
        <s:is>
          <s:t xml:space="preserve">Otwórz Gospodarstwo i naciśnij +1, aby przydzielić rolnika. Wskazany strzałką przycisk rozpoczyna prawdziwą pracę.</s:t>
        </s:is>
      </s:c>
      <s:c r="C72" s="4" t="inlineStr">
        <s:is>
          <s:t xml:space="preserve">rules-read · action · farm</s:t>
        </s:is>
      </s:c>
    </s:row>
    <s:row r="73" ht="65" customHeight="1">
      <s:c r="A73" s="5" t="inlineStr">
        <s:is>
          <s:t xml:space="preserve">2. Przydziel tragarza do Magazynu</s:t>
        </s:is>
      </s:c>
      <s:c r="B73" s="5" t="inlineStr">
        <s:is>
          <s:t xml:space="preserve">Otwórz Magazyn i przydziel jednego tragarza. Tragarze przynoszą gotowe produkty do centrali.</s:t>
        </s:is>
      </s:c>
      <s:c r="C73" s="5" t="inlineStr">
        <s:is>
          <s:t xml:space="preserve">island-map · action · warehouse</s:t>
        </s:is>
      </s:c>
    </s:row>
    <s:row r="74" ht="65" customHeight="1">
      <s:c r="A74" s="4" t="inlineStr">
        <s:is>
          <s:t xml:space="preserve">3. Uruchom obsadę Młyna</s:t>
        </s:is>
      </s:c>
      <s:c r="B74" s="4" t="inlineStr">
        <s:is>
          <s:t xml:space="preserve">Przydziel mieszkańca do Młyna. Jedna żywność wymaga dwóch sztuk dostępnego zboża z centrali.</s:t>
        </s:is>
      </s:c>
      <s:c r="C74" s="4" t="inlineStr">
        <s:is>
          <s:t xml:space="preserve">first-job · action · windmill</s:t>
        </s:is>
      </s:c>
    </s:row>
    <s:row r="75" ht="65" customHeight="1">
      <s:c r="A75" s="5" t="inlineStr">
        <s:is>
          <s:t xml:space="preserve">4. Rozpocznij pozyskiwanie drewna</s:t>
        </s:is>
      </s:c>
      <s:c r="B75" s="5" t="inlineStr">
        <s:is>
          <s:t xml:space="preserve">Przydziel mieszkańca do Obozu drwali, aby zapewnić stałe dostawy drewna na rozbudowę.</s:t>
        </s:is>
      </s:c>
      <s:c r="C75" s="5" t="inlineStr">
        <s:is>
          <s:t xml:space="preserve">food-check · action · lumber</s:t>
        </s:is>
      </s:c>
    </s:row>
    <s:row r="76" ht="65" customHeight="1">
      <s:c r="A76" s="4" t="inlineStr">
        <s:is>
          <s:t xml:space="preserve">5. Rozpocznij rozbudowę Ratusza</s:t>
        </s:is>
      </s:c>
      <s:c r="B76" s="4" t="inlineStr">
        <s:is>
          <s:t xml:space="preserve">Odbierz jednorazowe materiały i zleć rozbudowę Ratusza. Materiały bonusowe można wydawać także przy pełnym zwykłym magazynie.</s:t>
        </s:is>
      </s:c>
      <s:c r="C76" s="4" t="inlineStr">
        <s:is>
          <s:t xml:space="preserve">townhall-upgrade · action · townhall</s:t>
        </s:is>
      </s:c>
    </s:row>
    <s:row r="77" ht="65" customHeight="1">
      <s:c r="A77" s="5" t="inlineStr">
        <s:is>
          <s:t xml:space="preserve">6. Popraw szczęście mieszkańców</s:t>
        </s:is>
      </s:c>
      <s:c r="B77" s="5" t="inlineStr">
        <s:is>
          <s:t xml:space="preserve">Rozdaj punkty Domu, udziel błogosławieństwa albo kup atrakcję. Wykonaj prawdziwe działanie poprawiające szczęście.</s:t>
        </s:is>
      </s:c>
      <s:c r="C77" s="5" t="inlineStr">
        <s:is>
          <s:t xml:space="preserve">happiness-action · action · house</s:t>
        </s:is>
      </s:c>
    </s:row>
    <s:row r="78" ht="65" customHeight="1">
      <s:c r="A78" s="4" t="inlineStr">
        <s:is>
          <s:t xml:space="preserve">7. Rozpocznij pozyskiwanie kamienia</s:t>
        </s:is>
      </s:c>
      <s:c r="B78" s="4" t="inlineStr">
        <s:is>
          <s:t xml:space="preserve">Przydziel mieszkańca do Kamieniołomu. W drodze do pracy nie ma kary bezrobocia, a podatek zaczyna płacić po dojściu.</s:t>
        </s:is>
      </s:c>
      <s:c r="C78" s="4" t="inlineStr">
        <s:is>
          <s:t xml:space="preserve">workplace-journey · action · quarry</s:t>
        </s:is>
      </s:c>
    </s:row>
    <s:row r="79" ht="65" customHeight="1">
      <s:c r="A79" s="5" t="inlineStr">
        <s:is>
          <s:t xml:space="preserve">8. Rozpocznij produkcję desek</s:t>
        </s:is>
      </s:c>
      <s:c r="B79" s="5" t="inlineStr">
        <s:is>
          <s:t xml:space="preserve">Przydziel mieszkańca do Tartaku. Dwie sztuki drewna schodzą z centrali dopiero po ukończeniu deski.</s:t>
        </s:is>
      </s:c>
      <s:c r="C79" s="5" t="inlineStr">
        <s:is>
          <s:t xml:space="preserve">resources-dock · action · sawmill</s:t>
        </s:is>
      </s:c>
    </s:row>
    <s:row r="80" ht="65" customHeight="1">
      <s:c r="A80" s="4" t="inlineStr">
        <s:is>
          <s:t xml:space="preserve">9. Wybierz priorytet transportu</s:t>
        </s:is>
      </s:c>
      <s:c r="B80" s="4" t="inlineStr">
        <s:is>
          <s:t xml:space="preserve">Ustaw w Magazynie numerowany priorytet materiału lub Budowy.</s:t>
        </s:is>
      </s:c>
      <s:c r="C80" s="4" t="inlineStr">
        <s:is>
          <s:t xml:space="preserve">transport-priority · action · warehouse</s:t>
        </s:is>
      </s:c>
    </s:row>
    <s:row r="81" ht="65" customHeight="1">
      <s:c r="A81" s="5" t="inlineStr">
        <s:is>
          <s:t xml:space="preserve">10. Odbierz prawdziwą dostawę</s:t>
        </s:is>
      </s:c>
      <s:c r="B81" s="5" t="inlineStr">
        <s:is>
          <s:t xml:space="preserve">Poczekaj, aż tragarz zakończy dostawę do centrali. Samo otwarcie okna nie zalicza tego kroku.</s:t>
        </s:is>
      </s:c>
      <s:c r="C81" s="5" t="inlineStr">
        <s:is>
          <s:t xml:space="preserve">first-delivery · condition · warehouse</s:t>
        </s:is>
      </s:c>
    </s:row>
    <s:row r="82" ht="65" customHeight="1">
      <s:c r="A82" s="4" t="inlineStr">
        <s:is>
          <s:t xml:space="preserve">11. Dodaj kolejnego tragarza</s:t>
        </s:is>
      </s:c>
      <s:c r="B82" s="4" t="inlineStr">
        <s:is>
          <s:t xml:space="preserve">Przydziel jeszcze jedną osobę do Magazynu. Ten krok wymaga nowego przydziału, wykonanego po jego rozpoczęciu.</s:t>
        </s:is>
      </s:c>
      <s:c r="C82" s="4" t="inlineStr">
        <s:is>
          <s:t xml:space="preserve">storage-limits · action · warehouse</s:t>
        </s:is>
      </s:c>
    </s:row>
    <s:row r="83" ht="65" customHeight="1">
      <s:c r="A83" s="5" t="inlineStr">
        <s:is>
          <s:t xml:space="preserve">12. Ukończ przetworzony produkt</s:t>
        </s:is>
      </s:c>
      <s:c r="B83" s="5" t="inlineStr">
        <s:is>
          <s:t xml:space="preserve">Poczekaj na ukończenie produktu w Młynie lub Tartaku. Krok zalicza prawdziwa produkcja.</s:t>
        </s:is>
      </s:c>
      <s:c r="C83" s="5" t="inlineStr">
        <s:is>
          <s:t xml:space="preserve">food-chain · condition · windmill</s:t>
        </s:is>
      </s:c>
    </s:row>
    <s:row r="84" ht="65" customHeight="1">
      <s:c r="A84" s="4" t="inlineStr">
        <s:is>
          <s:t xml:space="preserve">13. Wykorzystaj punkty Domu</s:t>
        </s:is>
      </s:c>
      <s:c r="B84" s="4" t="inlineStr">
        <s:is>
          <s:t xml:space="preserve">Przekaż punkty szczęścia jednemu mieszkańcowi albo wszystkim. Pula odnawia się o północy Warszawy.</s:t>
        </s:is>
      </s:c>
      <s:c r="C84" s="4" t="inlineStr">
        <s:is>
          <s:t xml:space="preserve">house-points · action · house</s:t>
        </s:is>
      </s:c>
    </s:row>
    <s:row r="85" ht="65" customHeight="1">
      <s:c r="A85" s="5" t="inlineStr">
        <s:is>
          <s:t xml:space="preserve">14. Wybierz swoje powiadomienia</s:t>
        </s:is>
      </s:c>
      <s:c r="B85" s="5" t="inlineStr">
        <s:is>
          <s:t xml:space="preserve">Zmień jedną kategorię powiadomień w Ustawieniach. Wybór dotyczy także licznika dzwonka.</s:t>
        </s:is>
      </s:c>
      <s:c r="C85" s="5" t="inlineStr">
        <s:is>
          <s:t xml:space="preserve">personal-happiness · action · settings</s:t>
        </s:is>
      </s:c>
    </s:row>
    <s:row r="86" ht="65" customHeight="1">
      <s:c r="A86" s="4" t="inlineStr">
        <s:is>
          <s:t xml:space="preserve">15. Rozbuduj Gospodarstwo</s:t>
        </s:is>
      </s:c>
      <s:c r="B86" s="4" t="inlineStr">
        <s:is>
          <s:t xml:space="preserve">Gdy pozwoli na to poziom Ratusza, zleć rozbudowę Gospodarstwa z dostępnych materiałów.</s:t>
        </s:is>
      </s:c>
      <s:c r="C86" s="4" t="inlineStr">
        <s:is>
          <s:t xml:space="preserve">upgrade-cost · action · farm</s:t>
        </s:is>
      </s:c>
    </s:row>
    <s:row r="87" ht="65" customHeight="1">
      <s:c r="A87" s="5" t="inlineStr">
        <s:is>
          <s:t xml:space="preserve">16. Zleć większy Dom</s:t>
        </s:is>
      </s:c>
      <s:c r="B87" s="5" t="inlineStr">
        <s:is>
          <s:t xml:space="preserve">Zleć rozbudowę Domu. Aktywne budowy i kolejka mają osobne limity.</s:t>
        </s:is>
      </s:c>
      <s:c r="C87" s="5" t="inlineStr">
        <s:is>
          <s:t xml:space="preserve">construction-queue · action · house</s:t>
        </s:is>
      </s:c>
    </s:row>
    <s:row r="88" ht="65" customHeight="1">
      <s:c r="A88" s="4" t="inlineStr">
        <s:is>
          <s:t xml:space="preserve">17. Ulepsz odcinek ścieżki</s:t>
        </s:is>
      </s:c>
      <s:c r="B88" s="4" t="inlineStr">
        <s:is>
          <s:t xml:space="preserve">Wydaj 100 kamienia na odcinek. Ukończ poziom wszystkich ścieżek przed rozpoczęciem następnego.</s:t>
        </s:is>
      </s:c>
      <s:c r="C88" s="4" t="inlineStr">
        <s:is>
          <s:t xml:space="preserve">path-upgrade · action · paths</s:t>
        </s:is>
      </s:c>
    </s:row>
    <s:row r="89" ht="65" customHeight="1">
      <s:c r="A89" s="5" t="inlineStr">
        <s:is>
          <s:t xml:space="preserve">18. Kup jedną atrakcję</s:t>
        </s:is>
      </s:c>
      <s:c r="B89" s="5" t="inlineStr">
        <s:is>
          <s:t xml:space="preserve">Wybierz atrakcję, na którą Cię stać. Jednocześnie może działać jedna nowa atrakcja.</s:t>
        </s:is>
      </s:c>
      <s:c r="C89" s="5" t="inlineStr">
        <s:is>
          <s:t xml:space="preserve">daily-attractions · action · decorations</s:t>
        </s:is>
      </s:c>
    </s:row>
    <s:row r="90" ht="65" customHeight="1">
      <s:c r="A90" s="4" t="inlineStr">
        <s:is>
          <s:t xml:space="preserve">19. Uruchom błogosławieństwo</s:t>
        </s:is>
      </s:c>
      <s:c r="B90" s="4" t="inlineStr">
        <s:is>
          <s:t xml:space="preserve">Użyj dostępnego darmowego lub płatnego błogosławieństwa. Jedno darmowe użycie odnawia się każdego dnia Warszawy i nie kumuluje się.</s:t>
        </s:is>
      </s:c>
      <s:c r="C90" s="4" t="inlineStr">
        <s:is>
          <s:t xml:space="preserve">chapel-blessing · action · chapel</s:t>
        </s:is>
      </s:c>
    </s:row>
    <s:row r="91" ht="65" customHeight="1">
      <s:c r="A91" s="5" t="inlineStr">
        <s:is>
          <s:t xml:space="preserve">20. Wyślij towar na Targ</s:t>
        </s:is>
      </s:c>
      <s:c r="B91" s="5" t="inlineStr">
        <s:is>
          <s:t xml:space="preserve">Od drugiego poziomu Ratusza zleć prawdziwą dostawę na Targ. Towar przenosi jego obsada.</s:t>
        </s:is>
      </s:c>
      <s:c r="C91" s="5" t="inlineStr">
        <s:is>
          <s:t xml:space="preserve">market-rules · action · market</s:t>
        </s:is>
      </s:c>
    </s:row>
    <s:row r="92" ht="65" customHeight="1">
      <s:c r="A92" s="4" t="inlineStr">
        <s:is>
          <s:t xml:space="preserve">21. Rozpocznij odbudowę Latarni</s:t>
        </s:is>
      </s:c>
      <s:c r="B92" s="4" t="inlineStr">
        <s:is>
          <s:t xml:space="preserve">Zleć kolejny poziom Latarni. Ukończenie rozbudowy przyzna czasową premię całej wyspie.</s:t>
        </s:is>
      </s:c>
      <s:c r="C92" s="4" t="inlineStr">
        <s:is>
          <s:t xml:space="preserve">lighthouse-visits · action · lighthouse</s:t>
        </s:is>
      </s:c>
    </s:row>
    <s:row r="93" ht="65" customHeight="1">
      <s:c r="A93" s="5" t="inlineStr">
        <s:is>
          <s:t xml:space="preserve">22. Podejmij zadanie</s:t>
        </s:is>
      </s:c>
      <s:c r="B93" s="5" t="inlineStr">
        <s:is>
          <s:t xml:space="preserve">Sprawdź koszt i termin, a następnie potwierdź zadanie. Jednocześnie aktywne jest jedno.</s:t>
        </s:is>
      </s:c>
      <s:c r="C93" s="5" t="inlineStr">
        <s:is>
          <s:t xml:space="preserve">lighthouse-task · action · tasks</s:t>
        </s:is>
      </s:c>
    </s:row>
    <s:row r="94" ht="65" customHeight="1">
      <s:c r="A94" s="4" t="inlineStr">
        <s:is>
          <s:t xml:space="preserve">23. Spróbuj ekspedycji</s:t>
        </s:is>
      </s:c>
      <s:c r="B94" s="4" t="inlineStr">
        <s:is>
          <s:t xml:space="preserve">Rozpocznij wybraną minigrę. Skrzynia samouczka poczeka do zakończenia ekspedycji.</s:t>
        </s:is>
      </s:c>
      <s:c r="C94" s="4" t="inlineStr">
        <s:is>
          <s:t xml:space="preserve">expedition-rules · action · expeditions</s:t>
        </s:is>
      </s:c>
    </s:row>
    <s:row r="95" ht="65" customHeight="1">
      <s:c r="A95" s="5" t="inlineStr">
        <s:is>
          <s:t xml:space="preserve">24. Bezpiecznie odwołaj pracownika</s:t>
        </s:is>
      </s:c>
      <s:c r="B95" s="5" t="inlineStr">
        <s:is>
          <s:t xml:space="preserve">Po ekspedycji odwołaj jednego pracownika. Tragarz z ładunkiem najpierw dokończy kurs, potem wróci do Domu.</s:t>
        </s:is>
      </s:c>
      <s:c r="C95" s="5" t="inlineStr">
        <s:is>
          <s:t xml:space="preserve">returning-workers · action · workers</s:t>
        </s:is>
      </s:c>
    </s:row>
    <s:row r="96" ht="65" customHeight="1">
      <s:c r="A96" s="4" t="inlineStr">
        <s:is>
          <s:t xml:space="preserve">25. Przekaż darowiznę na zadanie</s:t>
        </s:is>
      </s:c>
      <s:c r="B96" s="4" t="inlineStr">
        <s:is>
          <s:t xml:space="preserve">Przekaż dostępny materiał na przyjęte zadanie. Ta prawdziwa darowizna kończy Twoje wprowadzenie.</s:t>
        </s:is>
      </s:c>
      <s:c r="C96" s="4" t="inlineStr">
        <s:is>
          <s:t xml:space="preserve">island-review · action · tasks</s:t>
        </s:is>
      </s:c>
    </s:row>
  </s:sheetData>
  <s:autoFilter ref="A5:C96"/>
  <s:mergeCells count="3">
    <s:mergeCell ref="A1:C1"/>
    <s:mergeCell ref="A2:C2"/>
    <s:mergeCell ref="A71:C71"/>
  </s:mergeCells>
  <s:pageMargins left="0.25" right="0.25" top="0.5" bottom="0.5" header="0.2" footer="0.2"/>
  <s:pageSetup orientation="landscape" paperSize="8" fitToWidth="1" fitToHeight="0"/>
</s:worksheet>
</file>

<file path=xl/worksheets/sheet61.xml><?xml version="1.0" encoding="utf-8"?>
<s:worksheet xmlns:s="http://schemas.openxmlformats.org/spreadsheetml/2006/main">
  <s:sheetPr/>
  <s:dimension ref="A1:H17"/>
  <s:sheetViews>
    <s:sheetView workbookViewId="0" tabSelected="0">
      <s:pane ySplit="5" xSplit="0" topLeftCell="A6" activePane="bottomLeft" state="frozen"/>
    </s:sheetView>
  </s:sheetViews>
  <s:sheetFormatPr defaultRowHeight="22"/>
  <s:cols>
    <s:col min="1" max="1" width="25" customWidth="1"/>
    <s:col min="2" max="2" width="24" customWidth="1"/>
    <s:col min="3" max="3" width="74" customWidth="1"/>
    <s:col min="4" max="4" width="30" customWidth="1"/>
    <s:col min="5" max="5" width="65" customWidth="1"/>
    <s:col min="6" max="6" width="65" customWidth="1"/>
    <s:col min="7" max="7" width="30" customWidth="1"/>
    <s:col min="8" max="8" width="90" customWidth="1"/>
  </s:cols>
  <s:sheetData>
    <s:row r="1" ht="34" customHeight="1">
      <s:c r="A1" s="1" t="inlineStr">
        <s:is>
          <s:t xml:space="preserve">BUDYNKI V11 · korzyść, koszt i transport</s:t>
        </s:is>
      </s:c>
    </s:row>
    <s:row r="2" ht="76" customHeight="1">
      <s:c r="A2" s="2" t="inlineStr">
        <s:is>
          <s:t xml:space="preserve">L = obecny własny poziom, N = nowy. Kolejka dodaje 10% każdego składnika w górę. T jest rzeczywistą dostawą od pierwszego podjęcia do ostatniej dostawy, nie prognozą ani samą fazą budowania. Koszt gotówkowy jest osobnym kanałem od TH1; zdobyte monety od TH4.</s:t>
        </s:is>
      </s:c>
    </s:row>
    <s:row r="5" ht="34" customHeight="1">
      <s:c r="A5" s="3" t="inlineStr">
        <s:is>
          <s:t xml:space="preserve">Budynek</s:t>
        </s:is>
      </s:c>
      <s:c r="B5" s="3" t="inlineStr">
        <s:is>
          <s:t xml:space="preserve">EN</s:t>
        </s:is>
      </s:c>
      <s:c r="C5" s="3" t="inlineStr">
        <s:is>
          <s:t xml:space="preserve">Cel</s:t>
        </s:is>
      </s:c>
      <s:c r="D5" s="3" t="inlineStr">
        <s:is>
          <s:t xml:space="preserve">Obsada: start / limit</s:t>
        </s:is>
      </s:c>
      <s:c r="E5" s="3" t="inlineStr">
        <s:is>
          <s:t xml:space="preserve">Korzyść poziomu</s:t>
        </s:is>
      </s:c>
      <s:c r="F5" s="3" t="inlineStr">
        <s:is>
          <s:t xml:space="preserve">Koszt zwykłego ulepszenia</s:t>
        </s:is>
      </s:c>
      <s:c r="G5" s="3" t="inlineStr">
        <s:is>
          <s:t xml:space="preserve">Sama budowa</s:t>
        </s:is>
      </s:c>
      <s:c r="H5" s="3" t="inlineStr">
        <s:is>
          <s:t xml:space="preserve">Ważna reguła</s:t>
        </s:is>
      </s:c>
    </s:row>
    <s:row r="6" ht="100" customHeight="1">
      <s:c r="A6" s="4" t="inlineStr">
        <s:is>
          <s:t xml:space="preserve">Ratusz</s:t>
        </s:is>
      </s:c>
      <s:c r="B6" s="4" t="inlineStr">
        <s:is>
          <s:t xml:space="preserve">Town Hall</s:t>
        </s:is>
      </s:c>
      <s:c r="C6" s="4" t="inlineStr">
        <s:is>
          <s:t xml:space="preserve">Określa poziom wyspy, limit mieszkańców i granicę rozbudowy innych budynków.</s:t>
        </s:is>
      </s:c>
      <s:c r="D6" s="4" t="inlineStr">
        <s:is>
          <s:t xml:space="preserve">0</s:t>
        </s:is>
      </s:c>
      <s:c r="E6" s="4" t="inlineStr">
        <s:is>
          <s:t xml:space="preserve">24 × L mieszkańców; L budów + L kolejki</s:t>
        </s:is>
      </s:c>
      <s:c r="F6" s="4" t="inlineStr">
        <s:is>
          <s:t xml:space="preserve">500 × L każdego z 6 zasobów</s:t>
        </s:is>
      </s:c>
      <s:c r="G6" s="4" t="inlineStr">
        <s:is>
          <s:t xml:space="preserve">T</s:t>
        </s:is>
      </s:c>
      <s:c r="H6" s="4" t="inlineStr">
        <s:is>
          <s:t xml:space="preserve">Efekty u góry; zarządzanie budową tylko tutaj</s:t>
        </s:is>
      </s:c>
    </s:row>
    <s:row r="7" ht="100" customHeight="1">
      <s:c r="A7" s="5" t="inlineStr">
        <s:is>
          <s:t xml:space="preserve">Dom</s:t>
        </s:is>
      </s:c>
      <s:c r="B7" s="5" t="inlineStr">
        <s:is>
          <s:t xml:space="preserve">House</s:t>
        </s:is>
      </s:c>
      <s:c r="C7" s="5" t="inlineStr">
        <s:is>
          <s:t xml:space="preserve">Zapewnia miejsca mieszkalne, wolne osoby do pracy i codzienną pulę szczęścia.</s:t>
        </s:is>
      </s:c>
      <s:c r="D7" s="5" t="inlineStr">
        <s:is>
          <s:t xml:space="preserve">0</s:t>
        </s:is>
      </s:c>
      <s:c r="E7" s="5" t="inlineStr">
        <s:is>
          <s:t xml:space="preserve">24 × L łóżek; dzienna pula według populacji</s:t>
        </s:is>
      </s:c>
      <s:c r="F7" s="5" t="inlineStr">
        <s:is>
          <s:t xml:space="preserve">500 × L każdego z 6 zasobów</s:t>
        </s:is>
      </s:c>
      <s:c r="G7" s="5" t="inlineStr">
        <s:is>
          <s:t xml:space="preserve">T</s:t>
        </s:is>
      </s:c>
      <s:c r="H7" s="5" t="inlineStr">
        <s:is>
          <s:t xml:space="preserve">Zbiorcze zarządzanie pracą tylko tutaj; automat 23:58</s:t>
        </s:is>
      </s:c>
    </s:row>
    <s:row r="8" ht="100" customHeight="1">
      <s:c r="A8" s="4" t="inlineStr">
        <s:is>
          <s:t xml:space="preserve">Farma</s:t>
        </s:is>
      </s:c>
      <s:c r="B8" s="4" t="inlineStr">
        <s:is>
          <s:t xml:space="preserve">Farm</s:t>
        </s:is>
      </s:c>
      <s:c r="C8" s="4" t="inlineStr">
        <s:is>
          <s:t xml:space="preserve">Produkuje zboże, które młyn przetwarza na żywność.</s:t>
        </s:is>
      </s:c>
      <s:c r="D8" s="4" t="inlineStr">
        <s:is>
          <s:t xml:space="preserve">0 / 12 × własny L</s:t>
        </s:is>
      </s:c>
      <s:c r="E8" s="4" t="inlineStr">
        <s:is>
          <s:t xml:space="preserve">20/24/26/28… szt./os./h; bufor 200L</s:t>
        </s:is>
      </s:c>
      <s:c r="F8" s="4" t="inlineStr">
        <s:is>
          <s:t xml:space="preserve">L × (72 drewna +72 kamienia +120 zboża)</s:t>
        </s:is>
      </s:c>
      <s:c r="G8" s="4" t="inlineStr">
        <s:is>
          <s:t xml:space="preserve">T</s:t>
        </s:is>
      </s:c>
      <s:c r="H8" s="4" t="inlineStr">
        <s:is>
          <s:t xml:space="preserve">Osobne postępy; magazyn lokalny i centrala</s:t>
        </s:is>
      </s:c>
    </s:row>
    <s:row r="9" ht="100" customHeight="1">
      <s:c r="A9" s="5" t="inlineStr">
        <s:is>
          <s:t xml:space="preserve">Młyn</s:t>
        </s:is>
      </s:c>
      <s:c r="B9" s="5" t="inlineStr">
        <s:is>
          <s:t xml:space="preserve">Windmill</s:t>
        </s:is>
      </s:c>
      <s:c r="C9" s="5" t="inlineStr">
        <s:is>
          <s:t xml:space="preserve">Przetwarza 2 zboża z centrali na 1 żywność dla mieszkańców.</s:t>
        </s:is>
      </s:c>
      <s:c r="D9" s="5" t="inlineStr">
        <s:is>
          <s:t xml:space="preserve">0 / 12 × własny L</s:t>
        </s:is>
      </s:c>
      <s:c r="E9" s="5" t="inlineStr">
        <s:is>
          <s:t xml:space="preserve">20/24/26/28… szt./os./h; bufor 200L</s:t>
        </s:is>
      </s:c>
      <s:c r="F9" s="5" t="inlineStr">
        <s:is>
          <s:t xml:space="preserve">2L × (72 drewna +72 kamienia +120 żywności)</s:t>
        </s:is>
      </s:c>
      <s:c r="G9" s="5" t="inlineStr">
        <s:is>
          <s:t xml:space="preserve">T</s:t>
        </s:is>
      </s:c>
      <s:c r="H9" s="5" t="inlineStr">
        <s:is>
          <s:t xml:space="preserve">Wejście pobierane przy gotowej sztuce</s:t>
        </s:is>
      </s:c>
    </s:row>
    <s:row r="10" ht="100" customHeight="1">
      <s:c r="A10" s="4" t="inlineStr">
        <s:is>
          <s:t xml:space="preserve">Kamieniołom</s:t>
        </s:is>
      </s:c>
      <s:c r="B10" s="4" t="inlineStr">
        <s:is>
          <s:t xml:space="preserve">Quarry</s:t>
        </s:is>
      </s:c>
      <s:c r="C10" s="4" t="inlineStr">
        <s:is>
          <s:t xml:space="preserve">Wydobywa kamień do rozbudowy budynków i ulepszania ścieżek.</s:t>
        </s:is>
      </s:c>
      <s:c r="D10" s="4" t="inlineStr">
        <s:is>
          <s:t xml:space="preserve">0 / 12 × własny L</s:t>
        </s:is>
      </s:c>
      <s:c r="E10" s="4" t="inlineStr">
        <s:is>
          <s:t xml:space="preserve">20/24/26/28… szt./os./h; bufor 200L</s:t>
        </s:is>
      </s:c>
      <s:c r="F10" s="4" t="inlineStr">
        <s:is>
          <s:t xml:space="preserve">2L × (72 drewna +192 kamienia)</s:t>
        </s:is>
      </s:c>
      <s:c r="G10" s="4" t="inlineStr">
        <s:is>
          <s:t xml:space="preserve">T</s:t>
        </s:is>
      </s:c>
      <s:c r="H10" s="4" t="inlineStr">
        <s:is>
          <s:t xml:space="preserve">Suma kamienia konstrukcyjnego i własnego produktu</s:t>
        </s:is>
      </s:c>
    </s:row>
    <s:row r="11" ht="100" customHeight="1">
      <s:c r="A11" s="5" t="inlineStr">
        <s:is>
          <s:t xml:space="preserve">Drwale</s:t>
        </s:is>
      </s:c>
      <s:c r="B11" s="5" t="inlineStr">
        <s:is>
          <s:t xml:space="preserve">Lumber Camp</s:t>
        </s:is>
      </s:c>
      <s:c r="C11" s="5" t="inlineStr">
        <s:is>
          <s:t xml:space="preserve">Dostarczają drewno do budowy i przetwarzania w tartaku.</s:t>
        </s:is>
      </s:c>
      <s:c r="D11" s="5" t="inlineStr">
        <s:is>
          <s:t xml:space="preserve">0 / 12 × własny L</s:t>
        </s:is>
      </s:c>
      <s:c r="E11" s="5" t="inlineStr">
        <s:is>
          <s:t xml:space="preserve">20/24/26/28… szt./os./h; bufor 200L</s:t>
        </s:is>
      </s:c>
      <s:c r="F11" s="5" t="inlineStr">
        <s:is>
          <s:t xml:space="preserve">2L × (192 drewna +72 kamienia)</s:t>
        </s:is>
      </s:c>
      <s:c r="G11" s="5" t="inlineStr">
        <s:is>
          <s:t xml:space="preserve">T</s:t>
        </s:is>
      </s:c>
      <s:c r="H11" s="5" t="inlineStr">
        <s:is>
          <s:t xml:space="preserve">Suma drewna konstrukcyjnego i własnego produktu</s:t>
        </s:is>
      </s:c>
    </s:row>
    <s:row r="12" ht="100" customHeight="1">
      <s:c r="A12" s="4" t="inlineStr">
        <s:is>
          <s:t xml:space="preserve">Tartak</s:t>
        </s:is>
      </s:c>
      <s:c r="B12" s="4" t="inlineStr">
        <s:is>
          <s:t xml:space="preserve">Sawmill</s:t>
        </s:is>
      </s:c>
      <s:c r="C12" s="4" t="inlineStr">
        <s:is>
          <s:t xml:space="preserve">Przetwarza 2 drewna z centrali na 1 deskę do budowy.</s:t>
        </s:is>
      </s:c>
      <s:c r="D12" s="4" t="inlineStr">
        <s:is>
          <s:t xml:space="preserve">0 / 12 × własny L</s:t>
        </s:is>
      </s:c>
      <s:c r="E12" s="4" t="inlineStr">
        <s:is>
          <s:t xml:space="preserve">20/24/26/28… szt./os./h; bufor 200L</s:t>
        </s:is>
      </s:c>
      <s:c r="F12" s="4" t="inlineStr">
        <s:is>
          <s:t xml:space="preserve">2L × (72 drewna +72 kamienia +120 desek)</s:t>
        </s:is>
      </s:c>
      <s:c r="G12" s="4" t="inlineStr">
        <s:is>
          <s:t xml:space="preserve">T</s:t>
        </s:is>
      </s:c>
      <s:c r="H12" s="4" t="inlineStr">
        <s:is>
          <s:t xml:space="preserve">Wejście pobierane przy gotowej sztuce</s:t>
        </s:is>
      </s:c>
    </s:row>
    <s:row r="13" ht="100" customHeight="1">
      <s:c r="A13" s="5" t="inlineStr">
        <s:is>
          <s:t xml:space="preserve">Magazyn</s:t>
        </s:is>
      </s:c>
      <s:c r="B13" s="5" t="inlineStr">
        <s:is>
          <s:t xml:space="preserve">Warehouse</s:t>
        </s:is>
      </s:c>
      <s:c r="C13" s="5" t="inlineStr">
        <s:is>
          <s:t xml:space="preserve">Przechowuje zasoby i wysyła tragarzy po produkcję oraz z materiałami na budowy.</s:t>
        </s:is>
      </s:c>
      <s:c r="D13" s="5" t="inlineStr">
        <s:is>
          <s:t xml:space="preserve">0 / 12 × własny L</s:t>
        </s:is>
      </s:c>
      <s:c r="E13" s="5" t="inlineStr">
        <s:is>
          <s:t xml:space="preserve">L1:120/kurs; pojemność ×1,5 i ładunek ×1,1 do L24, potem tylko obsada</s:t>
        </s:is>
      </s:c>
      <s:c r="F13" s="5" t="inlineStr">
        <s:is>
          <s:t xml:space="preserve">300 × L każdego z 6 zasobów</s:t>
        </s:is>
      </s:c>
      <s:c r="G13" s="5" t="inlineStr">
        <s:is>
          <s:t xml:space="preserve">T</s:t>
        </s:is>
      </s:c>
      <s:c r="H13" s="5" t="inlineStr">
        <s:is>
          <s:t xml:space="preserve">Rezerwa 50 × min(L,24); zapas bonusowy nie zajmuje limitu zwykłych dostaw</s:t>
        </s:is>
      </s:c>
    </s:row>
    <s:row r="14" ht="100" customHeight="1">
      <s:c r="A14" s="4" t="inlineStr">
        <s:is>
          <s:t xml:space="preserve">Targ</s:t>
        </s:is>
      </s:c>
      <s:c r="B14" s="4" t="inlineStr">
        <s:is>
          <s:t xml:space="preserve">Market</s:t>
        </s:is>
      </s:c>
      <s:c r="C14" s="4" t="inlineStr">
        <s:is>
          <s:t xml:space="preserve">Wymienia towary na inne w tej samej grupie z marżą 10%, od Ratusza 2.</s:t>
        </s:is>
      </s:c>
      <s:c r="D14" s="4" t="inlineStr">
        <s:is>
          <s:t xml:space="preserve">0 / 12 × własny L</s:t>
        </s:is>
      </s:c>
      <s:c r="E14" s="4" t="inlineStr">
        <s:is>
          <s:t xml:space="preserve">L1: 1000 łącznie i 120/kurs, dalej odpowiednio ×1,5 i ×1,1</s:t>
        </s:is>
      </s:c>
      <s:c r="F14" s="4" t="inlineStr">
        <s:is>
          <s:t xml:space="preserve">300 × L każdego z 6 zasobów</s:t>
        </s:is>
      </s:c>
      <s:c r="G14" s="4" t="inlineStr">
        <s:is>
          <s:t xml:space="preserve">T</s:t>
        </s:is>
      </s:c>
      <s:c r="H14" s="4" t="inlineStr">
        <s:is>
          <s:t xml:space="preserve">10 → 9; 1 h blokady; własny transport; wymiana przy 0 obsady</s:t>
        </s:is>
      </s:c>
    </s:row>
    <s:row r="15" ht="100" customHeight="1">
      <s:c r="A15" s="5" t="inlineStr">
        <s:is>
          <s:t xml:space="preserve">Port</s:t>
        </s:is>
      </s:c>
      <s:c r="B15" s="5" t="inlineStr">
        <s:is>
          <s:t xml:space="preserve">Harbor</s:t>
        </s:is>
      </s:c>
      <s:c r="C15" s="5" t="inlineStr">
        <s:is>
          <s:t xml:space="preserve">Kupuje i sprzedaje materiały za monety oraz obsługuje ich transport statkiem, od Ratusza 4.</s:t>
        </s:is>
      </s:c>
      <s:c r="D15" s="5" t="inlineStr">
        <s:is>
          <s:t xml:space="preserve">0 / 12 × własny L</s:t>
        </s:is>
      </s:c>
      <s:c r="E15" s="5" t="inlineStr">
        <s:is>
          <s:t xml:space="preserve">L1: 1000/rodzaj, 4000 łącznie, 120/kurs; potem limity ×1,5 i ładunek ×1,1</s:t>
        </s:is>
      </s:c>
      <s:c r="F15" s="5" t="inlineStr">
        <s:is>
          <s:t xml:space="preserve">400 × L każdego z 6 zasobów</s:t>
        </s:is>
      </s:c>
      <s:c r="G15" s="5" t="inlineStr">
        <s:is>
          <s:t xml:space="preserve">T</s:t>
        </s:is>
      </s:c>
      <s:c r="H15" s="5" t="inlineStr">
        <s:is>
          <s:t xml:space="preserve">Paczki 100; 2 etapy transportu; osobne partie 24 h</s:t>
        </s:is>
      </s:c>
    </s:row>
    <s:row r="16" ht="100" customHeight="1">
      <s:c r="A16" s="4" t="inlineStr">
        <s:is>
          <s:t xml:space="preserve">Kaplica</s:t>
        </s:is>
      </s:c>
      <s:c r="B16" s="4" t="inlineStr">
        <s:is>
          <s:t xml:space="preserve">Chapel</s:t>
        </s:is>
      </s:c>
      <s:c r="C16" s="4" t="inlineStr">
        <s:is>
          <s:t xml:space="preserve">Udziela błogosławieństw zapewniających zasoby i czasowe szczęście.</s:t>
        </s:is>
      </s:c>
      <s:c r="D16" s="4" t="inlineStr">
        <s:is>
          <s:t xml:space="preserve">0</s:t>
        </s:is>
      </s:c>
      <s:c r="E16" s="4" t="inlineStr">
        <s:is>
          <s:t xml:space="preserve">+10 × N pp oraz mechaniczne podatki ×2 na 10 h</s:t>
        </s:is>
      </s:c>
      <s:c r="F16" s="4" t="inlineStr">
        <s:is>
          <s:t xml:space="preserve">N × (180 monet +20 drewna +60 kamienia +10 desek)</s:t>
        </s:is>
      </s:c>
      <s:c r="G16" s="4" t="inlineStr">
        <s:is>
          <s:t xml:space="preserve">3T × (N−1)</s:t>
        </s:is>
      </s:c>
      <s:c r="H16" s="4" t="inlineStr">
        <s:is>
          <s:t xml:space="preserve">1 darmowe/dzień Warszawy; płatne/reklamowe 4 h od końca; opieka odL3</s:t>
        </s:is>
      </s:c>
    </s:row>
    <s:row r="17" ht="100" customHeight="1">
      <s:c r="A17" s="5" t="inlineStr">
        <s:is>
          <s:t xml:space="preserve">Latarnia</s:t>
        </s:is>
      </s:c>
      <s:c r="B17" s="5" t="inlineStr">
        <s:is>
          <s:t xml:space="preserve">Lighthouse</s:t>
        </s:is>
      </s:c>
      <s:c r="C17" s="5" t="inlineStr">
        <s:is>
          <s:t xml:space="preserve">Nagradza odbudowę premiami i oferuje wizyty podnoszące szczęście mieszkańców.</s:t>
        </s:is>
      </s:c>
      <s:c r="D17" s="5" t="inlineStr">
        <s:is>
          <s:t xml:space="preserve">0</s:t>
        </s:is>
      </s:c>
      <s:c r="E17" s="5" t="inlineStr">
        <s:is>
          <s:t xml:space="preserve">100% H i produkcja ×2 przez 24 h × N</s:t>
        </s:is>
      </s:c>
      <s:c r="F17" s="5" t="inlineStr">
        <s:is>
          <s:t xml:space="preserve">500 × max(1,L) każdego z 6 zasobów</s:t>
        </s:is>
      </s:c>
      <s:c r="G17" s="5" t="inlineStr">
        <s:is>
          <s:t xml:space="preserve">4T</s:t>
        </s:is>
      </s:c>
      <s:c r="H17" s="5" t="inlineStr">
        <s:is>
          <s:t xml:space="preserve">Poziom 0: Ruiny; własne nazwy 1–100; wizyty 4 h, osobiste 24 h, grupa +10 pp/6 h</s:t>
        </s:is>
      </s:c>
    </s:row>
  </s:sheetData>
  <s:autoFilter ref="A5:H17"/>
  <s:mergeCells count="2">
    <s:mergeCell ref="A1:H1"/>
    <s:mergeCell ref="A2:H2"/>
  </s:mergeCells>
  <s:pageMargins left="0.25" right="0.25" top="0.5" bottom="0.5" header="0.2" footer="0.2"/>
  <s:pageSetup orientation="landscape" paperSize="8" fitToWidth="1" fitToHeight="0"/>
</s:worksheet>
</file>

<file path=xl/worksheets/sheet62.xml><?xml version="1.0" encoding="utf-8"?>
<s:worksheet xmlns:s="http://schemas.openxmlformats.org/spreadsheetml/2006/main">
  <s:sheetPr/>
  <s:dimension ref="A1:D20"/>
  <s:sheetViews>
    <s:sheetView workbookViewId="0" tabSelected="0">
      <s:pane ySplit="5" xSplit="0" topLeftCell="A6" activePane="bottomLeft" state="frozen"/>
    </s:sheetView>
  </s:sheetViews>
  <s:sheetFormatPr defaultRowHeight="22"/>
  <s:cols>
    <s:col min="1" max="1" width="16" customWidth="1"/>
    <s:col min="2" max="2" width="48" customWidth="1"/>
    <s:col min="3" max="3" width="134" customWidth="1"/>
    <s:col min="4" max="4" width="42" customWidth="1"/>
  </s:cols>
  <s:sheetData>
    <s:row r="1" ht="34" customHeight="1">
      <s:c r="A1" s="1" t="inlineStr">
        <s:is>
          <s:t xml:space="preserve">DO DECYZJI V11 · stan wydania i rzeczy do podłączenia</s:t>
        </s:is>
      </s:c>
    </s:row>
    <s:row r="2" ht="76" customHeight="1">
      <s:c r="A2" s="2" t="inlineStr">
        <s:is>
          <s:t xml:space="preserve">Nie otwieramy ponownie zatwierdzonych decyzji. Parametry wdrożeniowe są jawne; kod i mock nie oznaczają konfiguracji dostawcy. Nowy zakres tej partii jest DEV do osobnych testów i promocji; regulaminy są robocze, operator Loremipsum.</s:t>
        </s:is>
      </s:c>
    </s:row>
    <s:row r="5" ht="34" customHeight="1">
      <s:c r="A5" s="3" t="inlineStr">
        <s:is>
          <s:t xml:space="preserve">ID</s:t>
        </s:is>
      </s:c>
      <s:c r="B5" s="3" t="inlineStr">
        <s:is>
          <s:t xml:space="preserve">Obszar</s:t>
        </s:is>
      </s:c>
      <s:c r="C5" s="3" t="inlineStr">
        <s:is>
          <s:t xml:space="preserve">Co jest ustalone / co pozostaje</s:t>
        </s:is>
      </s:c>
      <s:c r="D5" s="3" t="inlineStr">
        <s:is>
          <s:t xml:space="preserve">Stan</s:t>
        </s:is>
      </s:c>
    </s:row>
    <s:row r="6" ht="86" customHeight="1">
      <s:c r="A6" s="4" t="inlineStr">
        <s:is>
          <s:t xml:space="preserve">REL-01</s:t>
        </s:is>
      </s:c>
      <s:c r="B6" s="4" t="inlineStr">
        <s:is>
          <s:t xml:space="preserve">Opublikowane PRE-PROD</s:t>
        </s:is>
      </s:c>
      <s:c r="C6" s="4" t="inlineStr">
        <s:is>
          <s:t xml:space="preserve">v18 / 6ec3c6d; pełne CI 41111528800 i udane wdrożenie 41112673285. Gra https://harborlight-dev.web.app; oba artefakty wydania zachowane.</s:t>
        </s:is>
      </s:c>
      <s:c r="D6" s="4" t="inlineStr">
        <s:is>
          <s:t xml:space="preserve">POTWIERDZONE 30.10.2026</s:t>
        </s:is>
      </s:c>
    </s:row>
    <s:row r="7" ht="86" customHeight="1">
      <s:c r="A7" s="5" t="inlineStr">
        <s:is>
          <s:t xml:space="preserve">REL-02</s:t>
        </s:is>
      </s:c>
      <s:c r="B7" s="5" t="inlineStr">
        <s:is>
          <s:t xml:space="preserve">PROD i domena</s:t>
        </s:is>
      </s:c>
      <s:c r="C7" s="5" t="inlineStr">
        <s:is>
          <s:t xml:space="preserve">harborlight-prod / harborlight.pl nie mają potwierdzonego wydania. Wymagana promocja tych samych artefaktów oraz wcześniejszy odbiór API/kont na PRE-PROD.</s:t>
        </s:is>
      </s:c>
      <s:c r="D7" s="5" t="inlineStr">
        <s:is>
          <s:t xml:space="preserve">NIE OPUBLIKOWANO</s:t>
        </s:is>
      </s:c>
    </s:row>
    <s:row r="8" ht="86" customHeight="1">
      <s:c r="A8" s="4" t="inlineStr">
        <s:is>
          <s:t xml:space="preserve">NEW-01</s:t>
        </s:is>
      </s:c>
      <s:c r="B8" s="4" t="inlineStr">
        <s:is>
          <s:t xml:space="preserve">Wylogowanie w Ustawieniach</s:t>
        </s:is>
      </s:c>
      <s:c r="C8" s="4" t="inlineStr">
        <s:is>
          <s:t xml:space="preserve">Żądany bezpośredni przycisk korzystający z bezpiecznego przepływu zapisu/sesji. Nie resetować admin1 ani innych stałych kont.</s:t>
        </s:is>
      </s:c>
      <s:c r="D8" s="4" t="inlineStr">
        <s:is>
          <s:t xml:space="preserve">NOWY DEV · DO ODBIORU</s:t>
        </s:is>
      </s:c>
    </s:row>
    <s:row r="9" ht="86" customHeight="1">
      <s:c r="A9" s="5" t="inlineStr">
        <s:is>
          <s:t xml:space="preserve">NEW-02</s:t>
        </s:is>
      </s:c>
      <s:c r="B9" s="5" t="inlineStr">
        <s:is>
          <s:t xml:space="preserve">Regulamin i prywatność</s:t>
        </s:is>
      </s:c>
      <s:c r="C9" s="5" t="inlineStr">
        <s:is>
          <s:t xml:space="preserve">Robocze dokumenty z operatorem Loremipsum; właściciel uzupełni dane i przejrzy treść. Wersjonowana akceptacja regulaminu i potwierdzenie zapoznania się z polityką przy rejestracji, także nowy OAuth.</s:t>
        </s:is>
      </s:c>
      <s:c r="D9" s="5" t="inlineStr">
        <s:is>
          <s:t xml:space="preserve">SZKIC · NOWY DEV</s:t>
        </s:is>
      </s:c>
    </s:row>
    <s:row r="10" ht="86" customHeight="1">
      <s:c r="A10" s="4" t="inlineStr">
        <s:is>
          <s:t xml:space="preserve">EXT-01</s:t>
        </s:is>
      </s:c>
      <s:c r="B10" s="4" t="inlineStr">
        <s:is>
          <s:t xml:space="preserve">Google i Facebook OAuth</s:t>
        </s:is>
      </s:c>
      <s:c r="C10" s="4" t="inlineStr">
        <s:is>
          <s:t xml:space="preserve">Kod korzysta z Firebase/SDK i wymaga aktywacji dostawców/domen przez właściciela. PRE-PROD zachowuje tylko trzy UID, łączenie dostawcy nie tworzy nowej wyspy.</s:t>
        </s:is>
      </s:c>
      <s:c r="D10" s="4" t="inlineStr">
        <s:is>
          <s:t xml:space="preserve">KONFIGURACJA WŁAŚCICIELSKA</s:t>
        </s:is>
      </s:c>
    </s:row>
    <s:row r="11" ht="86" customHeight="1">
      <s:c r="A11" s="5" t="inlineStr">
        <s:is>
          <s:t xml:space="preserve">EXT-02</s:t>
        </s:is>
      </s:c>
      <s:c r="B11" s="5" t="inlineStr">
        <s:is>
          <s:t xml:space="preserve">Paynow</s:t>
        </s:is>
      </s:c>
      <s:c r="C11" s="5" t="inlineStr">
        <s:is>
          <s:t xml:space="preserve">Operator wybrany. Obecnie wyraźna symulacja DEV/PRE-PROD, bez pobierania pieniędzy; rzeczywista sprzedaż po założeniu JDG i integracji zaufanych potwierdzeń.</s:t>
        </s:is>
      </s:c>
      <s:c r="D11" s="5" t="inlineStr">
        <s:is>
          <s:t xml:space="preserve">REALNE PŁATNOŚCI WYŁĄCZONE</s:t>
        </s:is>
      </s:c>
    </s:row>
    <s:row r="12" ht="86" customHeight="1">
      <s:c r="A12" s="4" t="inlineStr">
        <s:is>
          <s:t xml:space="preserve">EXT-03</s:t>
        </s:is>
      </s:c>
      <s:c r="B12" s="4" t="inlineStr">
        <s:is>
          <s:t xml:space="preserve">Reklamy</s:t>
        </s:is>
      </s:c>
      <s:c r="C12" s="4" t="inlineStr">
        <s:is>
          <s:t xml:space="preserve">Zasady i symulacja są w kodzie; rzeczywista sieć reklamowa i potwierdzenie obejrzenia wymagają konfiguracji. Nie przyznawać produkcyjnej nagrody za klientowe verified:true.</s:t>
        </s:is>
      </s:c>
      <s:c r="D12" s="4" t="inlineStr">
        <s:is>
          <s:t xml:space="preserve">DOSTAWCA NIEPOTWIERDZONY</s:t>
        </s:is>
      </s:c>
    </s:row>
    <s:row r="13" ht="86" customHeight="1">
      <s:c r="A13" s="5" t="inlineStr">
        <s:is>
          <s:t xml:space="preserve">EXT-04</s:t>
        </s:is>
      </s:c>
      <s:c r="B13" s="5" t="inlineStr">
        <s:is>
          <s:t xml:space="preserve">API kont, kody i retencja</s:t>
        </s:is>
      </s:c>
      <s:c r="C13" s="5" t="inlineStr">
        <s:is>
          <s:t xml:space="preserve">Kod serwera oraz routing istnieją, ale rzeczywistą aktywację flagi i IAM trzeba potwierdzić. Sam sukces PRE-PROD nie oznacza włączenia wszystkich funkcji i dostawców.</s:t>
        </s:is>
      </s:c>
      <s:c r="D13" s="5" t="inlineStr">
        <s:is>
          <s:t xml:space="preserve">AKTYWACJA DO WERYFIKACJI</s:t>
        </s:is>
      </s:c>
    </s:row>
    <s:row r="14" ht="86" customHeight="1">
      <s:c r="A14" s="4" t="inlineStr">
        <s:is>
          <s:t xml:space="preserve">SOC-01</s:t>
        </s:is>
      </s:c>
      <s:c r="B14" s="4" t="inlineStr">
        <s:is>
          <s:t xml:space="preserve">Publikacje strony i powiadomienia FB</s:t>
        </s:is>
      </s:c>
      <s:c r="C14" s="4" t="inlineStr">
        <s:is>
          <s:t xml:space="preserve">Użytkownik inicjuje i zatwierdza udostępnienie osiągnięcia. Automatyczne posty strony gry i osobisty push FB są odłożone.</s:t>
        </s:is>
      </s:c>
      <s:c r="D14" s="4" t="inlineStr">
        <s:is>
          <s:t xml:space="preserve">ODŁOŻONE</s:t>
        </s:is>
      </s:c>
    </s:row>
    <s:row r="15" ht="86" customHeight="1">
      <s:c r="A15" s="5" t="inlineStr">
        <s:is>
          <s:t xml:space="preserve">SOC-02</s:t>
        </s:is>
      </s:c>
      <s:c r="B15" s="5" t="inlineStr">
        <s:is>
          <s:t xml:space="preserve">Zweryfikowane publikacje i polecenia</s:t>
        </s:is>
      </s:c>
      <s:c r="C15" s="5" t="inlineStr">
        <s:is>
          <s:t xml:space="preserve">Punkty integracji nie są potwierdzeniem rzeczywistego posta ani polecenia. Nie wypłacać premii tylko za otwarcie formularza.</s:t>
        </s:is>
      </s:c>
      <s:c r="D15" s="5" t="inlineStr">
        <s:is>
          <s:t xml:space="preserve">NIEPODŁĄCZONE</s:t>
        </s:is>
      </s:c>
    </s:row>
    <s:row r="16" ht="86" customHeight="1">
      <s:c r="A16" s="4" t="inlineStr">
        <s:is>
          <s:t xml:space="preserve">BAL-01</s:t>
        </s:is>
      </s:c>
      <s:c r="B16" s="4" t="inlineStr">
        <s:is>
          <s:t xml:space="preserve">Dodatkowy czas</s:t>
        </s:is>
      </s:c>
      <s:c r="C16" s="4" t="inlineStr">
        <s:is>
          <s:t xml:space="preserve">Aktualny jawny dobór wdrożeniowy: +30 s za 10 monet, maks.2/rundę; reklama +60 s raz. Wartości mogą być później strojone bez twierdzenia, że były historycznie wybraną ceną.</s:t>
        </s:is>
      </s:c>
      <s:c r="D16" s="4" t="inlineStr">
        <s:is>
          <s:t xml:space="preserve">USTAWIENIE PROJEKTU</s:t>
        </s:is>
      </s:c>
    </s:row>
    <s:row r="17" ht="86" customHeight="1">
      <s:c r="A17" s="5" t="inlineStr">
        <s:is>
          <s:t xml:space="preserve">BAL-02</s:t>
        </s:is>
      </s:c>
      <s:c r="B17" s="5" t="inlineStr">
        <s:is>
          <s:t xml:space="preserve">Wagi wraków</s:t>
        </s:is>
      </s:c>
      <s:c r="C17" s="5" t="inlineStr">
        <s:is>
          <s:t xml:space="preserve">Skarb30%, zwrot20%, materiały25%, rozbitek10%, nawóz15%; negatywne plaga10%, pozostałe po30%. Są to jawne wartości konfiguracji projektu.</s:t>
        </s:is>
      </s:c>
      <s:c r="D17" s="5" t="inlineStr">
        <s:is>
          <s:t xml:space="preserve">USTAWIENIE PROJEKTU</s:t>
        </s:is>
      </s:c>
    </s:row>
    <s:row r="18" ht="86" customHeight="1">
      <s:c r="A18" s="4" t="inlineStr">
        <s:is>
          <s:t xml:space="preserve">GCP-01</s:t>
        </s:is>
      </s:c>
      <s:c r="B18" s="4" t="inlineStr">
        <s:is>
          <s:t xml:space="preserve">Plan alertu 100 USD miesięcznie</s:t>
        </s:is>
      </s:c>
      <s:c r="C18" s="4" t="inlineStr">
        <s:is>
          <s:t xml:space="preserve">Żądany budżet alertowy: 100 USD miesięcznie łącznie dla harborlight-dev i harborlight-prod. Przygotowanie konfiguracji w DEV nie potwierdza zastosowania w GCP; standardowy budżet sam nie odcina usług ani nie limituje faktury. Bieżące naliczenia pozostają prywatnym odczytem właściciela.</s:t>
        </s:is>
      </s:c>
      <s:c r="D18" s="4" t="inlineStr">
        <s:is>
          <s:t xml:space="preserve">NOWY DEV · DO ZASTOSOWANIA I ODBIORU</s:t>
        </s:is>
      </s:c>
    </s:row>
    <s:row r="19" ht="86" customHeight="1">
      <s:c r="A19" s="5" t="inlineStr">
        <s:is>
          <s:t xml:space="preserve">AUDIO-01</s:t>
        </s:is>
      </s:c>
      <s:c r="B19" s="5" t="inlineStr">
        <s:is>
          <s:t xml:space="preserve">Muzyka</s:t>
        </s:is>
      </s:c>
      <s:c r="C19" s="5" t="inlineStr">
        <s:is>
          <s:t xml:space="preserve">Wybór/licencja utworu i zakup pozostają do ustalenia. Arkusz nie oznacza zakupu licencji ani wdrożonego podkładu.</s:t>
        </s:is>
      </s:c>
      <s:c r="D19" s="5" t="inlineStr">
        <s:is>
          <s:t xml:space="preserve">NOWE PYTANIE · POZA MECHANIKĄ</s:t>
        </s:is>
      </s:c>
    </s:row>
    <s:row r="20" ht="86" customHeight="1">
      <s:c r="A20" s="4" t="inlineStr">
        <s:is>
          <s:t xml:space="preserve">ROAD-01</s:t>
        </s:is>
      </s:c>
      <s:c r="B20" s="4" t="inlineStr">
        <s:is>
          <s:t xml:space="preserve">Dalszy rozwój</s:t>
        </s:is>
      </s:c>
      <s:c r="C20" s="4" t="inlineStr">
        <s:is>
          <s:t xml:space="preserve">Osobna modlitwa, błogosławieństwa za social/wyzwania, serwerowa autorytatywna gospodarka, AR i planszówka pozostają odłożone.</s:t>
        </s:is>
      </s:c>
      <s:c r="D20" s="4" t="inlineStr">
        <s:is>
          <s:t xml:space="preserve">ODŁOŻONE</s:t>
        </s:is>
      </s:c>
    </s:row>
  </s:sheetData>
  <s:autoFilter ref="A5:D20"/>
  <s:mergeCells count="2">
    <s:mergeCell ref="A1:D1"/>
    <s:mergeCell ref="A2:D2"/>
  </s:mergeCells>
  <s:pageMargins left="0.25" right="0.25" top="0.5" bottom="0.5" header="0.2" footer="0.2"/>
  <s:pageSetup orientation="landscape" paperSize="8" fitToWidth="1" fitToHeight="0"/>
</s:worksheet>
</file>

<file path=xl/worksheets/sheet63.xml><?xml version="1.0" encoding="utf-8"?>
<s:worksheet xmlns:s="http://schemas.openxmlformats.org/spreadsheetml/2006/main">
  <s:sheetPr/>
  <s:dimension ref="A1:E93"/>
  <s:sheetViews>
    <s:sheetView workbookViewId="0" tabSelected="0">
      <s:pane ySplit="5" xSplit="0" topLeftCell="A6" activePane="bottomLeft" state="frozen"/>
    </s:sheetView>
  </s:sheetViews>
  <s:sheetFormatPr defaultRowHeight="22"/>
  <s:cols>
    <s:col min="1" max="1" width="26" customWidth="1"/>
    <s:col min="2" max="2" width="58" customWidth="1"/>
    <s:col min="3" max="3" width="28" customWidth="1"/>
    <s:col min="4" max="4" width="24" customWidth="1"/>
    <s:col min="5" max="5" width="108" customWidth="1"/>
  </s:cols>
  <s:sheetData>
    <s:row r="1" ht="34" customHeight="1">
      <s:c r="A1" s="1" t="inlineStr">
        <s:is>
          <s:t xml:space="preserve">KALKULATOR V11 · zmienne i wynik</s:t>
        </s:is>
      </s:c>
    </s:row>
    <s:row r="2" ht="76" customHeight="1">
      <s:c r="A2" s="2" t="inlineStr">
        <s:is>
          <s:t xml:space="preserve">Niebieskie pola są wejściami. Wyniki są przykładami, nie odczytem konta ani rachunku GCP. Nowe formuły mają zapisane, niezależnie zweryfikowane wyniki początkowe; Excel przelicza je po zmianie wejść. Archiwalne formuły i ich zapisane wyniki z Excela 10 pozostają nienaruszone.</s:t>
        </s:is>
      </s:c>
    </s:row>
    <s:row r="5" ht="34" customHeight="1">
      <s:c r="A5" s="3" t="inlineStr">
        <s:is>
          <s:t xml:space="preserve">Obszar</s:t>
        </s:is>
      </s:c>
      <s:c r="B5" s="3" t="inlineStr">
        <s:is>
          <s:t xml:space="preserve">Parametr / wynik</s:t>
        </s:is>
      </s:c>
      <s:c r="C5" s="3" t="inlineStr">
        <s:is>
          <s:t xml:space="preserve">Wartość</s:t>
        </s:is>
      </s:c>
      <s:c r="D5" s="3" t="inlineStr">
        <s:is>
          <s:t xml:space="preserve">Jednostka</s:t>
        </s:is>
      </s:c>
      <s:c r="E5" s="3" t="inlineStr">
        <s:is>
          <s:t xml:space="preserve">Znaczenie / ograniczenie</s:t>
        </s:is>
      </s:c>
    </s:row>
    <s:row r="6" ht="28" customHeight="1">
      <s:c r="A6" s="3" t="inlineStr">
        <s:is>
          <s:t xml:space="preserve">Produkcja i przewóz — model Farmy / Magazynu</s:t>
        </s:is>
      </s:c>
      <s:c r="B6" s="3"/>
      <s:c r="C6" s="3"/>
      <s:c r="D6" s="3"/>
      <s:c r="E6" s="3"/>
    </s:row>
    <s:row r="7" ht="42" customHeight="1">
      <s:c r="A7" s="5" t="inlineStr">
        <s:is>
          <s:t xml:space="preserve">Wejście</s:t>
        </s:is>
      </s:c>
      <s:c r="B7" s="5" t="inlineStr">
        <s:is>
          <s:t xml:space="preserve">Poziom producenta</s:t>
        </s:is>
      </s:c>
      <s:c r="C7" s="6">
        <s:v>1</s:v>
      </s:c>
      <s:c r="D7" s="5" t="inlineStr">
        <s:is>
          <s:t xml:space="preserve">1…100</s:t>
        </s:is>
      </s:c>
      <s:c r="E7" s="5" t="inlineStr">
        <s:is>
          <s:t xml:space="preserve"/>
        </s:is>
      </s:c>
    </s:row>
    <s:row r="8" ht="42" customHeight="1">
      <s:c r="A8" s="4" t="inlineStr">
        <s:is>
          <s:t xml:space="preserve">Wejście</s:t>
        </s:is>
      </s:c>
      <s:c r="B8" s="4" t="inlineStr">
        <s:is>
          <s:t xml:space="preserve">Poziom Magazynu</s:t>
        </s:is>
      </s:c>
      <s:c r="C8" s="6">
        <s:v>1</s:v>
      </s:c>
      <s:c r="D8" s="4" t="inlineStr">
        <s:is>
          <s:t xml:space="preserve">1…100</s:t>
        </s:is>
      </s:c>
      <s:c r="E8" s="4" t="inlineStr">
        <s:is>
          <s:t xml:space="preserve"/>
        </s:is>
      </s:c>
    </s:row>
    <s:row r="9" ht="42" customHeight="1">
      <s:c r="A9" s="5" t="inlineStr">
        <s:is>
          <s:t xml:space="preserve">Wejście</s:t>
        </s:is>
      </s:c>
      <s:c r="B9" s="5" t="inlineStr">
        <s:is>
          <s:t xml:space="preserve">Pełny poziom wszystkich dróg</s:t>
        </s:is>
      </s:c>
      <s:c r="C9" s="6">
        <s:v>0</s:v>
      </s:c>
      <s:c r="D9" s="5" t="inlineStr">
        <s:is>
          <s:t xml:space="preserve">0…5</s:t>
        </s:is>
      </s:c>
      <s:c r="E9" s="5" t="inlineStr">
        <s:is>
          <s:t xml:space="preserve"/>
        </s:is>
      </s:c>
    </s:row>
    <s:row r="10" ht="42" customHeight="1">
      <s:c r="A10" s="4" t="inlineStr">
        <s:is>
          <s:t xml:space="preserve">Wejście</s:t>
        </s:is>
      </s:c>
      <s:c r="B10" s="4" t="inlineStr">
        <s:is>
          <s:t xml:space="preserve">Pracujący tragarze</s:t>
        </s:is>
      </s:c>
      <s:c r="C10" s="6">
        <s:v>6</s:v>
      </s:c>
      <s:c r="D10" s="4" t="inlineStr">
        <s:is>
          <s:t xml:space="preserve">osób</s:t>
        </s:is>
      </s:c>
      <s:c r="E10" s="4" t="inlineStr">
        <s:is>
          <s:t xml:space="preserve"/>
        </s:is>
      </s:c>
    </s:row>
    <s:row r="11" ht="42" customHeight="1">
      <s:c r="A11" s="5" t="inlineStr">
        <s:is>
          <s:t xml:space="preserve">Wejście</s:t>
        </s:is>
      </s:c>
      <s:c r="B11" s="5" t="inlineStr">
        <s:is>
          <s:t xml:space="preserve">Mnożnik wyżywienia</s:t>
        </s:is>
      </s:c>
      <s:c r="C11" s="6">
        <s:v>1</s:v>
      </s:c>
      <s:c r="D11" s="5" t="inlineStr">
        <s:is>
          <s:t xml:space="preserve">1 lub 0,5</s:t>
        </s:is>
      </s:c>
      <s:c r="E11" s="5" t="inlineStr">
        <s:is>
          <s:t xml:space="preserve"/>
        </s:is>
      </s:c>
    </s:row>
    <s:row r="12" ht="42" customHeight="1">
      <s:c r="A12" s="4" t="inlineStr">
        <s:is>
          <s:t xml:space="preserve">Wejście</s:t>
        </s:is>
      </s:c>
      <s:c r="B12" s="4" t="inlineStr">
        <s:is>
          <s:t xml:space="preserve">Mnożnik rzeczywistej aktywności</s:t>
        </s:is>
      </s:c>
      <s:c r="C12" s="6">
        <s:v>2</s:v>
      </s:c>
      <s:c r="D12" s="4" t="inlineStr">
        <s:is>
          <s:t xml:space="preserve">2 / 1 / 0,5</s:t>
        </s:is>
      </s:c>
      <s:c r="E12" s="4" t="inlineStr">
        <s:is>
          <s:t xml:space="preserve"/>
        </s:is>
      </s:c>
    </s:row>
    <s:row r="13" ht="42" customHeight="1">
      <s:c r="A13" s="5" t="inlineStr">
        <s:is>
          <s:t xml:space="preserve">Wejście</s:t>
        </s:is>
      </s:c>
      <s:c r="B13" s="5" t="inlineStr">
        <s:is>
          <s:t xml:space="preserve">Premia produkcji Latarni</s:t>
        </s:is>
      </s:c>
      <s:c r="C13" s="6">
        <s:v>1</s:v>
      </s:c>
      <s:c r="D13" s="5" t="inlineStr">
        <s:is>
          <s:t xml:space="preserve">1 albo 2</s:t>
        </s:is>
      </s:c>
      <s:c r="E13" s="5" t="inlineStr">
        <s:is>
          <s:t xml:space="preserve"/>
        </s:is>
      </s:c>
    </s:row>
    <s:row r="14" ht="42" customHeight="1">
      <s:c r="A14" s="4" t="inlineStr">
        <s:is>
          <s:t xml:space="preserve">Wejście</s:t>
        </s:is>
      </s:c>
      <s:c r="B14" s="4" t="inlineStr">
        <s:is>
          <s:t xml:space="preserve">Premia Farmy z nawozu</s:t>
        </s:is>
      </s:c>
      <s:c r="C14" s="6">
        <s:v>1</s:v>
      </s:c>
      <s:c r="D14" s="4" t="inlineStr">
        <s:is>
          <s:t xml:space="preserve">1 albo 1,25</s:t>
        </s:is>
      </s:c>
      <s:c r="E14" s="4" t="inlineStr">
        <s:is>
          <s:t xml:space="preserve"/>
        </s:is>
      </s:c>
    </s:row>
    <s:row r="15" ht="42" customHeight="1">
      <s:c r="A15" s="5" t="inlineStr">
        <s:is>
          <s:t xml:space="preserve">Wejście</s:t>
        </s:is>
      </s:c>
      <s:c r="B15" s="5" t="inlineStr">
        <s:is>
          <s:t xml:space="preserve">Mnożnik drogi uszkodzonej we wraku</s:t>
        </s:is>
      </s:c>
      <s:c r="C15" s="6">
        <s:v>1</s:v>
      </s:c>
      <s:c r="D15" s="5" t="inlineStr">
        <s:is>
          <s:t xml:space="preserve">0,5…1</s:t>
        </s:is>
      </s:c>
      <s:c r="E15" s="5" t="inlineStr">
        <s:is>
          <s:t xml:space="preserve"/>
        </s:is>
      </s:c>
    </s:row>
    <s:row r="17" ht="42" customHeight="1">
      <s:c r="A17" s="5" t="inlineStr">
        <s:is>
          <s:t xml:space="preserve">Produkcja</s:t>
        </s:is>
      </s:c>
      <s:c r="B17" s="5" t="inlineStr">
        <s:is>
          <s:t xml:space="preserve">Bazowa wydajność jednego pracownika</s:t>
        </s:is>
      </s:c>
      <s:c r="C17" s="5">
        <s:f>IF(C7=1,20,2*(C7+10))</s:f>
        <s:v>20</s:v>
      </s:c>
      <s:c r="D17" s="5" t="inlineStr">
        <s:is>
          <s:t xml:space="preserve">szt./h</s:t>
        </s:is>
      </s:c>
      <s:c r="E17" s="5" t="inlineStr">
        <s:is>
          <s:t xml:space="preserve">Bez mnożników; rzeczywisty eksport productionRate.</s:t>
        </s:is>
      </s:c>
    </s:row>
    <s:row r="18" ht="42" customHeight="1">
      <s:c r="A18" s="4" t="inlineStr">
        <s:is>
          <s:t xml:space="preserve">Produkcja</s:t>
        </s:is>
      </s:c>
      <s:c r="B18" s="4" t="inlineStr">
        <s:is>
          <s:t xml:space="preserve">Wydajność pracownika Farmy po mnożnikach</s:t>
        </s:is>
      </s:c>
      <s:c r="C18" s="4">
        <s:f>C17*C11*C12*C13*C14</s:f>
        <s:v>40</s:v>
      </s:c>
      <s:c r="D18" s="4" t="inlineStr">
        <s:is>
          <s:t xml:space="preserve">szt./h</s:t>
        </s:is>
      </s:c>
      <s:c r="E18" s="4" t="inlineStr">
        <s:is>
          <s:t xml:space="preserve">Nawóz dotyczy tylko Farmy; przestój i brak pracowników mogą obniżyć realizację.</s:t>
        </s:is>
      </s:c>
    </s:row>
    <s:row r="19" ht="42" customHeight="1">
      <s:c r="A19" s="5" t="inlineStr">
        <s:is>
          <s:t xml:space="preserve">Produkcja</s:t>
        </s:is>
      </s:c>
      <s:c r="B19" s="5" t="inlineStr">
        <s:is>
          <s:t xml:space="preserve">Limit obsady tego poziomu producenta</s:t>
        </s:is>
      </s:c>
      <s:c r="C19" s="5">
        <s:f>12*C7</s:f>
        <s:v>12</s:v>
      </s:c>
      <s:c r="D19" s="5" t="inlineStr">
        <s:is>
          <s:t xml:space="preserve">osób</s:t>
        </s:is>
      </s:c>
      <s:c r="E19" s="5" t="inlineStr">
        <s:is>
          <s:t xml:space="preserve"/>
        </s:is>
      </s:c>
    </s:row>
    <s:row r="20" ht="42" customHeight="1">
      <s:c r="A20" s="4" t="inlineStr">
        <s:is>
          <s:t xml:space="preserve">Produkcja</s:t>
        </s:is>
      </s:c>
      <s:c r="B20" s="4" t="inlineStr">
        <s:is>
          <s:t xml:space="preserve">Bufor lokalny producenta</s:t>
        </s:is>
      </s:c>
      <s:c r="C20" s="4">
        <s:f>200*C7</s:f>
        <s:v>200</s:v>
      </s:c>
      <s:c r="D20" s="4" t="inlineStr">
        <s:is>
          <s:t xml:space="preserve">szt.</s:t>
        </s:is>
      </s:c>
      <s:c r="E20" s="4" t="inlineStr">
        <s:is>
          <s:t xml:space="preserve"/>
        </s:is>
      </s:c>
    </s:row>
    <s:row r="22" ht="42" customHeight="1">
      <s:c r="A22" s="4" t="inlineStr">
        <s:is>
          <s:t xml:space="preserve">Magazyn</s:t>
        </s:is>
      </s:c>
      <s:c r="B22" s="4" t="inlineStr">
        <s:is>
          <s:t xml:space="preserve">Efektywny poziom dla ładunku i rezerwy</s:t>
        </s:is>
      </s:c>
      <s:c r="C22" s="4">
        <s:f>MIN(C8,24)</s:f>
        <s:v>1</s:v>
      </s:c>
      <s:c r="D22" s="4" t="inlineStr">
        <s:is>
          <s:t xml:space="preserve">poziom</s:t>
        </s:is>
      </s:c>
      <s:c r="E22" s="4" t="inlineStr">
        <s:is>
          <s:t xml:space="preserve">Po L24 nadal rośnie limit pracowników, lecz nie ładunek/pojemność/rezerwa.</s:t>
        </s:is>
      </s:c>
    </s:row>
    <s:row r="23" ht="42" customHeight="1">
      <s:c r="A23" s="5" t="inlineStr">
        <s:is>
          <s:t xml:space="preserve">Magazyn</s:t>
        </s:is>
      </s:c>
      <s:c r="B23" s="5" t="inlineStr">
        <s:is>
          <s:t xml:space="preserve">Bazowy ładunek przed drogami</s:t>
        </s:is>
      </s:c>
      <s:c r="C23" s="5">
        <s:f>ROUNDDOWN(120*1.1^(C22-1),0)</s:f>
        <s:v>120</s:v>
      </s:c>
      <s:c r="D23" s="5" t="inlineStr">
        <s:is>
          <s:t xml:space="preserve">szt./kurs</s:t>
        </s:is>
      </s:c>
      <s:c r="E23" s="5" t="inlineStr">
        <s:is>
          <s:t xml:space="preserve"/>
        </s:is>
      </s:c>
    </s:row>
    <s:row r="24" ht="42" customHeight="1">
      <s:c r="A24" s="4" t="inlineStr">
        <s:is>
          <s:t xml:space="preserve">Magazyn</s:t>
        </s:is>
      </s:c>
      <s:c r="B24" s="4" t="inlineStr">
        <s:is>
          <s:t xml:space="preserve">Ładunek po premii dróg</s:t>
        </s:is>
      </s:c>
      <s:c r="C24" s="4">
        <s:f>ROUNDDOWN(C23*(1+0.1*MAX(0,C9-2)),0)</s:f>
        <s:v>120</s:v>
      </s:c>
      <s:c r="D24" s="4" t="inlineStr">
        <s:is>
          <s:t xml:space="preserve">szt./kurs</s:t>
        </s:is>
      </s:c>
      <s:c r="E24" s="4" t="inlineStr">
        <s:is>
          <s:t xml:space="preserve"/>
        </s:is>
      </s:c>
    </s:row>
    <s:row r="25" ht="42" customHeight="1">
      <s:c r="A25" s="5" t="inlineStr">
        <s:is>
          <s:t xml:space="preserve">Magazyn</s:t>
        </s:is>
      </s:c>
      <s:c r="B25" s="5" t="inlineStr">
        <s:is>
          <s:t xml:space="preserve">Mnożnik szybkości dróg</s:t>
        </s:is>
      </s:c>
      <s:c r="C25" s="5">
        <s:f>1+0.1*C9</s:f>
        <s:v>1</s:v>
      </s:c>
      <s:c r="D25" s="5" t="inlineStr">
        <s:is>
          <s:t xml:space="preserve">×</s:t>
        </s:is>
      </s:c>
      <s:c r="E25" s="5" t="inlineStr">
        <s:is>
          <s:t xml:space="preserve"/>
        </s:is>
      </s:c>
    </s:row>
    <s:row r="26" ht="42" customHeight="1">
      <s:c r="A26" s="4" t="inlineStr">
        <s:is>
          <s:t xml:space="preserve">Magazyn</s:t>
        </s:is>
      </s:c>
      <s:c r="B26" s="4" t="inlineStr">
        <s:is>
          <s:t xml:space="preserve">Pełny kurs z mnożnikami</s:t>
        </s:is>
      </s:c>
      <s:c r="C26" s="4">
        <s:f>300/(C11*C12*C15*C25)</s:f>
        <s:v>150</s:v>
      </s:c>
      <s:c r="D26" s="4" t="inlineStr">
        <s:is>
          <s:t xml:space="preserve">s</s:t>
        </s:is>
      </s:c>
      <s:c r="E26" s="4" t="inlineStr">
        <s:is>
          <s:t xml:space="preserve">Dojście pracownika 5 min jest odrębne i nie jest przyspieszane.</s:t>
        </s:is>
      </s:c>
    </s:row>
    <s:row r="27" ht="42" customHeight="1">
      <s:c r="A27" s="5" t="inlineStr">
        <s:is>
          <s:t xml:space="preserve">Magazyn</s:t>
        </s:is>
      </s:c>
      <s:c r="B27" s="5" t="inlineStr">
        <s:is>
          <s:t xml:space="preserve">Teoretyczna przepustowość załogi</s:t>
        </s:is>
      </s:c>
      <s:c r="C27" s="5">
        <s:f>C24*MIN(C10,12*C8)*3600/C26</s:f>
        <s:v>17280</s:v>
      </s:c>
      <s:c r="D27" s="5" t="inlineStr">
        <s:is>
          <s:t xml:space="preserve">szt./h</s:t>
        </s:is>
      </s:c>
      <s:c r="E27" s="5" t="inlineStr">
        <s:is>
          <s:t xml:space="preserve">Obsada ograniczona do 12 × poziom Magazynu; zależy też od towaru, odbiorców i miejsca.</s:t>
        </s:is>
      </s:c>
    </s:row>
    <s:row r="28" ht="42" customHeight="1">
      <s:c r="A28" s="4" t="inlineStr">
        <s:is>
          <s:t xml:space="preserve">Magazyn</s:t>
        </s:is>
      </s:c>
      <s:c r="B28" s="4" t="inlineStr">
        <s:is>
          <s:t xml:space="preserve">Pojemność jednego zwykłego materiału</s:t>
        </s:is>
      </s:c>
      <s:c r="C28" s="4">
        <s:f>ROUNDDOWN(MIN(10000000,1000*1.5^(C8-1)),0)</s:f>
        <s:v>1000</s:v>
      </s:c>
      <s:c r="D28" s="4" t="inlineStr">
        <s:is>
          <s:t xml:space="preserve">szt.</s:t>
        </s:is>
      </s:c>
      <s:c r="E28" s="4" t="inlineStr">
        <s:is>
          <s:t xml:space="preserve"/>
        </s:is>
      </s:c>
    </s:row>
    <s:row r="29" ht="42" customHeight="1">
      <s:c r="A29" s="5" t="inlineStr">
        <s:is>
          <s:t xml:space="preserve">Magazyn</s:t>
        </s:is>
      </s:c>
      <s:c r="B29" s="5" t="inlineStr">
        <s:is>
          <s:t xml:space="preserve">Pojemność łączna zwykłych materiałów</s:t>
        </s:is>
      </s:c>
      <s:c r="C29" s="5">
        <s:f>ROUNDDOWN(MIN(40000000,4000*1.5^(C8-1)),0)</s:f>
        <s:v>4000</s:v>
      </s:c>
      <s:c r="D29" s="5" t="inlineStr">
        <s:is>
          <s:t xml:space="preserve">szt.</s:t>
        </s:is>
      </s:c>
      <s:c r="E29" s="5" t="inlineStr">
        <s:is>
          <s:t xml:space="preserve"/>
        </s:is>
      </s:c>
    </s:row>
    <s:row r="30" ht="42" customHeight="1">
      <s:c r="A30" s="4" t="inlineStr">
        <s:is>
          <s:t xml:space="preserve">Magazyn</s:t>
        </s:is>
      </s:c>
      <s:c r="B30" s="4" t="inlineStr">
        <s:is>
          <s:t xml:space="preserve">Rezerwa żywności</s:t>
        </s:is>
      </s:c>
      <s:c r="C30" s="4">
        <s:f>50*C22</s:f>
        <s:v>50</s:v>
      </s:c>
      <s:c r="D30" s="4" t="inlineStr">
        <s:is>
          <s:t xml:space="preserve">szt.</s:t>
        </s:is>
      </s:c>
      <s:c r="E30" s="4" t="inlineStr">
        <s:is>
          <s:t xml:space="preserve"/>
        </s:is>
      </s:c>
    </s:row>
    <s:row r="31" ht="42" customHeight="1">
      <s:c r="A31" s="5" t="inlineStr">
        <s:is>
          <s:t xml:space="preserve">Magazyn</s:t>
        </s:is>
      </s:c>
      <s:c r="B31" s="5" t="inlineStr">
        <s:is>
          <s:t xml:space="preserve">Limit pracowników Magazynu</s:t>
        </s:is>
      </s:c>
      <s:c r="C31" s="5">
        <s:f>12*C8</s:f>
        <s:v>12</s:v>
      </s:c>
      <s:c r="D31" s="5" t="inlineStr">
        <s:is>
          <s:t xml:space="preserve">osób</s:t>
        </s:is>
      </s:c>
      <s:c r="E31" s="5" t="inlineStr">
        <s:is>
          <s:t xml:space="preserve">Ten wynik nadal rośnie po L24.</s:t>
        </s:is>
      </s:c>
    </s:row>
    <s:row r="33" ht="28" customHeight="1">
      <s:c r="A33" s="3" t="inlineStr">
        <s:is>
          <s:t xml:space="preserve">Zapas bonusowy — zatwierdzony przykład</s:t>
        </s:is>
      </s:c>
      <s:c r="B33" s="3"/>
      <s:c r="C33" s="3"/>
      <s:c r="D33" s="3"/>
      <s:c r="E33" s="3"/>
    </s:row>
    <s:row r="34" ht="42" customHeight="1">
      <s:c r="A34" s="4" t="inlineStr">
        <s:is>
          <s:t xml:space="preserve">Wejście</s:t>
        </s:is>
      </s:c>
      <s:c r="B34" s="4" t="inlineStr">
        <s:is>
          <s:t xml:space="preserve">Limit zwykłego materiału</s:t>
        </s:is>
      </s:c>
      <s:c r="C34" s="6">
        <s:v>300</s:v>
      </s:c>
      <s:c r="D34" s="4" t="inlineStr">
        <s:is>
          <s:t xml:space="preserve">szt.</s:t>
        </s:is>
      </s:c>
      <s:c r="E34" s="4" t="inlineStr">
        <s:is>
          <s:t xml:space="preserve">Przykład jednego materiału bez innych rezerwacji.</s:t>
        </s:is>
      </s:c>
    </s:row>
    <s:row r="35" ht="42" customHeight="1">
      <s:c r="A35" s="5" t="inlineStr">
        <s:is>
          <s:t xml:space="preserve">Wejście</s:t>
        </s:is>
      </s:c>
      <s:c r="B35" s="5" t="inlineStr">
        <s:is>
          <s:t xml:space="preserve">Zwykły zapas</s:t>
        </s:is>
      </s:c>
      <s:c r="C35" s="6">
        <s:v>200</s:v>
      </s:c>
      <s:c r="D35" s="5" t="inlineStr">
        <s:is>
          <s:t xml:space="preserve">szt.</s:t>
        </s:is>
      </s:c>
      <s:c r="E35" s="5" t="inlineStr">
        <s:is>
          <s:t xml:space="preserve"/>
        </s:is>
      </s:c>
    </s:row>
    <s:row r="36" ht="42" customHeight="1">
      <s:c r="A36" s="4" t="inlineStr">
        <s:is>
          <s:t xml:space="preserve">Wejście</s:t>
        </s:is>
      </s:c>
      <s:c r="B36" s="4" t="inlineStr">
        <s:is>
          <s:t xml:space="preserve">Od razu wydawalna nagroda</s:t>
        </s:is>
      </s:c>
      <s:c r="C36" s="6">
        <s:v>200</s:v>
      </s:c>
      <s:c r="D36" s="4" t="inlineStr">
        <s:is>
          <s:t xml:space="preserve">szt.</s:t>
        </s:is>
      </s:c>
      <s:c r="E36" s="4" t="inlineStr">
        <s:is>
          <s:t xml:space="preserve">Nie zużywa limitu zwykłych dostaw.</s:t>
        </s:is>
      </s:c>
    </s:row>
    <s:row r="37" ht="42" customHeight="1">
      <s:c r="A37" s="5" t="inlineStr">
        <s:is>
          <s:t xml:space="preserve">Wynik</s:t>
        </s:is>
      </s:c>
      <s:c r="B37" s="5" t="inlineStr">
        <s:is>
          <s:t xml:space="preserve">Łącznie wydawalne przed dalszą dostawą</s:t>
        </s:is>
      </s:c>
      <s:c r="C37" s="5">
        <s:f>C35+C36</s:f>
        <s:v>400</s:v>
      </s:c>
      <s:c r="D37" s="5" t="inlineStr">
        <s:is>
          <s:t xml:space="preserve">szt.</s:t>
        </s:is>
      </s:c>
      <s:c r="E37" s="5" t="inlineStr">
        <s:is>
          <s:t xml:space="preserve"/>
        </s:is>
      </s:c>
    </s:row>
    <s:row r="38" ht="42" customHeight="1">
      <s:c r="A38" s="4" t="inlineStr">
        <s:is>
          <s:t xml:space="preserve">Wynik</s:t>
        </s:is>
      </s:c>
      <s:c r="B38" s="4" t="inlineStr">
        <s:is>
          <s:t xml:space="preserve">Miejsce na następną zwykłą dostawę</s:t>
        </s:is>
      </s:c>
      <s:c r="C38" s="4">
        <s:f>MAX(0,C34-C35)</s:f>
        <s:v>100</s:v>
      </s:c>
      <s:c r="D38" s="4" t="inlineStr">
        <s:is>
          <s:t xml:space="preserve">szt.</s:t>
        </s:is>
      </s:c>
      <s:c r="E38" s="4" t="inlineStr">
        <s:is>
          <s:t xml:space="preserve"/>
        </s:is>
      </s:c>
    </s:row>
    <s:row r="39" ht="42" customHeight="1">
      <s:c r="A39" s="5" t="inlineStr">
        <s:is>
          <s:t xml:space="preserve">Wynik</s:t>
        </s:is>
      </s:c>
      <s:c r="B39" s="5" t="inlineStr">
        <s:is>
          <s:t xml:space="preserve">Łącznie po wykorzystaniu tego miejsca</s:t>
        </s:is>
      </s:c>
      <s:c r="C39" s="5">
        <s:f>C37+C38</s:f>
        <s:v>500</s:v>
      </s:c>
      <s:c r="D39" s="5" t="inlineStr">
        <s:is>
          <s:t xml:space="preserve">szt.</s:t>
        </s:is>
      </s:c>
      <s:c r="E39" s="5" t="inlineStr">
        <s:is>
          <s:t xml:space="preserve">Powinno być 500, mimo zwykłego limitu 300.</s:t>
        </s:is>
      </s:c>
    </s:row>
    <s:row r="41" ht="28" customHeight="1">
      <s:c r="A41" s="3" t="inlineStr">
        <s:is>
          <s:t xml:space="preserve">Demografia — odrębne tempo przybycia i odejść</s:t>
        </s:is>
      </s:c>
      <s:c r="B41" s="3"/>
      <s:c r="C41" s="3"/>
      <s:c r="D41" s="3"/>
      <s:c r="E41" s="3"/>
    </s:row>
    <s:row r="42" ht="42" customHeight="1">
      <s:c r="A42" s="4" t="inlineStr">
        <s:is>
          <s:t xml:space="preserve">Wejście</s:t>
        </s:is>
      </s:c>
      <s:c r="B42" s="4" t="inlineStr">
        <s:is>
          <s:t xml:space="preserve">Dokładne średnie szczęście</s:t>
        </s:is>
      </s:c>
      <s:c r="C42" s="6">
        <s:v>100</s:v>
      </s:c>
      <s:c r="D42" s="4" t="inlineStr">
        <s:is>
          <s:t xml:space="preserve">−100…100%</s:t>
        </s:is>
      </s:c>
      <s:c r="E42" s="4" t="inlineStr">
        <s:is>
          <s:t xml:space="preserve">Miejsca populacji i ochrona grup nadal ograniczają faktyczne zmiany.</s:t>
        </s:is>
      </s:c>
    </s:row>
    <s:row r="43" ht="42" customHeight="1">
      <s:c r="A43" s="5" t="inlineStr">
        <s:is>
          <s:t xml:space="preserve">Wynik</s:t>
        </s:is>
      </s:c>
      <s:c r="B43" s="5" t="inlineStr">
        <s:is>
          <s:t xml:space="preserve">Zmiana populacji na godzinę</s:t>
        </s:is>
      </s:c>
      <s:c r="C43" s="5">
        <s:f>IF(C42=0,0,SIGN(C42)*IF(C42&gt;0,2,1)*IF(ABS(C42)&lt;=50,ABS(C42)/300,1/6+(ABS(C42)-50)/60))</s:f>
        <s:v>2</s:v>
      </s:c>
      <s:c r="D43" s="5" t="inlineStr">
        <s:is>
          <s:t xml:space="preserve">osób/h</s:t>
        </s:is>
      </s:c>
      <s:c r="E43" s="5" t="inlineStr">
        <s:is>
          <s:t xml:space="preserve">Dodatni wzór ×2; ujemny bez przyspieszenia.</s:t>
        </s:is>
      </s:c>
    </s:row>
    <s:row r="44" ht="42" customHeight="1">
      <s:c r="A44" s="4" t="inlineStr">
        <s:is>
          <s:t xml:space="preserve">Wynik</s:t>
        </s:is>
      </s:c>
      <s:c r="B44" s="4" t="inlineStr">
        <s:is>
          <s:t xml:space="preserve">Czas do zmiany o jedną osobę</s:t>
        </s:is>
      </s:c>
      <s:c r="C44" s="4">
        <s:f>IF(C43=0,"brak zmiany",3600/ABS(C43))</s:f>
        <s:v>1800</s:v>
      </s:c>
      <s:c r="D44" s="4" t="inlineStr">
        <s:is>
          <s:t xml:space="preserve">s</s:t>
        </s:is>
      </s:c>
      <s:c r="E44" s="4" t="inlineStr">
        <s:is>
          <s:t xml:space="preserve">Przy +100%: 1800 s; przy −100%: 3600 s.</s:t>
        </s:is>
      </s:c>
    </s:row>
    <s:row r="46" ht="28" customHeight="1">
      <s:c r="A46" s="3" t="inlineStr">
        <s:is>
          <s:t xml:space="preserve">Minigry — nagroda nominalna, przed potrąceniami czasu</s:t>
        </s:is>
      </s:c>
      <s:c r="B46" s="3"/>
      <s:c r="C46" s="3"/>
      <s:c r="D46" s="3"/>
      <s:c r="E46" s="3"/>
    </s:row>
    <s:row r="47" ht="42" customHeight="1">
      <s:c r="A47" s="5" t="inlineStr">
        <s:is>
          <s:t xml:space="preserve">Wejście</s:t>
        </s:is>
      </s:c>
      <s:c r="B47" s="5" t="inlineStr">
        <s:is>
          <s:t xml:space="preserve">Numer rundy</s:t>
        </s:is>
      </s:c>
      <s:c r="C47" s="6">
        <s:v>4</s:v>
      </s:c>
      <s:c r="D47" s="5" t="inlineStr">
        <s:is>
          <s:t xml:space="preserve">1…40</s:t>
        </s:is>
      </s:c>
      <s:c r="E47" s="5" t="inlineStr">
        <s:is>
          <s:t xml:space="preserve">Umiarkowany zakres kalkulatora; gra blokuje niebezpieczne przepełnienie liczb.</s:t>
        </s:is>
      </s:c>
    </s:row>
    <s:row r="48" ht="42" customHeight="1">
      <s:c r="A48" s="4" t="inlineStr">
        <s:is>
          <s:t xml:space="preserve">Nagroda</s:t>
        </s:is>
      </s:c>
      <s:c r="B48" s="4" t="inlineStr">
        <s:is>
          <s:t xml:space="preserve">Nominalna nagroda tej rundy</s:t>
        </s:is>
      </s:c>
      <s:c r="C48" s="4">
        <s:f>50*2^(C47-1)</s:f>
        <s:v>400</s:v>
      </s:c>
      <s:c r="D48" s="4" t="inlineStr">
        <s:is>
          <s:t xml:space="preserve">monet</s:t>
        </s:is>
      </s:c>
      <s:c r="E48" s="4" t="inlineStr">
        <s:is>
          <s:t xml:space="preserve"/>
        </s:is>
      </s:c>
    </s:row>
    <s:row r="49" ht="42" customHeight="1">
      <s:c r="A49" s="5" t="inlineStr">
        <s:is>
          <s:t xml:space="preserve">Nagroda</s:t>
        </s:is>
      </s:c>
      <s:c r="B49" s="5" t="inlineStr">
        <s:is>
          <s:t xml:space="preserve">Nominalna pula po wszystkich wygranych</s:t>
        </s:is>
      </s:c>
      <s:c r="C49" s="5">
        <s:f>50*(2^C47-1)</s:f>
        <s:v>750</s:v>
      </s:c>
      <s:c r="D49" s="5" t="inlineStr">
        <s:is>
          <s:t xml:space="preserve">monet</s:t>
        </s:is>
      </s:c>
      <s:c r="E49" s="5" t="inlineStr">
        <s:is>
          <s:t xml:space="preserve">50, 150, 350, 750…; przegrana zabiera niewypłaconą serię.</s:t>
        </s:is>
      </s:c>
    </s:row>
    <s:row r="50" ht="42" customHeight="1">
      <s:c r="A50" s="4" t="inlineStr">
        <s:is>
          <s:t xml:space="preserve">Kulki</s:t>
        </s:is>
      </s:c>
      <s:c r="B50" s="4" t="inlineStr">
        <s:is>
          <s:t xml:space="preserve">Twardy limit czasu</s:t>
        </s:is>
      </s:c>
      <s:c r="C50" s="4">
        <s:f>MAX(60,180/(1+0.1*(C47-1)))</s:f>
        <s:v>138.46153846153845</s:v>
      </s:c>
      <s:c r="D50" s="4" t="inlineStr">
        <s:is>
          <s:t xml:space="preserve">s</s:t>
        </s:is>
      </s:c>
      <s:c r="E50" s="4" t="inlineStr">
        <s:is>
          <s:t xml:space="preserve"/>
        </s:is>
      </s:c>
    </s:row>
    <s:row r="51" ht="42" customHeight="1">
      <s:c r="A51" s="5" t="inlineStr">
        <s:is>
          <s:t xml:space="preserve">Trójki</s:t>
        </s:is>
      </s:c>
      <s:c r="B51" s="5" t="inlineStr">
        <s:is>
          <s:t xml:space="preserve">Liczba pól</s:t>
        </s:is>
      </s:c>
      <s:c r="C51" s="5">
        <s:f>MIN(120,24+6*(C47-1))</s:f>
        <s:v>42</s:v>
      </s:c>
      <s:c r="D51" s="5" t="inlineStr">
        <s:is>
          <s:t xml:space="preserve">pól</s:t>
        </s:is>
      </s:c>
      <s:c r="E51" s="5" t="inlineStr">
        <s:is>
          <s:t xml:space="preserve"/>
        </s:is>
      </s:c>
    </s:row>
    <s:row r="52" ht="42" customHeight="1">
      <s:c r="A52" s="4" t="inlineStr">
        <s:is>
          <s:t xml:space="preserve">Trójki</s:t>
        </s:is>
      </s:c>
      <s:c r="B52" s="4" t="inlineStr">
        <s:is>
          <s:t xml:space="preserve">Twardy limit czasu</s:t>
        </s:is>
      </s:c>
      <s:c r="C52" s="4">
        <s:f>MIN(900,240+30*(C47-1))</s:f>
        <s:v>330</s:v>
      </s:c>
      <s:c r="D52" s="4" t="inlineStr">
        <s:is>
          <s:t xml:space="preserve">s</s:t>
        </s:is>
      </s:c>
      <s:c r="E52" s="4" t="inlineStr">
        <s:is>
          <s:t xml:space="preserve"/>
        </s:is>
      </s:c>
    </s:row>
    <s:row r="53" ht="42" customHeight="1">
      <s:c r="A53" s="5" t="inlineStr">
        <s:is>
          <s:t xml:space="preserve">Kulki</s:t>
        </s:is>
      </s:c>
      <s:c r="B53" s="5" t="inlineStr">
        <s:is>
          <s:t xml:space="preserve">Koniec pełnej nagrody</s:t>
        </s:is>
      </s:c>
      <s:c r="C53" s="5">
        <s:f>C50*0.6666666666666666</s:f>
        <s:v>92.307692307692292</s:v>
      </s:c>
      <s:c r="D53" s="5" t="inlineStr">
        <s:is>
          <s:t xml:space="preserve">s</s:t>
        </s:is>
      </s:c>
      <s:c r="E53" s="5" t="inlineStr">
        <s:is>
          <s:t xml:space="preserve"/>
        </s:is>
      </s:c>
    </s:row>
    <s:row r="54" ht="42" customHeight="1">
      <s:c r="A54" s="4" t="inlineStr">
        <s:is>
          <s:t xml:space="preserve">Kulki</s:t>
        </s:is>
      </s:c>
      <s:c r="B54" s="4" t="inlineStr">
        <s:is>
          <s:t xml:space="preserve">Przedział potrącenia 1 monety</s:t>
        </s:is>
      </s:c>
      <s:c r="C54" s="4">
        <s:f>C50/12</s:f>
        <s:v>11.538461538461538</s:v>
      </s:c>
      <s:c r="D54" s="4" t="inlineStr">
        <s:is>
          <s:t xml:space="preserve">s</s:t>
        </s:is>
      </s:c>
      <s:c r="E54" s="4" t="inlineStr">
        <s:is>
          <s:t xml:space="preserve"/>
        </s:is>
      </s:c>
    </s:row>
    <s:row r="55" ht="42" customHeight="1">
      <s:c r="A55" s="5" t="inlineStr">
        <s:is>
          <s:t xml:space="preserve">Czas</s:t>
        </s:is>
      </s:c>
      <s:c r="B55" s="5" t="inlineStr">
        <s:is>
          <s:t xml:space="preserve">Dobrowolnie kupione sekundy</s:t>
        </s:is>
      </s:c>
      <s:c r="C55" s="5">
        <s:v>30</s:v>
      </s:c>
      <s:c r="D55" s="5" t="inlineStr">
        <s:is>
          <s:t xml:space="preserve">s</s:t>
        </s:is>
      </s:c>
      <s:c r="E55" s="5" t="inlineStr">
        <s:is>
          <s:t xml:space="preserve">10 monet; maks. 2 zakupy na rundę.</s:t>
        </s:is>
      </s:c>
    </s:row>
    <s:row r="56" ht="42" customHeight="1">
      <s:c r="A56" s="4" t="inlineStr">
        <s:is>
          <s:t xml:space="preserve">Czas</s:t>
        </s:is>
      </s:c>
      <s:c r="B56" s="4" t="inlineStr">
        <s:is>
          <s:t xml:space="preserve">Czas za reklamę</s:t>
        </s:is>
      </s:c>
      <s:c r="C56" s="4">
        <s:v>60</s:v>
      </s:c>
      <s:c r="D56" s="4" t="inlineStr">
        <s:is>
          <s:t xml:space="preserve">s</s:t>
        </s:is>
      </s:c>
      <s:c r="E56" s="4" t="inlineStr">
        <s:is>
          <s:t xml:space="preserve">Maks. 1 /rundę; także u gracza bez reklam standardowych.</s:t>
        </s:is>
      </s:c>
    </s:row>
    <s:row r="58" ht="28" customHeight="1">
      <s:c r="A58" s="3" t="inlineStr">
        <s:is>
          <s:t xml:space="preserve">Testowy pakiet monet i standard bez reklam</s:t>
        </s:is>
      </s:c>
      <s:c r="B58" s="3"/>
      <s:c r="C58" s="3"/>
      <s:c r="D58" s="3"/>
      <s:c r="E58" s="3"/>
    </s:row>
    <s:row r="59" ht="42" customHeight="1">
      <s:c r="A59" s="5" t="inlineStr">
        <s:is>
          <s:t xml:space="preserve">Wejście</s:t>
        </s:is>
      </s:c>
      <s:c r="B59" s="5" t="inlineStr">
        <s:is>
          <s:t xml:space="preserve">Pakiet brutto</s:t>
        </s:is>
      </s:c>
      <s:c r="C59" s="6">
        <s:v>20</s:v>
      </s:c>
      <s:c r="D59" s="5" t="inlineStr">
        <s:is>
          <s:t xml:space="preserve">PLN</s:t>
        </s:is>
      </s:c>
      <s:c r="E59" s="5" t="inlineStr">
        <s:is>
          <s:t xml:space="preserve">Wyłącznie demonstracja obecnego cennika; nie pobiera pieniędzy.</s:t>
        </s:is>
      </s:c>
    </s:row>
    <s:row r="60" ht="42" customHeight="1">
      <s:c r="A60" s="4" t="inlineStr">
        <s:is>
          <s:t xml:space="preserve">Wynik</s:t>
        </s:is>
      </s:c>
      <s:c r="B60" s="4" t="inlineStr">
        <s:is>
          <s:t xml:space="preserve">Kwota w groszach</s:t>
        </s:is>
      </s:c>
      <s:c r="C60" s="4">
        <s:f>ROUND(C59*100,0)</s:f>
        <s:v>2000</s:v>
      </s:c>
      <s:c r="D60" s="4" t="inlineStr">
        <s:is>
          <s:t xml:space="preserve">gr</s:t>
        </s:is>
      </s:c>
      <s:c r="E60" s="4" t="inlineStr">
        <s:is>
          <s:t xml:space="preserve"/>
        </s:is>
      </s:c>
    </s:row>
    <s:row r="61" ht="42" customHeight="1">
      <s:c r="A61" s="5" t="inlineStr">
        <s:is>
          <s:t xml:space="preserve">Wynik</s:t>
        </s:is>
      </s:c>
      <s:c r="B61" s="5" t="inlineStr">
        <s:is>
          <s:t xml:space="preserve">Monety w pakiecie</s:t>
        </s:is>
      </s:c>
      <s:c r="C61" s="5">
        <s:f>C59*10</s:f>
        <s:v>200</s:v>
      </s:c>
      <s:c r="D61" s="5" t="inlineStr">
        <s:is>
          <s:t xml:space="preserve">monet</s:t>
        </s:is>
      </s:c>
      <s:c r="E61" s="5" t="inlineStr">
        <s:is>
          <s:t xml:space="preserve"/>
        </s:is>
      </s:c>
    </s:row>
    <s:row r="62" ht="42" customHeight="1">
      <s:c r="A62" s="4" t="inlineStr">
        <s:is>
          <s:t xml:space="preserve">Wynik</s:t>
        </s:is>
      </s:c>
      <s:c r="B62" s="4" t="inlineStr">
        <s:is>
          <s:t xml:space="preserve">Sam pakiet spełnia próg bez reklam</s:t>
        </s:is>
      </s:c>
      <s:c r="C62" s="4" t="b">
        <s:f>C60&gt;=1999</s:f>
        <s:v>1</s:v>
      </s:c>
      <s:c r="D62" s="4" t="inlineStr">
        <s:is>
          <s:t xml:space="preserve">TRUE/FALSE</s:t>
        </s:is>
      </s:c>
      <s:c r="E62" s="4" t="inlineStr">
        <s:is>
          <s:t xml:space="preserve">W grze liczy się suma potwierdzonych, nieoddanych płatności z ruchomych 30 dni.</s:t>
        </s:is>
      </s:c>
    </s:row>
    <s:row r="63" ht="42" customHeight="1">
      <s:c r="A63" s="5" t="inlineStr">
        <s:is>
          <s:t xml:space="preserve">Reguła</s:t>
        </s:is>
      </s:c>
      <s:c r="B63" s="5" t="inlineStr">
        <s:is>
          <s:t xml:space="preserve">Okno sumowania płatności</s:t>
        </s:is>
      </s:c>
      <s:c r="C63" s="5">
        <s:v>30</s:v>
      </s:c>
      <s:c r="D63" s="5" t="inlineStr">
        <s:is>
          <s:t xml:space="preserve">dni</s:t>
        </s:is>
      </s:c>
      <s:c r="E63" s="5" t="inlineStr">
        <s:is>
          <s:t xml:space="preserve"/>
        </s:is>
      </s:c>
    </s:row>
    <s:row r="65" ht="28" customHeight="1">
      <s:c r="A65" s="3" t="inlineStr">
        <s:is>
          <s:t xml:space="preserve">Kaplica i termin zagrożenia po zaniedbaniu</s:t>
        </s:is>
      </s:c>
      <s:c r="B65" s="3"/>
      <s:c r="C65" s="3"/>
      <s:c r="D65" s="3"/>
      <s:c r="E65" s="3"/>
    </s:row>
    <s:row r="66" ht="42" customHeight="1">
      <s:c r="A66" s="4" t="inlineStr">
        <s:is>
          <s:t xml:space="preserve">Wejście</s:t>
        </s:is>
      </s:c>
      <s:c r="B66" s="4" t="inlineStr">
        <s:is>
          <s:t xml:space="preserve">Poziom Kaplicy</s:t>
        </s:is>
      </s:c>
      <s:c r="C66" s="6">
        <s:v>3</s:v>
      </s:c>
      <s:c r="D66" s="4" t="inlineStr">
        <s:is>
          <s:t xml:space="preserve">1…100</s:t>
        </s:is>
      </s:c>
      <s:c r="E66" s="4" t="inlineStr">
        <s:is>
          <s:t xml:space="preserve">Monitorowanie zaniedbania zaczyna się dopiero od L3.</s:t>
        </s:is>
      </s:c>
    </s:row>
    <s:row r="67" ht="42" customHeight="1">
      <s:c r="A67" s="5" t="inlineStr">
        <s:is>
          <s:t xml:space="preserve">Wynik</s:t>
        </s:is>
      </s:c>
      <s:c r="B67" s="5" t="inlineStr">
        <s:is>
          <s:t xml:space="preserve">Dozwolony odstęp od błogosławieństwa</s:t>
        </s:is>
      </s:c>
      <s:c r="C67" s="5">
        <s:f>IF(C66&lt;3,"nie dotyczy",3+C66)</s:f>
        <s:v>6</s:v>
      </s:c>
      <s:c r="D67" s="5" t="inlineStr">
        <s:is>
          <s:t xml:space="preserve">dni</s:t>
        </s:is>
      </s:c>
      <s:c r="E67" s="5" t="inlineStr">
        <s:is>
          <s:t xml:space="preserve">Poniżej L3 zaniedbanie nie jest monitorowane.</s:t>
        </s:is>
      </s:c>
    </s:row>
    <s:row r="68" ht="42" customHeight="1">
      <s:c r="A68" s="4" t="inlineStr">
        <s:is>
          <s:t xml:space="preserve">Wynik</s:t>
        </s:is>
      </s:c>
      <s:c r="B68" s="4" t="inlineStr">
        <s:is>
          <s:t xml:space="preserve">Najwcześniejsze zagrożenie od błogosławieństwa</s:t>
        </s:is>
      </s:c>
      <s:c r="C68" s="4">
        <s:f>IF(C66&lt;3,"nie dotyczy",C67+6)</s:f>
        <s:v>12</s:v>
      </s:c>
      <s:c r="D68" s="4" t="inlineStr">
        <s:is>
          <s:t xml:space="preserve">dni</s:t>
        </s:is>
      </s:c>
      <s:c r="E68" s="4" t="inlineStr">
        <s:is>
          <s:t xml:space="preserve">Przykład bez ochrony Latarni i innych przesunięć.</s:t>
        </s:is>
      </s:c>
    </s:row>
    <s:row r="69" ht="42" customHeight="1">
      <s:c r="A69" s="5" t="inlineStr">
        <s:is>
          <s:t xml:space="preserve">Wynik</s:t>
        </s:is>
      </s:c>
      <s:c r="B69" s="5" t="inlineStr">
        <s:is>
          <s:t xml:space="preserve">Najpóźniejsze zagrożenie od błogosławieństwa</s:t>
        </s:is>
      </s:c>
      <s:c r="C69" s="5">
        <s:f>IF(C66&lt;3,"nie dotyczy",C67+15)</s:f>
        <s:v>21</s:v>
      </s:c>
      <s:c r="D69" s="5" t="inlineStr">
        <s:is>
          <s:t xml:space="preserve">dni</s:t>
        </s:is>
      </s:c>
      <s:c r="E69" s="5" t="inlineStr">
        <s:is>
          <s:t xml:space="preserve">Samo wyświetlenie nie losuje nowego terminu.</s:t>
        </s:is>
      </s:c>
    </s:row>
    <s:row r="70" ht="42" customHeight="1">
      <s:c r="A70" s="4" t="inlineStr">
        <s:is>
          <s:t xml:space="preserve">Reguła</s:t>
        </s:is>
      </s:c>
      <s:c r="B70" s="4" t="inlineStr">
        <s:is>
          <s:t xml:space="preserve">Blokada od startu płatnego/reklamowego efektu</s:t>
        </s:is>
      </s:c>
      <s:c r="C70" s="4">
        <s:v>5</s:v>
      </s:c>
      <s:c r="D70" s="4" t="inlineStr">
        <s:is>
          <s:t xml:space="preserve">h</s:t>
        </s:is>
      </s:c>
      <s:c r="E70" s="4" t="inlineStr">
        <s:is>
          <s:t xml:space="preserve">1 h działania + 4 h po jego końcu; darmowe nie zmienia terminu.</s:t>
        </s:is>
      </s:c>
    </s:row>
    <s:row r="72" ht="28" customHeight="1">
      <s:c r="A72" s="3" t="inlineStr">
        <s:is>
          <s:t xml:space="preserve">Skrzynie oraz lojalność — różne programy nagród</s:t>
        </s:is>
      </s:c>
      <s:c r="B72" s="3"/>
      <s:c r="C72" s="3"/>
      <s:c r="D72" s="3"/>
      <s:c r="E72" s="3"/>
    </s:row>
    <s:row r="73" ht="42" customHeight="1">
      <s:c r="A73" s="5" t="inlineStr">
        <s:is>
          <s:t xml:space="preserve">Wejście</s:t>
        </s:is>
      </s:c>
      <s:c r="B73" s="5" t="inlineStr">
        <s:is>
          <s:t xml:space="preserve">Liczba skrzyń podstawowych</s:t>
        </s:is>
      </s:c>
      <s:c r="C73" s="6">
        <s:v>25</s:v>
      </s:c>
      <s:c r="D73" s="5" t="inlineStr">
        <s:is>
          <s:t xml:space="preserve">0…25</s:t>
        </s:is>
      </s:c>
      <s:c r="E73" s="5" t="inlineStr">
        <s:is>
          <s:t xml:space="preserve"/>
        </s:is>
      </s:c>
    </s:row>
    <s:row r="74" ht="42" customHeight="1">
      <s:c r="A74" s="4" t="inlineStr">
        <s:is>
          <s:t xml:space="preserve">Skrzynie</s:t>
        </s:is>
      </s:c>
      <s:c r="B74" s="4" t="inlineStr">
        <s:is>
          <s:t xml:space="preserve">Minimum pięciu materiałów łącznie</s:t>
        </s:is>
      </s:c>
      <s:c r="C74" s="4">
        <s:f>C73*5*100</s:f>
        <s:v>12500</s:v>
      </s:c>
      <s:c r="D74" s="4" t="inlineStr">
        <s:is>
          <s:t xml:space="preserve">szt.</s:t>
        </s:is>
      </s:c>
      <s:c r="E74" s="4" t="inlineStr">
        <s:is>
          <s:t xml:space="preserve">Bez monet i bez pomocy do Ratusza.</s:t>
        </s:is>
      </s:c>
    </s:row>
    <s:row r="75" ht="42" customHeight="1">
      <s:c r="A75" s="5" t="inlineStr">
        <s:is>
          <s:t xml:space="preserve">Skrzynie</s:t>
        </s:is>
      </s:c>
      <s:c r="B75" s="5" t="inlineStr">
        <s:is>
          <s:t xml:space="preserve">Maksimum pięciu materiałów łącznie</s:t>
        </s:is>
      </s:c>
      <s:c r="C75" s="5">
        <s:f>C73*5*300</s:f>
        <s:v>37500</s:v>
      </s:c>
      <s:c r="D75" s="5" t="inlineStr">
        <s:is>
          <s:t xml:space="preserve">szt.</s:t>
        </s:is>
      </s:c>
      <s:c r="E75" s="5" t="inlineStr">
        <s:is>
          <s:t xml:space="preserve"/>
        </s:is>
      </s:c>
    </s:row>
    <s:row r="76" ht="42" customHeight="1">
      <s:c r="A76" s="4" t="inlineStr">
        <s:is>
          <s:t xml:space="preserve">Skrzynie</s:t>
        </s:is>
      </s:c>
      <s:c r="B76" s="4" t="inlineStr">
        <s:is>
          <s:t xml:space="preserve">Wartość oczekiwana łącznie</s:t>
        </s:is>
      </s:c>
      <s:c r="C76" s="4">
        <s:f>C73*5*(100+300)/2</s:f>
        <s:v>25000</s:v>
      </s:c>
      <s:c r="D76" s="4" t="inlineStr">
        <s:is>
          <s:t xml:space="preserve">szt.</s:t>
        </s:is>
      </s:c>
      <s:c r="E76" s="4" t="inlineStr">
        <s:is>
          <s:t xml:space="preserve"/>
        </s:is>
      </s:c>
    </s:row>
    <s:row r="77" ht="42" customHeight="1">
      <s:c r="A77" s="5" t="inlineStr">
        <s:is>
          <s:t xml:space="preserve">Skrzynie</s:t>
        </s:is>
      </s:c>
      <s:c r="B77" s="5" t="inlineStr">
        <s:is>
          <s:t xml:space="preserve">Średnia po identycznym Share każdej</s:t>
        </s:is>
      </s:c>
      <s:c r="C77" s="5">
        <s:f>C76*2</s:f>
        <s:v>50000</s:v>
      </s:c>
      <s:c r="D77" s="5" t="inlineStr">
        <s:is>
          <s:t xml:space="preserve">szt.</s:t>
        </s:is>
      </s:c>
      <s:c r="E77" s="5" t="inlineStr">
        <s:is>
          <s:t xml:space="preserve">Każdą skrzynię wolno podwoić raz; nie potwierdza to publikacji na FB.</s:t>
        </s:is>
      </s:c>
    </s:row>
    <s:row r="78" ht="42" customHeight="1">
      <s:c r="A78" s="4" t="inlineStr">
        <s:is>
          <s:t xml:space="preserve">Lojalność</s:t>
        </s:is>
      </s:c>
      <s:c r="B78" s="4" t="inlineStr">
        <s:is>
          <s:t xml:space="preserve">Minimum jednej dziennej nagrody</s:t>
        </s:is>
      </s:c>
      <s:c r="C78" s="4">
        <s:v>50</s:v>
      </s:c>
      <s:c r="D78" s="4" t="inlineStr">
        <s:is>
          <s:t xml:space="preserve">każdego z 6</s:t>
        </s:is>
      </s:c>
      <s:c r="E78" s="4" t="inlineStr">
        <s:is>
          <s:t xml:space="preserve">Wliczamy monety.</s:t>
        </s:is>
      </s:c>
    </s:row>
    <s:row r="79" ht="42" customHeight="1">
      <s:c r="A79" s="5" t="inlineStr">
        <s:is>
          <s:t xml:space="preserve">Lojalność</s:t>
        </s:is>
      </s:c>
      <s:c r="B79" s="5" t="inlineStr">
        <s:is>
          <s:t xml:space="preserve">Maksimum jednej dziennej nagrody</s:t>
        </s:is>
      </s:c>
      <s:c r="C79" s="5">
        <s:v>200</s:v>
      </s:c>
      <s:c r="D79" s="5" t="inlineStr">
        <s:is>
          <s:t xml:space="preserve">każdego z 6</s:t>
        </s:is>
      </s:c>
      <s:c r="E79" s="5" t="inlineStr">
        <s:is>
          <s:t xml:space="preserve">Losowanie zapisane; limit 10 odbiorów albo TH4.</s:t>
        </s:is>
      </s:c>
    </s:row>
    <s:row r="81" ht="28" customHeight="1">
      <s:c r="A81" s="3" t="inlineStr">
        <s:is>
          <s:t xml:space="preserve">Nieobecność — przykład wyjścia zaraz po rzeczywistej akcji</s:t>
        </s:is>
      </s:c>
      <s:c r="B81" s="3"/>
      <s:c r="C81" s="3"/>
      <s:c r="D81" s="3"/>
      <s:c r="E81" s="3"/>
    </s:row>
    <s:row r="82" ht="42" customHeight="1">
      <s:c r="A82" s="4" t="inlineStr">
        <s:is>
          <s:t xml:space="preserve">Wejście</s:t>
        </s:is>
      </s:c>
      <s:c r="B82" s="4" t="inlineStr">
        <s:is>
          <s:t xml:space="preserve">Długość nieobecności</s:t>
        </s:is>
      </s:c>
      <s:c r="C82" s="6">
        <s:v>60</s:v>
      </s:c>
      <s:c r="D82" s="4" t="inlineStr">
        <s:is>
          <s:t xml:space="preserve">h</s:t>
        </s:is>
      </s:c>
      <s:c r="E82" s="4" t="inlineStr">
        <s:is>
          <s:t xml:space="preserve">48 h jest granicą od ostatniego realnego działania.</s:t>
        </s:is>
      </s:c>
    </s:row>
    <s:row r="83" ht="42" customHeight="1">
      <s:c r="A83" s="5" t="inlineStr">
        <s:is>
          <s:t xml:space="preserve">Wejście</s:t>
        </s:is>
      </s:c>
      <s:c r="B83" s="5" t="inlineStr">
        <s:is>
          <s:t xml:space="preserve">Pozostała premia aktywna przy wyjściu</s:t>
        </s:is>
      </s:c>
      <s:c r="C83" s="6">
        <s:v>5</s:v>
      </s:c>
      <s:c r="D83" s="5" t="inlineStr">
        <s:is>
          <s:t xml:space="preserve">min, 0…5</s:t>
        </s:is>
      </s:c>
      <s:c r="E83" s="5" t="inlineStr">
        <s:is>
          <s:t xml:space="preserve">Sam login/heartbeat nie odnawia tej premii.</s:t>
        </s:is>
      </s:c>
    </s:row>
    <s:row r="84" ht="42" customHeight="1">
      <s:c r="A84" s="4" t="inlineStr">
        <s:is>
          <s:t xml:space="preserve">Wynik</s:t>
        </s:is>
      </s:c>
      <s:c r="B84" s="4" t="inlineStr">
        <s:is>
          <s:t xml:space="preserve">Czas ×2</s:t>
        </s:is>
      </s:c>
      <s:c r="C84" s="4">
        <s:f>MIN(C82,C83/60)</s:f>
        <s:v>0.083333333333333329</s:v>
      </s:c>
      <s:c r="D84" s="4" t="inlineStr">
        <s:is>
          <s:t xml:space="preserve">h</s:t>
        </s:is>
      </s:c>
      <s:c r="E84" s="4" t="inlineStr">
        <s:is>
          <s:t xml:space="preserve"/>
        </s:is>
      </s:c>
    </s:row>
    <s:row r="85" ht="42" customHeight="1">
      <s:c r="A85" s="5" t="inlineStr">
        <s:is>
          <s:t xml:space="preserve">Wynik</s:t>
        </s:is>
      </s:c>
      <s:c r="B85" s="5" t="inlineStr">
        <s:is>
          <s:t xml:space="preserve">Czas ×1</s:t>
        </s:is>
      </s:c>
      <s:c r="C85" s="5">
        <s:f>MAX(0,MIN(C82,48)-C84)</s:f>
        <s:v>47.916666666666664</s:v>
      </s:c>
      <s:c r="D85" s="5" t="inlineStr">
        <s:is>
          <s:t xml:space="preserve">h</s:t>
        </s:is>
      </s:c>
      <s:c r="E85" s="5" t="inlineStr">
        <s:is>
          <s:t xml:space="preserve"/>
        </s:is>
      </s:c>
    </s:row>
    <s:row r="86" ht="42" customHeight="1">
      <s:c r="A86" s="4" t="inlineStr">
        <s:is>
          <s:t xml:space="preserve">Wynik</s:t>
        </s:is>
      </s:c>
      <s:c r="B86" s="4" t="inlineStr">
        <s:is>
          <s:t xml:space="preserve">Czas ×0,5</s:t>
        </s:is>
      </s:c>
      <s:c r="C86" s="4">
        <s:f>MAX(0,C82-48)</s:f>
        <s:v>12</s:v>
      </s:c>
      <s:c r="D86" s="4" t="inlineStr">
        <s:is>
          <s:t xml:space="preserve">h</s:t>
        </s:is>
      </s:c>
      <s:c r="E86" s="4" t="inlineStr">
        <s:is>
          <s:t xml:space="preserve"/>
        </s:is>
      </s:c>
    </s:row>
    <s:row r="87" ht="42" customHeight="1">
      <s:c r="A87" s="5" t="inlineStr">
        <s:is>
          <s:t xml:space="preserve">Wynik</s:t>
        </s:is>
      </s:c>
      <s:c r="B87" s="5" t="inlineStr">
        <s:is>
          <s:t xml:space="preserve">Równoważnik godzin bazowej gospodarki</s:t>
        </s:is>
      </s:c>
      <s:c r="C87" s="5">
        <s:f>2*C84+C85+0.5*C86</s:f>
        <s:v>54.083333333333329</s:v>
      </s:c>
      <s:c r="D87" s="5" t="inlineStr">
        <s:is>
          <s:t xml:space="preserve">h bazy</s:t>
        </s:is>
      </s:c>
      <s:c r="E87" s="5" t="inlineStr">
        <s:is>
          <s:t xml:space="preserve">W przykładzie 60 h tylko ostatnie 12 h ma ×0,5.</s:t>
        </s:is>
      </s:c>
    </s:row>
    <s:row r="88" ht="42" customHeight="1">
      <s:c r="A88" s="4" t="inlineStr">
        <s:is>
          <s:t xml:space="preserve">Wynik</s:t>
        </s:is>
      </s:c>
      <s:c r="B88" s="4" t="inlineStr">
        <s:is>
          <s:t xml:space="preserve">Rzeczywisty czas jedzenia, efektów, kalendarza</s:t>
        </s:is>
      </s:c>
      <s:c r="C88" s="4">
        <s:f>C82</s:f>
        <s:v>60</s:v>
      </s:c>
      <s:c r="D88" s="4" t="inlineStr">
        <s:is>
          <s:t xml:space="preserve">h</s:t>
        </s:is>
      </s:c>
      <s:c r="E88" s="4" t="inlineStr">
        <s:is>
          <s:t xml:space="preserve">Demografia ma własne zasady; nie mnożymy całego świata przez bonus gospodarki.</s:t>
        </s:is>
      </s:c>
    </s:row>
    <s:row r="90" ht="28" customHeight="1">
      <s:c r="A90" s="3" t="inlineStr">
        <s:is>
          <s:t xml:space="preserve">GCP — plan miesięcznego alertu 100 USD, bez twardego odcięcia</s:t>
        </s:is>
      </s:c>
      <s:c r="B90" s="3"/>
      <s:c r="C90" s="3"/>
      <s:c r="D90" s="3"/>
      <s:c r="E90" s="3"/>
    </s:row>
    <s:row r="91" ht="42" customHeight="1">
      <s:c r="A91" s="5" t="inlineStr">
        <s:is>
          <s:t xml:space="preserve">Wejście</s:t>
        </s:is>
      </s:c>
      <s:c r="B91" s="5" t="inlineStr">
        <s:is>
          <s:t xml:space="preserve">Żądany próg miesięcznego budżetu</s:t>
        </s:is>
      </s:c>
      <s:c r="C91" s="6">
        <s:v>100</s:v>
      </s:c>
      <s:c r="D91" s="5" t="inlineStr">
        <s:is>
          <s:t xml:space="preserve">USD</s:t>
        </s:is>
      </s:c>
      <s:c r="E91" s="5" t="inlineStr">
        <s:is>
          <s:t xml:space="preserve">Łącznie harborlight-dev i harborlight-prod; przygotowanie planu nie oznacza zastosowania w GCP.</s:t>
        </s:is>
      </s:c>
    </s:row>
    <s:row r="92" ht="42" customHeight="1">
      <s:c r="A92" s="4" t="inlineStr">
        <s:is>
          <s:t xml:space="preserve">Wejście</s:t>
        </s:is>
      </s:c>
      <s:c r="B92" s="4" t="inlineStr">
        <s:is>
          <s:t xml:space="preserve">Przykładowy kurs do orientacyjnego przeliczenia</s:t>
        </s:is>
      </s:c>
      <s:c r="C92" s="6">
        <s:v>4</s:v>
      </s:c>
      <s:c r="D92" s="4" t="inlineStr">
        <s:is>
          <s:t xml:space="preserve">PLN / USD</s:t>
        </s:is>
      </s:c>
      <s:c r="E92" s="4" t="inlineStr">
        <s:is>
          <s:t xml:space="preserve">Wyłącznie przykład arytmetyczny, nie bieżący ani gwarantowany kurs faktury.</s:t>
        </s:is>
      </s:c>
    </s:row>
    <s:row r="93" ht="42" customHeight="1">
      <s:c r="A93" s="5" t="inlineStr">
        <s:is>
          <s:t xml:space="preserve">Wynik</s:t>
        </s:is>
      </s:c>
      <s:c r="B93" s="5" t="inlineStr">
        <s:is>
          <s:t xml:space="preserve">Orientacyjne przeliczenie progu na PLN</s:t>
        </s:is>
      </s:c>
      <s:c r="C93" s="5">
        <s:f>C91*C92</s:f>
        <s:v>400</s:v>
      </s:c>
      <s:c r="D93" s="5" t="inlineStr">
        <s:is>
          <s:t xml:space="preserve">PLN</s:t>
        </s:is>
      </s:c>
      <s:c r="E93" s="5" t="inlineStr">
        <s:is>
          <s:t xml:space="preserve">Nie jest to odczyt kosztów. Budżet GCP wysyła alerty; sam nie odcina usług ani faktury.</s:t>
        </s:is>
      </s:c>
    </s:row>
  </s:sheetData>
  <s:autoFilter ref="A5:E93"/>
  <s:mergeCells count="11">
    <s:mergeCell ref="A1:E1"/>
    <s:mergeCell ref="A2:E2"/>
    <s:mergeCell ref="A6:E6"/>
    <s:mergeCell ref="A33:E33"/>
    <s:mergeCell ref="A41:E41"/>
    <s:mergeCell ref="A46:E46"/>
    <s:mergeCell ref="A58:E58"/>
    <s:mergeCell ref="A65:E65"/>
    <s:mergeCell ref="A72:E72"/>
    <s:mergeCell ref="A81:E81"/>
    <s:mergeCell ref="A90:E90"/>
  </s:mergeCells>
  <s:dataValidations count="21">
    <s:dataValidation type="whole" sqref="C7" operator="between" allowBlank="0" showErrorMessage="1" errorTitle="Sprawdź wartość" error="Wpisz wartość w dozwolonym zakresie.">
      <s:formula1>1</s:formula1>
      <s:formula2>100</s:formula2>
    </s:dataValidation>
    <s:dataValidation type="whole" sqref="C8" operator="between" allowBlank="0" showErrorMessage="1" errorTitle="Sprawdź wartość" error="Wpisz wartość w dozwolonym zakresie.">
      <s:formula1>1</s:formula1>
      <s:formula2>100</s:formula2>
    </s:dataValidation>
    <s:dataValidation type="whole" sqref="C9" operator="between" allowBlank="0" showErrorMessage="1" errorTitle="Sprawdź wartość" error="Wpisz wartość w dozwolonym zakresie.">
      <s:formula1>0</s:formula1>
      <s:formula2>5</s:formula2>
    </s:dataValidation>
    <s:dataValidation type="whole" sqref="C10" operator="between" allowBlank="0" showErrorMessage="1" errorTitle="Sprawdź wartość" error="Wpisz wartość w dozwolonym zakresie.">
      <s:formula1>0</s:formula1>
      <s:formula2>1200</s:formula2>
    </s:dataValidation>
    <s:dataValidation type="whole" sqref="C34" operator="between" allowBlank="0" showErrorMessage="1" errorTitle="Sprawdź wartość" error="Wpisz wartość w dozwolonym zakresie.">
      <s:formula1>0</s:formula1>
      <s:formula2>1000000000</s:formula2>
    </s:dataValidation>
    <s:dataValidation type="whole" sqref="C35" operator="between" allowBlank="0" showErrorMessage="1" errorTitle="Sprawdź wartość" error="Wpisz wartość w dozwolonym zakresie.">
      <s:formula1>0</s:formula1>
      <s:formula2>1000000000</s:formula2>
    </s:dataValidation>
    <s:dataValidation type="whole" sqref="C36" operator="between" allowBlank="0" showErrorMessage="1" errorTitle="Sprawdź wartość" error="Wpisz wartość w dozwolonym zakresie.">
      <s:formula1>0</s:formula1>
      <s:formula2>1000000000</s:formula2>
    </s:dataValidation>
    <s:dataValidation type="whole" sqref="C47" operator="between" allowBlank="0" showErrorMessage="1" errorTitle="Sprawdź wartość" error="Wpisz wartość w dozwolonym zakresie.">
      <s:formula1>1</s:formula1>
      <s:formula2>40</s:formula2>
    </s:dataValidation>
    <s:dataValidation type="whole" sqref="C66" operator="between" allowBlank="0" showErrorMessage="1" errorTitle="Sprawdź wartość" error="Wpisz wartość w dozwolonym zakresie.">
      <s:formula1>1</s:formula1>
      <s:formula2>100</s:formula2>
    </s:dataValidation>
    <s:dataValidation type="whole" sqref="C73" operator="between" allowBlank="0" showErrorMessage="1" errorTitle="Sprawdź wartość" error="Wpisz wartość w dozwolonym zakresie.">
      <s:formula1>0</s:formula1>
      <s:formula2>25</s:formula2>
    </s:dataValidation>
    <s:dataValidation type="list" sqref="C11" allowBlank="0" showErrorMessage="1" errorTitle="Sprawdź wartość" error="Wpisz wartość w dozwolonym zakresie.">
      <s:formula1>"1,0.5"</s:formula1>
    </s:dataValidation>
    <s:dataValidation type="list" sqref="C12" allowBlank="0" showErrorMessage="1" errorTitle="Sprawdź wartość" error="Wpisz wartość w dozwolonym zakresie.">
      <s:formula1>"0.5,1,2"</s:formula1>
    </s:dataValidation>
    <s:dataValidation type="list" sqref="C13" allowBlank="0" showErrorMessage="1" errorTitle="Sprawdź wartość" error="Wpisz wartość w dozwolonym zakresie.">
      <s:formula1>"1,2"</s:formula1>
    </s:dataValidation>
    <s:dataValidation type="list" sqref="C14" allowBlank="0" showErrorMessage="1" errorTitle="Sprawdź wartość" error="Wpisz wartość w dozwolonym zakresie.">
      <s:formula1>"1,1.25"</s:formula1>
    </s:dataValidation>
    <s:dataValidation type="list" sqref="C59" allowBlank="0" showErrorMessage="1" errorTitle="Sprawdź wartość" error="Wpisz wartość w dozwolonym zakresie.">
      <s:formula1>"1,5,10,20,50,100,500"</s:formula1>
    </s:dataValidation>
    <s:dataValidation type="decimal" sqref="C15" operator="between" allowBlank="0" showErrorMessage="1" errorTitle="Sprawdź wartość" error="Wpisz wartość w dozwolonym zakresie.">
      <s:formula1>0.5</s:formula1>
      <s:formula2>1</s:formula2>
    </s:dataValidation>
    <s:dataValidation type="decimal" sqref="C42" operator="between" allowBlank="0" showErrorMessage="1" errorTitle="Sprawdź wartość" error="Wpisz wartość w dozwolonym zakresie.">
      <s:formula1>-100</s:formula1>
      <s:formula2>100</s:formula2>
    </s:dataValidation>
    <s:dataValidation type="decimal" sqref="C82" operator="between" allowBlank="0" showErrorMessage="1" errorTitle="Sprawdź wartość" error="Wpisz wartość w dozwolonym zakresie.">
      <s:formula1>0</s:formula1>
      <s:formula2>2400</s:formula2>
    </s:dataValidation>
    <s:dataValidation type="decimal" sqref="C83" operator="between" allowBlank="0" showErrorMessage="1" errorTitle="Sprawdź wartość" error="Wpisz wartość w dozwolonym zakresie.">
      <s:formula1>0</s:formula1>
      <s:formula2>5</s:formula2>
    </s:dataValidation>
    <s:dataValidation type="decimal" sqref="C91" operator="between" allowBlank="0" showErrorMessage="1" errorTitle="Sprawdź wartość" error="Wpisz wartość w dozwolonym zakresie.">
      <s:formula1>0.01</s:formula1>
      <s:formula2>1000000</s:formula2>
    </s:dataValidation>
    <s:dataValidation type="decimal" sqref="C92" operator="between" allowBlank="0" showErrorMessage="1" errorTitle="Sprawdź wartość" error="Wpisz wartość w dozwolonym zakresie.">
      <s:formula1>0.001</s:formula1>
      <s:formula2>1000</s:formula2>
    </s:dataValidation>
  </s:dataValidations>
  <s:pageMargins left="0.25" right="0.25" top="0.5" bottom="0.5" header="0.2" footer="0.2"/>
  <s:pageSetup orientation="landscape" paperSize="8" fitToWidth="1" fitToHeight="0"/>
</s:worksheet>
</file>

<file path=xl/worksheets/sheet64.xml><?xml version="1.0" encoding="utf-8"?>
<s:worksheet xmlns:s="http://schemas.openxmlformats.org/spreadsheetml/2006/main">
  <s:sheetPr/>
  <s:dimension ref="A1:M160"/>
  <s:sheetViews>
    <s:sheetView workbookViewId="0" tabSelected="0">
      <s:pane ySplit="5" xSplit="2" topLeftCell="C6" activePane="bottomRight" state="frozen"/>
    </s:sheetView>
  </s:sheetViews>
  <s:sheetFormatPr defaultRowHeight="22"/>
  <s:cols>
    <s:col min="1" max="1" width="18" customWidth="1"/>
    <s:col min="2" max="2" width="27" customWidth="1"/>
    <s:col min="3" max="3" width="56" customWidth="1"/>
    <s:col min="4" max="4" width="14" customWidth="1"/>
    <s:col min="5" max="5" width="38" customWidth="1"/>
    <s:col min="6" max="6" width="55" customWidth="1"/>
    <s:col min="7" max="7" width="78" customWidth="1"/>
    <s:col min="8" max="8" width="105" customWidth="1"/>
    <s:col min="9" max="9" width="105" customWidth="1"/>
    <s:col min="10" max="10" width="34" customWidth="1"/>
    <s:col min="11" max="11" width="35" customWidth="1"/>
    <s:col min="12" max="12" width="25" customWidth="1"/>
    <s:col min="13" max="13" width="65" customWidth="1"/>
  </s:cols>
  <s:sheetData>
    <s:row r="1" ht="34" customHeight="1">
      <s:c r="A1" s="1" t="inlineStr">
        <s:is>
          <s:t xml:space="preserve">TESTY V11 · scenariusze ręczne i odbiór</s:t>
        </s:is>
      </s:c>
    </s:row>
    <s:row r="2" ht="76" customHeight="1">
      <s:c r="A2" s="2" t="inlineStr">
        <s:is>
          <s:t xml:space="preserve">To scenariusze do wykonania, nie raport PASS. admin1 sprawdzamy wyłącznie odczytowo; stałych admin2/3 także nie resetujemy. Mutacje, awarie, retencję i fikstury prowadzimy w lokalnym DEV lub na jawnie przeznaczonym koncie testowym. Nie zmieniać zegara ani danych żywej wyspy; warunki i środowisko każdego testu są obowiązkowe.</s:t>
        </s:is>
      </s:c>
    </s:row>
    <s:row r="5" ht="34" customHeight="1">
      <s:c r="A5" s="3" t="inlineStr">
        <s:is>
          <s:t xml:space="preserve">ID</s:t>
        </s:is>
      </s:c>
      <s:c r="B5" s="3" t="inlineStr">
        <s:is>
          <s:t xml:space="preserve">Obszar</s:t>
        </s:is>
      </s:c>
      <s:c r="C5" s="3" t="inlineStr">
        <s:is>
          <s:t xml:space="preserve">Scenariusz</s:t>
        </s:is>
      </s:c>
      <s:c r="D5" s="3" t="inlineStr">
        <s:is>
          <s:t xml:space="preserve">Priorytet</s:t>
        </s:is>
      </s:c>
      <s:c r="E5" s="3" t="inlineStr">
        <s:is>
          <s:t xml:space="preserve">Środowisko</s:t>
        </s:is>
      </s:c>
      <s:c r="F5" s="3" t="inlineStr">
        <s:is>
          <s:t xml:space="preserve">Konto / fikstura</s:t>
        </s:is>
      </s:c>
      <s:c r="G5" s="3" t="inlineStr">
        <s:is>
          <s:t xml:space="preserve">Warunki początkowe</s:t>
        </s:is>
      </s:c>
      <s:c r="H5" s="3" t="inlineStr">
        <s:is>
          <s:t xml:space="preserve">Kroki</s:t>
        </s:is>
      </s:c>
      <s:c r="I5" s="3" t="inlineStr">
        <s:is>
          <s:t xml:space="preserve">Oczekiwany wynik</s:t>
        </s:is>
      </s:c>
      <s:c r="J5" s="3" t="inlineStr">
        <s:is>
          <s:t xml:space="preserve">Tryb</s:t>
        </s:is>
      </s:c>
      <s:c r="K5" s="3" t="inlineStr">
        <s:is>
          <s:t xml:space="preserve">Stan implementacji</s:t>
        </s:is>
      </s:c>
      <s:c r="L5" s="3" t="inlineStr">
        <s:is>
          <s:t xml:space="preserve">Wynik ręczny</s:t>
        </s:is>
      </s:c>
      <s:c r="M5" s="3" t="inlineStr">
        <s:is>
          <s:t xml:space="preserve">Źródła</s:t>
        </s:is>
      </s:c>
    </s:row>
    <s:row r="6" ht="150" customHeight="1">
      <s:c r="A6" s="4" t="inlineStr">
        <s:is>
          <s:t xml:space="preserve">ACC-001</s:t>
        </s:is>
      </s:c>
      <s:c r="B6" s="4" t="inlineStr">
        <s:is>
          <s:t xml:space="preserve">Konta i zapis w chmurze</s:t>
        </s:is>
      </s:c>
      <s:c r="C6" s="4" t="inlineStr">
        <s:is>
          <s:t xml:space="preserve">Anonimowe wejście na chronioną grę</s:t>
        </s:is>
      </s:c>
      <s:c r="D6" s="4" t="inlineStr">
        <s:is>
          <s:t xml:space="preserve">P0</s:t>
        </s:is>
      </s:c>
      <s:c r="E6" s="4" t="inlineStr">
        <s:is>
          <s:t xml:space="preserve">PRE-PROD — odczyt</s:t>
        </s:is>
      </s:c>
      <s:c r="F6" s="4" t="inlineStr">
        <s:is>
          <s:t xml:space="preserve">Czysty profil; bez konta</s:t>
        </s:is>
      </s:c>
      <s:c r="G6" s="4" t="inlineStr">
        <s:is>
          <s:t xml:space="preserve">Czysty profil prywatny bez jakiejkolwiek sesji Firebase; wyłącznie anonimowe wejście hostowane. W tym przypadku nie wpisuj danych konta i nie przechodź do zalogowanej gry.</s:t>
        </s:is>
      </s:c>
      <s:c r="H6" s="4" t="inlineStr">
        <s:is>
          <s:t xml:space="preserve">1. Otwórz bezpośredni adres gry w czystym profilu przeglądarki.
2. Poczekaj na zakończenie przekierowania.</s:t>
        </s:is>
      </s:c>
      <s:c r="I6" s="4" t="inlineStr">
        <s:is>
          <s:t xml:space="preserve">• Pojawia się formularz logowania.
• Gra nie otwiera lokalnej wyspy i nie oferuje wejścia gościa.</s:t>
        </s:is>
      </s:c>
      <s:c r="J6" s="4" t="inlineStr">
        <s:is>
          <s:t xml:space="preserve">Manualnie — odczyt</s:t>
        </s:is>
      </s:c>
      <s:c r="K6" s="4" t="inlineStr">
        <s:is>
          <s:t xml:space="preserve">v18 — implementacja; wynik tego scenariusza nie został wpisany</s:t>
        </s:is>
      </s:c>
      <s:c r="L6" s="6" t="inlineStr">
        <s:is>
          <s:t xml:space="preserve">Nie wykonano</s:t>
        </s:is>
      </s:c>
      <s:c r="M6" s="4" t="inlineStr">
        <s:is>
          <s:t xml:space="preserve">harborlight-dev-cloud.js
harborlight-dev-sync.js
tests/harborlight-dev-game-smoke.py</s:t>
        </s:is>
      </s:c>
    </s:row>
    <s:row r="7" ht="150" customHeight="1">
      <s:c r="A7" s="5" t="inlineStr">
        <s:is>
          <s:t xml:space="preserve">ACC-002</s:t>
        </s:is>
      </s:c>
      <s:c r="B7" s="5" t="inlineStr">
        <s:is>
          <s:t xml:space="preserve">Konta i zapis w chmurze</s:t>
        </s:is>
      </s:c>
      <s:c r="C7" s="5" t="inlineStr">
        <s:is>
          <s:t xml:space="preserve">Historia admin1 przez harness blokujący zapis</s:t>
        </s:is>
      </s:c>
      <s:c r="D7" s="5" t="inlineStr">
        <s:is>
          <s:t xml:space="preserve">P0</s:t>
        </s:is>
      </s:c>
      <s:c r="E7" s="5" t="inlineStr">
        <s:is>
          <s:t xml:space="preserve">PRE-PROD — odczyt postępu przez zabezpieczony harness</s:t>
        </s:is>
      </s:c>
      <s:c r="F7" s="5" t="inlineStr">
        <s:is>
          <s:t xml:space="preserve">admin1 / dev-admin1; istniejąca wyspa; bez tworzenia i resetu</s:t>
        </s:is>
      </s:c>
      <s:c r="G7" s="5" t="inlineStr">
        <s:is>
          <s:t xml:space="preserve">Istniejący dokument wyspy admin1 i wcześniej zanotowany stan do porównania. Obowiązkowo użyj tests/harborlight-hosted-v18-smoke.py oraz zweryfikowanego pakietu/manifestu. Przed pierwszą nawigacją kontekst przeglądarki musi blokować wszystkie żądania zapisu wyspy i aktywności; brak zapisanej wyspy ma zakończyć odbiór bez tworzenia startera.</s:t>
        </s:is>
      </s:c>
      <s:c r="H7" s="5" t="inlineStr">
        <s:is>
          <s:t xml:space="preserve">1. Sprawdź w harnessie rejestrację ochrony prohibit_writes przed page.goto; dozwolone są odczyty oraz niezbędne odczytowe wywołania Auth lookup/refresh, a zapisy wyspy, aktywności i realizacji nagród są blokowane.
2. Uruchom istniejący odczytowy harness dla PRE-PROD. Potwierdź UID dev-admin1 i własny istniejący dokument. Jeśli harness wybierze inne konto lub nie ma zapisanej wyspy admin1, oznacz scenariusz jako Zablokowano; nie twórz nowej wyspy.
3. Porównaj poziomy, zasoby, statystyki i historię z odczytanej odpowiedzi lub dowodów harnessu z zanotowanym stanem. Ewentualny dalszy upływ czasu w renderowanej grze traktuj wyłącznie jako ulotną symulację w pamięci, której nie wolno zapisać.
4. Sprawdź dowody blokady żądań mutujących i zamknij kontekst testowy. Nie wykonuj tego scenariusza przez zwykłe zalogowanie i klikanie paneli żywej gry: userActivity i autosave mogą wtedy zapisać stan.</s:t>
        </s:is>
      </s:c>
      <s:c r="I7" s="5" t="inlineStr">
        <s:is>
          <s:t xml:space="preserve">• Odczyt dotyczy istniejącej wyspy dev-admin1; zachowuje jej poziomy, zasoby, statystyki i treść historii. Nie powstaje nowy UID, starter ani dokument zastępujący wyspę.
• Zapisy gry i aktywności są przechwytywane przed dotarciem do backendu/Firestore, także przy automatycznym zapisie lub zdarzeniach wejścia. Porównanie nie zatwierdza ulotnej symulacji.
• Dowód jest ważny tylko dla admin1 i przy aktywnej blokadzie zapisów. Sam poprawny ekran gry lub udane logowanie nie jest dowodem testu bez zapisu; logowanie może zmienić techniczne metadane Auth.</s:t>
        </s:is>
      </s:c>
      <s:c r="J7" s="5" t="inlineStr">
        <s:is>
          <s:t xml:space="preserve">Właścicielski harness z obowiązkową blokadą zapisów</s:t>
        </s:is>
      </s:c>
      <s:c r="K7" s="5" t="inlineStr">
        <s:is>
          <s:t xml:space="preserve">v18 — implementacja; wynik tego scenariusza nie został wpisany</s:t>
        </s:is>
      </s:c>
      <s:c r="L7" s="6" t="inlineStr">
        <s:is>
          <s:t xml:space="preserve">Nie wykonano</s:t>
        </s:is>
      </s:c>
      <s:c r="M7" s="5" t="inlineStr">
        <s:is>
          <s:t xml:space="preserve">tests/harborlight-hosted-v18-smoke.py
harborlight-dev-cloud.js
harborlight-dev-sync.js</s:t>
        </s:is>
      </s:c>
    </s:row>
    <s:row r="8" ht="150" customHeight="1">
      <s:c r="A8" s="4" t="inlineStr">
        <s:is>
          <s:t xml:space="preserve">ACC-003</s:t>
        </s:is>
      </s:c>
      <s:c r="B8" s="4" t="inlineStr">
        <s:is>
          <s:t xml:space="preserve">Konta i zapis w chmurze</s:t>
        </s:is>
      </s:c>
      <s:c r="C8" s="4" t="inlineStr">
        <s:is>
          <s:t xml:space="preserve">Trzy tożsamości mają oddzielne wyspy</s:t>
        </s:is>
      </s:c>
      <s:c r="D8" s="4" t="inlineStr">
        <s:is>
          <s:t xml:space="preserve">P0</s:t>
        </s:is>
      </s:c>
      <s:c r="E8" s="4" t="inlineStr">
        <s:is>
          <s:t xml:space="preserve">PRE-PROD — odczyt</s:t>
        </s:is>
      </s:c>
      <s:c r="F8" s="4" t="inlineStr">
        <s:is>
          <s:t xml:space="preserve">admin1–3; wyłącznie sprawdzenie tożsamości i odczytu</s:t>
        </s:is>
      </s:c>
      <s:c r="G8" s="4" t="inlineStr">
        <s:is>
          <s:t xml:space="preserve">Przygotowane konta admin1–3; kontrola przez odczytowy check-dev-accounts.mjs.</s:t>
        </s:is>
      </s:c>
      <s:c r="H8" s="4" t="inlineStr">
        <s:is>
          <s:t xml:space="preserve">1. Uruchom przewidzianą odczytową kontrolę kont w zatwierdzonym workflow.
2. Sprawdź UID i wyniki odczytów własnych oraz cudzych dokumentów.</s:t>
        </s:is>
      </s:c>
      <s:c r="I8" s="4" t="inlineStr">
        <s:is>
          <s:t xml:space="preserve">• UID są dev-admin1, dev-admin2 i dev-admin3.
• Cudze i anonimowe odczyty są odrzucane; brak nadpisania wysp.</s:t>
        </s:is>
      </s:c>
      <s:c r="J8" s="4" t="inlineStr">
        <s:is>
          <s:t xml:space="preserve">Kontrola właścicielska — odczyt</s:t>
        </s:is>
      </s:c>
      <s:c r="K8" s="4" t="inlineStr">
        <s:is>
          <s:t xml:space="preserve">v18 — implementacja; wynik tego scenariusza nie został wpisany</s:t>
        </s:is>
      </s:c>
      <s:c r="L8" s="6" t="inlineStr">
        <s:is>
          <s:t xml:space="preserve">Nie wykonano</s:t>
        </s:is>
      </s:c>
      <s:c r="M8" s="4" t="inlineStr">
        <s:is>
          <s:t xml:space="preserve">harborlight-dev-cloud.js
harborlight-dev-sync.js
tests/harborlight-dev-game-smoke.py
infra/google-cloud/check-dev-accounts.mjs</s:t>
        </s:is>
      </s:c>
    </s:row>
    <s:row r="9" ht="150" customHeight="1">
      <s:c r="A9" s="5" t="inlineStr">
        <s:is>
          <s:t xml:space="preserve">ACC-004</s:t>
        </s:is>
      </s:c>
      <s:c r="B9" s="5" t="inlineStr">
        <s:is>
          <s:t xml:space="preserve">Konta i zapis w chmurze</s:t>
        </s:is>
      </s:c>
      <s:c r="C9" s="5" t="inlineStr">
        <s:is>
          <s:t xml:space="preserve">Starter tworzony raz przy pierwszym wejściu</s:t>
        </s:is>
      </s:c>
      <s:c r="D9" s="5" t="inlineStr">
        <s:is>
          <s:t xml:space="preserve">P0</s:t>
        </s:is>
      </s:c>
      <s:c r="E9" s="5" t="inlineStr">
        <s:is>
          <s:t xml:space="preserve">DEV — atrapa chmury</s:t>
        </s:is>
      </s:c>
      <s:c r="F9" s="5" t="inlineStr">
        <s:is>
          <s:t xml:space="preserve">Jednorazowe konto testowe</s:t>
        </s:is>
      </s:c>
      <s:c r="G9" s="5" t="inlineStr">
        <s:is>
          <s:t xml:space="preserve">Nowe jednorazowe konto w izolowanej bazie testowej; brak dokumentu wyspy.</s:t>
        </s:is>
      </s:c>
      <s:c r="H9" s="5" t="inlineStr">
        <s:is>
          <s:t xml:space="preserve">1. Wejdź pierwszy raz do gry.
2. Sprawdź Ratusz, populację, przydziały i sześć zasobów.
3. Wyloguj i zaloguj ponownie.</s:t>
        </s:is>
      </s:c>
      <s:c r="I9" s="5" t="inlineStr">
        <s:is>
          <s:t xml:space="preserve">• Start: Ratusz 1, 12 mieszkańców, 0 przydzielonych, po100 sześciu zasobów i bazowe H20%.
• Kolejne wejście wznawia zapis zamiast dopisywać drugi starter.</s:t>
        </s:is>
      </s:c>
      <s:c r="J9" s="5" t="inlineStr">
        <s:is>
          <s:t xml:space="preserve">Atrapa API / izolowana baza</s:t>
        </s:is>
      </s:c>
      <s:c r="K9" s="5" t="inlineStr">
        <s:is>
          <s:t xml:space="preserve">v18 — implementacja; wynik tego scenariusza nie został wpisany</s:t>
        </s:is>
      </s:c>
      <s:c r="L9" s="6" t="inlineStr">
        <s:is>
          <s:t xml:space="preserve">Nie wykonano</s:t>
        </s:is>
      </s:c>
      <s:c r="M9" s="5" t="inlineStr">
        <s:is>
          <s:t xml:space="preserve">harborlight-dev-cloud.js
harborlight-dev-sync.js
tests/harborlight-dev-game-smoke.py</s:t>
        </s:is>
      </s:c>
    </s:row>
    <s:row r="10" ht="150" customHeight="1">
      <s:c r="A10" s="4" t="inlineStr">
        <s:is>
          <s:t xml:space="preserve">ACC-005</s:t>
        </s:is>
      </s:c>
      <s:c r="B10" s="4" t="inlineStr">
        <s:is>
          <s:t xml:space="preserve">Konta i zapis w chmurze</s:t>
        </s:is>
      </s:c>
      <s:c r="C10" s="4" t="inlineStr">
        <s:is>
          <s:t xml:space="preserve">Zapis na drugim urządzeniu</s:t>
        </s:is>
      </s:c>
      <s:c r="D10" s="4" t="inlineStr">
        <s:is>
          <s:t xml:space="preserve">P0</s:t>
        </s:is>
      </s:c>
      <s:c r="E10" s="4" t="inlineStr">
        <s:is>
          <s:t xml:space="preserve">DEV — atrapa chmury</s:t>
        </s:is>
      </s:c>
      <s:c r="F10" s="4" t="inlineStr">
        <s:is>
          <s:t xml:space="preserve">Jednorazowe konto testowe</s:t>
        </s:is>
      </s:c>
      <s:c r="G10" s="4" t="inlineStr">
        <s:is>
          <s:t xml:space="preserve">To samo jednorazowe konto w dwóch czystych profilach; brak równoległej gry.</s:t>
        </s:is>
      </s:c>
      <s:c r="H10" s="4" t="inlineStr">
        <s:is>
          <s:t xml:space="preserve">1. W profilu A wykonaj pojedynczy przydział i poczekaj na potwierdzenie zapisu.
2. Wyloguj A.
3. Zaloguj profil B.</s:t>
        </s:is>
      </s:c>
      <s:c r="I10" s="4" t="inlineStr">
        <s:is>
          <s:t xml:space="preserve">• Profil B odczytuje potwierdzony przydział, zasoby i historię z chmury.
• Nie importuje żadnej lokalnej wyspy.</s:t>
        </s:is>
      </s:c>
      <s:c r="J10" s="4" t="inlineStr">
        <s:is>
          <s:t xml:space="preserve">Atrapa API / izolowana baza</s:t>
        </s:is>
      </s:c>
      <s:c r="K10" s="4" t="inlineStr">
        <s:is>
          <s:t xml:space="preserve">v18 — implementacja; wynik tego scenariusza nie został wpisany</s:t>
        </s:is>
      </s:c>
      <s:c r="L10" s="6" t="inlineStr">
        <s:is>
          <s:t xml:space="preserve">Nie wykonano</s:t>
        </s:is>
      </s:c>
      <s:c r="M10" s="4" t="inlineStr">
        <s:is>
          <s:t xml:space="preserve">harborlight-dev-cloud.js
harborlight-dev-sync.js
tests/harborlight-dev-game-smoke.py</s:t>
        </s:is>
      </s:c>
    </s:row>
    <s:row r="11" ht="150" customHeight="1">
      <s:c r="A11" s="5" t="inlineStr">
        <s:is>
          <s:t xml:space="preserve">ACC-006</s:t>
        </s:is>
      </s:c>
      <s:c r="B11" s="5" t="inlineStr">
        <s:is>
          <s:t xml:space="preserve">Konta i zapis w chmurze</s:t>
        </s:is>
      </s:c>
      <s:c r="C11" s="5" t="inlineStr">
        <s:is>
          <s:t xml:space="preserve">Awaria chmury przed otwarciem</s:t>
        </s:is>
      </s:c>
      <s:c r="D11" s="5" t="inlineStr">
        <s:is>
          <s:t xml:space="preserve">P0</s:t>
        </s:is>
      </s:c>
      <s:c r="E11" s="5" t="inlineStr">
        <s:is>
          <s:t xml:space="preserve">DEV — izolowany fixture</s:t>
        </s:is>
      </s:c>
      <s:c r="F11" s="5" t="inlineStr">
        <s:is>
          <s:t xml:space="preserve">Syntetyczna wyspa; bez kont chmurowych</s:t>
        </s:is>
      </s:c>
      <s:c r="G11" s="5" t="inlineStr">
        <s:is>
          <s:t xml:space="preserve">Prawidłowa sesja testowa; endpoint odczytu wyspy zwraca błąd sieci.</s:t>
        </s:is>
      </s:c>
      <s:c r="H11" s="5" t="inlineStr">
        <s:is>
          <s:t xml:space="preserve">1. Otwórz grę.
2. Sprawdź ekran błędu i dostępność działań.
3. Przywróć sieć i użyj Ponów.</s:t>
        </s:is>
      </s:c>
      <s:c r="I11" s="5" t="inlineStr">
        <s:is>
          <s:t xml:space="preserve">• Brak lokalnego startera i brak dostępnych operacji gospodarki podczas awarii.
• Ponowienie odczytuje istniejącą wyspę.</s:t>
        </s:is>
      </s:c>
      <s:c r="J11" s="5" t="inlineStr">
        <s:is>
          <s:t xml:space="preserve">Lokalnie</s:t>
        </s:is>
      </s:c>
      <s:c r="K11" s="5" t="inlineStr">
        <s:is>
          <s:t xml:space="preserve">v18 — implementacja; wynik tego scenariusza nie został wpisany</s:t>
        </s:is>
      </s:c>
      <s:c r="L11" s="6" t="inlineStr">
        <s:is>
          <s:t xml:space="preserve">Nie wykonano</s:t>
        </s:is>
      </s:c>
      <s:c r="M11" s="5" t="inlineStr">
        <s:is>
          <s:t xml:space="preserve">harborlight-dev-cloud.js
harborlight-dev-sync.js
tests/harborlight-dev-game-smoke.py</s:t>
        </s:is>
      </s:c>
    </s:row>
    <s:row r="12" ht="150" customHeight="1">
      <s:c r="A12" s="4" t="inlineStr">
        <s:is>
          <s:t xml:space="preserve">ACC-007</s:t>
        </s:is>
      </s:c>
      <s:c r="B12" s="4" t="inlineStr">
        <s:is>
          <s:t xml:space="preserve">Konta i zapis w chmurze</s:t>
        </s:is>
      </s:c>
      <s:c r="C12" s="4" t="inlineStr">
        <s:is>
          <s:t xml:space="preserve">Nieudany pierwszy zapis startera</s:t>
        </s:is>
      </s:c>
      <s:c r="D12" s="4" t="inlineStr">
        <s:is>
          <s:t xml:space="preserve">P0</s:t>
        </s:is>
      </s:c>
      <s:c r="E12" s="4" t="inlineStr">
        <s:is>
          <s:t xml:space="preserve">DEV — izolowany fixture</s:t>
        </s:is>
      </s:c>
      <s:c r="F12" s="4" t="inlineStr">
        <s:is>
          <s:t xml:space="preserve">Syntetyczna wyspa; bez kont chmurowych</s:t>
        </s:is>
      </s:c>
      <s:c r="G12" s="4" t="inlineStr">
        <s:is>
          <s:t xml:space="preserve">Atrapa starej ścieżki PRE-PROD: brak wyspy, pierwszy commit odrzucony.</s:t>
        </s:is>
      </s:c>
      <s:c r="H12" s="4" t="inlineStr">
        <s:is>
          <s:t xml:space="preserve">1. Spróbuj otworzyć grę z nowym kontem testowym.
2. Odrzuć utworzenie dokumentu.</s:t>
        </s:is>
      </s:c>
      <s:c r="I12" s="4" t="inlineStr">
        <s:is>
          <s:t xml:space="preserve">• Gra nie ogłasza utworzenia wyspy i nie otwiera niezapisanego świata.
• Nie zapisuje startera ani kopii w localStorage/sessionStorage.</s:t>
        </s:is>
      </s:c>
      <s:c r="J12" s="4" t="inlineStr">
        <s:is>
          <s:t xml:space="preserve">Lokalnie</s:t>
        </s:is>
      </s:c>
      <s:c r="K12" s="4" t="inlineStr">
        <s:is>
          <s:t xml:space="preserve">v18 — implementacja; wynik tego scenariusza nie został wpisany</s:t>
        </s:is>
      </s:c>
      <s:c r="L12" s="6" t="inlineStr">
        <s:is>
          <s:t xml:space="preserve">Nie wykonano</s:t>
        </s:is>
      </s:c>
      <s:c r="M12" s="4" t="inlineStr">
        <s:is>
          <s:t xml:space="preserve">harborlight-dev-cloud.js
harborlight-dev-sync.js
tests/harborlight-dev-game-smoke.py</s:t>
        </s:is>
      </s:c>
    </s:row>
    <s:row r="13" ht="150" customHeight="1">
      <s:c r="A13" s="5" t="inlineStr">
        <s:is>
          <s:t xml:space="preserve">ACC-008</s:t>
        </s:is>
      </s:c>
      <s:c r="B13" s="5" t="inlineStr">
        <s:is>
          <s:t xml:space="preserve">Konta i zapis w chmurze</s:t>
        </s:is>
      </s:c>
      <s:c r="C13" s="5" t="inlineStr">
        <s:is>
          <s:t xml:space="preserve">Konflikt dwóch kart</s:t>
        </s:is>
      </s:c>
      <s:c r="D13" s="5" t="inlineStr">
        <s:is>
          <s:t xml:space="preserve">P0</s:t>
        </s:is>
      </s:c>
      <s:c r="E13" s="5" t="inlineStr">
        <s:is>
          <s:t xml:space="preserve">DEV — izolowany fixture</s:t>
        </s:is>
      </s:c>
      <s:c r="F13" s="5" t="inlineStr">
        <s:is>
          <s:t xml:space="preserve">Syntetyczna wyspa; bez kont chmurowych</s:t>
        </s:is>
      </s:c>
      <s:c r="G13" s="5" t="inlineStr">
        <s:is>
          <s:t xml:space="preserve">Jednorazowe konto; dwa klienty odczytały tę samą rewizję.</s:t>
        </s:is>
      </s:c>
      <s:c r="H13" s="5" t="inlineStr">
        <s:is>
          <s:t xml:space="preserve">1. Klient A zapisuje zmianę i otrzymuje potwierdzenie.
2. Klient B próbuje zapisać swój starszy stan.
3. W B wybierz jawne wczytanie chmury.</s:t>
        </s:is>
      </s:c>
      <s:c r="I13" s="5" t="inlineStr">
        <s:is>
          <s:t xml:space="preserve">• Drugi zapis jest odrzucony warunkiem rewizji.
• B przestaje zatwierdzać działania, a po wczytaniu pokazuje stan A.</s:t>
        </s:is>
      </s:c>
      <s:c r="J13" s="5" t="inlineStr">
        <s:is>
          <s:t xml:space="preserve">Lokalnie</s:t>
        </s:is>
      </s:c>
      <s:c r="K13" s="5" t="inlineStr">
        <s:is>
          <s:t xml:space="preserve">v18 — implementacja; wynik tego scenariusza nie został wpisany</s:t>
        </s:is>
      </s:c>
      <s:c r="L13" s="6" t="inlineStr">
        <s:is>
          <s:t xml:space="preserve">Nie wykonano</s:t>
        </s:is>
      </s:c>
      <s:c r="M13" s="5" t="inlineStr">
        <s:is>
          <s:t xml:space="preserve">harborlight-dev-cloud.js
harborlight-dev-sync.js
tests/harborlight-dev-game-smoke.py</s:t>
        </s:is>
      </s:c>
    </s:row>
    <s:row r="14" ht="150" customHeight="1">
      <s:c r="A14" s="4" t="inlineStr">
        <s:is>
          <s:t xml:space="preserve">ACC-009</s:t>
        </s:is>
      </s:c>
      <s:c r="B14" s="4" t="inlineStr">
        <s:is>
          <s:t xml:space="preserve">Konta i zapis w chmurze</s:t>
        </s:is>
      </s:c>
      <s:c r="C14" s="4" t="inlineStr">
        <s:is>
          <s:t xml:space="preserve">Utrata odpowiedzi po skutecznym commicie</s:t>
        </s:is>
      </s:c>
      <s:c r="D14" s="4" t="inlineStr">
        <s:is>
          <s:t xml:space="preserve">P0</s:t>
        </s:is>
      </s:c>
      <s:c r="E14" s="4" t="inlineStr">
        <s:is>
          <s:t xml:space="preserve">DEV — izolowany fixture</s:t>
        </s:is>
      </s:c>
      <s:c r="F14" s="4" t="inlineStr">
        <s:is>
          <s:t xml:space="preserve">Syntetyczna wyspa; bez kont chmurowych</s:t>
        </s:is>
      </s:c>
      <s:c r="G14" s="4" t="inlineStr">
        <s:is>
          <s:t xml:space="preserve">Atrapa zapisuje żądanie w bazie, lecz gubi odpowiedź do klienta.</s:t>
        </s:is>
      </s:c>
      <s:c r="H14" s="4" t="inlineStr">
        <s:is>
          <s:t xml:space="preserve">1. Wykonaj komendę.
2. Zasymuluj brak odpowiedzi.
3. Sprawdź liczbę żądań, następnie jawnie wczytaj chmurę.</s:t>
        </s:is>
      </s:c>
      <s:c r="I14" s="4" t="inlineStr">
        <s:is>
          <s:t xml:space="preserve">• Klient nie ponawia bez końca niejednoznacznego zapisu i blokuje dalsze komendy.
• Odczyt pokazuje pojedynczy serwerowy skutek, bez podwojenia.</s:t>
        </s:is>
      </s:c>
      <s:c r="J14" s="4" t="inlineStr">
        <s:is>
          <s:t xml:space="preserve">Lokalnie</s:t>
        </s:is>
      </s:c>
      <s:c r="K14" s="4" t="inlineStr">
        <s:is>
          <s:t xml:space="preserve">v18 — implementacja; wynik tego scenariusza nie został wpisany</s:t>
        </s:is>
      </s:c>
      <s:c r="L14" s="6" t="inlineStr">
        <s:is>
          <s:t xml:space="preserve">Nie wykonano</s:t>
        </s:is>
      </s:c>
      <s:c r="M14" s="4" t="inlineStr">
        <s:is>
          <s:t xml:space="preserve">harborlight-dev-cloud.js
harborlight-dev-sync.js
tests/harborlight-dev-game-smoke.py</s:t>
        </s:is>
      </s:c>
    </s:row>
    <s:row r="15" ht="150" customHeight="1">
      <s:c r="A15" s="5" t="inlineStr">
        <s:is>
          <s:t xml:space="preserve">ACC-010</s:t>
        </s:is>
      </s:c>
      <s:c r="B15" s="5" t="inlineStr">
        <s:is>
          <s:t xml:space="preserve">Konta i zapis w chmurze</s:t>
        </s:is>
      </s:c>
      <s:c r="C15" s="5" t="inlineStr">
        <s:is>
          <s:t xml:space="preserve">Brak pamięci wysp w przeglądarce</s:t>
        </s:is>
      </s:c>
      <s:c r="D15" s="5" t="inlineStr">
        <s:is>
          <s:t xml:space="preserve">P0</s:t>
        </s:is>
      </s:c>
      <s:c r="E15" s="5" t="inlineStr">
        <s:is>
          <s:t xml:space="preserve">DEV — izolowany fixture</s:t>
        </s:is>
      </s:c>
      <s:c r="F15" s="5" t="inlineStr">
        <s:is>
          <s:t xml:space="preserve">Syntetyczna wyspa; bez kont chmurowych</s:t>
        </s:is>
      </s:c>
      <s:c r="G15" s="5" t="inlineStr">
        <s:is>
          <s:t xml:space="preserve">Lokalny fixture lub atrapa chmury; otwarte narzędzia pamięci przeglądarki.</s:t>
        </s:is>
      </s:c>
      <s:c r="H15" s="5" t="inlineStr">
        <s:is>
          <s:t xml:space="preserve">1. Rozegraj kilka akcji i wyloguj.
2. Sprawdź klucze localStorage i sessionStorage.</s:t>
        </s:is>
      </s:c>
      <s:c r="I15" s="5" t="inlineStr">
        <s:is>
          <s:t xml:space="preserve">• Nie ma payloadu wyspy, kopii zapasowej ani trwałej kolejki jej zapisu.
• Techniczna sesja logowania i preferencja języka są dozwolone.</s:t>
        </s:is>
      </s:c>
      <s:c r="J15" s="5" t="inlineStr">
        <s:is>
          <s:t xml:space="preserve">Lokalnie</s:t>
        </s:is>
      </s:c>
      <s:c r="K15" s="5" t="inlineStr">
        <s:is>
          <s:t xml:space="preserve">v18 — implementacja; wynik tego scenariusza nie został wpisany</s:t>
        </s:is>
      </s:c>
      <s:c r="L15" s="6" t="inlineStr">
        <s:is>
          <s:t xml:space="preserve">Nie wykonano</s:t>
        </s:is>
      </s:c>
      <s:c r="M15" s="5" t="inlineStr">
        <s:is>
          <s:t xml:space="preserve">harborlight-dev-cloud.js
harborlight-dev-sync.js
tests/harborlight-dev-game-smoke.py</s:t>
        </s:is>
      </s:c>
    </s:row>
    <s:row r="16" ht="150" customHeight="1">
      <s:c r="A16" s="4" t="inlineStr">
        <s:is>
          <s:t xml:space="preserve">ACC-011</s:t>
        </s:is>
      </s:c>
      <s:c r="B16" s="4" t="inlineStr">
        <s:is>
          <s:t xml:space="preserve">Konta i zapis w chmurze</s:t>
        </s:is>
      </s:c>
      <s:c r="C16" s="4" t="inlineStr">
        <s:is>
          <s:t xml:space="preserve">Migracja zapisu opublikowanego v17</s:t>
        </s:is>
      </s:c>
      <s:c r="D16" s="4" t="inlineStr">
        <s:is>
          <s:t xml:space="preserve">P0</s:t>
        </s:is>
      </s:c>
      <s:c r="E16" s="4" t="inlineStr">
        <s:is>
          <s:t xml:space="preserve">DEV — izolowany fixture</s:t>
        </s:is>
      </s:c>
      <s:c r="F16" s="4" t="inlineStr">
        <s:is>
          <s:t xml:space="preserve">Syntetyczna wyspa; bez kont chmurowych</s:t>
        </s:is>
      </s:c>
      <s:c r="G16" s="4" t="inlineStr">
        <s:is>
          <s:t xml:space="preserve">Syntetyczny plik tests/fixtures/harborlight-v17-admin-history.json; czas symulacji zatrzymany.</s:t>
        </s:is>
      </s:c>
      <s:c r="H16" s="4" t="inlineStr">
        <s:is>
          <s:t xml:space="preserve">1. Wczytaj fixture przez nowy normalizator.
2. Zapisz i ponownie wczytaj trzy razy.
3. Porównaj zasoby, populację, poziomy, obsadę, budowę, rezerwacje i historię.</s:t>
        </s:is>
      </s:c>
      <s:c r="I16" s="4" t="inlineStr">
        <s:is>
          <s:t xml:space="preserve">• Nie giną środki, mieszkańcy, budowa ani treść historycznych wiadomości.
• Nie odnawia się72 h premia powitalna i nie wypłacają ponownie stare skrzynie.</s:t>
        </s:is>
      </s:c>
      <s:c r="J16" s="4" t="inlineStr">
        <s:is>
          <s:t xml:space="preserve">Lokalnie</s:t>
        </s:is>
      </s:c>
      <s:c r="K16" s="4" t="inlineStr">
        <s:is>
          <s:t xml:space="preserve">v18 — implementacja; wynik tego scenariusza nie został wpisany</s:t>
        </s:is>
      </s:c>
      <s:c r="L16" s="6" t="inlineStr">
        <s:is>
          <s:t xml:space="preserve">Nie wykonano</s:t>
        </s:is>
      </s:c>
      <s:c r="M16" s="4" t="inlineStr">
        <s:is>
          <s:t xml:space="preserve">harborlight-dev-cloud.js
harborlight-dev-sync.js
tests/harborlight-dev-game-smoke.py</s:t>
        </s:is>
      </s:c>
    </s:row>
    <s:row r="17" ht="150" customHeight="1">
      <s:c r="A17" s="5" t="inlineStr">
        <s:is>
          <s:t xml:space="preserve">ACC-012</s:t>
        </s:is>
      </s:c>
      <s:c r="B17" s="5" t="inlineStr">
        <s:is>
          <s:t xml:space="preserve">Konta i zapis w chmurze</s:t>
        </s:is>
      </s:c>
      <s:c r="C17" s="5" t="inlineStr">
        <s:is>
          <s:t xml:space="preserve">Nieprawidłowy zapis nie jest zastępowany</s:t>
        </s:is>
      </s:c>
      <s:c r="D17" s="5" t="inlineStr">
        <s:is>
          <s:t xml:space="preserve">P0</s:t>
        </s:is>
      </s:c>
      <s:c r="E17" s="5" t="inlineStr">
        <s:is>
          <s:t xml:space="preserve">DEV — izolowany fixture</s:t>
        </s:is>
      </s:c>
      <s:c r="F17" s="5" t="inlineStr">
        <s:is>
          <s:t xml:space="preserve">Syntetyczna wyspa; bez kont chmurowych</s:t>
        </s:is>
      </s:c>
      <s:c r="G17" s="5" t="inlineStr">
        <s:is>
          <s:t xml:space="preserve">Atrapa zwraca niepoprawny JSON lub błędną strukturę dokumentu.</s:t>
        </s:is>
      </s:c>
      <s:c r="H17" s="5" t="inlineStr">
        <s:is>
          <s:t xml:space="preserve">1. Otwórz konto testowe.
2. Sprawdź komunikat oraz liczbę zapisów do API.</s:t>
        </s:is>
      </s:c>
      <s:c r="I17" s="5" t="inlineStr">
        <s:is>
          <s:t xml:space="preserve">• Gra odmawia otwarcia i nie nadpisuje uszkodzonego dokumentu nową wyspą.</s:t>
        </s:is>
      </s:c>
      <s:c r="J17" s="5" t="inlineStr">
        <s:is>
          <s:t xml:space="preserve">Lokalnie</s:t>
        </s:is>
      </s:c>
      <s:c r="K17" s="5" t="inlineStr">
        <s:is>
          <s:t xml:space="preserve">v18 — implementacja; wynik tego scenariusza nie został wpisany</s:t>
        </s:is>
      </s:c>
      <s:c r="L17" s="6" t="inlineStr">
        <s:is>
          <s:t xml:space="preserve">Nie wykonano</s:t>
        </s:is>
      </s:c>
      <s:c r="M17" s="5" t="inlineStr">
        <s:is>
          <s:t xml:space="preserve">harborlight-dev-cloud.js
harborlight-dev-sync.js
tests/harborlight-dev-game-smoke.py</s:t>
        </s:is>
      </s:c>
    </s:row>
    <s:row r="18" ht="150" customHeight="1">
      <s:c r="A18" s="4" t="inlineStr">
        <s:is>
          <s:t xml:space="preserve">ACC-013</s:t>
        </s:is>
      </s:c>
      <s:c r="B18" s="4" t="inlineStr">
        <s:is>
          <s:t xml:space="preserve">Konta i zapis w chmurze</s:t>
        </s:is>
      </s:c>
      <s:c r="C18" s="4" t="inlineStr">
        <s:is>
          <s:t xml:space="preserve">Brak obejścia ścieżki API produkcyjnego konta</s:t>
        </s:is>
      </s:c>
      <s:c r="D18" s="4" t="inlineStr">
        <s:is>
          <s:t xml:space="preserve">P0</s:t>
        </s:is>
      </s:c>
      <s:c r="E18" s="4" t="inlineStr">
        <s:is>
          <s:t xml:space="preserve">DEV — izolowany fixture</s:t>
        </s:is>
      </s:c>
      <s:c r="F18" s="4" t="inlineStr">
        <s:is>
          <s:t xml:space="preserve">Syntetyczna wyspa; bez kont chmurowych</s:t>
        </s:is>
      </s:c>
      <s:c r="G18" s="4" t="inlineStr">
        <s:is>
          <s:t xml:space="preserve">Atrapa hosta PROD; API kont zwraca503.</s:t>
        </s:is>
      </s:c>
      <s:c r="H18" s="4" t="inlineStr">
        <s:is>
          <s:t xml:space="preserve">1. Zaloguj konto testowe i otwórz grę.
2. Obserwuj żądania i pamięć przeglądarki.</s:t>
        </s:is>
      </s:c>
      <s:c r="I18" s="4" t="inlineStr">
        <s:is>
          <s:t xml:space="preserve">• Brak przejścia do bezpośredniego Firestore lub lokalnej gry jako awaryjnego zapisu.
• Wyświetlony jest błąd wymagający przywrócenia API.</s:t>
        </s:is>
      </s:c>
      <s:c r="J18" s="4" t="inlineStr">
        <s:is>
          <s:t xml:space="preserve">Lokalnie</s:t>
        </s:is>
      </s:c>
      <s:c r="K18" s="4" t="inlineStr">
        <s:is>
          <s:t xml:space="preserve">v18 — implementacja; wynik tego scenariusza nie został wpisany</s:t>
        </s:is>
      </s:c>
      <s:c r="L18" s="6" t="inlineStr">
        <s:is>
          <s:t xml:space="preserve">Nie wykonano</s:t>
        </s:is>
      </s:c>
      <s:c r="M18" s="4" t="inlineStr">
        <s:is>
          <s:t xml:space="preserve">harborlight-dev-cloud.js
harborlight-dev-sync.js
tests/harborlight-dev-game-smoke.py</s:t>
        </s:is>
      </s:c>
    </s:row>
    <s:row r="19" ht="150" customHeight="1">
      <s:c r="A19" s="5" t="inlineStr">
        <s:is>
          <s:t xml:space="preserve">ACC-014</s:t>
        </s:is>
      </s:c>
      <s:c r="B19" s="5" t="inlineStr">
        <s:is>
          <s:t xml:space="preserve">Konta i zapis w chmurze</s:t>
        </s:is>
      </s:c>
      <s:c r="C19" s="5" t="inlineStr">
        <s:is>
          <s:t xml:space="preserve">Wykrywanie włączonego API — atrapa PRE-PROD</s:t>
        </s:is>
      </s:c>
      <s:c r="D19" s="5" t="inlineStr">
        <s:is>
          <s:t xml:space="preserve">P0</s:t>
        </s:is>
      </s:c>
      <s:c r="E19" s="5" t="inlineStr">
        <s:is>
          <s:t xml:space="preserve">DEV — izolowany fixture</s:t>
        </s:is>
      </s:c>
      <s:c r="F19" s="5" t="inlineStr">
        <s:is>
          <s:t xml:space="preserve">Syntetyczna wyspa; bez kont chmurowych</s:t>
        </s:is>
      </s:c>
      <s:c r="G19" s="5" t="inlineStr">
        <s:is>
          <s:t xml:space="preserve">Wyłącznie lokalna atrapa /api/v1/config podaje poprawny projekt i accountApi=true; wszystkie operacje Auth/Firestore/API są obsługiwane przez fixture, bez żądań do prawdziwych kont.</s:t>
        </s:is>
      </s:c>
      <s:c r="H19" s="5" t="inlineStr">
        <s:is>
          <s:t xml:space="preserve">1. Otwórz istniejącą sesję.
2. Zapisz zmianę testowego konta.
3. Zasymuluj późniejszy błąd API.</s:t>
        </s:is>
      </s:c>
      <s:c r="I19" s="5" t="inlineStr">
        <s:is>
          <s:t xml:space="preserve">• Klient używa API dla wyspy, aktywności i kodów.
• Późniejszy błąd nie przełącza go na stary bezpośredni zapis Firestore.</s:t>
        </s:is>
      </s:c>
      <s:c r="J19" s="5" t="inlineStr">
        <s:is>
          <s:t xml:space="preserve">Lokalnie</s:t>
        </s:is>
      </s:c>
      <s:c r="K19" s="5" t="inlineStr">
        <s:is>
          <s:t xml:space="preserve">v18 — implementacja; wynik tego scenariusza nie został wpisany</s:t>
        </s:is>
      </s:c>
      <s:c r="L19" s="6" t="inlineStr">
        <s:is>
          <s:t xml:space="preserve">Nie wykonano</s:t>
        </s:is>
      </s:c>
      <s:c r="M19" s="5" t="inlineStr">
        <s:is>
          <s:t xml:space="preserve">harborlight-dev-cloud.js
harborlight-dev-sync.js
tests/harborlight-dev-game-smoke.py</s:t>
        </s:is>
      </s:c>
    </s:row>
    <s:row r="20" ht="150" customHeight="1">
      <s:c r="A20" s="4" t="inlineStr">
        <s:is>
          <s:t xml:space="preserve">ACC-015</s:t>
        </s:is>
      </s:c>
      <s:c r="B20" s="4" t="inlineStr">
        <s:is>
          <s:t xml:space="preserve">Konta i zapis w chmurze</s:t>
        </s:is>
      </s:c>
      <s:c r="C20" s="4" t="inlineStr">
        <s:is>
          <s:t xml:space="preserve">Wygaśnięcie sesji i odświeżanie</s:t>
        </s:is>
      </s:c>
      <s:c r="D20" s="4" t="inlineStr">
        <s:is>
          <s:t xml:space="preserve">P1</s:t>
        </s:is>
      </s:c>
      <s:c r="E20" s="4" t="inlineStr">
        <s:is>
          <s:t xml:space="preserve">DEV — izolowany fixture</s:t>
        </s:is>
      </s:c>
      <s:c r="F20" s="4" t="inlineStr">
        <s:is>
          <s:t xml:space="preserve">Syntetyczna wyspa; bez kont chmurowych</s:t>
        </s:is>
      </s:c>
      <s:c r="G20" s="4" t="inlineStr">
        <s:is>
          <s:t xml:space="preserve">Atrapa wygasającego tokenu oraz prawidłowego refresh tokenu.</s:t>
        </s:is>
      </s:c>
      <s:c r="H20" s="4" t="inlineStr">
        <s:is>
          <s:t xml:space="preserve">1. Poczekaj na odświeżenie sesji bez dotykania gry.
2. Sprawdź UID, zegar realnej aktywności i stan wyspy.</s:t>
        </s:is>
      </s:c>
      <s:c r="I20" s="4" t="inlineStr">
        <s:is>
          <s:t xml:space="preserve">• Odświeżenie zachowuje konto, lecz nie jest działaniem gracza i nie odnawia pięciominutowej premii.</s:t>
        </s:is>
      </s:c>
      <s:c r="J20" s="4" t="inlineStr">
        <s:is>
          <s:t xml:space="preserve">Lokalnie</s:t>
        </s:is>
      </s:c>
      <s:c r="K20" s="4" t="inlineStr">
        <s:is>
          <s:t xml:space="preserve">v18 — implementacja; wynik tego scenariusza nie został wpisany</s:t>
        </s:is>
      </s:c>
      <s:c r="L20" s="6" t="inlineStr">
        <s:is>
          <s:t xml:space="preserve">Nie wykonano</s:t>
        </s:is>
      </s:c>
      <s:c r="M20" s="4" t="inlineStr">
        <s:is>
          <s:t xml:space="preserve">harborlight-dev-cloud.js
harborlight-dev-sync.js
tests/harborlight-dev-game-smoke.py</s:t>
        </s:is>
      </s:c>
    </s:row>
    <s:row r="21" ht="150" customHeight="1">
      <s:c r="A21" s="5" t="inlineStr">
        <s:is>
          <s:t xml:space="preserve">REG-001</s:t>
        </s:is>
      </s:c>
      <s:c r="B21" s="5" t="inlineStr">
        <s:is>
          <s:t xml:space="preserve">Wylogowanie i dokumenty rejestracji</s:t>
        </s:is>
      </s:c>
      <s:c r="C21" s="5" t="inlineStr">
        <s:is>
          <s:t xml:space="preserve">Wylogowanie bezpośrednio w Ustawieniach</s:t>
        </s:is>
      </s:c>
      <s:c r="D21" s="5" t="inlineStr">
        <s:is>
          <s:t xml:space="preserve">P0</s:t>
        </s:is>
      </s:c>
      <s:c r="E21" s="5" t="inlineStr">
        <s:is>
          <s:t xml:space="preserve">DEV — izolowany fixture</s:t>
        </s:is>
      </s:c>
      <s:c r="F21" s="5" t="inlineStr">
        <s:is>
          <s:t xml:space="preserve">Syntetyczna wyspa; bez kont chmurowych</s:t>
        </s:is>
      </s:c>
      <s:c r="G21" s="5" t="inlineStr">
        <s:is>
          <s:t xml:space="preserve">Zalogowane jednorazowe konto testowe; istniejący potwierdzony zapis.</s:t>
        </s:is>
      </s:c>
      <s:c r="H21" s="5" t="inlineStr">
        <s:is>
          <s:t xml:space="preserve">1. Otwórz Ustawienia.
2. Wybierz widoczny przycisk Wyloguj się bez przechodzenia do osobnego panelu konta.
3. Zaloguj ponownie.</s:t>
        </s:is>
      </s:c>
      <s:c r="I21" s="5" t="inlineStr">
        <s:is>
          <s:t xml:space="preserve">• Sesja jest usunięta, pojawia się logowanie, a ponowny login wczytuje tę samą wyspę.
• Nie następuje reset ani przyznanie startera.</s:t>
        </s:is>
      </s:c>
      <s:c r="J21" s="5" t="inlineStr">
        <s:is>
          <s:t xml:space="preserve">Lokalnie</s:t>
        </s:is>
      </s:c>
      <s:c r="K21" s="5" t="inlineStr">
        <s:is>
          <s:t xml:space="preserve">Nowy zakres 2026-10-30 — odbiór wymagany; publikacja PRE-PROD niepotwierdzona</s:t>
        </s:is>
      </s:c>
      <s:c r="L21" s="6" t="inlineStr">
        <s:is>
          <s:t xml:space="preserve">Nie wykonano</s:t>
        </s:is>
      </s:c>
      <s:c r="M21" s="5" t="inlineStr">
        <s:is>
          <s:t xml:space="preserve">harborlight-v1-play.js
harborlight-auth.js
harborlight-auth.html
docs/TERMS-DRAFT.pl.md</s:t>
        </s:is>
      </s:c>
    </s:row>
    <s:row r="22" ht="150" customHeight="1">
      <s:c r="A22" s="4" t="inlineStr">
        <s:is>
          <s:t xml:space="preserve">REG-002</s:t>
        </s:is>
      </s:c>
      <s:c r="B22" s="4" t="inlineStr">
        <s:is>
          <s:t xml:space="preserve">Wylogowanie i dokumenty rejestracji</s:t>
        </s:is>
      </s:c>
      <s:c r="C22" s="4" t="inlineStr">
        <s:is>
          <s:t xml:space="preserve">Wylogowanie podczas zapisu</s:t>
        </s:is>
      </s:c>
      <s:c r="D22" s="4" t="inlineStr">
        <s:is>
          <s:t xml:space="preserve">P0</s:t>
        </s:is>
      </s:c>
      <s:c r="E22" s="4" t="inlineStr">
        <s:is>
          <s:t xml:space="preserve">DEV — izolowany fixture</s:t>
        </s:is>
      </s:c>
      <s:c r="F22" s="4" t="inlineStr">
        <s:is>
          <s:t xml:space="preserve">Syntetyczna wyspa; bez kont chmurowych</s:t>
        </s:is>
      </s:c>
      <s:c r="G22" s="4" t="inlineStr">
        <s:is>
          <s:t xml:space="preserve">Atrapa opóźnia odpowiedź na ostatnią komendę.</s:t>
        </s:is>
      </s:c>
      <s:c r="H22" s="4" t="inlineStr">
        <s:is>
          <s:t xml:space="preserve">1. Wykonaj komendę i natychmiast wybierz wylogowanie.
2. Zakończ odpowiedź albo zasymuluj błąd.
3. Zaloguj ponownie i odczytaj stan.</s:t>
        </s:is>
      </s:c>
      <s:c r="I22" s="4" t="inlineStr">
        <s:is>
          <s:t xml:space="preserve">• Interfejs nie ogłasza niepotwierdzonego zapisu jako sukcesu.
• Ponowne wejście pokazuje wyłącznie prawdę z chmury; brak lokalnej kopii i brak resetu.</s:t>
        </s:is>
      </s:c>
      <s:c r="J22" s="4" t="inlineStr">
        <s:is>
          <s:t xml:space="preserve">Lokalnie</s:t>
        </s:is>
      </s:c>
      <s:c r="K22" s="4" t="inlineStr">
        <s:is>
          <s:t xml:space="preserve">Nowy zakres 2026-10-30 — odbiór wymagany; publikacja PRE-PROD niepotwierdzona</s:t>
        </s:is>
      </s:c>
      <s:c r="L22" s="6" t="inlineStr">
        <s:is>
          <s:t xml:space="preserve">Nie wykonano</s:t>
        </s:is>
      </s:c>
      <s:c r="M22" s="4" t="inlineStr">
        <s:is>
          <s:t xml:space="preserve">harborlight-v1-play.js
harborlight-auth.js
harborlight-auth.html
docs/TERMS-DRAFT.pl.md</s:t>
        </s:is>
      </s:c>
    </s:row>
    <s:row r="23" ht="150" customHeight="1">
      <s:c r="A23" s="5" t="inlineStr">
        <s:is>
          <s:t xml:space="preserve">REG-003</s:t>
        </s:is>
      </s:c>
      <s:c r="B23" s="5" t="inlineStr">
        <s:is>
          <s:t xml:space="preserve">Wylogowanie i dokumenty rejestracji</s:t>
        </s:is>
      </s:c>
      <s:c r="C23" s="5" t="inlineStr">
        <s:is>
          <s:t xml:space="preserve">Wylogowanie usuwa dostęp w drugiej karcie</s:t>
        </s:is>
      </s:c>
      <s:c r="D23" s="5" t="inlineStr">
        <s:is>
          <s:t xml:space="preserve">P0</s:t>
        </s:is>
      </s:c>
      <s:c r="E23" s="5" t="inlineStr">
        <s:is>
          <s:t xml:space="preserve">DEV — izolowany fixture</s:t>
        </s:is>
      </s:c>
      <s:c r="F23" s="5" t="inlineStr">
        <s:is>
          <s:t xml:space="preserve">Syntetyczna wyspa; bez kont chmurowych</s:t>
        </s:is>
      </s:c>
      <s:c r="G23" s="5" t="inlineStr">
        <s:is>
          <s:t xml:space="preserve">Dwie karty jednorazowego konta, ta sama sesja w pamięci technicznej.</s:t>
        </s:is>
      </s:c>
      <s:c r="H23" s="5" t="inlineStr">
        <s:is>
          <s:t xml:space="preserve">1. Wyloguj pierwszą kartę.
2. Spróbuj działać w drugiej bez ponownego logowania.</s:t>
        </s:is>
      </s:c>
      <s:c r="I23" s="5" t="inlineStr">
        <s:is>
          <s:t xml:space="preserve">• Druga karta wykrywa zmianę sesji i kończy dostęp do poprzedniego konta.</s:t>
        </s:is>
      </s:c>
      <s:c r="J23" s="5" t="inlineStr">
        <s:is>
          <s:t xml:space="preserve">Lokalnie</s:t>
        </s:is>
      </s:c>
      <s:c r="K23" s="5" t="inlineStr">
        <s:is>
          <s:t xml:space="preserve">Nowy zakres 2026-10-30 — odbiór wymagany; publikacja PRE-PROD niepotwierdzona</s:t>
        </s:is>
      </s:c>
      <s:c r="L23" s="6" t="inlineStr">
        <s:is>
          <s:t xml:space="preserve">Nie wykonano</s:t>
        </s:is>
      </s:c>
      <s:c r="M23" s="5" t="inlineStr">
        <s:is>
          <s:t xml:space="preserve">harborlight-v1-play.js
harborlight-auth.js
harborlight-auth.html
docs/TERMS-DRAFT.pl.md</s:t>
        </s:is>
      </s:c>
    </s:row>
    <s:row r="24" ht="150" customHeight="1">
      <s:c r="A24" s="4" t="inlineStr">
        <s:is>
          <s:t xml:space="preserve">REG-004</s:t>
        </s:is>
      </s:c>
      <s:c r="B24" s="4" t="inlineStr">
        <s:is>
          <s:t xml:space="preserve">Wylogowanie i dokumenty rejestracji</s:t>
        </s:is>
      </s:c>
      <s:c r="C24" s="4" t="inlineStr">
        <s:is>
          <s:t xml:space="preserve">Domyślnie niezaznaczone wymagane potwierdzenia</s:t>
        </s:is>
      </s:c>
      <s:c r="D24" s="4" t="inlineStr">
        <s:is>
          <s:t xml:space="preserve">P0</s:t>
        </s:is>
      </s:c>
      <s:c r="E24" s="4" t="inlineStr">
        <s:is>
          <s:t xml:space="preserve">DEV — izolowany fixture</s:t>
        </s:is>
      </s:c>
      <s:c r="F24" s="4" t="inlineStr">
        <s:is>
          <s:t xml:space="preserve">Syntetyczna wyspa; bez kont chmurowych</s:t>
        </s:is>
      </s:c>
      <s:c r="G24" s="4" t="inlineStr">
        <s:is>
          <s:t xml:space="preserve">Tryb nowej rejestracji e-mail; aktualny roboczy komplet dokumentów.</s:t>
        </s:is>
      </s:c>
      <s:c r="H24" s="4" t="inlineStr">
        <s:is>
          <s:t xml:space="preserve">1. Otwórz rejestrację w czystym profilu.
2. Sprawdź pola akceptacji bez klikania.
3. Wypełnij pozostałe dane i spróbuj wysłać formularz.</s:t>
        </s:is>
      </s:c>
      <s:c r="I24" s="4" t="inlineStr">
        <s:is>
          <s:t xml:space="preserve">• Potwierdzenia są niezaznaczone.
• Konto nie powstaje bez akceptacji regulaminu i potwierdzenia zapoznania się z polityką.</s:t>
        </s:is>
      </s:c>
      <s:c r="J24" s="4" t="inlineStr">
        <s:is>
          <s:t xml:space="preserve">Lokalnie</s:t>
        </s:is>
      </s:c>
      <s:c r="K24" s="4" t="inlineStr">
        <s:is>
          <s:t xml:space="preserve">Nowy zakres 2026-10-30 — odbiór wymagany; publikacja PRE-PROD niepotwierdzona</s:t>
        </s:is>
      </s:c>
      <s:c r="L24" s="6" t="inlineStr">
        <s:is>
          <s:t xml:space="preserve">Nie wykonano</s:t>
        </s:is>
      </s:c>
      <s:c r="M24" s="4" t="inlineStr">
        <s:is>
          <s:t xml:space="preserve">harborlight-v1-play.js
harborlight-auth.js
harborlight-auth.html
docs/TERMS-DRAFT.pl.md</s:t>
        </s:is>
      </s:c>
    </s:row>
    <s:row r="25" ht="150" customHeight="1">
      <s:c r="A25" s="5" t="inlineStr">
        <s:is>
          <s:t xml:space="preserve">REG-005</s:t>
        </s:is>
      </s:c>
      <s:c r="B25" s="5" t="inlineStr">
        <s:is>
          <s:t xml:space="preserve">Wylogowanie i dokumenty rejestracji</s:t>
        </s:is>
      </s:c>
      <s:c r="C25" s="5" t="inlineStr">
        <s:is>
          <s:t xml:space="preserve">Każde potwierdzenie jest wymagane osobno</s:t>
        </s:is>
      </s:c>
      <s:c r="D25" s="5" t="inlineStr">
        <s:is>
          <s:t xml:space="preserve">P0</s:t>
        </s:is>
      </s:c>
      <s:c r="E25" s="5" t="inlineStr">
        <s:is>
          <s:t xml:space="preserve">DEV — izolowany fixture</s:t>
        </s:is>
      </s:c>
      <s:c r="F25" s="5" t="inlineStr">
        <s:is>
          <s:t xml:space="preserve">Syntetyczna wyspa; bez kont chmurowych</s:t>
        </s:is>
      </s:c>
      <s:c r="G25" s="5" t="inlineStr">
        <s:is>
          <s:t xml:space="preserve">Nowa rejestracja e-mail w atrapie Auth.</s:t>
        </s:is>
      </s:c>
      <s:c r="H25" s="5" t="inlineStr">
        <s:is>
          <s:t xml:space="preserve">1. Zaznacz tylko regulamin i wyślij formularz.
2. Zaznacz tylko politykę i ponów.
3. Zaznacz oba i wyślij.</s:t>
        </s:is>
      </s:c>
      <s:c r="I25" s="5" t="inlineStr">
        <s:is>
          <s:t xml:space="preserve">• Pierwsze dwie próby są blokowane.
• Trzecia może utworzyć konto po przejściu pozostałej walidacji.</s:t>
        </s:is>
      </s:c>
      <s:c r="J25" s="5" t="inlineStr">
        <s:is>
          <s:t xml:space="preserve">Lokalnie</s:t>
        </s:is>
      </s:c>
      <s:c r="K25" s="5" t="inlineStr">
        <s:is>
          <s:t xml:space="preserve">Nowy zakres 2026-10-30 — odbiór wymagany; publikacja PRE-PROD niepotwierdzona</s:t>
        </s:is>
      </s:c>
      <s:c r="L25" s="6" t="inlineStr">
        <s:is>
          <s:t xml:space="preserve">Nie wykonano</s:t>
        </s:is>
      </s:c>
      <s:c r="M25" s="5" t="inlineStr">
        <s:is>
          <s:t xml:space="preserve">harborlight-v1-play.js
harborlight-auth.js
harborlight-auth.html
docs/TERMS-DRAFT.pl.md</s:t>
        </s:is>
      </s:c>
    </s:row>
    <s:row r="26" ht="150" customHeight="1">
      <s:c r="A26" s="4" t="inlineStr">
        <s:is>
          <s:t xml:space="preserve">REG-006</s:t>
        </s:is>
      </s:c>
      <s:c r="B26" s="4" t="inlineStr">
        <s:is>
          <s:t xml:space="preserve">Wylogowanie i dokumenty rejestracji</s:t>
        </s:is>
      </s:c>
      <s:c r="C26" s="4" t="inlineStr">
        <s:is>
          <s:t xml:space="preserve">Dokumenty są dostępne przed rejestracją</s:t>
        </s:is>
      </s:c>
      <s:c r="D26" s="4" t="inlineStr">
        <s:is>
          <s:t xml:space="preserve">P1</s:t>
        </s:is>
      </s:c>
      <s:c r="E26" s="4" t="inlineStr">
        <s:is>
          <s:t xml:space="preserve">DEV — izolowany fixture</s:t>
        </s:is>
      </s:c>
      <s:c r="F26" s="4" t="inlineStr">
        <s:is>
          <s:t xml:space="preserve">Syntetyczna wyspa; bez kont chmurowych</s:t>
        </s:is>
      </s:c>
      <s:c r="G26" s="4" t="inlineStr">
        <s:is>
          <s:t xml:space="preserve">Brak sesji; formularz rejestracji.</s:t>
        </s:is>
      </s:c>
      <s:c r="H26" s="4" t="inlineStr">
        <s:is>
          <s:t xml:space="preserve">1. Otwórz oba linki klawiaturą i dotykiem.
2. Przeczytaj oznaczenie wersji oraz dane operatora/oznaczone braki.
3. Wróć do formularza.</s:t>
        </s:is>
      </s:c>
      <s:c r="I26" s="4" t="inlineStr">
        <s:is>
          <s:t xml:space="preserve">• Dokumenty otwierają się bez logowania i pozostają czytelne na telefonie.
• Oznaczenie robocze i pola nieuzupełnione nie udają gotowych danych przedsiębiorcy.</s:t>
        </s:is>
      </s:c>
      <s:c r="J26" s="4" t="inlineStr">
        <s:is>
          <s:t xml:space="preserve">Lokalnie</s:t>
        </s:is>
      </s:c>
      <s:c r="K26" s="4" t="inlineStr">
        <s:is>
          <s:t xml:space="preserve">Nowy zakres 2026-10-30 — odbiór wymagany; publikacja PRE-PROD niepotwierdzona</s:t>
        </s:is>
      </s:c>
      <s:c r="L26" s="6" t="inlineStr">
        <s:is>
          <s:t xml:space="preserve">Nie wykonano</s:t>
        </s:is>
      </s:c>
      <s:c r="M26" s="4" t="inlineStr">
        <s:is>
          <s:t xml:space="preserve">harborlight-v1-play.js
harborlight-auth.js
harborlight-auth.html
docs/TERMS-DRAFT.pl.md</s:t>
        </s:is>
      </s:c>
    </s:row>
    <s:row r="27" ht="150" customHeight="1">
      <s:c r="A27" s="5" t="inlineStr">
        <s:is>
          <s:t xml:space="preserve">REG-007</s:t>
        </s:is>
      </s:c>
      <s:c r="B27" s="5" t="inlineStr">
        <s:is>
          <s:t xml:space="preserve">Wylogowanie i dokumenty rejestracji</s:t>
        </s:is>
      </s:c>
      <s:c r="C27" s="5" t="inlineStr">
        <s:is>
          <s:t xml:space="preserve">Potwierdzenie polityki nie jest zgodą marketingową</s:t>
        </s:is>
      </s:c>
      <s:c r="D27" s="5" t="inlineStr">
        <s:is>
          <s:t xml:space="preserve">P0</s:t>
        </s:is>
      </s:c>
      <s:c r="E27" s="5" t="inlineStr">
        <s:is>
          <s:t xml:space="preserve">DEV — izolowany fixture</s:t>
        </s:is>
      </s:c>
      <s:c r="F27" s="5" t="inlineStr">
        <s:is>
          <s:t xml:space="preserve">Syntetyczna wyspa; bez kont chmurowych</s:t>
        </s:is>
      </s:c>
      <s:c r="G27" s="5" t="inlineStr">
        <s:is>
          <s:t xml:space="preserve">Formularz nowej rejestracji i treść dokumentów.</s:t>
        </s:is>
      </s:c>
      <s:c r="H27" s="5" t="inlineStr">
        <s:is>
          <s:t xml:space="preserve">1. Przeczytaj etykiety pól i podstawy przetwarzania.
2. Sprawdź brak automatycznej zgody na reklamę, newsletter i publikowanie w FB.</s:t>
        </s:is>
      </s:c>
      <s:c r="I27" s="5" t="inlineStr">
        <s:is>
          <s:t xml:space="preserve">• Wymóg zapoznania się z polityką jest oddzielony od akceptacji umowy.
• Brak warunku udzielenia zbędnej zgody marketingowej w celu gry.</s:t>
        </s:is>
      </s:c>
      <s:c r="J27" s="5" t="inlineStr">
        <s:is>
          <s:t xml:space="preserve">Lokalnie</s:t>
        </s:is>
      </s:c>
      <s:c r="K27" s="5" t="inlineStr">
        <s:is>
          <s:t xml:space="preserve">Nowy zakres 2026-10-30 — odbiór wymagany; publikacja PRE-PROD niepotwierdzona</s:t>
        </s:is>
      </s:c>
      <s:c r="L27" s="6" t="inlineStr">
        <s:is>
          <s:t xml:space="preserve">Nie wykonano</s:t>
        </s:is>
      </s:c>
      <s:c r="M27" s="5" t="inlineStr">
        <s:is>
          <s:t xml:space="preserve">harborlight-v1-play.js
harborlight-auth.js
harborlight-auth.html
docs/TERMS-DRAFT.pl.md</s:t>
        </s:is>
      </s:c>
    </s:row>
    <s:row r="28" ht="150" customHeight="1">
      <s:c r="A28" s="4" t="inlineStr">
        <s:is>
          <s:t xml:space="preserve">REG-008</s:t>
        </s:is>
      </s:c>
      <s:c r="B28" s="4" t="inlineStr">
        <s:is>
          <s:t xml:space="preserve">Wylogowanie i dokumenty rejestracji</s:t>
        </s:is>
      </s:c>
      <s:c r="C28" s="4" t="inlineStr">
        <s:is>
          <s:t xml:space="preserve">Zapis wersji dokumentów powiązany z UID</s:t>
        </s:is>
      </s:c>
      <s:c r="D28" s="4" t="inlineStr">
        <s:is>
          <s:t xml:space="preserve">P0</s:t>
        </s:is>
      </s:c>
      <s:c r="E28" s="4" t="inlineStr">
        <s:is>
          <s:t xml:space="preserve">DEV — izolowany fixture</s:t>
        </s:is>
      </s:c>
      <s:c r="F28" s="4" t="inlineStr">
        <s:is>
          <s:t xml:space="preserve">Syntetyczna wyspa; bez kont chmurowych</s:t>
        </s:is>
      </s:c>
      <s:c r="G28" s="4" t="inlineStr">
        <s:is>
          <s:t xml:space="preserve">Jednorazowe konto w izolowanym API; poprawne potwierdzenia.</s:t>
        </s:is>
      </s:c>
      <s:c r="H28" s="4" t="inlineStr">
        <s:is>
          <s:t xml:space="preserve">1. Zarejestruj konto.
2. Odczytaj metadane akceptacji przez uprawnione narzędzie właścicielskie.
3. Porównaj wersje z linkowanymi dokumentami.</s:t>
        </s:is>
      </s:c>
      <s:c r="I28" s="4" t="inlineStr">
        <s:is>
          <s:t xml:space="preserve">• Akceptacja jest przypisana do uwierzytelnionego UID i konkretnych wersji.
• Zapis czasu po stronie serwera nie zależy od dowolnego czasu podanego przez klienta.</s:t>
        </s:is>
      </s:c>
      <s:c r="J28" s="4" t="inlineStr">
        <s:is>
          <s:t xml:space="preserve">Lokalnie</s:t>
        </s:is>
      </s:c>
      <s:c r="K28" s="4" t="inlineStr">
        <s:is>
          <s:t xml:space="preserve">Nowy zakres 2026-10-30 — odbiór wymagany; publikacja PRE-PROD niepotwierdzona</s:t>
        </s:is>
      </s:c>
      <s:c r="L28" s="6" t="inlineStr">
        <s:is>
          <s:t xml:space="preserve">Nie wykonano</s:t>
        </s:is>
      </s:c>
      <s:c r="M28" s="4" t="inlineStr">
        <s:is>
          <s:t xml:space="preserve">harborlight-v1-play.js
harborlight-auth.js
harborlight-auth.html
docs/TERMS-DRAFT.pl.md</s:t>
        </s:is>
      </s:c>
    </s:row>
    <s:row r="29" ht="150" customHeight="1">
      <s:c r="A29" s="5" t="inlineStr">
        <s:is>
          <s:t xml:space="preserve">REG-009</s:t>
        </s:is>
      </s:c>
      <s:c r="B29" s="5" t="inlineStr">
        <s:is>
          <s:t xml:space="preserve">Wylogowanie i dokumenty rejestracji</s:t>
        </s:is>
      </s:c>
      <s:c r="C29" s="5" t="inlineStr">
        <s:is>
          <s:t xml:space="preserve">Nowy OAuth nie omija wymaganych dokumentów</s:t>
        </s:is>
      </s:c>
      <s:c r="D29" s="5" t="inlineStr">
        <s:is>
          <s:t xml:space="preserve">P0</s:t>
        </s:is>
      </s:c>
      <s:c r="E29" s="5" t="inlineStr">
        <s:is>
          <s:t xml:space="preserve">DEV — izolowany fixture</s:t>
        </s:is>
      </s:c>
      <s:c r="F29" s="5" t="inlineStr">
        <s:is>
          <s:t xml:space="preserve">Syntetyczna wyspa; bez kont chmurowych</s:t>
        </s:is>
      </s:c>
      <s:c r="G29" s="5" t="inlineStr">
        <s:is>
          <s:t xml:space="preserve">Atrapa nowego Google/Facebook UID; dwa wejścia: rejestracja oraz przycisk w logowaniu.</s:t>
        </s:is>
      </s:c>
      <s:c r="H29" s="5" t="inlineStr">
        <s:is>
          <s:t xml:space="preserve">1. Spróbuj utworzyć nowe konto każdym wejściem bez potwierdzeń.
2. Następnie zatwierdź dokumenty i dokończ rejestrację.</s:t>
        </s:is>
      </s:c>
      <s:c r="I29" s="5" t="inlineStr">
        <s:is>
          <s:t xml:space="preserve">• Żadna ścieżka nowego konta nie daje dostępu do nowej wyspy bez wymaganych potwierdzeń.
• Zgody nie są fabrykowane samym otwarciem popupu.</s:t>
        </s:is>
      </s:c>
      <s:c r="J29" s="5" t="inlineStr">
        <s:is>
          <s:t xml:space="preserve">Lokalnie</s:t>
        </s:is>
      </s:c>
      <s:c r="K29" s="5" t="inlineStr">
        <s:is>
          <s:t xml:space="preserve">Nowy zakres 2026-10-30 — odbiór wymagany; publikacja PRE-PROD niepotwierdzona</s:t>
        </s:is>
      </s:c>
      <s:c r="L29" s="6" t="inlineStr">
        <s:is>
          <s:t xml:space="preserve">Nie wykonano</s:t>
        </s:is>
      </s:c>
      <s:c r="M29" s="5" t="inlineStr">
        <s:is>
          <s:t xml:space="preserve">harborlight-v1-play.js
harborlight-auth.js
harborlight-auth.html
docs/TERMS-DRAFT.pl.md</s:t>
        </s:is>
      </s:c>
    </s:row>
    <s:row r="30" ht="150" customHeight="1">
      <s:c r="A30" s="4" t="inlineStr">
        <s:is>
          <s:t xml:space="preserve">REG-010</s:t>
        </s:is>
      </s:c>
      <s:c r="B30" s="4" t="inlineStr">
        <s:is>
          <s:t xml:space="preserve">Wylogowanie i dokumenty rejestracji</s:t>
        </s:is>
      </s:c>
      <s:c r="C30" s="4" t="inlineStr">
        <s:is>
          <s:t xml:space="preserve">Istniejące konta nie są rejestrowane ponownie</s:t>
        </s:is>
      </s:c>
      <s:c r="D30" s="4" t="inlineStr">
        <s:is>
          <s:t xml:space="preserve">P0</s:t>
        </s:is>
      </s:c>
      <s:c r="E30" s="4" t="inlineStr">
        <s:is>
          <s:t xml:space="preserve">DEV — izolowany fixture</s:t>
        </s:is>
      </s:c>
      <s:c r="F30" s="4" t="inlineStr">
        <s:is>
          <s:t xml:space="preserve">Syntetyczna wyspa; bez kont chmurowych</s:t>
        </s:is>
      </s:c>
      <s:c r="G30" s="4" t="inlineStr">
        <s:is>
          <s:t xml:space="preserve">Wyłącznie syntetyczny profil starego konta w DEV oraz pełna atrapa Auth/Firestore/API. Żądania nie mogą docierać do rzeczywistego PRE-PROD ani PROD. Test można powtórzyć na wymyślonych profilach odwzorowujących techniczne UID dev-admin1–3; nie kopiować prawdziwych zapisów.</s:t>
        </s:is>
      </s:c>
      <s:c r="H30" s="4" t="inlineStr">
        <s:is>
          <s:t xml:space="preserve">1. Uruchom lokalny harness z syntetycznym istniejącym kontem i zablokowanymi nieoczekiwanymi żądaniami sieciowymi.
2. Zaloguj syntetyczny profil zwykłą metodą w atrapie, a następnie sprawdź UID, zapis i brak nowego startera lub ponownej rejestracji.
3. Dla każdego syntetycznego profilu odwzorowującego UID porównaj stan przed i po zmianie wymogów rejestracji. Ewentualną kontrolę rzeczywistej historii admin1 wykonuj wyłącznie jako osobny ACC-002 z obowiązkową blokadą zapisów przed nawigacją.</s:t>
        </s:is>
      </s:c>
      <s:c r="I30" s="4" t="inlineStr">
        <s:is>
          <s:t xml:space="preserve">• Dotychczasowe logowanie i syntetyczna wyspa pozostają dostępne zgodnie z polityką wdrożenia, bez nowego UID i startera.
• Dodanie wymogów rejestracji nie resetuje syntetycznych profili odwzorowujących UID dev-admin1–3. Ten scenariusz nie loguje się do prawdziwych kont i nie zapisuje ich dokumentów.</s:t>
        </s:is>
      </s:c>
      <s:c r="J30" s="4" t="inlineStr">
        <s:is>
          <s:t xml:space="preserve">Lokalnie</s:t>
        </s:is>
      </s:c>
      <s:c r="K30" s="4" t="inlineStr">
        <s:is>
          <s:t xml:space="preserve">Nowy zakres 2026-10-30 — odbiór wymagany; publikacja PRE-PROD niepotwierdzona</s:t>
        </s:is>
      </s:c>
      <s:c r="L30" s="6" t="inlineStr">
        <s:is>
          <s:t xml:space="preserve">Nie wykonano</s:t>
        </s:is>
      </s:c>
      <s:c r="M30" s="4" t="inlineStr">
        <s:is>
          <s:t xml:space="preserve">harborlight-v1-play.js
harborlight-auth.js
harborlight-auth.html
docs/TERMS-DRAFT.pl.md</s:t>
        </s:is>
      </s:c>
    </s:row>
    <s:row r="31" ht="150" customHeight="1">
      <s:c r="A31" s="5" t="inlineStr">
        <s:is>
          <s:t xml:space="preserve">MAT-001</s:t>
        </s:is>
      </s:c>
      <s:c r="B31" s="5" t="inlineStr">
        <s:is>
          <s:t xml:space="preserve">Zapasy i transport</s:t>
        </s:is>
      </s:c>
      <s:c r="C31" s="5" t="inlineStr">
        <s:is>
          <s:t xml:space="preserve">Bonus poza zwykłą pojemnością</s:t>
        </s:is>
      </s:c>
      <s:c r="D31" s="5" t="inlineStr">
        <s:is>
          <s:t xml:space="preserve">P0</s:t>
        </s:is>
      </s:c>
      <s:c r="E31" s="5" t="inlineStr">
        <s:is>
          <s:t xml:space="preserve">DEV — izolowany fixture</s:t>
        </s:is>
      </s:c>
      <s:c r="F31" s="5" t="inlineStr">
        <s:is>
          <s:t xml:space="preserve">Syntetyczna wyspa; bez kont chmurowych</s:t>
        </s:is>
      </s:c>
      <s:c r="G31" s="5" t="inlineStr">
        <s:is>
          <s:t xml:space="preserve">Fixture: limit300, zwykły zapas200, bonus0.</s:t>
        </s:is>
      </s:c>
      <s:c r="H31" s="5" t="inlineStr">
        <s:is>
          <s:t xml:space="preserve">1. Przyznaj kontrolowaną nagrodę200 tego zasobu.
2. Dostarcz100 zwykłego towaru od producenta.</s:t>
        </s:is>
      </s:c>
      <s:c r="I31" s="5" t="inlineStr">
        <s:is>
          <s:t xml:space="preserve">• Dostępne jest500/300: 300 zwykłego i200 bonusowego.
• Nagroda jest wydawalna i nie zajmuje limitu zwykłych dostaw.</s:t>
        </s:is>
      </s:c>
      <s:c r="J31" s="5" t="inlineStr">
        <s:is>
          <s:t xml:space="preserve">Lokalnie</s:t>
        </s:is>
      </s:c>
      <s:c r="K31" s="5" t="inlineStr">
        <s:is>
          <s:t xml:space="preserve">v18 — implementacja; wynik tego scenariusza nie został wpisany</s:t>
        </s:is>
      </s:c>
      <s:c r="L31" s="6" t="inlineStr">
        <s:is>
          <s:t xml:space="preserve">Nie wykonano</s:t>
        </s:is>
      </s:c>
      <s:c r="M31" s="5" t="inlineStr">
        <s:is>
          <s:t xml:space="preserve">harborlight-v1-inventory.js
harborlight-v1-logistics.js
tests/harborlight-v18-inventory.test.mjs</s:t>
        </s:is>
      </s:c>
    </s:row>
    <s:row r="32" ht="150" customHeight="1">
      <s:c r="A32" s="4" t="inlineStr">
        <s:is>
          <s:t xml:space="preserve">MAT-002</s:t>
        </s:is>
      </s:c>
      <s:c r="B32" s="4" t="inlineStr">
        <s:is>
          <s:t xml:space="preserve">Zapasy i transport</s:t>
        </s:is>
      </s:c>
      <s:c r="C32" s="4" t="inlineStr">
        <s:is>
          <s:t xml:space="preserve">Wydawanie bonusu przed zwykłym zapasem</s:t>
        </s:is>
      </s:c>
      <s:c r="D32" s="4" t="inlineStr">
        <s:is>
          <s:t xml:space="preserve">P0</s:t>
        </s:is>
      </s:c>
      <s:c r="E32" s="4" t="inlineStr">
        <s:is>
          <s:t xml:space="preserve">DEV — izolowany fixture</s:t>
        </s:is>
      </s:c>
      <s:c r="F32" s="4" t="inlineStr">
        <s:is>
          <s:t xml:space="preserve">Syntetyczna wyspa; bez kont chmurowych</s:t>
        </s:is>
      </s:c>
      <s:c r="G32" s="4" t="inlineStr">
        <s:is>
          <s:t xml:space="preserve">Fixture: 200 zwykłego i200 bonusowego jednego materiału; koszt150.</s:t>
        </s:is>
      </s:c>
      <s:c r="H32" s="4" t="inlineStr">
        <s:is>
          <s:t xml:space="preserve">1. Wydaj150 na prawidłowe działanie.
2. Sprawdź ledger i łączny zapas.</s:t>
        </s:is>
      </s:c>
      <s:c r="I32" s="4" t="inlineStr">
        <s:is>
          <s:t xml:space="preserve">• Zostaje200 zwykłego i50 bonusowego, łącznie250.
• Nie nalicza się ponownej opłaty za już zarezerwowany koszt.</s:t>
        </s:is>
      </s:c>
      <s:c r="J32" s="4" t="inlineStr">
        <s:is>
          <s:t xml:space="preserve">Lokalnie</s:t>
        </s:is>
      </s:c>
      <s:c r="K32" s="4" t="inlineStr">
        <s:is>
          <s:t xml:space="preserve">v18 — implementacja; wynik tego scenariusza nie został wpisany</s:t>
        </s:is>
      </s:c>
      <s:c r="L32" s="6" t="inlineStr">
        <s:is>
          <s:t xml:space="preserve">Nie wykonano</s:t>
        </s:is>
      </s:c>
      <s:c r="M32" s="4" t="inlineStr">
        <s:is>
          <s:t xml:space="preserve">harborlight-v1-inventory.js
harborlight-v1-logistics.js
tests/harborlight-v18-inventory.test.mjs</s:t>
        </s:is>
      </s:c>
    </s:row>
    <s:row r="33" ht="150" customHeight="1">
      <s:c r="A33" s="5" t="inlineStr">
        <s:is>
          <s:t xml:space="preserve">MAT-003</s:t>
        </s:is>
      </s:c>
      <s:c r="B33" s="5" t="inlineStr">
        <s:is>
          <s:t xml:space="preserve">Zapasy i transport</s:t>
        </s:is>
      </s:c>
      <s:c r="C33" s="5" t="inlineStr">
        <s:is>
          <s:t xml:space="preserve">Sześć zasobów i monety poza pojemnością</s:t>
        </s:is>
      </s:c>
      <s:c r="D33" s="5" t="inlineStr">
        <s:is>
          <s:t xml:space="preserve">P1</s:t>
        </s:is>
      </s:c>
      <s:c r="E33" s="5" t="inlineStr">
        <s:is>
          <s:t xml:space="preserve">DEV — izolowany fixture</s:t>
        </s:is>
      </s:c>
      <s:c r="F33" s="5" t="inlineStr">
        <s:is>
          <s:t xml:space="preserve">Syntetyczna wyspa; bez kont chmurowych</s:t>
        </s:is>
      </s:c>
      <s:c r="G33" s="5" t="inlineStr">
        <s:is>
          <s:t xml:space="preserve">Fixture: magazyn na zwykłym limicie; zasób Coins można zwiększyć.</s:t>
        </s:is>
      </s:c>
      <s:c r="H33" s="5" t="inlineStr">
        <s:is>
          <s:t xml:space="preserve">1. Przyznaj nagrodę monetową i materiałową.
2. Porównaj użycie zwykłej pojemności.</s:t>
        </s:is>
      </s:c>
      <s:c r="I33" s="5" t="inlineStr">
        <s:is>
          <s:t xml:space="preserve">• Monety nie zajmują miejsca materiałów.
• Materiał nagrody trafia do wydawalnego zapasu bonusowego.</s:t>
        </s:is>
      </s:c>
      <s:c r="J33" s="5" t="inlineStr">
        <s:is>
          <s:t xml:space="preserve">Lokalnie</s:t>
        </s:is>
      </s:c>
      <s:c r="K33" s="5" t="inlineStr">
        <s:is>
          <s:t xml:space="preserve">v18 — implementacja; wynik tego scenariusza nie został wpisany</s:t>
        </s:is>
      </s:c>
      <s:c r="L33" s="6" t="inlineStr">
        <s:is>
          <s:t xml:space="preserve">Nie wykonano</s:t>
        </s:is>
      </s:c>
      <s:c r="M33" s="5" t="inlineStr">
        <s:is>
          <s:t xml:space="preserve">harborlight-v1-inventory.js
harborlight-v1-logistics.js
tests/harborlight-v18-inventory.test.mjs</s:t>
        </s:is>
      </s:c>
    </s:row>
    <s:row r="34" ht="150" customHeight="1">
      <s:c r="A34" s="4" t="inlineStr">
        <s:is>
          <s:t xml:space="preserve">MAT-004</s:t>
        </s:is>
      </s:c>
      <s:c r="B34" s="4" t="inlineStr">
        <s:is>
          <s:t xml:space="preserve">Zapasy i transport</s:t>
        </s:is>
      </s:c>
      <s:c r="C34" s="4" t="inlineStr">
        <s:is>
          <s:t xml:space="preserve">Rezerwacja chroni środki budowy</s:t>
        </s:is>
      </s:c>
      <s:c r="D34" s="4" t="inlineStr">
        <s:is>
          <s:t xml:space="preserve">P0</s:t>
        </s:is>
      </s:c>
      <s:c r="E34" s="4" t="inlineStr">
        <s:is>
          <s:t xml:space="preserve">DEV — izolowany fixture</s:t>
        </s:is>
      </s:c>
      <s:c r="F34" s="4" t="inlineStr">
        <s:is>
          <s:t xml:space="preserve">Syntetyczna wyspa; bez kont chmurowych</s:t>
        </s:is>
      </s:c>
      <s:c r="G34" s="4" t="inlineStr">
        <s:is>
          <s:t xml:space="preserve">Fixture: koszt budowy dostępny tylko raz.</s:t>
        </s:is>
      </s:c>
      <s:c r="H34" s="4" t="inlineStr">
        <s:is>
          <s:t xml:space="preserve">1. Zleć rozbudowę.
2. Spróbuj wydać te same środki na drugie działanie.
3. Obserwuj podjęcie zarezerwowanego ładunku.</s:t>
        </s:is>
      </s:c>
      <s:c r="I34" s="4" t="inlineStr">
        <s:is>
          <s:t xml:space="preserve">• Pierwsza budowa rezerwuje koszt.
• Inne działanie nie wydaje go drugi raz, a odbiór fizycznie zmniejsza właściwy zapas.</s:t>
        </s:is>
      </s:c>
      <s:c r="J34" s="4" t="inlineStr">
        <s:is>
          <s:t xml:space="preserve">Lokalnie</s:t>
        </s:is>
      </s:c>
      <s:c r="K34" s="4" t="inlineStr">
        <s:is>
          <s:t xml:space="preserve">v18 — implementacja; wynik tego scenariusza nie został wpisany</s:t>
        </s:is>
      </s:c>
      <s:c r="L34" s="6" t="inlineStr">
        <s:is>
          <s:t xml:space="preserve">Nie wykonano</s:t>
        </s:is>
      </s:c>
      <s:c r="M34" s="4" t="inlineStr">
        <s:is>
          <s:t xml:space="preserve">harborlight-v1-inventory.js
harborlight-v1-logistics.js
tests/harborlight-v18-inventory.test.mjs</s:t>
        </s:is>
      </s:c>
    </s:row>
    <s:row r="35" ht="150" customHeight="1">
      <s:c r="A35" s="5" t="inlineStr">
        <s:is>
          <s:t xml:space="preserve">MAT-005</s:t>
        </s:is>
      </s:c>
      <s:c r="B35" s="5" t="inlineStr">
        <s:is>
          <s:t xml:space="preserve">Zapasy i transport</s:t>
        </s:is>
      </s:c>
      <s:c r="C35" s="5" t="inlineStr">
        <s:is>
          <s:t xml:space="preserve">Rezerwa żywności na posiłki</s:t>
        </s:is>
      </s:c>
      <s:c r="D35" s="5" t="inlineStr">
        <s:is>
          <s:t xml:space="preserve">P0</s:t>
        </s:is>
      </s:c>
      <s:c r="E35" s="5" t="inlineStr">
        <s:is>
          <s:t xml:space="preserve">DEV — izolowany fixture</s:t>
        </s:is>
      </s:c>
      <s:c r="F35" s="5" t="inlineStr">
        <s:is>
          <s:t xml:space="preserve">Syntetyczna wyspa; bez kont chmurowych</s:t>
        </s:is>
      </s:c>
      <s:c r="G35" s="5" t="inlineStr">
        <s:is>
          <s:t xml:space="preserve">Fixture: zapas Food równy rezerwie Magazynu i mieszkańcy do karmienia.</s:t>
        </s:is>
      </s:c>
      <s:c r="H35" s="5" t="inlineStr">
        <s:is>
          <s:t xml:space="preserve">1. Spróbuj oddać lub sprzedać całą żywność.
2. Obserwuj posiłek.</s:t>
        </s:is>
      </s:c>
      <s:c r="I35" s="5" t="inlineStr">
        <s:is>
          <s:t xml:space="preserve">• Operacja nie wydaje chronionej rezerwy; karmienie nadal może z niej korzystać.</s:t>
        </s:is>
      </s:c>
      <s:c r="J35" s="5" t="inlineStr">
        <s:is>
          <s:t xml:space="preserve">Lokalnie</s:t>
        </s:is>
      </s:c>
      <s:c r="K35" s="5" t="inlineStr">
        <s:is>
          <s:t xml:space="preserve">v18 — implementacja; wynik tego scenariusza nie został wpisany</s:t>
        </s:is>
      </s:c>
      <s:c r="L35" s="6" t="inlineStr">
        <s:is>
          <s:t xml:space="preserve">Nie wykonano</s:t>
        </s:is>
      </s:c>
      <s:c r="M35" s="5" t="inlineStr">
        <s:is>
          <s:t xml:space="preserve">harborlight-v1-inventory.js
harborlight-v1-logistics.js
tests/harborlight-v18-inventory.test.mjs</s:t>
        </s:is>
      </s:c>
    </s:row>
    <s:row r="36" ht="150" customHeight="1">
      <s:c r="A36" s="4" t="inlineStr">
        <s:is>
          <s:t xml:space="preserve">MAT-006</s:t>
        </s:is>
      </s:c>
      <s:c r="B36" s="4" t="inlineStr">
        <s:is>
          <s:t xml:space="preserve">Zapasy i transport</s:t>
        </s:is>
      </s:c>
      <s:c r="C36" s="4" t="inlineStr">
        <s:is>
          <s:t xml:space="preserve">Natychmiastowy transport uwzględnia towar w drodze</s:t>
        </s:is>
      </s:c>
      <s:c r="D36" s="4" t="inlineStr">
        <s:is>
          <s:t xml:space="preserve">P0</s:t>
        </s:is>
      </s:c>
      <s:c r="E36" s="4" t="inlineStr">
        <s:is>
          <s:t xml:space="preserve">DEV — izolowany fixture</s:t>
        </s:is>
      </s:c>
      <s:c r="F36" s="4" t="inlineStr">
        <s:is>
          <s:t xml:space="preserve">Syntetyczna wyspa; bez kont chmurowych</s:t>
        </s:is>
      </s:c>
      <s:c r="G36" s="4" t="inlineStr">
        <s:is>
          <s:t xml:space="preserve">Fixture: planowana dostawa zwykła zajmuje pozostałe miejsce.</s:t>
        </s:is>
      </s:c>
      <s:c r="H36" s="4" t="inlineStr">
        <s:is>
          <s:t xml:space="preserve">1. Otwórz płatną usługę odbioru kolejnego towaru.
2. Spróbuj zatwierdzić przewóz przekraczający miejsce.</s:t>
        </s:is>
      </s:c>
      <s:c r="I36" s="4" t="inlineStr">
        <s:is>
          <s:t xml:space="preserve">• Operacja odmawia przed pobraniem opłaty i towaru.
• Istniejący ładunek i zlecenie pozostają nienaruszone.</s:t>
        </s:is>
      </s:c>
      <s:c r="J36" s="4" t="inlineStr">
        <s:is>
          <s:t xml:space="preserve">Lokalnie</s:t>
        </s:is>
      </s:c>
      <s:c r="K36" s="4" t="inlineStr">
        <s:is>
          <s:t xml:space="preserve">v18 — implementacja; wynik tego scenariusza nie został wpisany</s:t>
        </s:is>
      </s:c>
      <s:c r="L36" s="6" t="inlineStr">
        <s:is>
          <s:t xml:space="preserve">Nie wykonano</s:t>
        </s:is>
      </s:c>
      <s:c r="M36" s="4" t="inlineStr">
        <s:is>
          <s:t xml:space="preserve">harborlight-v1-inventory.js
harborlight-v1-logistics.js
tests/harborlight-v18-inventory.test.mjs</s:t>
        </s:is>
      </s:c>
    </s:row>
    <s:row r="37" ht="150" customHeight="1">
      <s:c r="A37" s="5" t="inlineStr">
        <s:is>
          <s:t xml:space="preserve">MAT-007</s:t>
        </s:is>
      </s:c>
      <s:c r="B37" s="5" t="inlineStr">
        <s:is>
          <s:t xml:space="preserve">Zapasy i transport</s:t>
        </s:is>
      </s:c>
      <s:c r="C37" s="5" t="inlineStr">
        <s:is>
          <s:t xml:space="preserve">Wycofanie załadowanego tragarza</s:t>
        </s:is>
      </s:c>
      <s:c r="D37" s="5" t="inlineStr">
        <s:is>
          <s:t xml:space="preserve">P0</s:t>
        </s:is>
      </s:c>
      <s:c r="E37" s="5" t="inlineStr">
        <s:is>
          <s:t xml:space="preserve">DEV — izolowany fixture</s:t>
        </s:is>
      </s:c>
      <s:c r="F37" s="5" t="inlineStr">
        <s:is>
          <s:t xml:space="preserve">Syntetyczna wyspa; bez kont chmurowych</s:t>
        </s:is>
      </s:c>
      <s:c r="G37" s="5" t="inlineStr">
        <s:is>
          <s:t xml:space="preserve">Fixture: tragarz Magazynu niesie ładunek; dostępne UI obsady.</s:t>
        </s:is>
      </s:c>
      <s:c r="H37" s="5" t="inlineStr">
        <s:is>
          <s:t xml:space="preserve">1. Zmniejsz obsadę o1.
2. Sprawdź wyraźny popup i liczbę kończących kurs.
3. Poczekaj na dostawę oraz pięciominutowy powrót.</s:t>
        </s:is>
      </s:c>
      <s:c r="I37" s="5" t="inlineStr">
        <s:is>
          <s:t xml:space="preserve">• Ładunek jest dowieziony raz.
• Tragarz nie zaczyna kolejnego kursu; staje się wolny dopiero po powrocie.</s:t>
        </s:is>
      </s:c>
      <s:c r="J37" s="5" t="inlineStr">
        <s:is>
          <s:t xml:space="preserve">Lokalnie</s:t>
        </s:is>
      </s:c>
      <s:c r="K37" s="5" t="inlineStr">
        <s:is>
          <s:t xml:space="preserve">v18 — implementacja; wynik tego scenariusza nie został wpisany</s:t>
        </s:is>
      </s:c>
      <s:c r="L37" s="6" t="inlineStr">
        <s:is>
          <s:t xml:space="preserve">Nie wykonano</s:t>
        </s:is>
      </s:c>
      <s:c r="M37" s="5" t="inlineStr">
        <s:is>
          <s:t xml:space="preserve">harborlight-v1-inventory.js
harborlight-v1-logistics.js
tests/harborlight-v18-inventory.test.mjs</s:t>
        </s:is>
      </s:c>
    </s:row>
    <s:row r="38" ht="150" customHeight="1">
      <s:c r="A38" s="4" t="inlineStr">
        <s:is>
          <s:t xml:space="preserve">MAT-008</s:t>
        </s:is>
      </s:c>
      <s:c r="B38" s="4" t="inlineStr">
        <s:is>
          <s:t xml:space="preserve">Zapasy i transport</s:t>
        </s:is>
      </s:c>
      <s:c r="C38" s="4" t="inlineStr">
        <s:is>
          <s:t xml:space="preserve">Powrót pustego pracownika</s:t>
        </s:is>
      </s:c>
      <s:c r="D38" s="4" t="inlineStr">
        <s:is>
          <s:t xml:space="preserve">P1</s:t>
        </s:is>
      </s:c>
      <s:c r="E38" s="4" t="inlineStr">
        <s:is>
          <s:t xml:space="preserve">DEV — izolowany fixture</s:t>
        </s:is>
      </s:c>
      <s:c r="F38" s="4" t="inlineStr">
        <s:is>
          <s:t xml:space="preserve">Syntetyczna wyspa; bez kont chmurowych</s:t>
        </s:is>
      </s:c>
      <s:c r="G38" s="4" t="inlineStr">
        <s:is>
          <s:t xml:space="preserve">Fixture: pracownik produkcji bez gotowego ładunku.</s:t>
        </s:is>
      </s:c>
      <s:c r="H38" s="4" t="inlineStr">
        <s:is>
          <s:t xml:space="preserve">1. Odwołaj pracownika.
2. Spróbuj natychmiast przypisać go ponownie.
3. Odczekaj5 min.</s:t>
        </s:is>
      </s:c>
      <s:c r="I38" s="4" t="inlineStr">
        <s:is>
          <s:t xml:space="preserve">• Powrót trwa5 min rzeczywistego czasu; podczas niego pracownik nie jest dostępny.
• Po powrocie można go przypisać.</s:t>
        </s:is>
      </s:c>
      <s:c r="J38" s="4" t="inlineStr">
        <s:is>
          <s:t xml:space="preserve">Lokalnie</s:t>
        </s:is>
      </s:c>
      <s:c r="K38" s="4" t="inlineStr">
        <s:is>
          <s:t xml:space="preserve">v18 — implementacja; wynik tego scenariusza nie został wpisany</s:t>
        </s:is>
      </s:c>
      <s:c r="L38" s="6" t="inlineStr">
        <s:is>
          <s:t xml:space="preserve">Nie wykonano</s:t>
        </s:is>
      </s:c>
      <s:c r="M38" s="4" t="inlineStr">
        <s:is>
          <s:t xml:space="preserve">harborlight-v1-inventory.js
harborlight-v1-logistics.js
tests/harborlight-v18-inventory.test.mjs</s:t>
        </s:is>
      </s:c>
    </s:row>
    <s:row r="39" ht="150" customHeight="1">
      <s:c r="A39" s="5" t="inlineStr">
        <s:is>
          <s:t xml:space="preserve">MAT-009</s:t>
        </s:is>
      </s:c>
      <s:c r="B39" s="5" t="inlineStr">
        <s:is>
          <s:t xml:space="preserve">Zapasy i transport</s:t>
        </s:is>
      </s:c>
      <s:c r="C39" s="5" t="inlineStr">
        <s:is>
          <s:t xml:space="preserve">Pojemność i ładunek Magazynu kończą wzrost na24</s:t>
        </s:is>
      </s:c>
      <s:c r="D39" s="5" t="inlineStr">
        <s:is>
          <s:t xml:space="preserve">P0</s:t>
        </s:is>
      </s:c>
      <s:c r="E39" s="5" t="inlineStr">
        <s:is>
          <s:t xml:space="preserve">DEV — izolowany fixture</s:t>
        </s:is>
      </s:c>
      <s:c r="F39" s="5" t="inlineStr">
        <s:is>
          <s:t xml:space="preserve">Syntetyczna wyspa; bez kont chmurowych</s:t>
        </s:is>
      </s:c>
      <s:c r="G39" s="5" t="inlineStr">
        <s:is>
          <s:t xml:space="preserve">Fixture: poziomy23,24,25 i ta sama droga.</s:t>
        </s:is>
      </s:c>
      <s:c r="H39" s="5" t="inlineStr">
        <s:is>
          <s:t xml:space="preserve">1. Porównaj limity całkowite, materiałowe, rezerwę Food i ładunek tragarza.
2. Zwiększ poziom drogi przy Magazynie25.</s:t>
        </s:is>
      </s:c>
      <s:c r="I39" s="5" t="inlineStr">
        <s:is>
          <s:t xml:space="preserve">• Po24 nie rośnie pojemność, rezerwa ani wkład Magazynu w ładunek; rośnie limit obsady.
• Droga nadal niezależnie poprawia transport.</s:t>
        </s:is>
      </s:c>
      <s:c r="J39" s="5" t="inlineStr">
        <s:is>
          <s:t xml:space="preserve">Lokalnie</s:t>
        </s:is>
      </s:c>
      <s:c r="K39" s="5" t="inlineStr">
        <s:is>
          <s:t xml:space="preserve">v18 — implementacja; wynik tego scenariusza nie został wpisany</s:t>
        </s:is>
      </s:c>
      <s:c r="L39" s="6" t="inlineStr">
        <s:is>
          <s:t xml:space="preserve">Nie wykonano</s:t>
        </s:is>
      </s:c>
      <s:c r="M39" s="5" t="inlineStr">
        <s:is>
          <s:t xml:space="preserve">harborlight-v1-inventory.js
harborlight-v1-logistics.js
tests/harborlight-v18-inventory.test.mjs</s:t>
        </s:is>
      </s:c>
    </s:row>
    <s:row r="40" ht="150" customHeight="1">
      <s:c r="A40" s="4" t="inlineStr">
        <s:is>
          <s:t xml:space="preserve">MAT-010</s:t>
        </s:is>
      </s:c>
      <s:c r="B40" s="4" t="inlineStr">
        <s:is>
          <s:t xml:space="preserve">Zapasy i transport</s:t>
        </s:is>
      </s:c>
      <s:c r="C40" s="4" t="inlineStr">
        <s:is>
          <s:t xml:space="preserve">Limit całkowity i limit materiału</s:t>
        </s:is>
      </s:c>
      <s:c r="D40" s="4" t="inlineStr">
        <s:is>
          <s:t xml:space="preserve">P1</s:t>
        </s:is>
      </s:c>
      <s:c r="E40" s="4" t="inlineStr">
        <s:is>
          <s:t xml:space="preserve">DEV — izolowany fixture</s:t>
        </s:is>
      </s:c>
      <s:c r="F40" s="4" t="inlineStr">
        <s:is>
          <s:t xml:space="preserve">Syntetyczna wyspa; bez kont chmurowych</s:t>
        </s:is>
      </s:c>
      <s:c r="G40" s="4" t="inlineStr">
        <s:is>
          <s:t xml:space="preserve">Fixture: całkowity limit ma miejsce, lecz jeden materiał osiągnął własny limit.</s:t>
        </s:is>
      </s:c>
      <s:c r="H40" s="4" t="inlineStr">
        <s:is>
          <s:t xml:space="preserve">1. Zaplanuj dostawę pełnego materiału i innego, który ma miejsce.</s:t>
        </s:is>
      </s:c>
      <s:c r="I40" s="4" t="inlineStr">
        <s:is>
          <s:t xml:space="preserve">• Dostawa pierwszego materiału jest ograniczona jego własnym limitem.
• Wolne miejsce innych materiałów nie jest błędnie liczone jako jego pojemność.</s:t>
        </s:is>
      </s:c>
      <s:c r="J40" s="4" t="inlineStr">
        <s:is>
          <s:t xml:space="preserve">Lokalnie</s:t>
        </s:is>
      </s:c>
      <s:c r="K40" s="4" t="inlineStr">
        <s:is>
          <s:t xml:space="preserve">v18 — implementacja; wynik tego scenariusza nie został wpisany</s:t>
        </s:is>
      </s:c>
      <s:c r="L40" s="6" t="inlineStr">
        <s:is>
          <s:t xml:space="preserve">Nie wykonano</s:t>
        </s:is>
      </s:c>
      <s:c r="M40" s="4" t="inlineStr">
        <s:is>
          <s:t xml:space="preserve">harborlight-v1-inventory.js
harborlight-v1-logistics.js
tests/harborlight-v18-inventory.test.mjs</s:t>
        </s:is>
      </s:c>
    </s:row>
    <s:row r="41" ht="150" customHeight="1">
      <s:c r="A41" s="5" t="inlineStr">
        <s:is>
          <s:t xml:space="preserve">MAT-011</s:t>
        </s:is>
      </s:c>
      <s:c r="B41" s="5" t="inlineStr">
        <s:is>
          <s:t xml:space="preserve">Zapasy i transport</s:t>
        </s:is>
      </s:c>
      <s:c r="C41" s="5" t="inlineStr">
        <s:is>
          <s:t xml:space="preserve">Priorytety transportu są trwałe</s:t>
        </s:is>
      </s:c>
      <s:c r="D41" s="5" t="inlineStr">
        <s:is>
          <s:t xml:space="preserve">P1</s:t>
        </s:is>
      </s:c>
      <s:c r="E41" s="5" t="inlineStr">
        <s:is>
          <s:t xml:space="preserve">DEV — izolowany fixture</s:t>
        </s:is>
      </s:c>
      <s:c r="F41" s="5" t="inlineStr">
        <s:is>
          <s:t xml:space="preserve">Syntetyczna wyspa; bez kont chmurowych</s:t>
        </s:is>
      </s:c>
      <s:c r="G41" s="5" t="inlineStr">
        <s:is>
          <s:t xml:space="preserve">Fixture: co najmniej dwa materiały czekają i wolny tragarz.</s:t>
        </s:is>
      </s:c>
      <s:c r="H41" s="5" t="inlineStr">
        <s:is>
          <s:t xml:space="preserve">1. Ustaw numeryczne priorytety materiałów i Budowy.
2. Obserwuj wybór kolejnych kursów.
3. Wczytaj zapis.</s:t>
        </s:is>
      </s:c>
      <s:c r="I41" s="5" t="inlineStr">
        <s:is>
          <s:t xml:space="preserve">• Wybór odpowiada ustawionej kolejności i cyklowi priorytetów.
• Konfiguracja nie znika po wczytaniu.</s:t>
        </s:is>
      </s:c>
      <s:c r="J41" s="5" t="inlineStr">
        <s:is>
          <s:t xml:space="preserve">Lokalnie</s:t>
        </s:is>
      </s:c>
      <s:c r="K41" s="5" t="inlineStr">
        <s:is>
          <s:t xml:space="preserve">v18 — implementacja; wynik tego scenariusza nie został wpisany</s:t>
        </s:is>
      </s:c>
      <s:c r="L41" s="6" t="inlineStr">
        <s:is>
          <s:t xml:space="preserve">Nie wykonano</s:t>
        </s:is>
      </s:c>
      <s:c r="M41" s="5" t="inlineStr">
        <s:is>
          <s:t xml:space="preserve">harborlight-v1-inventory.js
harborlight-v1-logistics.js
tests/harborlight-v18-inventory.test.mjs</s:t>
        </s:is>
      </s:c>
    </s:row>
    <s:row r="42" ht="150" customHeight="1">
      <s:c r="A42" s="4" t="inlineStr">
        <s:is>
          <s:t xml:space="preserve">MAT-012</s:t>
        </s:is>
      </s:c>
      <s:c r="B42" s="4" t="inlineStr">
        <s:is>
          <s:t xml:space="preserve">Zapasy i transport</s:t>
        </s:is>
      </s:c>
      <s:c r="C42" s="4" t="inlineStr">
        <s:is>
          <s:t xml:space="preserve">Premium Targu nie usuwa poprzednich zwykłych zleceń</s:t>
        </s:is>
      </s:c>
      <s:c r="D42" s="4" t="inlineStr">
        <s:is>
          <s:t xml:space="preserve">P0</s:t>
        </s:is>
      </s:c>
      <s:c r="E42" s="4" t="inlineStr">
        <s:is>
          <s:t xml:space="preserve">DEV — izolowany fixture</s:t>
        </s:is>
      </s:c>
      <s:c r="F42" s="4" t="inlineStr">
        <s:is>
          <s:t xml:space="preserve">Syntetyczna wyspa; bez kont chmurowych</s:t>
        </s:is>
      </s:c>
      <s:c r="G42" s="4" t="inlineStr">
        <s:is>
          <s:t xml:space="preserve">Fixture: zwykła wysyłka Targu w kolejce i inny niezarezerwowany towar.</s:t>
        </s:is>
      </s:c>
      <s:c r="H42" s="4" t="inlineStr">
        <s:is>
          <s:t xml:space="preserve">1. Wykonaj natychmiastowy odbiór tylko niezarezerwowanego towaru.
2. Obserwuj poprzednie zlecenie.</s:t>
        </s:is>
      </s:c>
      <s:c r="I42" s="4" t="inlineStr">
        <s:is>
          <s:t xml:space="preserve">• Premium nie usuwa wcześniej zamówionej zwykłej wysyłki i nie pobiera jej towaru drugi raz.</s:t>
        </s:is>
      </s:c>
      <s:c r="J42" s="4" t="inlineStr">
        <s:is>
          <s:t xml:space="preserve">Lokalnie</s:t>
        </s:is>
      </s:c>
      <s:c r="K42" s="4" t="inlineStr">
        <s:is>
          <s:t xml:space="preserve">v18 — implementacja; wynik tego scenariusza nie został wpisany</s:t>
        </s:is>
      </s:c>
      <s:c r="L42" s="6" t="inlineStr">
        <s:is>
          <s:t xml:space="preserve">Nie wykonano</s:t>
        </s:is>
      </s:c>
      <s:c r="M42" s="4" t="inlineStr">
        <s:is>
          <s:t xml:space="preserve">harborlight-v1-inventory.js
harborlight-v1-logistics.js
tests/harborlight-v18-inventory.test.mjs</s:t>
        </s:is>
      </s:c>
    </s:row>
    <s:row r="43" ht="150" customHeight="1">
      <s:c r="A43" s="5" t="inlineStr">
        <s:is>
          <s:t xml:space="preserve">MAT-013</s:t>
        </s:is>
      </s:c>
      <s:c r="B43" s="5" t="inlineStr">
        <s:is>
          <s:t xml:space="preserve">Zapasy i transport</s:t>
        </s:is>
      </s:c>
      <s:c r="C43" s="5" t="inlineStr">
        <s:is>
          <s:t xml:space="preserve">Termin Portu na obu etapach przewozu</s:t>
        </s:is>
      </s:c>
      <s:c r="D43" s="5" t="inlineStr">
        <s:is>
          <s:t xml:space="preserve">P0</s:t>
        </s:is>
      </s:c>
      <s:c r="E43" s="5" t="inlineStr">
        <s:is>
          <s:t xml:space="preserve">DEV — izolowany fixture</s:t>
        </s:is>
      </s:c>
      <s:c r="F43" s="5" t="inlineStr">
        <s:is>
          <s:t xml:space="preserve">Syntetyczna wyspa; bez kont chmurowych</s:t>
        </s:is>
      </s:c>
      <s:c r="G43" s="5" t="inlineStr">
        <s:is>
          <s:t xml:space="preserve">Fixture: partie tuż przed wygaśnięciem; jedna podjęta przed terminem, druga niepodjęta.</s:t>
        </s:is>
      </s:c>
      <s:c r="H43" s="5" t="inlineStr">
        <s:is>
          <s:t xml:space="preserve">1. Przekrocz termin podczas załadunku/rozładunku i ostatniego odcinka do Magazynu.
2. Dokończ kurs podjętej partii.</s:t>
        </s:is>
      </s:c>
      <s:c r="I43" s="5" t="inlineStr">
        <s:is>
          <s:t xml:space="preserve">• Towar podjęty przed terminem przetrwa oba etapy i jest dostarczony raz.
• Niepodjęty przeterminowany towar wygasa.</s:t>
        </s:is>
      </s:c>
      <s:c r="J43" s="5" t="inlineStr">
        <s:is>
          <s:t xml:space="preserve">Lokalnie</s:t>
        </s:is>
      </s:c>
      <s:c r="K43" s="5" t="inlineStr">
        <s:is>
          <s:t xml:space="preserve">v18 — implementacja; wynik tego scenariusza nie został wpisany</s:t>
        </s:is>
      </s:c>
      <s:c r="L43" s="6" t="inlineStr">
        <s:is>
          <s:t xml:space="preserve">Nie wykonano</s:t>
        </s:is>
      </s:c>
      <s:c r="M43" s="5" t="inlineStr">
        <s:is>
          <s:t xml:space="preserve">harborlight-v1-inventory.js
harborlight-v1-logistics.js
tests/harborlight-v18-inventory.test.mjs</s:t>
        </s:is>
      </s:c>
    </s:row>
    <s:row r="44" ht="150" customHeight="1">
      <s:c r="A44" s="4" t="inlineStr">
        <s:is>
          <s:t xml:space="preserve">MAT-014</s:t>
        </s:is>
      </s:c>
      <s:c r="B44" s="4" t="inlineStr">
        <s:is>
          <s:t xml:space="preserve">Zapasy i transport</s:t>
        </s:is>
      </s:c>
      <s:c r="C44" s="4" t="inlineStr">
        <s:is>
          <s:t xml:space="preserve">Etapy Portu i Targu odświeżają się w otwartym panelu</s:t>
        </s:is>
      </s:c>
      <s:c r="D44" s="4" t="inlineStr">
        <s:is>
          <s:t xml:space="preserve">P1</s:t>
        </s:is>
      </s:c>
      <s:c r="E44" s="4" t="inlineStr">
        <s:is>
          <s:t xml:space="preserve">DEV — izolowany fixture</s:t>
        </s:is>
      </s:c>
      <s:c r="F44" s="4" t="inlineStr">
        <s:is>
          <s:t xml:space="preserve">Syntetyczna wyspa; bez kont chmurowych</s:t>
        </s:is>
      </s:c>
      <s:c r="G44" s="4" t="inlineStr">
        <s:is>
          <s:t xml:space="preserve">Fixture z trwającym rejsem i osobna dostawa Targu.</s:t>
        </s:is>
      </s:c>
      <s:c r="H44" s="4" t="inlineStr">
        <s:is>
          <s:t xml:space="preserve">1. Pozostaw odpowiedni panel otwarty.
2. Przekrocz granicę rejs/rozładunek lub dostawa/blokada.</s:t>
        </s:is>
      </s:c>
      <s:c r="I44" s="4" t="inlineStr">
        <s:is>
          <s:t xml:space="preserve">• Nazwy etapów i liczniki zmieniają się bez zamykania panelu.
• Zakończone zlecenie nie pozostaje jako fikcyjnie aktywne.</s:t>
        </s:is>
      </s:c>
      <s:c r="J44" s="4" t="inlineStr">
        <s:is>
          <s:t xml:space="preserve">Lokalnie</s:t>
        </s:is>
      </s:c>
      <s:c r="K44" s="4" t="inlineStr">
        <s:is>
          <s:t xml:space="preserve">v18 — implementacja; wynik tego scenariusza nie został wpisany</s:t>
        </s:is>
      </s:c>
      <s:c r="L44" s="6" t="inlineStr">
        <s:is>
          <s:t xml:space="preserve">Nie wykonano</s:t>
        </s:is>
      </s:c>
      <s:c r="M44" s="4" t="inlineStr">
        <s:is>
          <s:t xml:space="preserve">harborlight-v1-inventory.js
harborlight-v1-logistics.js
tests/harborlight-v18-inventory.test.mjs</s:t>
        </s:is>
      </s:c>
    </s:row>
    <s:row r="45" ht="150" customHeight="1">
      <s:c r="A45" s="5" t="inlineStr">
        <s:is>
          <s:t xml:space="preserve">MAT-015</s:t>
        </s:is>
      </s:c>
      <s:c r="B45" s="5" t="inlineStr">
        <s:is>
          <s:t xml:space="preserve">Zapasy i transport</s:t>
        </s:is>
      </s:c>
      <s:c r="C45" s="5" t="inlineStr">
        <s:is>
          <s:t xml:space="preserve">Blokada i odnowienie terminu na Targu</s:t>
        </s:is>
      </s:c>
      <s:c r="D45" s="5" t="inlineStr">
        <s:is>
          <s:t xml:space="preserve">P1</s:t>
        </s:is>
      </s:c>
      <s:c r="E45" s="5" t="inlineStr">
        <s:is>
          <s:t xml:space="preserve">DEV — izolowany fixture</s:t>
        </s:is>
      </s:c>
      <s:c r="F45" s="5" t="inlineStr">
        <s:is>
          <s:t xml:space="preserve">Syntetyczna wyspa; bez kont chmurowych</s:t>
        </s:is>
      </s:c>
      <s:c r="G45" s="5" t="inlineStr">
        <s:is>
          <s:t xml:space="preserve">Fixture: towar po przybyciu na Targ.</s:t>
        </s:is>
      </s:c>
      <s:c r="H45" s="5" t="inlineStr">
        <s:is>
          <s:t xml:space="preserve">1. Spróbuj wymienić go przed upływem1 h.
2. Po odblokowaniu wykonaj wymianę.
3. Porównaj termin otrzymanej partii.</s:t>
        </s:is>
      </s:c>
      <s:c r="I45" s="5" t="inlineStr">
        <s:is>
          <s:t xml:space="preserve">• Przybyły towar jest zablokowany1 h.
• Wymieniony otrzymuje własne świeże24 h, zamiast dziedziczyć stary termin.</s:t>
        </s:is>
      </s:c>
      <s:c r="J45" s="5" t="inlineStr">
        <s:is>
          <s:t xml:space="preserve">Lokalnie</s:t>
        </s:is>
      </s:c>
      <s:c r="K45" s="5" t="inlineStr">
        <s:is>
          <s:t xml:space="preserve">v18 — implementacja; wynik tego scenariusza nie został wpisany</s:t>
        </s:is>
      </s:c>
      <s:c r="L45" s="6" t="inlineStr">
        <s:is>
          <s:t xml:space="preserve">Nie wykonano</s:t>
        </s:is>
      </s:c>
      <s:c r="M45" s="5" t="inlineStr">
        <s:is>
          <s:t xml:space="preserve">harborlight-v1-inventory.js
harborlight-v1-logistics.js
tests/harborlight-v18-inventory.test.mjs</s:t>
        </s:is>
      </s:c>
    </s:row>
    <s:row r="46" ht="150" customHeight="1">
      <s:c r="A46" s="4" t="inlineStr">
        <s:is>
          <s:t xml:space="preserve">BLD-001</s:t>
        </s:is>
      </s:c>
      <s:c r="B46" s="4" t="inlineStr">
        <s:is>
          <s:t xml:space="preserve">Budowy, produkcja i drogi</s:t>
        </s:is>
      </s:c>
      <s:c r="C46" s="4" t="inlineStr">
        <s:is>
          <s:t xml:space="preserve">Limit poziomu przez Ratusz</s:t>
        </s:is>
      </s:c>
      <s:c r="D46" s="4" t="inlineStr">
        <s:is>
          <s:t xml:space="preserve">P0</s:t>
        </s:is>
      </s:c>
      <s:c r="E46" s="4" t="inlineStr">
        <s:is>
          <s:t xml:space="preserve">DEV — izolowany fixture</s:t>
        </s:is>
      </s:c>
      <s:c r="F46" s="4" t="inlineStr">
        <s:is>
          <s:t xml:space="preserve">Syntetyczna wyspa; bez kont chmurowych</s:t>
        </s:is>
      </s:c>
      <s:c r="G46" s="4" t="inlineStr">
        <s:is>
          <s:t xml:space="preserve">Fixture: Ratusz 1, inny budynek1, dostępne środki.</s:t>
        </s:is>
      </s:c>
      <s:c r="H46" s="4" t="inlineStr">
        <s:is>
          <s:t xml:space="preserve">1. Spróbuj podnieść zwykły budynek ponad poziom Ratusza.
2. Następnie podnieś Ratusz i ponów.</s:t>
        </s:is>
      </s:c>
      <s:c r="I46" s="4" t="inlineStr">
        <s:is>
          <s:t xml:space="preserve">• Pierwsza próba jest blokowana jasnym powodem.
• Po osiągnięciu właściwego poziomu Ratusza rozbudowa staje się możliwa.</s:t>
        </s:is>
      </s:c>
      <s:c r="J46" s="4" t="inlineStr">
        <s:is>
          <s:t xml:space="preserve">Lokalnie</s:t>
        </s:is>
      </s:c>
      <s:c r="K46" s="4" t="inlineStr">
        <s:is>
          <s:t xml:space="preserve">v18 — implementacja; wynik tego scenariusza nie został wpisany</s:t>
        </s:is>
      </s:c>
      <s:c r="L46" s="6" t="inlineStr">
        <s:is>
          <s:t xml:space="preserve">Nie wykonano</s:t>
        </s:is>
      </s:c>
      <s:c r="M46" s="4" t="inlineStr">
        <s:is>
          <s:t xml:space="preserve">harborlight-v1-state.js
harborlight-v1-logistics.js
harborlight-v1-leisure.js
harborlight-v1-activities.js</s:t>
        </s:is>
      </s:c>
    </s:row>
    <s:row r="47" ht="150" customHeight="1">
      <s:c r="A47" s="5" t="inlineStr">
        <s:is>
          <s:t xml:space="preserve">BLD-002</s:t>
        </s:is>
      </s:c>
      <s:c r="B47" s="5" t="inlineStr">
        <s:is>
          <s:t xml:space="preserve">Budowy, produkcja i drogi</s:t>
        </s:is>
      </s:c>
      <s:c r="C47" s="5" t="inlineStr">
        <s:is>
          <s:t xml:space="preserve">Rozdzielenie transportu i budowy</s:t>
        </s:is>
      </s:c>
      <s:c r="D47" s="5" t="inlineStr">
        <s:is>
          <s:t xml:space="preserve">P1</s:t>
        </s:is>
      </s:c>
      <s:c r="E47" s="5" t="inlineStr">
        <s:is>
          <s:t xml:space="preserve">DEV — izolowany fixture</s:t>
        </s:is>
      </s:c>
      <s:c r="F47" s="5" t="inlineStr">
        <s:is>
          <s:t xml:space="preserve">Syntetyczna wyspa; bez kont chmurowych</s:t>
        </s:is>
      </s:c>
      <s:c r="G47" s="5" t="inlineStr">
        <s:is>
          <s:t xml:space="preserve">Fixture: zamówiony upgrade i przydzieleni tragarze.</s:t>
        </s:is>
      </s:c>
      <s:c r="H47" s="5" t="inlineStr">
        <s:is>
          <s:t xml:space="preserve">1. Obserwuj rezerwację, podjęcie kosztu i dostawy.
2. Po dostarczeniu porównaj faktyczny czas transportu z czasem fazy budowania.</s:t>
        </s:is>
      </s:c>
      <s:c r="I47" s="5" t="inlineStr">
        <s:is>
          <s:t xml:space="preserve">• Fazy nie biegną równolegle jako jedna ukryta operacja.
• Budowa zależy od rzeczywistego transportu i właściwego mnożnika typu budynku.</s:t>
        </s:is>
      </s:c>
      <s:c r="J47" s="5" t="inlineStr">
        <s:is>
          <s:t xml:space="preserve">Lokalnie</s:t>
        </s:is>
      </s:c>
      <s:c r="K47" s="5" t="inlineStr">
        <s:is>
          <s:t xml:space="preserve">v18 — implementacja; wynik tego scenariusza nie został wpisany</s:t>
        </s:is>
      </s:c>
      <s:c r="L47" s="6" t="inlineStr">
        <s:is>
          <s:t xml:space="preserve">Nie wykonano</s:t>
        </s:is>
      </s:c>
      <s:c r="M47" s="5" t="inlineStr">
        <s:is>
          <s:t xml:space="preserve">harborlight-v1-state.js
harborlight-v1-logistics.js
harborlight-v1-leisure.js
harborlight-v1-activities.js</s:t>
        </s:is>
      </s:c>
    </s:row>
    <s:row r="48" ht="150" customHeight="1">
      <s:c r="A48" s="4" t="inlineStr">
        <s:is>
          <s:t xml:space="preserve">BLD-003</s:t>
        </s:is>
      </s:c>
      <s:c r="B48" s="4" t="inlineStr">
        <s:is>
          <s:t xml:space="preserve">Budowy, produkcja i drogi</s:t>
        </s:is>
      </s:c>
      <s:c r="C48" s="4" t="inlineStr">
        <s:is>
          <s:t xml:space="preserve">Kolejka nie przekracza limitu Ratusza</s:t>
        </s:is>
      </s:c>
      <s:c r="D48" s="4" t="inlineStr">
        <s:is>
          <s:t xml:space="preserve">P0</s:t>
        </s:is>
      </s:c>
      <s:c r="E48" s="4" t="inlineStr">
        <s:is>
          <s:t xml:space="preserve">DEV — izolowany fixture</s:t>
        </s:is>
      </s:c>
      <s:c r="F48" s="4" t="inlineStr">
        <s:is>
          <s:t xml:space="preserve">Syntetyczna wyspa; bez kont chmurowych</s:t>
        </s:is>
      </s:c>
      <s:c r="G48" s="4" t="inlineStr">
        <s:is>
          <s:t xml:space="preserve">Fixture: zajęte miejsca aktywne i zwykła kolejka na limicie.</s:t>
        </s:is>
      </s:c>
      <s:c r="H48" s="4" t="inlineStr">
        <s:is>
          <s:t xml:space="preserve">1. Spróbuj dodać kolejny projekt.
2. Zakończ jeden i ponów.</s:t>
        </s:is>
      </s:c>
      <s:c r="I48" s="4" t="inlineStr">
        <s:is>
          <s:t xml:space="preserve">• Nadmiarowy projekt nie pobiera środków i nie trafia do kolejki.
• Zwolnienie miejsca dopuszcza poprawne zlecenie.</s:t>
        </s:is>
      </s:c>
      <s:c r="J48" s="4" t="inlineStr">
        <s:is>
          <s:t xml:space="preserve">Lokalnie</s:t>
        </s:is>
      </s:c>
      <s:c r="K48" s="4" t="inlineStr">
        <s:is>
          <s:t xml:space="preserve">v18 — implementacja; wynik tego scenariusza nie został wpisany</s:t>
        </s:is>
      </s:c>
      <s:c r="L48" s="6" t="inlineStr">
        <s:is>
          <s:t xml:space="preserve">Nie wykonano</s:t>
        </s:is>
      </s:c>
      <s:c r="M48" s="4" t="inlineStr">
        <s:is>
          <s:t xml:space="preserve">harborlight-v1-state.js
harborlight-v1-logistics.js
harborlight-v1-leisure.js
harborlight-v1-activities.js</s:t>
        </s:is>
      </s:c>
    </s:row>
    <s:row r="49" ht="150" customHeight="1">
      <s:c r="A49" s="5" t="inlineStr">
        <s:is>
          <s:t xml:space="preserve">BLD-004</s:t>
        </s:is>
      </s:c>
      <s:c r="B49" s="5" t="inlineStr">
        <s:is>
          <s:t xml:space="preserve">Budowy, produkcja i drogi</s:t>
        </s:is>
      </s:c>
      <s:c r="C49" s="5" t="inlineStr">
        <s:is>
          <s:t xml:space="preserve">Dwa poziomy tego samego budynku</s:t>
        </s:is>
      </s:c>
      <s:c r="D49" s="5" t="inlineStr">
        <s:is>
          <s:t xml:space="preserve">P0</s:t>
        </s:is>
      </s:c>
      <s:c r="E49" s="5" t="inlineStr">
        <s:is>
          <s:t xml:space="preserve">DEV — izolowany fixture</s:t>
        </s:is>
      </s:c>
      <s:c r="F49" s="5" t="inlineStr">
        <s:is>
          <s:t xml:space="preserve">Syntetyczna wyspa; bez kont chmurowych</s:t>
        </s:is>
      </s:c>
      <s:c r="G49" s="5" t="inlineStr">
        <s:is>
          <s:t xml:space="preserve">Fixture: poprzedni poziom budynku już zamówiony; wolne miejsce aktywne dla innego projektu.</s:t>
        </s:is>
      </s:c>
      <s:c r="H49" s="5" t="inlineStr">
        <s:is>
          <s:t xml:space="preserve">1. Zamów następny poziom tego samego budynku.
2. Sprawdź liczbę zajętych miejsc kolejki i kolejność.</s:t>
        </s:is>
      </s:c>
      <s:c r="I49" s="5" t="inlineStr">
        <s:is>
          <s:t xml:space="preserve">• Następny poziom jest liczony do kolejki i nie wyprzedza poprzedniego poziomu.</s:t>
        </s:is>
      </s:c>
      <s:c r="J49" s="5" t="inlineStr">
        <s:is>
          <s:t xml:space="preserve">Lokalnie</s:t>
        </s:is>
      </s:c>
      <s:c r="K49" s="5" t="inlineStr">
        <s:is>
          <s:t xml:space="preserve">v18 — implementacja; wynik tego scenariusza nie został wpisany</s:t>
        </s:is>
      </s:c>
      <s:c r="L49" s="6" t="inlineStr">
        <s:is>
          <s:t xml:space="preserve">Nie wykonano</s:t>
        </s:is>
      </s:c>
      <s:c r="M49" s="5" t="inlineStr">
        <s:is>
          <s:t xml:space="preserve">harborlight-v1-state.js
harborlight-v1-logistics.js
harborlight-v1-leisure.js
harborlight-v1-activities.js</s:t>
        </s:is>
      </s:c>
    </s:row>
    <s:row r="50" ht="150" customHeight="1">
      <s:c r="A50" s="4" t="inlineStr">
        <s:is>
          <s:t xml:space="preserve">BLD-005</s:t>
        </s:is>
      </s:c>
      <s:c r="B50" s="4" t="inlineStr">
        <s:is>
          <s:t xml:space="preserve">Budowy, produkcja i drogi</s:t>
        </s:is>
      </s:c>
      <s:c r="C50" s="4" t="inlineStr">
        <s:is>
          <s:t xml:space="preserve">Anulowanie tylko przed pierwszym podjęciem</s:t>
        </s:is>
      </s:c>
      <s:c r="D50" s="4" t="inlineStr">
        <s:is>
          <s:t xml:space="preserve">P1</s:t>
        </s:is>
      </s:c>
      <s:c r="E50" s="4" t="inlineStr">
        <s:is>
          <s:t xml:space="preserve">DEV — izolowany fixture</s:t>
        </s:is>
      </s:c>
      <s:c r="F50" s="4" t="inlineStr">
        <s:is>
          <s:t xml:space="preserve">Syntetyczna wyspa; bez kont chmurowych</s:t>
        </s:is>
      </s:c>
      <s:c r="G50" s="4" t="inlineStr">
        <s:is>
          <s:t xml:space="preserve">Fixture: dwie kopie projektu, przed podjęciem i po podjęciu materiałów.</s:t>
        </s:is>
      </s:c>
      <s:c r="H50" s="4" t="inlineStr">
        <s:is>
          <s:t xml:space="preserve">1. Spróbuj anulować oba projekty przez UI.</s:t>
        </s:is>
      </s:c>
      <s:c r="I50" s="4" t="inlineStr">
        <s:is>
          <s:t xml:space="preserve">• Projekt przed podjęciem można anulować zgodnie z warunkami i uwolnić rezerwację.
• Rozpoczęty nie oddaje zasobów błędnie ani nie znika z ładunkiem.</s:t>
        </s:is>
      </s:c>
      <s:c r="J50" s="4" t="inlineStr">
        <s:is>
          <s:t xml:space="preserve">Lokalnie</s:t>
        </s:is>
      </s:c>
      <s:c r="K50" s="4" t="inlineStr">
        <s:is>
          <s:t xml:space="preserve">v18 — implementacja; wynik tego scenariusza nie został wpisany</s:t>
        </s:is>
      </s:c>
      <s:c r="L50" s="6" t="inlineStr">
        <s:is>
          <s:t xml:space="preserve">Nie wykonano</s:t>
        </s:is>
      </s:c>
      <s:c r="M50" s="4" t="inlineStr">
        <s:is>
          <s:t xml:space="preserve">harborlight-v1-state.js
harborlight-v1-logistics.js
harborlight-v1-leisure.js
harborlight-v1-activities.js</s:t>
        </s:is>
      </s:c>
    </s:row>
    <s:row r="51" ht="150" customHeight="1">
      <s:c r="A51" s="5" t="inlineStr">
        <s:is>
          <s:t xml:space="preserve">BLD-006</s:t>
        </s:is>
      </s:c>
      <s:c r="B51" s="5" t="inlineStr">
        <s:is>
          <s:t xml:space="preserve">Budowy, produkcja i drogi</s:t>
        </s:is>
      </s:c>
      <s:c r="C51" s="5" t="inlineStr">
        <s:is>
          <s:t xml:space="preserve">Popup dokładnego skrócenia budowy</s:t>
        </s:is>
      </s:c>
      <s:c r="D51" s="5" t="inlineStr">
        <s:is>
          <s:t xml:space="preserve">P1</s:t>
        </s:is>
      </s:c>
      <s:c r="E51" s="5" t="inlineStr">
        <s:is>
          <s:t xml:space="preserve">DEV — izolowany fixture</s:t>
        </s:is>
      </s:c>
      <s:c r="F51" s="5" t="inlineStr">
        <s:is>
          <s:t xml:space="preserve">Syntetyczna wyspa; bez kont chmurowych</s:t>
        </s:is>
      </s:c>
      <s:c r="G51" s="5" t="inlineStr">
        <s:is>
          <s:t xml:space="preserve">Fixture:125 s budowania i środki na skrócenie25%.</s:t>
        </s:is>
      </s:c>
      <s:c r="H51" s="5" t="inlineStr">
        <s:is>
          <s:t xml:space="preserve">1. Kup skrócenie25%.
2. Porównaj różnicę licznika z popupem w minutach i sekundach.</s:t>
        </s:is>
      </s:c>
      <s:c r="I51" s="5" t="inlineStr">
        <s:is>
          <s:t xml:space="preserve">• Popup podaje faktycznie zaoszczędzony czas zgodnie z zaokrągleniem UI.
• Nie podaje czasu całej budowy ani wartości innego etapu.</s:t>
        </s:is>
      </s:c>
      <s:c r="J51" s="5" t="inlineStr">
        <s:is>
          <s:t xml:space="preserve">Lokalnie</s:t>
        </s:is>
      </s:c>
      <s:c r="K51" s="5" t="inlineStr">
        <s:is>
          <s:t xml:space="preserve">v18 — implementacja; wynik tego scenariusza nie został wpisany</s:t>
        </s:is>
      </s:c>
      <s:c r="L51" s="6" t="inlineStr">
        <s:is>
          <s:t xml:space="preserve">Nie wykonano</s:t>
        </s:is>
      </s:c>
      <s:c r="M51" s="5" t="inlineStr">
        <s:is>
          <s:t xml:space="preserve">harborlight-v1-state.js
harborlight-v1-logistics.js
harborlight-v1-leisure.js
harborlight-v1-activities.js</s:t>
        </s:is>
      </s:c>
    </s:row>
    <s:row r="52" ht="150" customHeight="1">
      <s:c r="A52" s="4" t="inlineStr">
        <s:is>
          <s:t xml:space="preserve">BLD-007</s:t>
        </s:is>
      </s:c>
      <s:c r="B52" s="4" t="inlineStr">
        <s:is>
          <s:t xml:space="preserve">Budowy, produkcja i drogi</s:t>
        </s:is>
      </s:c>
      <s:c r="C52" s="4" t="inlineStr">
        <s:is>
          <s:t xml:space="preserve">Wydajność 20/24/26/28 i receptury2:1</s:t>
        </s:is>
      </s:c>
      <s:c r="D52" s="4" t="inlineStr">
        <s:is>
          <s:t xml:space="preserve">P1</s:t>
        </s:is>
      </s:c>
      <s:c r="E52" s="4" t="inlineStr">
        <s:is>
          <s:t xml:space="preserve">DEV — izolowany fixture</s:t>
        </s:is>
      </s:c>
      <s:c r="F52" s="4" t="inlineStr">
        <s:is>
          <s:t xml:space="preserve">Syntetyczna wyspa; bez kont chmurowych</s:t>
        </s:is>
      </s:c>
      <s:c r="G52" s="4" t="inlineStr">
        <s:is>
          <s:t xml:space="preserve">Fixture: po1 przybyłym najedzonym pracowniku na poziomach1–4.</s:t>
        </s:is>
      </s:c>
      <s:c r="H52" s="4" t="inlineStr">
        <s:is>
          <s:t xml:space="preserve">1. Obserwuj bazową produkcję przy mnożniku×1.
2. W Młynie i Tartaku zanotuj pobór wejścia na ukończoną sztukę.</s:t>
        </s:is>
      </s:c>
      <s:c r="I52" s="4" t="inlineStr">
        <s:is>
          <s:t xml:space="preserve">• Baza wynosi20/24/26/28 na godzinę.
• Żywność zużywa2 Grain, a deska2 Wood na sztukę; opis rozróżnia bazę i aktualne mnożniki.</s:t>
        </s:is>
      </s:c>
      <s:c r="J52" s="4" t="inlineStr">
        <s:is>
          <s:t xml:space="preserve">Lokalnie</s:t>
        </s:is>
      </s:c>
      <s:c r="K52" s="4" t="inlineStr">
        <s:is>
          <s:t xml:space="preserve">v18 — implementacja; wynik tego scenariusza nie został wpisany</s:t>
        </s:is>
      </s:c>
      <s:c r="L52" s="6" t="inlineStr">
        <s:is>
          <s:t xml:space="preserve">Nie wykonano</s:t>
        </s:is>
      </s:c>
      <s:c r="M52" s="4" t="inlineStr">
        <s:is>
          <s:t xml:space="preserve">harborlight-v1-state.js
harborlight-v1-logistics.js
harborlight-v1-leisure.js
harborlight-v1-activities.js</s:t>
        </s:is>
      </s:c>
    </s:row>
    <s:row r="53" ht="150" customHeight="1">
      <s:c r="A53" s="5" t="inlineStr">
        <s:is>
          <s:t xml:space="preserve">BLD-008</s:t>
        </s:is>
      </s:c>
      <s:c r="B53" s="5" t="inlineStr">
        <s:is>
          <s:t xml:space="preserve">Budowy, produkcja i drogi</s:t>
        </s:is>
      </s:c>
      <s:c r="C53" s="5" t="inlineStr">
        <s:is>
          <s:t xml:space="preserve">Brak wejścia i pełny bufor producenta</s:t>
        </s:is>
      </s:c>
      <s:c r="D53" s="5" t="inlineStr">
        <s:is>
          <s:t xml:space="preserve">P1</s:t>
        </s:is>
      </s:c>
      <s:c r="E53" s="5" t="inlineStr">
        <s:is>
          <s:t xml:space="preserve">DEV — izolowany fixture</s:t>
        </s:is>
      </s:c>
      <s:c r="F53" s="5" t="inlineStr">
        <s:is>
          <s:t xml:space="preserve">Syntetyczna wyspa; bez kont chmurowych</s:t>
        </s:is>
      </s:c>
      <s:c r="G53" s="5" t="inlineStr">
        <s:is>
          <s:t xml:space="preserve">Dwa fixtures: brak Grain w Młynie oraz pełny lokalny bufor Gospodarstwa.</s:t>
        </s:is>
      </s:c>
      <s:c r="H53" s="5" t="inlineStr">
        <s:is>
          <s:t xml:space="preserve">1. Otwórz budynki i obserwuj zatrzymanie.
2. Przywróć wejście lub odbierz gotowe towary.</s:t>
        </s:is>
      </s:c>
      <s:c r="I53" s="5" t="inlineStr">
        <s:is>
          <s:t xml:space="preserve">• Powód przestoju jest poprawny; smutna ikona pojawia się dla rzeczywistej kary.
• Po wznowieniu produkcji komunikat i ikona ustępują.</s:t>
        </s:is>
      </s:c>
      <s:c r="J53" s="5" t="inlineStr">
        <s:is>
          <s:t xml:space="preserve">Lokalnie</s:t>
        </s:is>
      </s:c>
      <s:c r="K53" s="5" t="inlineStr">
        <s:is>
          <s:t xml:space="preserve">v18 — implementacja; wynik tego scenariusza nie został wpisany</s:t>
        </s:is>
      </s:c>
      <s:c r="L53" s="6" t="inlineStr">
        <s:is>
          <s:t xml:space="preserve">Nie wykonano</s:t>
        </s:is>
      </s:c>
      <s:c r="M53" s="5" t="inlineStr">
        <s:is>
          <s:t xml:space="preserve">harborlight-v1-state.js
harborlight-v1-logistics.js
harborlight-v1-leisure.js
harborlight-v1-activities.js</s:t>
        </s:is>
      </s:c>
    </s:row>
    <s:row r="54" ht="150" customHeight="1">
      <s:c r="A54" s="4" t="inlineStr">
        <s:is>
          <s:t xml:space="preserve">BLD-009</s:t>
        </s:is>
      </s:c>
      <s:c r="B54" s="4" t="inlineStr">
        <s:is>
          <s:t xml:space="preserve">Budowy, produkcja i drogi</s:t>
        </s:is>
      </s:c>
      <s:c r="C54" s="4" t="inlineStr">
        <s:is>
          <s:t xml:space="preserve">Sto odcinków drogi przed następnym poziomem</s:t>
        </s:is>
      </s:c>
      <s:c r="D54" s="4" t="inlineStr">
        <s:is>
          <s:t xml:space="preserve">P1</s:t>
        </s:is>
      </s:c>
      <s:c r="E54" s="4" t="inlineStr">
        <s:is>
          <s:t xml:space="preserve">DEV — izolowany fixture</s:t>
        </s:is>
      </s:c>
      <s:c r="F54" s="4" t="inlineStr">
        <s:is>
          <s:t xml:space="preserve">Syntetyczna wyspa; bez kont chmurowych</s:t>
        </s:is>
      </s:c>
      <s:c r="G54" s="4" t="inlineStr">
        <s:is>
          <s:t xml:space="preserve">Fixture:99 ulepszonych odcinków bieżącego poziomu i200 Stone.</s:t>
        </s:is>
      </s:c>
      <s:c r="H54" s="4" t="inlineStr">
        <s:is>
          <s:t xml:space="preserve">1. Spróbuj przejść do następnego poziomu.
2. Ulepsz setny odcinek za100 Stone.
3. Rozpocznij następny poziom.</s:t>
        </s:is>
      </s:c>
      <s:c r="I54" s="4" t="inlineStr">
        <s:is>
          <s:t xml:space="preserve">• Nowy poziom nie omija brakującego odcinka.
• Każdy poprawny zakup pobiera100 Stone raz.</s:t>
        </s:is>
      </s:c>
      <s:c r="J54" s="4" t="inlineStr">
        <s:is>
          <s:t xml:space="preserve">Lokalnie</s:t>
        </s:is>
      </s:c>
      <s:c r="K54" s="4" t="inlineStr">
        <s:is>
          <s:t xml:space="preserve">v18 — implementacja; wynik tego scenariusza nie został wpisany</s:t>
        </s:is>
      </s:c>
      <s:c r="L54" s="6" t="inlineStr">
        <s:is>
          <s:t xml:space="preserve">Nie wykonano</s:t>
        </s:is>
      </s:c>
      <s:c r="M54" s="4" t="inlineStr">
        <s:is>
          <s:t xml:space="preserve">harborlight-v1-state.js
harborlight-v1-logistics.js
harborlight-v1-leisure.js
harborlight-v1-activities.js</s:t>
        </s:is>
      </s:c>
    </s:row>
    <s:row r="55" ht="150" customHeight="1">
      <s:c r="A55" s="5" t="inlineStr">
        <s:is>
          <s:t xml:space="preserve">POP-001</s:t>
        </s:is>
      </s:c>
      <s:c r="B55" s="5" t="inlineStr">
        <s:is>
          <s:t xml:space="preserve">Mieszkańcy, szczęście i zegary</s:t>
        </s:is>
      </s:c>
      <s:c r="C55" s="5" t="inlineStr">
        <s:is>
          <s:t xml:space="preserve">Powitalne minimum wszystkich mieszkańców</s:t>
        </s:is>
      </s:c>
      <s:c r="D55" s="5" t="inlineStr">
        <s:is>
          <s:t xml:space="preserve">P0</s:t>
        </s:is>
      </s:c>
      <s:c r="E55" s="5" t="inlineStr">
        <s:is>
          <s:t xml:space="preserve">DEV — izolowany fixture</s:t>
        </s:is>
      </s:c>
      <s:c r="F55" s="5" t="inlineStr">
        <s:is>
          <s:t xml:space="preserve">Syntetyczna wyspa; bez kont chmurowych</s:t>
        </s:is>
      </s:c>
      <s:c r="G55" s="5" t="inlineStr">
        <s:is>
          <s:t xml:space="preserve">Nowa wyspa; mieszkańcy początkowi i nowo przybyły; brak Latarni.</s:t>
        </s:is>
      </s:c>
      <s:c r="H55" s="5" t="inlineStr">
        <s:is>
          <s:t xml:space="preserve">1. W ciągu72 h wywołaj ujemne czynniki na fixture.
2. Porównaj indywidualne szczęście i średnią.</s:t>
        </s:is>
      </s:c>
      <s:c r="I55" s="5" t="inlineStr">
        <s:is>
          <s:t xml:space="preserve">• Każdy ma co najmniej20%, także przybyły w okresie ochrony; średnia nie spada poniżej20%.</s:t>
        </s:is>
      </s:c>
      <s:c r="J55" s="5" t="inlineStr">
        <s:is>
          <s:t xml:space="preserve">Lokalnie</s:t>
        </s:is>
      </s:c>
      <s:c r="K55" s="5" t="inlineStr">
        <s:is>
          <s:t xml:space="preserve">v18 — implementacja; wynik tego scenariusza nie został wpisany</s:t>
        </s:is>
      </s:c>
      <s:c r="L55" s="6" t="inlineStr">
        <s:is>
          <s:t xml:space="preserve">Nie wykonano</s:t>
        </s:is>
      </s:c>
      <s:c r="M55" s="5" t="inlineStr">
        <s:is>
          <s:t xml:space="preserve">harborlight-v1-residents.js
harborlight-v1-state.js
harborlight-v1-progression.js
harborlight-v1-calendar.js</s:t>
        </s:is>
      </s:c>
    </s:row>
    <s:row r="56" ht="150" customHeight="1">
      <s:c r="A56" s="4" t="inlineStr">
        <s:is>
          <s:t xml:space="preserve">POP-002</s:t>
        </s:is>
      </s:c>
      <s:c r="B56" s="4" t="inlineStr">
        <s:is>
          <s:t xml:space="preserve">Mieszkańcy, szczęście i zegary</s:t>
        </s:is>
      </s:c>
      <s:c r="C56" s="4" t="inlineStr">
        <s:is>
          <s:t xml:space="preserve">Koniec ochrony bez ukrytego długu</s:t>
        </s:is>
      </s:c>
      <s:c r="D56" s="4" t="inlineStr">
        <s:is>
          <s:t xml:space="preserve">P0</s:t>
        </s:is>
      </s:c>
      <s:c r="E56" s="4" t="inlineStr">
        <s:is>
          <s:t xml:space="preserve">DEV — izolowany fixture</s:t>
        </s:is>
      </s:c>
      <s:c r="F56" s="4" t="inlineStr">
        <s:is>
          <s:t xml:space="preserve">Syntetyczna wyspa; bez kont chmurowych</s:t>
        </s:is>
      </s:c>
      <s:c r="G56" s="4" t="inlineStr">
        <s:is>
          <s:t xml:space="preserve">Fixture blisko końca72 h; ujemne czynniki działały pod ochroną.</s:t>
        </s:is>
      </s:c>
      <s:c r="H56" s="4" t="inlineStr">
        <s:is>
          <s:t xml:space="preserve">1. Przekrocz granicę72 h.
2. Obserwuj zmianę bez dodatkowej komendy.</s:t>
        </s:is>
      </s:c>
      <s:c r="I56" s="4" t="inlineStr">
        <s:is>
          <s:t xml:space="preserve">• Nie następuje automatyczne odjęcie20 pp ani jednorazowe naliczenie całej chronionej kary.
• Dalsze naliczanie jest zgodne z aktualnymi czynnikami.</s:t>
        </s:is>
      </s:c>
      <s:c r="J56" s="4" t="inlineStr">
        <s:is>
          <s:t xml:space="preserve">Lokalnie</s:t>
        </s:is>
      </s:c>
      <s:c r="K56" s="4" t="inlineStr">
        <s:is>
          <s:t xml:space="preserve">v18 — implementacja; wynik tego scenariusza nie został wpisany</s:t>
        </s:is>
      </s:c>
      <s:c r="L56" s="6" t="inlineStr">
        <s:is>
          <s:t xml:space="preserve">Nie wykonano</s:t>
        </s:is>
      </s:c>
      <s:c r="M56" s="4" t="inlineStr">
        <s:is>
          <s:t xml:space="preserve">harborlight-v1-residents.js
harborlight-v1-state.js
harborlight-v1-progression.js
harborlight-v1-calendar.js</s:t>
        </s:is>
      </s:c>
    </s:row>
    <s:row r="57" ht="150" customHeight="1">
      <s:c r="A57" s="5" t="inlineStr">
        <s:is>
          <s:t xml:space="preserve">POP-003</s:t>
        </s:is>
      </s:c>
      <s:c r="B57" s="5" t="inlineStr">
        <s:is>
          <s:t xml:space="preserve">Mieszkańcy, szczęście i zegary</s:t>
        </s:is>
      </s:c>
      <s:c r="C57" s="5" t="inlineStr">
        <s:is>
          <s:t xml:space="preserve">Latarnia ma pierwszeństwo nad nowym mieszkańcem</s:t>
        </s:is>
      </s:c>
      <s:c r="D57" s="5" t="inlineStr">
        <s:is>
          <s:t xml:space="preserve">P0</s:t>
        </s:is>
      </s:c>
      <s:c r="E57" s="5" t="inlineStr">
        <s:is>
          <s:t xml:space="preserve">DEV — izolowany fixture</s:t>
        </s:is>
      </s:c>
      <s:c r="F57" s="5" t="inlineStr">
        <s:is>
          <s:t xml:space="preserve">Syntetyczna wyspa; bez kont chmurowych</s:t>
        </s:is>
      </s:c>
      <s:c r="G57" s="5" t="inlineStr">
        <s:is>
          <s:t xml:space="preserve">Fixture: aktywna globalna Latarnia i nowa osoba z24 h osiedlania.</s:t>
        </s:is>
      </s:c>
      <s:c r="H57" s="5" t="inlineStr">
        <s:is>
          <s:t xml:space="preserve">1. Dodaj przybyłego w połowie efektu.
2. Przekrocz wspólny koniec efektu Latarni.</s:t>
        </s:is>
      </s:c>
      <s:c r="I57" s="5" t="inlineStr">
        <s:is>
          <s:t xml:space="preserve">• W czasie globalnej ochrony osoba ma100%.
• Nie otrzymuje osobnego pełnego nowego czasu Latarni po przybyciu.</s:t>
        </s:is>
      </s:c>
      <s:c r="J57" s="5" t="inlineStr">
        <s:is>
          <s:t xml:space="preserve">Lokalnie</s:t>
        </s:is>
      </s:c>
      <s:c r="K57" s="5" t="inlineStr">
        <s:is>
          <s:t xml:space="preserve">v18 — implementacja; wynik tego scenariusza nie został wpisany</s:t>
        </s:is>
      </s:c>
      <s:c r="L57" s="6" t="inlineStr">
        <s:is>
          <s:t xml:space="preserve">Nie wykonano</s:t>
        </s:is>
      </s:c>
      <s:c r="M57" s="5" t="inlineStr">
        <s:is>
          <s:t xml:space="preserve">harborlight-v1-residents.js
harborlight-v1-state.js
harborlight-v1-progression.js
harborlight-v1-calendar.js</s:t>
        </s:is>
      </s:c>
    </s:row>
    <s:row r="58" ht="150" customHeight="1">
      <s:c r="A58" s="4" t="inlineStr">
        <s:is>
          <s:t xml:space="preserve">POP-004</s:t>
        </s:is>
      </s:c>
      <s:c r="B58" s="4" t="inlineStr">
        <s:is>
          <s:t xml:space="preserve">Mieszkańcy, szczęście i zegary</s:t>
        </s:is>
      </s:c>
      <s:c r="C58" s="4" t="inlineStr">
        <s:is>
          <s:t xml:space="preserve">Dwukrotnie szybsze przybywanie, stare odejścia</s:t>
        </s:is>
      </s:c>
      <s:c r="D58" s="4" t="inlineStr">
        <s:is>
          <s:t xml:space="preserve">P1</s:t>
        </s:is>
      </s:c>
      <s:c r="E58" s="4" t="inlineStr">
        <s:is>
          <s:t xml:space="preserve">DEV — izolowany fixture</s:t>
        </s:is>
      </s:c>
      <s:c r="F58" s="4" t="inlineStr">
        <s:is>
          <s:t xml:space="preserve">Syntetyczna wyspa; bez kont chmurowych</s:t>
        </s:is>
      </s:c>
      <s:c r="G58" s="4" t="inlineStr">
        <s:is>
          <s:t xml:space="preserve">Fixtures ze stałym H+100 i H−100; wolne miejsce i populacja powyżej6.</s:t>
        </s:is>
      </s:c>
      <s:c r="H58" s="4" t="inlineStr">
        <s:is>
          <s:t xml:space="preserve">1. Mierz czas do zmiany o1 osobę.
2. Porównaj tabelę UI.</s:t>
        </s:is>
      </s:c>
      <s:c r="I58" s="4" t="inlineStr">
        <s:is>
          <s:t xml:space="preserve">• Przy+100 przybywa1 co30 min, przy−100 odchodzi1 co1 h.
• Tabela pokazuje osobne czasy dodatnie i ujemne.</s:t>
        </s:is>
      </s:c>
      <s:c r="J58" s="4" t="inlineStr">
        <s:is>
          <s:t xml:space="preserve">Lokalnie</s:t>
        </s:is>
      </s:c>
      <s:c r="K58" s="4" t="inlineStr">
        <s:is>
          <s:t xml:space="preserve">v18 — implementacja; wynik tego scenariusza nie został wpisany</s:t>
        </s:is>
      </s:c>
      <s:c r="L58" s="6" t="inlineStr">
        <s:is>
          <s:t xml:space="preserve">Nie wykonano</s:t>
        </s:is>
      </s:c>
      <s:c r="M58" s="4" t="inlineStr">
        <s:is>
          <s:t xml:space="preserve">harborlight-v1-residents.js
harborlight-v1-state.js
harborlight-v1-progression.js
harborlight-v1-calendar.js</s:t>
        </s:is>
      </s:c>
    </s:row>
    <s:row r="59" ht="150" customHeight="1">
      <s:c r="A59" s="5" t="inlineStr">
        <s:is>
          <s:t xml:space="preserve">POP-005</s:t>
        </s:is>
      </s:c>
      <s:c r="B59" s="5" t="inlineStr">
        <s:is>
          <s:t xml:space="preserve">Mieszkańcy, szczęście i zegary</s:t>
        </s:is>
      </s:c>
      <s:c r="C59" s="5" t="inlineStr">
        <s:is>
          <s:t xml:space="preserve">Limit Ratusza i minimum sześciu</s:t>
        </s:is>
      </s:c>
      <s:c r="D59" s="5" t="inlineStr">
        <s:is>
          <s:t xml:space="preserve">P0</s:t>
        </s:is>
      </s:c>
      <s:c r="E59" s="5" t="inlineStr">
        <s:is>
          <s:t xml:space="preserve">DEV — izolowany fixture</s:t>
        </s:is>
      </s:c>
      <s:c r="F59" s="5" t="inlineStr">
        <s:is>
          <s:t xml:space="preserve">Syntetyczna wyspa; bez kont chmurowych</s:t>
        </s:is>
      </s:c>
      <s:c r="G59" s="5" t="inlineStr">
        <s:is>
          <s:t xml:space="preserve">Fixtures: pełny limit Ratusza przy dodatnim H oraz6 osób przy ujemnym H.</s:t>
        </s:is>
      </s:c>
      <s:c r="H59" s="5" t="inlineStr">
        <s:is>
          <s:t xml:space="preserve">1. Przekrocz termin kolejnej zmiany populacji w obu fixtures.</s:t>
        </s:is>
      </s:c>
      <s:c r="I59" s="5" t="inlineStr">
        <s:is>
          <s:t xml:space="preserve">• Pierwszy nie przekracza limitu Ratusza.
• Drugi nie schodzi poniżej6 mieszkańców.</s:t>
        </s:is>
      </s:c>
      <s:c r="J59" s="5" t="inlineStr">
        <s:is>
          <s:t xml:space="preserve">Lokalnie</s:t>
        </s:is>
      </s:c>
      <s:c r="K59" s="5" t="inlineStr">
        <s:is>
          <s:t xml:space="preserve">v18 — implementacja; wynik tego scenariusza nie został wpisany</s:t>
        </s:is>
      </s:c>
      <s:c r="L59" s="6" t="inlineStr">
        <s:is>
          <s:t xml:space="preserve">Nie wykonano</s:t>
        </s:is>
      </s:c>
      <s:c r="M59" s="5" t="inlineStr">
        <s:is>
          <s:t xml:space="preserve">harborlight-v1-residents.js
harborlight-v1-state.js
harborlight-v1-progression.js
harborlight-v1-calendar.js</s:t>
        </s:is>
      </s:c>
    </s:row>
    <s:row r="60" ht="150" customHeight="1">
      <s:c r="A60" s="4" t="inlineStr">
        <s:is>
          <s:t xml:space="preserve">POP-006</s:t>
        </s:is>
      </s:c>
      <s:c r="B60" s="4" t="inlineStr">
        <s:is>
          <s:t xml:space="preserve">Mieszkańcy, szczęście i zegary</s:t>
        </s:is>
      </s:c>
      <s:c r="C60" s="4" t="inlineStr">
        <s:is>
          <s:t xml:space="preserve">Dojście trwa pięć rzeczywistych minut</s:t>
        </s:is>
      </s:c>
      <s:c r="D60" s="4" t="inlineStr">
        <s:is>
          <s:t xml:space="preserve">P1</s:t>
        </s:is>
      </s:c>
      <s:c r="E60" s="4" t="inlineStr">
        <s:is>
          <s:t xml:space="preserve">DEV — izolowany fixture</s:t>
        </s:is>
      </s:c>
      <s:c r="F60" s="4" t="inlineStr">
        <s:is>
          <s:t xml:space="preserve">Syntetyczna wyspa; bez kont chmurowych</s:t>
        </s:is>
      </s:c>
      <s:c r="G60" s="4" t="inlineStr">
        <s:is>
          <s:t xml:space="preserve">Fixture: wolna osoba, aktywność×2 i dobre drogi.</s:t>
        </s:is>
      </s:c>
      <s:c r="H60" s="4" t="inlineStr">
        <s:is>
          <s:t xml:space="preserve">1. Przydziel osobę do producenta.
2. Zmierz czas rozpoczęcia pracy.</s:t>
        </s:is>
      </s:c>
      <s:c r="I60" s="4" t="inlineStr">
        <s:is>
          <s:t xml:space="preserve">• Droga do pracy trwa5 min; mnożnik przewozu nie skraca dojścia osobistego.</s:t>
        </s:is>
      </s:c>
      <s:c r="J60" s="4" t="inlineStr">
        <s:is>
          <s:t xml:space="preserve">Lokalnie</s:t>
        </s:is>
      </s:c>
      <s:c r="K60" s="4" t="inlineStr">
        <s:is>
          <s:t xml:space="preserve">v18 — implementacja; wynik tego scenariusza nie został wpisany</s:t>
        </s:is>
      </s:c>
      <s:c r="L60" s="6" t="inlineStr">
        <s:is>
          <s:t xml:space="preserve">Nie wykonano</s:t>
        </s:is>
      </s:c>
      <s:c r="M60" s="4" t="inlineStr">
        <s:is>
          <s:t xml:space="preserve">harborlight-v1-residents.js
harborlight-v1-state.js
harborlight-v1-progression.js
harborlight-v1-calendar.js</s:t>
        </s:is>
      </s:c>
    </s:row>
    <s:row r="61" ht="150" customHeight="1">
      <s:c r="A61" s="5" t="inlineStr">
        <s:is>
          <s:t xml:space="preserve">POP-007</s:t>
        </s:is>
      </s:c>
      <s:c r="B61" s="5" t="inlineStr">
        <s:is>
          <s:t xml:space="preserve">Mieszkańcy, szczęście i zegary</s:t>
        </s:is>
      </s:c>
      <s:c r="C61" s="5" t="inlineStr">
        <s:is>
          <s:t xml:space="preserve">Podatek dopiero po dotarciu</s:t>
        </s:is>
      </s:c>
      <s:c r="D61" s="5" t="inlineStr">
        <s:is>
          <s:t xml:space="preserve">P0</s:t>
        </s:is>
      </s:c>
      <s:c r="E61" s="5" t="inlineStr">
        <s:is>
          <s:t xml:space="preserve">DEV — izolowany fixture</s:t>
        </s:is>
      </s:c>
      <s:c r="F61" s="5" t="inlineStr">
        <s:is>
          <s:t xml:space="preserve">Syntetyczna wyspa; bez kont chmurowych</s:t>
        </s:is>
      </s:c>
      <s:c r="G61" s="5" t="inlineStr">
        <s:is>
          <s:t xml:space="preserve">Fixture: przypisana osoba jeszcze w drodze, a następnie przybyła.</s:t>
        </s:is>
      </s:c>
      <s:c r="H61" s="5" t="inlineStr">
        <s:is>
          <s:t xml:space="preserve">1. Porównaj naliczenie podatku przed i po końcu dojścia.</s:t>
        </s:is>
      </s:c>
      <s:c r="I61" s="5" t="inlineStr">
        <s:is>
          <s:t xml:space="preserve">• Osoba w drodze nie płaci podatku jak przybyły pracownik.
• Naliczenie zaczyna się po dotarciu.</s:t>
        </s:is>
      </s:c>
      <s:c r="J61" s="5" t="inlineStr">
        <s:is>
          <s:t xml:space="preserve">Lokalnie</s:t>
        </s:is>
      </s:c>
      <s:c r="K61" s="5" t="inlineStr">
        <s:is>
          <s:t xml:space="preserve">v18 — implementacja; wynik tego scenariusza nie został wpisany</s:t>
        </s:is>
      </s:c>
      <s:c r="L61" s="6" t="inlineStr">
        <s:is>
          <s:t xml:space="preserve">Nie wykonano</s:t>
        </s:is>
      </s:c>
      <s:c r="M61" s="5" t="inlineStr">
        <s:is>
          <s:t xml:space="preserve">harborlight-v1-residents.js
harborlight-v1-state.js
harborlight-v1-progression.js
harborlight-v1-calendar.js</s:t>
        </s:is>
      </s:c>
    </s:row>
    <s:row r="62" ht="150" customHeight="1">
      <s:c r="A62" s="4" t="inlineStr">
        <s:is>
          <s:t xml:space="preserve">POP-008</s:t>
        </s:is>
      </s:c>
      <s:c r="B62" s="4" t="inlineStr">
        <s:is>
          <s:t xml:space="preserve">Mieszkańcy, szczęście i zegary</s:t>
        </s:is>
      </s:c>
      <s:c r="C62" s="4" t="inlineStr">
        <s:is>
          <s:t xml:space="preserve">Przydział wstrzymuje bezrobocie bez kasowania licznika</s:t>
        </s:is>
      </s:c>
      <s:c r="D62" s="4" t="inlineStr">
        <s:is>
          <s:t xml:space="preserve">P0</s:t>
        </s:is>
      </s:c>
      <s:c r="E62" s="4" t="inlineStr">
        <s:is>
          <s:t xml:space="preserve">DEV — izolowany fixture</s:t>
        </s:is>
      </s:c>
      <s:c r="F62" s="4" t="inlineStr">
        <s:is>
          <s:t xml:space="preserve">Syntetyczna wyspa; bez kont chmurowych</s:t>
        </s:is>
      </s:c>
      <s:c r="G62" s="4" t="inlineStr">
        <s:is>
          <s:t xml:space="preserve">Fixture: osoba ma naliczone ponad12 h bezrobocia.</s:t>
        </s:is>
      </s:c>
      <s:c r="H62" s="4" t="inlineStr">
        <s:is>
          <s:t xml:space="preserve">1. Przydziel ją do pracy.
2. Odwołaj przed dojściem.
3. Ponownie przydziel i tym razem pozwól dojść.</s:t>
        </s:is>
      </s:c>
      <s:c r="I62" s="4" t="inlineStr">
        <s:is>
          <s:t xml:space="preserve">• Kara jest wstrzymana podczas dojścia, ale sam przydział nie zeruje zegara.
• Tylko dotarcie zeruje licznik; szybkie odwołanie nie daje nowej ochrony.</s:t>
        </s:is>
      </s:c>
      <s:c r="J62" s="4" t="inlineStr">
        <s:is>
          <s:t xml:space="preserve">Lokalnie</s:t>
        </s:is>
      </s:c>
      <s:c r="K62" s="4" t="inlineStr">
        <s:is>
          <s:t xml:space="preserve">v18 — implementacja; wynik tego scenariusza nie został wpisany</s:t>
        </s:is>
      </s:c>
      <s:c r="L62" s="6" t="inlineStr">
        <s:is>
          <s:t xml:space="preserve">Nie wykonano</s:t>
        </s:is>
      </s:c>
      <s:c r="M62" s="4" t="inlineStr">
        <s:is>
          <s:t xml:space="preserve">harborlight-v1-residents.js
harborlight-v1-state.js
harborlight-v1-progression.js
harborlight-v1-calendar.js</s:t>
        </s:is>
      </s:c>
    </s:row>
    <s:row r="63" ht="150" customHeight="1">
      <s:c r="A63" s="5" t="inlineStr">
        <s:is>
          <s:t xml:space="preserve">POP-009</s:t>
        </s:is>
      </s:c>
      <s:c r="B63" s="5" t="inlineStr">
        <s:is>
          <s:t xml:space="preserve">Mieszkańcy, szczęście i zegary</s:t>
        </s:is>
      </s:c>
      <s:c r="C63" s="5" t="inlineStr">
        <s:is>
          <s:t xml:space="preserve">Karmienie resetuje głód po pełnej godzinie</s:t>
        </s:is>
      </s:c>
      <s:c r="D63" s="5" t="inlineStr">
        <s:is>
          <s:t xml:space="preserve">P0</s:t>
        </s:is>
      </s:c>
      <s:c r="E63" s="5" t="inlineStr">
        <s:is>
          <s:t xml:space="preserve">DEV — izolowany fixture</s:t>
        </s:is>
      </s:c>
      <s:c r="F63" s="5" t="inlineStr">
        <s:is>
          <s:t xml:space="preserve">Syntetyczna wyspa; bez kont chmurowych</s:t>
        </s:is>
      </s:c>
      <s:c r="G63" s="5" t="inlineStr">
        <s:is>
          <s:t xml:space="preserve">Fixture: ponad12 h głodu, zapas Food przywracany odcinkami.</s:t>
        </s:is>
      </s:c>
      <s:c r="H63" s="5" t="inlineStr">
        <s:is>
          <s:t xml:space="preserve">1. Nakarm przez30 min i przerwij.
2. Przywróć karmienie na pełne60 min.</s:t>
        </s:is>
      </s:c>
      <s:c r="I63" s="5" t="inlineStr">
        <s:is>
          <s:t xml:space="preserve">• Kara szczęścia zatrzymuje się po przywróceniu jedzenia.
• Krótki posiłek nie kasuje historii; pełna nieprzerwana godzina zeruje licznik.</s:t>
        </s:is>
      </s:c>
      <s:c r="J63" s="5" t="inlineStr">
        <s:is>
          <s:t xml:space="preserve">Lokalnie</s:t>
        </s:is>
      </s:c>
      <s:c r="K63" s="5" t="inlineStr">
        <s:is>
          <s:t xml:space="preserve">v18 — implementacja; wynik tego scenariusza nie został wpisany</s:t>
        </s:is>
      </s:c>
      <s:c r="L63" s="6" t="inlineStr">
        <s:is>
          <s:t xml:space="preserve">Nie wykonano</s:t>
        </s:is>
      </s:c>
      <s:c r="M63" s="5" t="inlineStr">
        <s:is>
          <s:t xml:space="preserve">harborlight-v1-residents.js
harborlight-v1-state.js
harborlight-v1-progression.js
harborlight-v1-calendar.js</s:t>
        </s:is>
      </s:c>
    </s:row>
    <s:row r="64" ht="150" customHeight="1">
      <s:c r="A64" s="4" t="inlineStr">
        <s:is>
          <s:t xml:space="preserve">POP-010</s:t>
        </s:is>
      </s:c>
      <s:c r="B64" s="4" t="inlineStr">
        <s:is>
          <s:t xml:space="preserve">Mieszkańcy, szczęście i zegary</s:t>
        </s:is>
      </s:c>
      <s:c r="C64" s="4" t="inlineStr">
        <s:is>
          <s:t xml:space="preserve">Głód od razu zmniejsza wydajność</s:t>
        </s:is>
      </s:c>
      <s:c r="D64" s="4" t="inlineStr">
        <s:is>
          <s:t xml:space="preserve">P1</s:t>
        </s:is>
      </s:c>
      <s:c r="E64" s="4" t="inlineStr">
        <s:is>
          <s:t xml:space="preserve">DEV — izolowany fixture</s:t>
        </s:is>
      </s:c>
      <s:c r="F64" s="4" t="inlineStr">
        <s:is>
          <s:t xml:space="preserve">Syntetyczna wyspa; bez kont chmurowych</s:t>
        </s:is>
      </s:c>
      <s:c r="G64" s="4" t="inlineStr">
        <s:is>
          <s:t xml:space="preserve">Fixture: przybyli pracownicy i tragarze; zapas Food spada do0.</s:t>
        </s:is>
      </s:c>
      <s:c r="H64" s="4" t="inlineStr">
        <s:is>
          <s:t xml:space="preserve">1. Porównaj produkcję i prędkość przewozu przed brakiem Food i bezpośrednio po nim.</s:t>
        </s:is>
      </s:c>
      <s:c r="I64" s="4" t="inlineStr">
        <s:is>
          <s:t xml:space="preserve">• Mnożnik głodu×0,5 działa od razu; nie czeka na12 h kary szczęścia.</s:t>
        </s:is>
      </s:c>
      <s:c r="J64" s="4" t="inlineStr">
        <s:is>
          <s:t xml:space="preserve">Lokalnie</s:t>
        </s:is>
      </s:c>
      <s:c r="K64" s="4" t="inlineStr">
        <s:is>
          <s:t xml:space="preserve">v18 — implementacja; wynik tego scenariusza nie został wpisany</s:t>
        </s:is>
      </s:c>
      <s:c r="L64" s="6" t="inlineStr">
        <s:is>
          <s:t xml:space="preserve">Nie wykonano</s:t>
        </s:is>
      </s:c>
      <s:c r="M64" s="4" t="inlineStr">
        <s:is>
          <s:t xml:space="preserve">harborlight-v1-residents.js
harborlight-v1-state.js
harborlight-v1-progression.js
harborlight-v1-calendar.js</s:t>
        </s:is>
      </s:c>
    </s:row>
    <s:row r="65" ht="150" customHeight="1">
      <s:c r="A65" s="5" t="inlineStr">
        <s:is>
          <s:t xml:space="preserve">POP-011</s:t>
        </s:is>
      </s:c>
      <s:c r="B65" s="5" t="inlineStr">
        <s:is>
          <s:t xml:space="preserve">Mieszkańcy, szczęście i zegary</s:t>
        </s:is>
      </s:c>
      <s:c r="C65" s="5" t="inlineStr">
        <s:is>
          <s:t xml:space="preserve">Aktywność kończy się po pięciu minutach</s:t>
        </s:is>
      </s:c>
      <s:c r="D65" s="5" t="inlineStr">
        <s:is>
          <s:t xml:space="preserve">P0</s:t>
        </s:is>
      </s:c>
      <s:c r="E65" s="5" t="inlineStr">
        <s:is>
          <s:t xml:space="preserve">DEV — izolowany fixture</s:t>
        </s:is>
      </s:c>
      <s:c r="F65" s="5" t="inlineStr">
        <s:is>
          <s:t xml:space="preserve">Syntetyczna wyspa; bez kont chmurowych</s:t>
        </s:is>
      </s:c>
      <s:c r="G65" s="5" t="inlineStr">
        <s:is>
          <s:t xml:space="preserve">Fixture z wystarczającymi materiałami i porównywalnym pracownikiem.</s:t>
        </s:is>
      </s:c>
      <s:c r="H65" s="5" t="inlineStr">
        <s:is>
          <s:t xml:space="preserve">1. Wykonaj rzeczywisty dotyk lub klawisz w aktywnej karcie.
2. Przez kolejne5 min nie wykonuj wejścia.
3. Porównaj mnożniki przed i po granicy.</s:t>
        </s:is>
      </s:c>
      <s:c r="I65" s="5" t="inlineStr">
        <s:is>
          <s:t xml:space="preserve">• Produkcja, podatki i przewóz mają×2 przez5 min od aktywności, następnie×1.
• Automatyczny zegar i zapis nie odnawiają premii.</s:t>
        </s:is>
      </s:c>
      <s:c r="J65" s="5" t="inlineStr">
        <s:is>
          <s:t xml:space="preserve">Lokalnie</s:t>
        </s:is>
      </s:c>
      <s:c r="K65" s="5" t="inlineStr">
        <s:is>
          <s:t xml:space="preserve">v18 — implementacja; wynik tego scenariusza nie został wpisany</s:t>
        </s:is>
      </s:c>
      <s:c r="L65" s="6" t="inlineStr">
        <s:is>
          <s:t xml:space="preserve">Nie wykonano</s:t>
        </s:is>
      </s:c>
      <s:c r="M65" s="5" t="inlineStr">
        <s:is>
          <s:t xml:space="preserve">harborlight-v1-residents.js
harborlight-v1-state.js
harborlight-v1-progression.js
harborlight-v1-calendar.js</s:t>
        </s:is>
      </s:c>
    </s:row>
    <s:row r="66" ht="150" customHeight="1">
      <s:c r="A66" s="4" t="inlineStr">
        <s:is>
          <s:t xml:space="preserve">POP-012</s:t>
        </s:is>
      </s:c>
      <s:c r="B66" s="4" t="inlineStr">
        <s:is>
          <s:t xml:space="preserve">Mieszkańcy, szczęście i zegary</s:t>
        </s:is>
      </s:c>
      <s:c r="C66" s="4" t="inlineStr">
        <s:is>
          <s:t xml:space="preserve">Powrót po60 h jest liczony przedziałowo</s:t>
        </s:is>
      </s:c>
      <s:c r="D66" s="4" t="inlineStr">
        <s:is>
          <s:t xml:space="preserve">P0</s:t>
        </s:is>
      </s:c>
      <s:c r="E66" s="4" t="inlineStr">
        <s:is>
          <s:t xml:space="preserve">DEV — izolowany fixture</s:t>
        </s:is>
      </s:c>
      <s:c r="F66" s="4" t="inlineStr">
        <s:is>
          <s:t xml:space="preserve">Syntetyczna wyspa; bez kont chmurowych</s:t>
        </s:is>
      </s:c>
      <s:c r="G66" s="4" t="inlineStr">
        <s:is>
          <s:t xml:space="preserve">Fixture: zapis tuż po realnym działaniu; identyczny stan porównawczy.</s:t>
        </s:is>
      </s:c>
      <s:c r="H66" s="4" t="inlineStr">
        <s:is>
          <s:t xml:space="preserve">1. Rozlicz60 h jednym skokiem.
2. W drugim stanie rozlicz te same granice odcinkami.</s:t>
        </s:is>
      </s:c>
      <s:c r="I66" s="4" t="inlineStr">
        <s:is>
          <s:t xml:space="preserve">• Pierwsze5 min mają×2, pozostały czas do48 h×1, dopiero ostatnie12 h×0,5.
• Wyniki całego i dzielonego rozliczenia są zgodne.</s:t>
        </s:is>
      </s:c>
      <s:c r="J66" s="4" t="inlineStr">
        <s:is>
          <s:t xml:space="preserve">Lokalnie</s:t>
        </s:is>
      </s:c>
      <s:c r="K66" s="4" t="inlineStr">
        <s:is>
          <s:t xml:space="preserve">v18 — implementacja; wynik tego scenariusza nie został wpisany</s:t>
        </s:is>
      </s:c>
      <s:c r="L66" s="6" t="inlineStr">
        <s:is>
          <s:t xml:space="preserve">Nie wykonano</s:t>
        </s:is>
      </s:c>
      <s:c r="M66" s="4" t="inlineStr">
        <s:is>
          <s:t xml:space="preserve">harborlight-v1-residents.js
harborlight-v1-state.js
harborlight-v1-progression.js
harborlight-v1-calendar.js</s:t>
        </s:is>
      </s:c>
    </s:row>
    <s:row r="67" ht="150" customHeight="1">
      <s:c r="A67" s="5" t="inlineStr">
        <s:is>
          <s:t xml:space="preserve">POP-013</s:t>
        </s:is>
      </s:c>
      <s:c r="B67" s="5" t="inlineStr">
        <s:is>
          <s:t xml:space="preserve">Mieszkańcy, szczęście i zegary</s:t>
        </s:is>
      </s:c>
      <s:c r="C67" s="5" t="inlineStr">
        <s:is>
          <s:t xml:space="preserve">Spowolnienie nie zmienia jedzenia i efektów</s:t>
        </s:is>
      </s:c>
      <s:c r="D67" s="5" t="inlineStr">
        <s:is>
          <s:t xml:space="preserve">P0</s:t>
        </s:is>
      </s:c>
      <s:c r="E67" s="5" t="inlineStr">
        <s:is>
          <s:t xml:space="preserve">DEV — izolowany fixture</s:t>
        </s:is>
      </s:c>
      <s:c r="F67" s="5" t="inlineStr">
        <s:is>
          <s:t xml:space="preserve">Syntetyczna wyspa; bez kont chmurowych</s:t>
        </s:is>
      </s:c>
      <s:c r="G67" s="5" t="inlineStr">
        <s:is>
          <s:t xml:space="preserve">Fixture:60 h nieobecności, znane zużycie Food i efekt krótszy niż nieobecność.</s:t>
        </s:is>
      </s:c>
      <s:c r="H67" s="5" t="inlineStr">
        <s:is>
          <s:t xml:space="preserve">1. Rozlicz nieobecność i porównaj zegary z rzeczywistym czasem.</s:t>
        </s:is>
      </s:c>
      <s:c r="I67" s="5" t="inlineStr">
        <s:is>
          <s:t xml:space="preserve">• Jedzenie, kalendarz, szczęście i czas efektów biegną normalnie.
• Populacja ma osobną regułę przyrostu; spowolnienie ekonomii nie przedłuża efektu.</s:t>
        </s:is>
      </s:c>
      <s:c r="J67" s="5" t="inlineStr">
        <s:is>
          <s:t xml:space="preserve">Lokalnie</s:t>
        </s:is>
      </s:c>
      <s:c r="K67" s="5" t="inlineStr">
        <s:is>
          <s:t xml:space="preserve">v18 — implementacja; wynik tego scenariusza nie został wpisany</s:t>
        </s:is>
      </s:c>
      <s:c r="L67" s="6" t="inlineStr">
        <s:is>
          <s:t xml:space="preserve">Nie wykonano</s:t>
        </s:is>
      </s:c>
      <s:c r="M67" s="5" t="inlineStr">
        <s:is>
          <s:t xml:space="preserve">harborlight-v1-residents.js
harborlight-v1-state.js
harborlight-v1-progression.js
harborlight-v1-calendar.js</s:t>
        </s:is>
      </s:c>
    </s:row>
    <s:row r="68" ht="150" customHeight="1">
      <s:c r="A68" s="4" t="inlineStr">
        <s:is>
          <s:t xml:space="preserve">POP-014</s:t>
        </s:is>
      </s:c>
      <s:c r="B68" s="4" t="inlineStr">
        <s:is>
          <s:t xml:space="preserve">Mieszkańcy, szczęście i zegary</s:t>
        </s:is>
      </s:c>
      <s:c r="C68" s="4" t="inlineStr">
        <s:is>
          <s:t xml:space="preserve">Tylko prawdziwe wejście w aktywnej karcie</s:t>
        </s:is>
      </s:c>
      <s:c r="D68" s="4" t="inlineStr">
        <s:is>
          <s:t xml:space="preserve">P0</s:t>
        </s:is>
      </s:c>
      <s:c r="E68" s="4" t="inlineStr">
        <s:is>
          <s:t xml:space="preserve">DEV — izolowany fixture</s:t>
        </s:is>
      </s:c>
      <s:c r="F68" s="4" t="inlineStr">
        <s:is>
          <s:t xml:space="preserve">Syntetyczna wyspa; bez kont chmurowych</s:t>
        </s:is>
      </s:c>
      <s:c r="G68" s="4" t="inlineStr">
        <s:is>
          <s:t xml:space="preserve">Fixture z licznikiem realnej aktywności.</s:t>
        </s:is>
      </s:c>
      <s:c r="H68" s="4" t="inlineStr">
        <s:is>
          <s:t xml:space="preserve">1. Użyj dotyku, klawisza i sensownego przechylenia w minigrze.
2. Następnie pozostaw kartę w tle z animacją i odświeżaniem sesji.</s:t>
        </s:is>
      </s:c>
      <s:c r="I68" s="4" t="inlineStr">
        <s:is>
          <s:t xml:space="preserve">• Rzeczywiste sterowanie odnawia aktywność.
• Tło, animacja, neutralna fizyka, automatyczny zapis i refresh tokenu tego nie robią.</s:t>
        </s:is>
      </s:c>
      <s:c r="J68" s="4" t="inlineStr">
        <s:is>
          <s:t xml:space="preserve">Lokalnie</s:t>
        </s:is>
      </s:c>
      <s:c r="K68" s="4" t="inlineStr">
        <s:is>
          <s:t xml:space="preserve">v18 — implementacja; wynik tego scenariusza nie został wpisany</s:t>
        </s:is>
      </s:c>
      <s:c r="L68" s="6" t="inlineStr">
        <s:is>
          <s:t xml:space="preserve">Nie wykonano</s:t>
        </s:is>
      </s:c>
      <s:c r="M68" s="4" t="inlineStr">
        <s:is>
          <s:t xml:space="preserve">harborlight-v1-residents.js
harborlight-v1-state.js
harborlight-v1-progression.js
harborlight-v1-calendar.js</s:t>
        </s:is>
      </s:c>
    </s:row>
    <s:row r="69" ht="150" customHeight="1">
      <s:c r="A69" s="5" t="inlineStr">
        <s:is>
          <s:t xml:space="preserve">POP-015</s:t>
        </s:is>
      </s:c>
      <s:c r="B69" s="5" t="inlineStr">
        <s:is>
          <s:t xml:space="preserve">Mieszkańcy, szczęście i zegary</s:t>
        </s:is>
      </s:c>
      <s:c r="C69" s="5" t="inlineStr">
        <s:is>
          <s:t xml:space="preserve">Globalne wylogowanie30 min+30 s</s:t>
        </s:is>
      </s:c>
      <s:c r="D69" s="5" t="inlineStr">
        <s:is>
          <s:t xml:space="preserve">P0</s:t>
        </s:is>
      </s:c>
      <s:c r="E69" s="5" t="inlineStr">
        <s:is>
          <s:t xml:space="preserve">DEV — izolowany fixture</s:t>
        </s:is>
      </s:c>
      <s:c r="F69" s="5" t="inlineStr">
        <s:is>
          <s:t xml:space="preserve">Syntetyczna wyspa; bez kont chmurowych</s:t>
        </s:is>
      </s:c>
      <s:c r="G69" s="5" t="inlineStr">
        <s:is>
          <s:t xml:space="preserve">Fixture z zalogowaną atrapą sesji i zatrzymanym zegarem testowym.</s:t>
        </s:is>
      </s:c>
      <s:c r="H69" s="5" t="inlineStr">
        <s:is>
          <s:t xml:space="preserve">1. Odczekaj30 min bez rzeczywistego wejścia.
2. Nie odpowiadaj przez30 s.
3. Powtórz, potwierdzając obecność przed końcem.</s:t>
        </s:is>
      </s:c>
      <s:c r="I69" s="5" t="inlineStr">
        <s:is>
          <s:t xml:space="preserve">• Po30 min jest widoczne ostrzeżenie, po dalszych30 s wylogowanie.
• Potwierdzenie w terminie zachowuje sesję bez resetu wyspy.</s:t>
        </s:is>
      </s:c>
      <s:c r="J69" s="5" t="inlineStr">
        <s:is>
          <s:t xml:space="preserve">Lokalnie</s:t>
        </s:is>
      </s:c>
      <s:c r="K69" s="5" t="inlineStr">
        <s:is>
          <s:t xml:space="preserve">v18 — implementacja; wynik tego scenariusza nie został wpisany</s:t>
        </s:is>
      </s:c>
      <s:c r="L69" s="6" t="inlineStr">
        <s:is>
          <s:t xml:space="preserve">Nie wykonano</s:t>
        </s:is>
      </s:c>
      <s:c r="M69" s="5" t="inlineStr">
        <s:is>
          <s:t xml:space="preserve">harborlight-v1-residents.js
harborlight-v1-state.js
harborlight-v1-progression.js
harborlight-v1-calendar.js</s:t>
        </s:is>
      </s:c>
    </s:row>
    <s:row r="70" ht="150" customHeight="1">
      <s:c r="A70" s="4" t="inlineStr">
        <s:is>
          <s:t xml:space="preserve">POP-016</s:t>
        </s:is>
      </s:c>
      <s:c r="B70" s="4" t="inlineStr">
        <s:is>
          <s:t xml:space="preserve">Mieszkańcy, szczęście i zegary</s:t>
        </s:is>
      </s:c>
      <s:c r="C70" s="4" t="inlineStr">
        <s:is>
          <s:t xml:space="preserve">Fikcyjny1 stycznia i rzeczywista godzina Warszawy</s:t>
        </s:is>
      </s:c>
      <s:c r="D70" s="4" t="inlineStr">
        <s:is>
          <s:t xml:space="preserve">P1</s:t>
        </s:is>
      </s:c>
      <s:c r="E70" s="4" t="inlineStr">
        <s:is>
          <s:t xml:space="preserve">DEV — izolowany fixture</s:t>
        </s:is>
      </s:c>
      <s:c r="F70" s="4" t="inlineStr">
        <s:is>
          <s:t xml:space="preserve">Syntetyczna wyspa; bez kont chmurowych</s:t>
        </s:is>
      </s:c>
      <s:c r="G70" s="4" t="inlineStr">
        <s:is>
          <s:t xml:space="preserve">Nowa wyspa; różne strefy urządzenia.</s:t>
        </s:is>
      </s:c>
      <s:c r="H70" s="4" t="inlineStr">
        <s:is>
          <s:t xml:space="preserve">1. Porównaj dzień startu i zegar przy UTC oraz strefie innej niż Polska.
2. Sprawdź rzeczywiste znaczniki zapisu.</s:t>
        </s:is>
      </s:c>
      <s:c r="I70" s="4" t="inlineStr">
        <s:is>
          <s:t xml:space="preserve">• Startowa data świata to1 stycznia, a godzina wynika z Europe/Warsaw.
• Znaczniki płatności, aktywności i zapisu pozostają rzeczywiste.</s:t>
        </s:is>
      </s:c>
      <s:c r="J70" s="4" t="inlineStr">
        <s:is>
          <s:t xml:space="preserve">Lokalnie</s:t>
        </s:is>
      </s:c>
      <s:c r="K70" s="4" t="inlineStr">
        <s:is>
          <s:t xml:space="preserve">v18 — implementacja; wynik tego scenariusza nie został wpisany</s:t>
        </s:is>
      </s:c>
      <s:c r="L70" s="6" t="inlineStr">
        <s:is>
          <s:t xml:space="preserve">Nie wykonano</s:t>
        </s:is>
      </s:c>
      <s:c r="M70" s="4" t="inlineStr">
        <s:is>
          <s:t xml:space="preserve">harborlight-v1-residents.js
harborlight-v1-state.js
harborlight-v1-progression.js
harborlight-v1-calendar.js</s:t>
        </s:is>
      </s:c>
    </s:row>
    <s:row r="71" ht="150" customHeight="1">
      <s:c r="A71" s="5" t="inlineStr">
        <s:is>
          <s:t xml:space="preserve">POP-017</s:t>
        </s:is>
      </s:c>
      <s:c r="B71" s="5" t="inlineStr">
        <s:is>
          <s:t xml:space="preserve">Mieszkańcy, szczęście i zegary</s:t>
        </s:is>
      </s:c>
      <s:c r="C71" s="5" t="inlineStr">
        <s:is>
          <s:t xml:space="preserve">Północ Warszawy podczas zmiany czasu</s:t>
        </s:is>
      </s:c>
      <s:c r="D71" s="5" t="inlineStr">
        <s:is>
          <s:t xml:space="preserve">P1</s:t>
        </s:is>
      </s:c>
      <s:c r="E71" s="5" t="inlineStr">
        <s:is>
          <s:t xml:space="preserve">DEV — izolowany fixture</s:t>
        </s:is>
      </s:c>
      <s:c r="F71" s="5" t="inlineStr">
        <s:is>
          <s:t xml:space="preserve">Syntetyczna wyspa; bez kont chmurowych</s:t>
        </s:is>
      </s:c>
      <s:c r="G71" s="5" t="inlineStr">
        <s:is>
          <s:t xml:space="preserve">Kontrolowane daty zmiany czasu i przejścia przez północ Europe/Warsaw.</s:t>
        </s:is>
      </s:c>
      <s:c r="H71" s="5" t="inlineStr">
        <s:is>
          <s:t xml:space="preserve">1. Zmień strefę systemu testera.
2. Rozlicz przed i po warszawskiej północy oraz godzinie DST.</s:t>
        </s:is>
      </s:c>
      <s:c r="I71" s="5" t="inlineStr">
        <s:is>
          <s:t xml:space="preserve">• Dzienny reset następuje raz według Warszawy, nie według lokalnego urządzenia ani po arbitralnych24 h.</s:t>
        </s:is>
      </s:c>
      <s:c r="J71" s="5" t="inlineStr">
        <s:is>
          <s:t xml:space="preserve">Lokalnie</s:t>
        </s:is>
      </s:c>
      <s:c r="K71" s="5" t="inlineStr">
        <s:is>
          <s:t xml:space="preserve">v18 — implementacja; wynik tego scenariusza nie został wpisany</s:t>
        </s:is>
      </s:c>
      <s:c r="L71" s="6" t="inlineStr">
        <s:is>
          <s:t xml:space="preserve">Nie wykonano</s:t>
        </s:is>
      </s:c>
      <s:c r="M71" s="5" t="inlineStr">
        <s:is>
          <s:t xml:space="preserve">harborlight-v1-residents.js
harborlight-v1-state.js
harborlight-v1-progression.js
harborlight-v1-calendar.js</s:t>
        </s:is>
      </s:c>
    </s:row>
    <s:row r="72" ht="150" customHeight="1">
      <s:c r="A72" s="4" t="inlineStr">
        <s:is>
          <s:t xml:space="preserve">EVT-001</s:t>
        </s:is>
      </s:c>
      <s:c r="B72" s="4" t="inlineStr">
        <s:is>
          <s:t xml:space="preserve">Kaplica i wydarzenia</s:t>
        </s:is>
      </s:c>
      <s:c r="C72" s="4" t="inlineStr">
        <s:is>
          <s:t xml:space="preserve">Jedno darmowe błogosławieństwo dziennie</s:t>
        </s:is>
      </s:c>
      <s:c r="D72" s="4" t="inlineStr">
        <s:is>
          <s:t xml:space="preserve">P0</s:t>
        </s:is>
      </s:c>
      <s:c r="E72" s="4" t="inlineStr">
        <s:is>
          <s:t xml:space="preserve">DEV — izolowany fixture</s:t>
        </s:is>
      </s:c>
      <s:c r="F72" s="4" t="inlineStr">
        <s:is>
          <s:t xml:space="preserve">Syntetyczna wyspa; bez kont chmurowych</s:t>
        </s:is>
      </s:c>
      <s:c r="G72" s="4" t="inlineStr">
        <s:is>
          <s:t xml:space="preserve">Fixture z Kaplicą i brakiem aktywnego błogosławieństwa.</s:t>
        </s:is>
      </s:c>
      <s:c r="H72" s="4" t="inlineStr">
        <s:is>
          <s:t xml:space="preserve">1. Odbierz darmowe użycie.
2. Po końcu efektu spróbuj drugi raz tego dnia.
3. Przekrocz warszawską północ.</s:t>
        </s:is>
      </s:c>
      <s:c r="I72" s="4" t="inlineStr">
        <s:is>
          <s:t xml:space="preserve">• Darmowe użycie jest pojedyncze na dzień; nie kumuluje niewykorzystanych dni.
• O północy odnawia się1 użycie.</s:t>
        </s:is>
      </s:c>
      <s:c r="J72" s="4" t="inlineStr">
        <s:is>
          <s:t xml:space="preserve">Lokalnie</s:t>
        </s:is>
      </s:c>
      <s:c r="K72" s="4" t="inlineStr">
        <s:is>
          <s:t xml:space="preserve">v18 — implementacja; wynik tego scenariusza nie został wpisany</s:t>
        </s:is>
      </s:c>
      <s:c r="L72" s="6" t="inlineStr">
        <s:is>
          <s:t xml:space="preserve">Nie wykonano</s:t>
        </s:is>
      </s:c>
      <s:c r="M72" s="4" t="inlineStr">
        <s:is>
          <s:t xml:space="preserve">harborlight-v1-state.js
harborlight-v1-events.js
harborlight-v1-effects.js</s:t>
        </s:is>
      </s:c>
    </s:row>
    <s:row r="73" ht="150" customHeight="1">
      <s:c r="A73" s="5" t="inlineStr">
        <s:is>
          <s:t xml:space="preserve">EVT-002</s:t>
        </s:is>
      </s:c>
      <s:c r="B73" s="5" t="inlineStr">
        <s:is>
          <s:t xml:space="preserve">Kaplica i wydarzenia</s:t>
        </s:is>
      </s:c>
      <s:c r="C73" s="5" t="inlineStr">
        <s:is>
          <s:t xml:space="preserve">Wspólna blokada płatnego i reklamowego błogosławieństwa</s:t>
        </s:is>
      </s:c>
      <s:c r="D73" s="5" t="inlineStr">
        <s:is>
          <s:t xml:space="preserve">P0</s:t>
        </s:is>
      </s:c>
      <s:c r="E73" s="5" t="inlineStr">
        <s:is>
          <s:t xml:space="preserve">DEV — izolowany fixture</s:t>
        </s:is>
      </s:c>
      <s:c r="F73" s="5" t="inlineStr">
        <s:is>
          <s:t xml:space="preserve">Syntetyczna wyspa; bez kont chmurowych</s:t>
        </s:is>
      </s:c>
      <s:c r="G73" s="5" t="inlineStr">
        <s:is>
          <s:t xml:space="preserve">Fixture ze środkami, symulacją reklam i Kaplicą.</s:t>
        </s:is>
      </s:c>
      <s:c r="H73" s="5" t="inlineStr">
        <s:is>
          <s:t xml:space="preserve">1. Odbierz płatne błogosławieństwo.
2. Po1 h spróbuj reklamowego.
3. Odczekaj dalsze4 h i ponów.</s:t>
        </s:is>
      </s:c>
      <s:c r="I73" s="5" t="inlineStr">
        <s:is>
          <s:t xml:space="preserve">• Płatne i reklamowe użycia mają wspólną blokadę4 h od końca godzinnego efektu, czyli5 h start–start.
• Próba w blokadzie nie pobiera środków.</s:t>
        </s:is>
      </s:c>
      <s:c r="J73" s="5" t="inlineStr">
        <s:is>
          <s:t xml:space="preserve">Lokalnie</s:t>
        </s:is>
      </s:c>
      <s:c r="K73" s="5" t="inlineStr">
        <s:is>
          <s:t xml:space="preserve">v18 — implementacja; wynik tego scenariusza nie został wpisany</s:t>
        </s:is>
      </s:c>
      <s:c r="L73" s="6" t="inlineStr">
        <s:is>
          <s:t xml:space="preserve">Nie wykonano</s:t>
        </s:is>
      </s:c>
      <s:c r="M73" s="5" t="inlineStr">
        <s:is>
          <s:t xml:space="preserve">harborlight-v1-state.js
harborlight-v1-events.js
harborlight-v1-effects.js</s:t>
        </s:is>
      </s:c>
    </s:row>
    <s:row r="74" ht="150" customHeight="1">
      <s:c r="A74" s="4" t="inlineStr">
        <s:is>
          <s:t xml:space="preserve">EVT-003</s:t>
        </s:is>
      </s:c>
      <s:c r="B74" s="4" t="inlineStr">
        <s:is>
          <s:t xml:space="preserve">Kaplica i wydarzenia</s:t>
        </s:is>
      </s:c>
      <s:c r="C74" s="4" t="inlineStr">
        <s:is>
          <s:t xml:space="preserve">Darmowe użycie nie przesuwa płatnego terminu</s:t>
        </s:is>
      </s:c>
      <s:c r="D74" s="4" t="inlineStr">
        <s:is>
          <s:t xml:space="preserve">P0</s:t>
        </s:is>
      </s:c>
      <s:c r="E74" s="4" t="inlineStr">
        <s:is>
          <s:t xml:space="preserve">DEV — izolowany fixture</s:t>
        </s:is>
      </s:c>
      <s:c r="F74" s="4" t="inlineStr">
        <s:is>
          <s:t xml:space="preserve">Syntetyczna wyspa; bez kont chmurowych</s:t>
        </s:is>
      </s:c>
      <s:c r="G74" s="4" t="inlineStr">
        <s:is>
          <s:t xml:space="preserve">Fixture z aktywną blokadą płatnego użycia, po końcu efektu i z wolnym darmowym użyciem.</s:t>
        </s:is>
      </s:c>
      <s:c r="H74" s="4" t="inlineStr">
        <s:is>
          <s:t xml:space="preserve">1. Odbierz darmowe błogosławieństwo.
2. Porównaj zapisany termin płatnego użycia przed i po.</s:t>
        </s:is>
      </s:c>
      <s:c r="I74" s="4" t="inlineStr">
        <s:is>
          <s:t xml:space="preserve">• Termin płatnego/reklamowego odnowienia nie jest przesunięty.
• Aktywne ręczne błogosławieństwa nie nakładają się.</s:t>
        </s:is>
      </s:c>
      <s:c r="J74" s="4" t="inlineStr">
        <s:is>
          <s:t xml:space="preserve">Lokalnie</s:t>
        </s:is>
      </s:c>
      <s:c r="K74" s="4" t="inlineStr">
        <s:is>
          <s:t xml:space="preserve">v18 — implementacja; wynik tego scenariusza nie został wpisany</s:t>
        </s:is>
      </s:c>
      <s:c r="L74" s="6" t="inlineStr">
        <s:is>
          <s:t xml:space="preserve">Nie wykonano</s:t>
        </s:is>
      </s:c>
      <s:c r="M74" s="4" t="inlineStr">
        <s:is>
          <s:t xml:space="preserve">harborlight-v1-state.js
harborlight-v1-events.js
harborlight-v1-effects.js</s:t>
        </s:is>
      </s:c>
    </s:row>
    <s:row r="75" ht="150" customHeight="1">
      <s:c r="A75" s="5" t="inlineStr">
        <s:is>
          <s:t xml:space="preserve">EVT-004</s:t>
        </s:is>
      </s:c>
      <s:c r="B75" s="5" t="inlineStr">
        <s:is>
          <s:t xml:space="preserve">Kaplica i wydarzenia</s:t>
        </s:is>
      </s:c>
      <s:c r="C75" s="5" t="inlineStr">
        <s:is>
          <s:t xml:space="preserve">Regularność Kaplicy3 i4</s:t>
        </s:is>
      </s:c>
      <s:c r="D75" s="5" t="inlineStr">
        <s:is>
          <s:t xml:space="preserve">P0</s:t>
        </s:is>
      </s:c>
      <s:c r="E75" s="5" t="inlineStr">
        <s:is>
          <s:t xml:space="preserve">DEV — izolowany fixture</s:t>
        </s:is>
      </s:c>
      <s:c r="F75" s="5" t="inlineStr">
        <s:is>
          <s:t xml:space="preserve">Syntetyczna wyspa; bez kont chmurowych</s:t>
        </s:is>
      </s:c>
      <s:c r="G75" s="5" t="inlineStr">
        <s:is>
          <s:t xml:space="preserve">Dwa fixtures: Kaplica 3 oraz4, znany ostatni ręczny blessing.</s:t>
        </s:is>
      </s:c>
      <s:c r="H75" s="5" t="inlineStr">
        <s:is>
          <s:t xml:space="preserve">1. Sprawdź dozwolony odstęp i kontrolowane najwcześniejsze zagrożenie.
2. Użyj prawdziwego ręcznego błogosławieństwa.</s:t>
        </s:is>
      </s:c>
      <s:c r="I75" s="5" t="inlineStr">
        <s:is>
          <s:t xml:space="preserve">• Okres łaski to6 dni dla Kaplicy3 oraz7 dni dla Kaplicy4.
• Użycie odnawia regularność; zagrożenie jest dopiero dalsze6–15 dni po łasce.</s:t>
        </s:is>
      </s:c>
      <s:c r="J75" s="5" t="inlineStr">
        <s:is>
          <s:t xml:space="preserve">Lokalnie</s:t>
        </s:is>
      </s:c>
      <s:c r="K75" s="5" t="inlineStr">
        <s:is>
          <s:t xml:space="preserve">v18 — implementacja; wynik tego scenariusza nie został wpisany</s:t>
        </s:is>
      </s:c>
      <s:c r="L75" s="6" t="inlineStr">
        <s:is>
          <s:t xml:space="preserve">Nie wykonano</s:t>
        </s:is>
      </s:c>
      <s:c r="M75" s="5" t="inlineStr">
        <s:is>
          <s:t xml:space="preserve">harborlight-v1-state.js
harborlight-v1-events.js
harborlight-v1-effects.js</s:t>
        </s:is>
      </s:c>
    </s:row>
    <s:row r="76" ht="150" customHeight="1">
      <s:c r="A76" s="4" t="inlineStr">
        <s:is>
          <s:t xml:space="preserve">EVT-005</s:t>
        </s:is>
      </s:c>
      <s:c r="B76" s="4" t="inlineStr">
        <s:is>
          <s:t xml:space="preserve">Kaplica i wydarzenia</s:t>
        </s:is>
      </s:c>
      <s:c r="C76" s="4" t="inlineStr">
        <s:is>
          <s:t xml:space="preserve">Dobre wydarzenie36–60 h bez ponownego losowania</s:t>
        </s:is>
      </s:c>
      <s:c r="D76" s="4" t="inlineStr">
        <s:is>
          <s:t xml:space="preserve">P1</s:t>
        </s:is>
      </s:c>
      <s:c r="E76" s="4" t="inlineStr">
        <s:is>
          <s:t xml:space="preserve">DEV — izolowany fixture</s:t>
        </s:is>
      </s:c>
      <s:c r="F76" s="4" t="inlineStr">
        <s:is>
          <s:t xml:space="preserve">Syntetyczna wyspa; bez kont chmurowych</s:t>
        </s:is>
      </s:c>
      <s:c r="G76" s="4" t="inlineStr">
        <s:is>
          <s:t xml:space="preserve">Fixture ze znanym ziarnem generatora i bez Latarni.</s:t>
        </s:is>
      </s:c>
      <s:c r="H76" s="4" t="inlineStr">
        <s:is>
          <s:t xml:space="preserve">1. Zapisz termin dobrego wydarzenia.
2. Wielokrotnie otwórz panel i wczytaj stan.
3. Rozlicz dojście do terminu.</s:t>
        </s:is>
      </s:c>
      <s:c r="I76" s="4" t="inlineStr">
        <s:is>
          <s:t xml:space="preserve">• Termin leży w36–60 h i pozostaje taki sam po odczytach.
• Wydarzenie oraz nagroda występują tylko raz.</s:t>
        </s:is>
      </s:c>
      <s:c r="J76" s="4" t="inlineStr">
        <s:is>
          <s:t xml:space="preserve">Lokalnie</s:t>
        </s:is>
      </s:c>
      <s:c r="K76" s="4" t="inlineStr">
        <s:is>
          <s:t xml:space="preserve">v18 — implementacja; wynik tego scenariusza nie został wpisany</s:t>
        </s:is>
      </s:c>
      <s:c r="L76" s="6" t="inlineStr">
        <s:is>
          <s:t xml:space="preserve">Nie wykonano</s:t>
        </s:is>
      </s:c>
      <s:c r="M76" s="4" t="inlineStr">
        <s:is>
          <s:t xml:space="preserve">harborlight-v1-state.js
harborlight-v1-events.js
harborlight-v1-effects.js</s:t>
        </s:is>
      </s:c>
    </s:row>
    <s:row r="77" ht="150" customHeight="1">
      <s:c r="A77" s="5" t="inlineStr">
        <s:is>
          <s:t xml:space="preserve">EVT-006</s:t>
        </s:is>
      </s:c>
      <s:c r="B77" s="5" t="inlineStr">
        <s:is>
          <s:t xml:space="preserve">Kaplica i wydarzenia</s:t>
        </s:is>
      </s:c>
      <s:c r="C77" s="5" t="inlineStr">
        <s:is>
          <s:t xml:space="preserve">Latarnia odkłada najwyżej jedno dobre wydarzenie</s:t>
        </s:is>
      </s:c>
      <s:c r="D77" s="5" t="inlineStr">
        <s:is>
          <s:t xml:space="preserve">P0</s:t>
        </s:is>
      </s:c>
      <s:c r="E77" s="5" t="inlineStr">
        <s:is>
          <s:t xml:space="preserve">DEV — izolowany fixture</s:t>
        </s:is>
      </s:c>
      <s:c r="F77" s="5" t="inlineStr">
        <s:is>
          <s:t xml:space="preserve">Syntetyczna wyspa; bez kont chmurowych</s:t>
        </s:is>
      </s:c>
      <s:c r="G77" s="5" t="inlineStr">
        <s:is>
          <s:t xml:space="preserve">Fixture z wieloma potencjalnymi terminami podczas długiej globalnej ochrony.</s:t>
        </s:is>
      </s:c>
      <s:c r="H77" s="5" t="inlineStr">
        <s:is>
          <s:t xml:space="preserve">1. Rozlicz całą ochronę.
2. Zakończ jej wspólny efekt i sprawdź historię.</s:t>
        </s:is>
      </s:c>
      <s:c r="I77" s="5" t="inlineStr">
        <s:is>
          <s:t xml:space="preserve">• Podczas ochrony nie narasta dowolna kolejka nagród.
• Po końcu uwalnia się najwyżej jedno odłożone dobre wydarzenie i powstaje nowy przyszły termin.</s:t>
        </s:is>
      </s:c>
      <s:c r="J77" s="5" t="inlineStr">
        <s:is>
          <s:t xml:space="preserve">Lokalnie</s:t>
        </s:is>
      </s:c>
      <s:c r="K77" s="5" t="inlineStr">
        <s:is>
          <s:t xml:space="preserve">v18 — implementacja; wynik tego scenariusza nie został wpisany</s:t>
        </s:is>
      </s:c>
      <s:c r="L77" s="6" t="inlineStr">
        <s:is>
          <s:t xml:space="preserve">Nie wykonano</s:t>
        </s:is>
      </s:c>
      <s:c r="M77" s="5" t="inlineStr">
        <s:is>
          <s:t xml:space="preserve">harborlight-v1-state.js
harborlight-v1-events.js
harborlight-v1-effects.js</s:t>
        </s:is>
      </s:c>
    </s:row>
    <s:row r="78" ht="150" customHeight="1">
      <s:c r="A78" s="4" t="inlineStr">
        <s:is>
          <s:t xml:space="preserve">EVT-007</s:t>
        </s:is>
      </s:c>
      <s:c r="B78" s="4" t="inlineStr">
        <s:is>
          <s:t xml:space="preserve">Kaplica i wydarzenia</s:t>
        </s:is>
      </s:c>
      <s:c r="C78" s="4" t="inlineStr">
        <s:is>
          <s:t xml:space="preserve">Latarnia anuluje złe prognozy bez fikcyjnego błogosławieństwa</s:t>
        </s:is>
      </s:c>
      <s:c r="D78" s="4" t="inlineStr">
        <s:is>
          <s:t xml:space="preserve">P0</s:t>
        </s:is>
      </s:c>
      <s:c r="E78" s="4" t="inlineStr">
        <s:is>
          <s:t xml:space="preserve">DEV — izolowany fixture</s:t>
        </s:is>
      </s:c>
      <s:c r="F78" s="4" t="inlineStr">
        <s:is>
          <s:t xml:space="preserve">Syntetyczna wyspa; bez kont chmurowych</s:t>
        </s:is>
      </s:c>
      <s:c r="G78" s="4" t="inlineStr">
        <s:is>
          <s:t xml:space="preserve">Fixture z należnym negatywnym wydarzeniem i później włączaną Latarnią.</s:t>
        </s:is>
      </s:c>
      <s:c r="H78" s="4" t="inlineStr">
        <s:is>
          <s:t xml:space="preserve">1. Włącz globalną ochronę.
2. Przekrocz dawny zły termin.
3. Zakończ ochronę i sprawdź nowe prognozy oraz lastBlessingAt.</s:t>
        </s:is>
      </s:c>
      <s:c r="I78" s="4" t="inlineStr">
        <s:is>
          <s:t xml:space="preserve">• Stara zła prognoza nie wybucha podczas ochrony.
• Nowy termin respektuje łaskę i losowe opóźnienie, a timestamp prawdziwego błogosławieństwa nie jest podmieniany.</s:t>
        </s:is>
      </s:c>
      <s:c r="J78" s="4" t="inlineStr">
        <s:is>
          <s:t xml:space="preserve">Lokalnie</s:t>
        </s:is>
      </s:c>
      <s:c r="K78" s="4" t="inlineStr">
        <s:is>
          <s:t xml:space="preserve">v18 — implementacja; wynik tego scenariusza nie został wpisany</s:t>
        </s:is>
      </s:c>
      <s:c r="L78" s="6" t="inlineStr">
        <s:is>
          <s:t xml:space="preserve">Nie wykonano</s:t>
        </s:is>
      </s:c>
      <s:c r="M78" s="4" t="inlineStr">
        <s:is>
          <s:t xml:space="preserve">harborlight-v1-state.js
harborlight-v1-events.js
harborlight-v1-effects.js</s:t>
        </s:is>
      </s:c>
    </s:row>
    <s:row r="79" ht="150" customHeight="1">
      <s:c r="A79" s="5" t="inlineStr">
        <s:is>
          <s:t xml:space="preserve">EVT-008</s:t>
        </s:is>
      </s:c>
      <s:c r="B79" s="5" t="inlineStr">
        <s:is>
          <s:t xml:space="preserve">Kaplica i wydarzenia</s:t>
        </s:is>
      </s:c>
      <s:c r="C79" s="5" t="inlineStr">
        <s:is>
          <s:t xml:space="preserve">Dżuma respektuje minimum6 i chroni ładunek</s:t>
        </s:is>
      </s:c>
      <s:c r="D79" s="5" t="inlineStr">
        <s:is>
          <s:t xml:space="preserve">P0</s:t>
        </s:is>
      </s:c>
      <s:c r="E79" s="5" t="inlineStr">
        <s:is>
          <s:t xml:space="preserve">DEV — izolowany fixture</s:t>
        </s:is>
      </s:c>
      <s:c r="F79" s="5" t="inlineStr">
        <s:is>
          <s:t xml:space="preserve">Syntetyczna wyspa; bez kont chmurowych</s:t>
        </s:is>
      </s:c>
      <s:c r="G79" s="5" t="inlineStr">
        <s:is>
          <s:t xml:space="preserve">Fixture z kontrolowanym wynikiem dżumy,6–10 osobami i załadowanym kurierem.</s:t>
        </s:is>
      </s:c>
      <s:c r="H79" s="5" t="inlineStr">
        <s:is>
          <s:t xml:space="preserve">1. Wywołaj należne wydarzenie w lokalnym modelu.
2. Sprawdź populację, rezerwacje i towar w drodze.</s:t>
        </s:is>
      </s:c>
      <s:c r="I79" s="5" t="inlineStr">
        <s:is>
          <s:t xml:space="preserve">• Populacja nie spada poniżej6.
• Zarezerwowane i niesione dobra nie są niszczone przez usunięcie osoby.</s:t>
        </s:is>
      </s:c>
      <s:c r="J79" s="5" t="inlineStr">
        <s:is>
          <s:t xml:space="preserve">Lokalnie</s:t>
        </s:is>
      </s:c>
      <s:c r="K79" s="5" t="inlineStr">
        <s:is>
          <s:t xml:space="preserve">v18 — implementacja; wynik tego scenariusza nie został wpisany</s:t>
        </s:is>
      </s:c>
      <s:c r="L79" s="6" t="inlineStr">
        <s:is>
          <s:t xml:space="preserve">Nie wykonano</s:t>
        </s:is>
      </s:c>
      <s:c r="M79" s="5" t="inlineStr">
        <s:is>
          <s:t xml:space="preserve">harborlight-v1-state.js
harborlight-v1-events.js
harborlight-v1-effects.js</s:t>
        </s:is>
      </s:c>
    </s:row>
    <s:row r="80" ht="150" customHeight="1">
      <s:c r="A80" s="4" t="inlineStr">
        <s:is>
          <s:t xml:space="preserve">EVT-009</s:t>
        </s:is>
      </s:c>
      <s:c r="B80" s="4" t="inlineStr">
        <s:is>
          <s:t xml:space="preserve">Kaplica i wydarzenia</s:t>
        </s:is>
      </s:c>
      <s:c r="C80" s="4" t="inlineStr">
        <s:is>
          <s:t xml:space="preserve">Latarnia po dżumie nie zwraca strat</s:t>
        </s:is>
      </s:c>
      <s:c r="D80" s="4" t="inlineStr">
        <s:is>
          <s:t xml:space="preserve">P0</s:t>
        </s:is>
      </s:c>
      <s:c r="E80" s="4" t="inlineStr">
        <s:is>
          <s:t xml:space="preserve">DEV — izolowany fixture</s:t>
        </s:is>
      </s:c>
      <s:c r="F80" s="4" t="inlineStr">
        <s:is>
          <s:t xml:space="preserve">Syntetyczna wyspa; bez kont chmurowych</s:t>
        </s:is>
      </s:c>
      <s:c r="G80" s="4" t="inlineStr">
        <s:is>
          <s:t xml:space="preserve">Fixture po utracie ludzi i dóbr; czynna kara dżumy.</s:t>
        </s:is>
      </s:c>
      <s:c r="H80" s="4" t="inlineStr">
        <s:is>
          <s:t xml:space="preserve">1. Ukończ poziom Latarni.
2. Sprawdź szczęście oraz poprzednie straty.</s:t>
        </s:is>
      </s:c>
      <s:c r="I80" s="4" t="inlineStr">
        <s:is>
          <s:t xml:space="preserve">• Szczęście jest wymuszone na100%, lecz utracone dobra i ludzie nie wracają automatycznie.</s:t>
        </s:is>
      </s:c>
      <s:c r="J80" s="4" t="inlineStr">
        <s:is>
          <s:t xml:space="preserve">Lokalnie</s:t>
        </s:is>
      </s:c>
      <s:c r="K80" s="4" t="inlineStr">
        <s:is>
          <s:t xml:space="preserve">v18 — implementacja; wynik tego scenariusza nie został wpisany</s:t>
        </s:is>
      </s:c>
      <s:c r="L80" s="6" t="inlineStr">
        <s:is>
          <s:t xml:space="preserve">Nie wykonano</s:t>
        </s:is>
      </s:c>
      <s:c r="M80" s="4" t="inlineStr">
        <s:is>
          <s:t xml:space="preserve">harborlight-v1-state.js
harborlight-v1-events.js
harborlight-v1-effects.js</s:t>
        </s:is>
      </s:c>
    </s:row>
    <s:row r="81" ht="150" customHeight="1">
      <s:c r="A81" s="5" t="inlineStr">
        <s:is>
          <s:t xml:space="preserve">EVT-010</s:t>
        </s:is>
      </s:c>
      <s:c r="B81" s="5" t="inlineStr">
        <s:is>
          <s:t xml:space="preserve">Kaplica i wydarzenia</s:t>
        </s:is>
      </s:c>
      <s:c r="C81" s="5" t="inlineStr">
        <s:is>
          <s:t xml:space="preserve">Rozbitek przy pełnym limicie</s:t>
        </s:is>
      </s:c>
      <s:c r="D81" s="5" t="inlineStr">
        <s:is>
          <s:t xml:space="preserve">P1</s:t>
        </s:is>
      </s:c>
      <s:c r="E81" s="5" t="inlineStr">
        <s:is>
          <s:t xml:space="preserve">DEV — izolowany fixture</s:t>
        </s:is>
      </s:c>
      <s:c r="F81" s="5" t="inlineStr">
        <s:is>
          <s:t xml:space="preserve">Syntetyczna wyspa; bez kont chmurowych</s:t>
        </s:is>
      </s:c>
      <s:c r="G81" s="5" t="inlineStr">
        <s:is>
          <s:t xml:space="preserve">Fixture z pełnym Domem lub limitem Ratusza oraz kontrolowanym rozbitkiem.</s:t>
        </s:is>
      </s:c>
      <s:c r="H81" s="5" t="inlineStr">
        <s:is>
          <s:t xml:space="preserve">1. Wywołaj pozytywne wydarzenie rozbitka.
2. Porównaj populację i saldo monet.</s:t>
        </s:is>
      </s:c>
      <s:c r="I81" s="5" t="inlineStr">
        <s:is>
          <s:t xml:space="preserve">• Nie przekracza dostępnego miejsca.
• Zamiast mieszkańca przyznaje500×poziom Ratusza monet dokładnie raz.</s:t>
        </s:is>
      </s:c>
      <s:c r="J81" s="5" t="inlineStr">
        <s:is>
          <s:t xml:space="preserve">Lokalnie</s:t>
        </s:is>
      </s:c>
      <s:c r="K81" s="5" t="inlineStr">
        <s:is>
          <s:t xml:space="preserve">v18 — implementacja; wynik tego scenariusza nie został wpisany</s:t>
        </s:is>
      </s:c>
      <s:c r="L81" s="6" t="inlineStr">
        <s:is>
          <s:t xml:space="preserve">Nie wykonano</s:t>
        </s:is>
      </s:c>
      <s:c r="M81" s="5" t="inlineStr">
        <s:is>
          <s:t xml:space="preserve">harborlight-v1-state.js
harborlight-v1-events.js
harborlight-v1-effects.js</s:t>
        </s:is>
      </s:c>
    </s:row>
    <s:row r="82" ht="150" customHeight="1">
      <s:c r="A82" s="4" t="inlineStr">
        <s:is>
          <s:t xml:space="preserve">EVT-011</s:t>
        </s:is>
      </s:c>
      <s:c r="B82" s="4" t="inlineStr">
        <s:is>
          <s:t xml:space="preserve">Kaplica i wydarzenia</s:t>
        </s:is>
      </s:c>
      <s:c r="C82" s="4" t="inlineStr">
        <s:is>
          <s:t xml:space="preserve">Najwyżej jedno złe zaległe wydarzenie</s:t>
        </s:is>
      </s:c>
      <s:c r="D82" s="4" t="inlineStr">
        <s:is>
          <s:t xml:space="preserve">P0</s:t>
        </s:is>
      </s:c>
      <s:c r="E82" s="4" t="inlineStr">
        <s:is>
          <s:t xml:space="preserve">DEV — izolowany fixture</s:t>
        </s:is>
      </s:c>
      <s:c r="F82" s="4" t="inlineStr">
        <s:is>
          <s:t xml:space="preserve">Syntetyczna wyspa; bez kont chmurowych</s:t>
        </s:is>
      </s:c>
      <s:c r="G82" s="4" t="inlineStr">
        <s:is>
          <s:t xml:space="preserve">Fixture z długą nieobecnością bez realnej aktywności i wysoką Kaplicą.</s:t>
        </s:is>
      </s:c>
      <s:c r="H82" s="4" t="inlineStr">
        <s:is>
          <s:t xml:space="preserve">1. Rozlicz długą nieobecność jednym i dzielonym skokiem.
2. Dopiero później wykonaj prawdziwe działanie.</s:t>
        </s:is>
      </s:c>
      <s:c r="I82" s="4" t="inlineStr">
        <s:is>
          <s:t xml:space="preserve">• W niezmienionym okresie bez grania naliczane jest najwyżej jedno złe zaległe wydarzenie.
• Nowe działanie pozwala uzbroić kolejne przyszłe okno, bez natychmiastowego wielokrotnego ataku.</s:t>
        </s:is>
      </s:c>
      <s:c r="J82" s="4" t="inlineStr">
        <s:is>
          <s:t xml:space="preserve">Lokalnie</s:t>
        </s:is>
      </s:c>
      <s:c r="K82" s="4" t="inlineStr">
        <s:is>
          <s:t xml:space="preserve">v18 — implementacja; wynik tego scenariusza nie został wpisany</s:t>
        </s:is>
      </s:c>
      <s:c r="L82" s="6" t="inlineStr">
        <s:is>
          <s:t xml:space="preserve">Nie wykonano</s:t>
        </s:is>
      </s:c>
      <s:c r="M82" s="4" t="inlineStr">
        <s:is>
          <s:t xml:space="preserve">harborlight-v1-state.js
harborlight-v1-events.js
harborlight-v1-effects.js</s:t>
        </s:is>
      </s:c>
    </s:row>
    <s:row r="83" ht="150" customHeight="1">
      <s:c r="A83" s="5" t="inlineStr">
        <s:is>
          <s:t xml:space="preserve">MIN-001</s:t>
        </s:is>
      </s:c>
      <s:c r="B83" s="5" t="inlineStr">
        <s:is>
          <s:t xml:space="preserve">Ekspedycje i minigry</s:t>
        </s:is>
      </s:c>
      <s:c r="C83" s="5" t="inlineStr">
        <s:is>
          <s:t xml:space="preserve">Wybór obu gier i następnej rundy</s:t>
        </s:is>
      </s:c>
      <s:c r="D83" s="5" t="inlineStr">
        <s:is>
          <s:t xml:space="preserve">P1</s:t>
        </s:is>
      </s:c>
      <s:c r="E83" s="5" t="inlineStr">
        <s:is>
          <s:t xml:space="preserve">DEV — izolowany fixture</s:t>
        </s:is>
      </s:c>
      <s:c r="F83" s="5" t="inlineStr">
        <s:is>
          <s:t xml:space="preserve">Syntetyczna wyspa; bez kont chmurowych</s:t>
        </s:is>
      </s:c>
      <s:c r="G83" s="5" t="inlineStr">
        <s:is>
          <s:t xml:space="preserve">Fixture z dostępną ekspedycją.</s:t>
        </s:is>
      </s:c>
      <s:c r="H83" s="5" t="inlineStr">
        <s:is>
          <s:t xml:space="preserve">1. Wybierz kulki, zakończ serię i wybierz trójki.
2. Po wygranej wybierz inny typ następnej rundy.
3. Wczytaj zapis.</s:t>
        </s:is>
      </s:c>
      <s:c r="I83" s="5" t="inlineStr">
        <s:is>
          <s:t xml:space="preserve">• Wybrany typ jest respektowany i utrwalony.
• Przyciski nawigacji nie wprowadzają niezamierzonego powrotu niszczącego serię.</s:t>
        </s:is>
      </s:c>
      <s:c r="J83" s="5" t="inlineStr">
        <s:is>
          <s:t xml:space="preserve">Lokalnie</s:t>
        </s:is>
      </s:c>
      <s:c r="K83" s="5" t="inlineStr">
        <s:is>
          <s:t xml:space="preserve">v18 — implementacja; wynik tego scenariusza nie został wpisany</s:t>
        </s:is>
      </s:c>
      <s:c r="L83" s="6" t="inlineStr">
        <s:is>
          <s:t xml:space="preserve">Nie wykonano</s:t>
        </s:is>
      </s:c>
      <s:c r="M83" s="5" t="inlineStr">
        <s:is>
          <s:t xml:space="preserve">harborlight-v1-activities.js
harborlight-v1-minigames.js
harborlight-v1-minigame-ui.js
tests/harborlight-frontend-v17-smoke.py</s:t>
        </s:is>
      </s:c>
    </s:row>
    <s:row r="84" ht="150" customHeight="1">
      <s:c r="A84" s="4" t="inlineStr">
        <s:is>
          <s:t xml:space="preserve">MIN-002</s:t>
        </s:is>
      </s:c>
      <s:c r="B84" s="4" t="inlineStr">
        <s:is>
          <s:t xml:space="preserve">Ekspedycje i minigry</s:t>
        </s:is>
      </s:c>
      <s:c r="C84" s="4" t="inlineStr">
        <s:is>
          <s:t xml:space="preserve">Rosnące nagrody i suma puli</s:t>
        </s:is>
      </s:c>
      <s:c r="D84" s="4" t="inlineStr">
        <s:is>
          <s:t xml:space="preserve">P0</s:t>
        </s:is>
      </s:c>
      <s:c r="E84" s="4" t="inlineStr">
        <s:is>
          <s:t xml:space="preserve">DEV — izolowany fixture</s:t>
        </s:is>
      </s:c>
      <s:c r="F84" s="4" t="inlineStr">
        <s:is>
          <s:t xml:space="preserve">Syntetyczna wyspa; bez kont chmurowych</s:t>
        </s:is>
      </s:c>
      <s:c r="G84" s="4" t="inlineStr">
        <s:is>
          <s:t xml:space="preserve">Fixture z możliwością kontrolowanego szybkiego zwycięstwa.</s:t>
        </s:is>
      </s:c>
      <s:c r="H84" s="4" t="inlineStr">
        <s:is>
          <s:t xml:space="preserve">1. Wygrywaj4 rundy przed progiem potrąceń i nie wypłacaj wcześniej.
2. Zapisz nagrodę każdej oraz pulę.</s:t>
        </s:is>
      </s:c>
      <s:c r="I84" s="4" t="inlineStr">
        <s:is>
          <s:t xml:space="preserve">• Nagrody to50,100,200,400; pula50,150,350,750.
• Kolejny etap nie zastępuje puli samą nagrodą rundy.</s:t>
        </s:is>
      </s:c>
      <s:c r="J84" s="4" t="inlineStr">
        <s:is>
          <s:t xml:space="preserve">Lokalnie</s:t>
        </s:is>
      </s:c>
      <s:c r="K84" s="4" t="inlineStr">
        <s:is>
          <s:t xml:space="preserve">v18 — implementacja; wynik tego scenariusza nie został wpisany</s:t>
        </s:is>
      </s:c>
      <s:c r="L84" s="6" t="inlineStr">
        <s:is>
          <s:t xml:space="preserve">Nie wykonano</s:t>
        </s:is>
      </s:c>
      <s:c r="M84" s="4" t="inlineStr">
        <s:is>
          <s:t xml:space="preserve">harborlight-v1-activities.js
harborlight-v1-minigames.js
harborlight-v1-minigame-ui.js
tests/harborlight-frontend-v17-smoke.py</s:t>
        </s:is>
      </s:c>
    </s:row>
    <s:row r="85" ht="150" customHeight="1">
      <s:c r="A85" s="5" t="inlineStr">
        <s:is>
          <s:t xml:space="preserve">MIN-003</s:t>
        </s:is>
      </s:c>
      <s:c r="B85" s="5" t="inlineStr">
        <s:is>
          <s:t xml:space="preserve">Ekspedycje i minigry</s:t>
        </s:is>
      </s:c>
      <s:c r="C85" s="5" t="inlineStr">
        <s:is>
          <s:t xml:space="preserve">Wypłata kończy serię raz</s:t>
        </s:is>
      </s:c>
      <s:c r="D85" s="5" t="inlineStr">
        <s:is>
          <s:t xml:space="preserve">P0</s:t>
        </s:is>
      </s:c>
      <s:c r="E85" s="5" t="inlineStr">
        <s:is>
          <s:t xml:space="preserve">DEV — izolowany fixture</s:t>
        </s:is>
      </s:c>
      <s:c r="F85" s="5" t="inlineStr">
        <s:is>
          <s:t xml:space="preserve">Syntetyczna wyspa; bez kont chmurowych</s:t>
        </s:is>
      </s:c>
      <s:c r="G85" s="5" t="inlineStr">
        <s:is>
          <s:t xml:space="preserve">Fixture z wygraną i niewypłaconą pulą.</s:t>
        </s:is>
      </s:c>
      <s:c r="H85" s="5" t="inlineStr">
        <s:is>
          <s:t xml:space="preserve">1. Wypłać pulę.
2. Ponów kliknięcie/żądanie i wczytaj stan.</s:t>
        </s:is>
      </s:c>
      <s:c r="I85" s="5" t="inlineStr">
        <s:is>
          <s:t xml:space="preserve">• Monety są dopisane tylko raz i seria zakończona.
• Nie można jednocześnie wypłacić i zachować ryzykowanej puli.</s:t>
        </s:is>
      </s:c>
      <s:c r="J85" s="5" t="inlineStr">
        <s:is>
          <s:t xml:space="preserve">Lokalnie</s:t>
        </s:is>
      </s:c>
      <s:c r="K85" s="5" t="inlineStr">
        <s:is>
          <s:t xml:space="preserve">v18 — implementacja; wynik tego scenariusza nie został wpisany</s:t>
        </s:is>
      </s:c>
      <s:c r="L85" s="6" t="inlineStr">
        <s:is>
          <s:t xml:space="preserve">Nie wykonano</s:t>
        </s:is>
      </s:c>
      <s:c r="M85" s="5" t="inlineStr">
        <s:is>
          <s:t xml:space="preserve">harborlight-v1-activities.js
harborlight-v1-minigames.js
harborlight-v1-minigame-ui.js
tests/harborlight-frontend-v17-smoke.py</s:t>
        </s:is>
      </s:c>
    </s:row>
    <s:row r="86" ht="150" customHeight="1">
      <s:c r="A86" s="4" t="inlineStr">
        <s:is>
          <s:t xml:space="preserve">MIN-004</s:t>
        </s:is>
      </s:c>
      <s:c r="B86" s="4" t="inlineStr">
        <s:is>
          <s:t xml:space="preserve">Ekspedycje i minigry</s:t>
        </s:is>
      </s:c>
      <s:c r="C86" s="4" t="inlineStr">
        <s:is>
          <s:t xml:space="preserve">Przegrana na twardym limicie</s:t>
        </s:is>
      </s:c>
      <s:c r="D86" s="4" t="inlineStr">
        <s:is>
          <s:t xml:space="preserve">P0</s:t>
        </s:is>
      </s:c>
      <s:c r="E86" s="4" t="inlineStr">
        <s:is>
          <s:t xml:space="preserve">DEV — izolowany fixture</s:t>
        </s:is>
      </s:c>
      <s:c r="F86" s="4" t="inlineStr">
        <s:is>
          <s:t xml:space="preserve">Syntetyczna wyspa; bez kont chmurowych</s:t>
        </s:is>
      </s:c>
      <s:c r="G86" s="4" t="inlineStr">
        <s:is>
          <s:t xml:space="preserve">Fixture z pulą po poprzedniej wygranej i aktywną kolejną rundą.</s:t>
        </s:is>
      </s:c>
      <s:c r="H86" s="4" t="inlineStr">
        <s:is>
          <s:t xml:space="preserve">1. Pozwól upłynąć całemu limitowi.
2. Spróbuj kontynuować, dopłacić i odświeżyć.</s:t>
        </s:is>
      </s:c>
      <s:c r="I86" s="4" t="inlineStr">
        <s:is>
          <s:t xml:space="preserve">• Niewypłacona pula przepada i próba pozostaje zakończona po wczytaniu.
• Nie ma automatycznej płatności ani wskrzeszenia po terminie.</s:t>
        </s:is>
      </s:c>
      <s:c r="J86" s="4" t="inlineStr">
        <s:is>
          <s:t xml:space="preserve">Lokalnie</s:t>
        </s:is>
      </s:c>
      <s:c r="K86" s="4" t="inlineStr">
        <s:is>
          <s:t xml:space="preserve">v18 — implementacja; wynik tego scenariusza nie został wpisany</s:t>
        </s:is>
      </s:c>
      <s:c r="L86" s="6" t="inlineStr">
        <s:is>
          <s:t xml:space="preserve">Nie wykonano</s:t>
        </s:is>
      </s:c>
      <s:c r="M86" s="4" t="inlineStr">
        <s:is>
          <s:t xml:space="preserve">harborlight-v1-activities.js
harborlight-v1-minigames.js
harborlight-v1-minigame-ui.js
tests/harborlight-frontend-v17-smoke.py</s:t>
        </s:is>
      </s:c>
    </s:row>
    <s:row r="87" ht="150" customHeight="1">
      <s:c r="A87" s="5" t="inlineStr">
        <s:is>
          <s:t xml:space="preserve">MIN-005</s:t>
        </s:is>
      </s:c>
      <s:c r="B87" s="5" t="inlineStr">
        <s:is>
          <s:t xml:space="preserve">Ekspedycje i minigry</s:t>
        </s:is>
      </s:c>
      <s:c r="C87" s="5" t="inlineStr">
        <s:is>
          <s:t xml:space="preserve">Potrącenia za czas w pierwszej rundzie</s:t>
        </s:is>
      </s:c>
      <s:c r="D87" s="5" t="inlineStr">
        <s:is>
          <s:t xml:space="preserve">P1</s:t>
        </s:is>
      </s:c>
      <s:c r="E87" s="5" t="inlineStr">
        <s:is>
          <s:t xml:space="preserve">DEV — izolowany fixture</s:t>
        </s:is>
      </s:c>
      <s:c r="F87" s="5" t="inlineStr">
        <s:is>
          <s:t xml:space="preserve">Syntetyczna wyspa; bez kont chmurowych</s:t>
        </s:is>
      </s:c>
      <s:c r="G87" s="5" t="inlineStr">
        <s:is>
          <s:t xml:space="preserve">Fixture pierwszych kulek i osobno trójek.</s:t>
        </s:is>
      </s:c>
      <s:c r="H87" s="5" t="inlineStr">
        <s:is>
          <s:t xml:space="preserve">1. Sprawdź ofertę przed i po progu pełnej nagrody.
2. Przekraczaj kolejne pełne interwały.</s:t>
        </s:is>
      </s:c>
      <s:c r="I87" s="5" t="inlineStr">
        <s:is>
          <s:t xml:space="preserve">• Kulki: limit180 s, pełna nagroda do120 s, potem−1 co15 s.
• Trójki: limit240 s, pełna nagroda do160 s, potem−1 co20 s.</s:t>
        </s:is>
      </s:c>
      <s:c r="J87" s="5" t="inlineStr">
        <s:is>
          <s:t xml:space="preserve">Lokalnie</s:t>
        </s:is>
      </s:c>
      <s:c r="K87" s="5" t="inlineStr">
        <s:is>
          <s:t xml:space="preserve">v18 — implementacja; wynik tego scenariusza nie został wpisany</s:t>
        </s:is>
      </s:c>
      <s:c r="L87" s="6" t="inlineStr">
        <s:is>
          <s:t xml:space="preserve">Nie wykonano</s:t>
        </s:is>
      </s:c>
      <s:c r="M87" s="5" t="inlineStr">
        <s:is>
          <s:t xml:space="preserve">harborlight-v1-activities.js
harborlight-v1-minigames.js
harborlight-v1-minigame-ui.js
tests/harborlight-frontend-v17-smoke.py</s:t>
        </s:is>
      </s:c>
    </s:row>
    <s:row r="88" ht="150" customHeight="1">
      <s:c r="A88" s="4" t="inlineStr">
        <s:is>
          <s:t xml:space="preserve">MIN-006</s:t>
        </s:is>
      </s:c>
      <s:c r="B88" s="4" t="inlineStr">
        <s:is>
          <s:t xml:space="preserve">Ekspedycje i minigry</s:t>
        </s:is>
      </s:c>
      <s:c r="C88" s="4" t="inlineStr">
        <s:is>
          <s:t xml:space="preserve">Dobrowolny zakup30 s za10 monet maksymalnie dwa razy</s:t>
        </s:is>
      </s:c>
      <s:c r="D88" s="4" t="inlineStr">
        <s:is>
          <s:t xml:space="preserve">P0</s:t>
        </s:is>
      </s:c>
      <s:c r="E88" s="4" t="inlineStr">
        <s:is>
          <s:t xml:space="preserve">DEV — izolowany fixture</s:t>
        </s:is>
      </s:c>
      <s:c r="F88" s="4" t="inlineStr">
        <s:is>
          <s:t xml:space="preserve">Syntetyczna wyspa; bez kont chmurowych</s:t>
        </s:is>
      </s:c>
      <s:c r="G88" s="4" t="inlineStr">
        <s:is>
          <s:t xml:space="preserve">Fixture aktywnej rundy i przynajmniej30 Coins.</s:t>
        </s:is>
      </s:c>
      <s:c r="H88" s="4" t="inlineStr">
        <s:is>
          <s:t xml:space="preserve">1. Kup dodatkowy czas przed końcem.
2. Kup drugi raz.
3. Spróbuj trzeci raz i po końcu rundy.</s:t>
        </s:is>
      </s:c>
      <s:c r="I88" s="4" t="inlineStr">
        <s:is>
          <s:t xml:space="preserve">• Każdy dozwolony zakup dodaje30 s i pobiera10 Coins.
• Trzeci i spóźniony zakup są odrzucone bez opłaty.</s:t>
        </s:is>
      </s:c>
      <s:c r="J88" s="4" t="inlineStr">
        <s:is>
          <s:t xml:space="preserve">Lokalnie</s:t>
        </s:is>
      </s:c>
      <s:c r="K88" s="4" t="inlineStr">
        <s:is>
          <s:t xml:space="preserve">v18 — implementacja; wynik tego scenariusza nie został wpisany</s:t>
        </s:is>
      </s:c>
      <s:c r="L88" s="6" t="inlineStr">
        <s:is>
          <s:t xml:space="preserve">Nie wykonano</s:t>
        </s:is>
      </s:c>
      <s:c r="M88" s="4" t="inlineStr">
        <s:is>
          <s:t xml:space="preserve">harborlight-v1-activities.js
harborlight-v1-minigames.js
harborlight-v1-minigame-ui.js
tests/harborlight-frontend-v17-smoke.py</s:t>
        </s:is>
      </s:c>
    </s:row>
    <s:row r="89" ht="150" customHeight="1">
      <s:c r="A89" s="5" t="inlineStr">
        <s:is>
          <s:t xml:space="preserve">MIN-007</s:t>
        </s:is>
      </s:c>
      <s:c r="B89" s="5" t="inlineStr">
        <s:is>
          <s:t xml:space="preserve">Ekspedycje i minigry</s:t>
        </s:is>
      </s:c>
      <s:c r="C89" s="5" t="inlineStr">
        <s:is>
          <s:t xml:space="preserve">Reklama za60 s tylko raz</s:t>
        </s:is>
      </s:c>
      <s:c r="D89" s="5" t="inlineStr">
        <s:is>
          <s:t xml:space="preserve">P0</s:t>
        </s:is>
      </s:c>
      <s:c r="E89" s="5" t="inlineStr">
        <s:is>
          <s:t xml:space="preserve">DEV — izolowany fixture</s:t>
        </s:is>
      </s:c>
      <s:c r="F89" s="5" t="inlineStr">
        <s:is>
          <s:t xml:space="preserve">Syntetyczna wyspa; bez kont chmurowych</s:t>
        </s:is>
      </s:c>
      <s:c r="G89" s="5" t="inlineStr">
        <s:is>
          <s:t xml:space="preserve">Fixture aktywnej rundy z symulacją DEV.</s:t>
        </s:is>
      </s:c>
      <s:c r="H89" s="5" t="inlineStr">
        <s:is>
          <s:t xml:space="preserve">1. Uruchom reklamę.
2. Zakończ wymagane oglądanie i potwierdzenie.
3. Spróbuj ponowić ten sam dowód i uruchomić drugą reklamę.</s:t>
        </s:is>
      </s:c>
      <s:c r="I89" s="5" t="inlineStr">
        <s:is>
          <s:t xml:space="preserve">• Runda otrzymuje60 s raz.
• Przerwany film i powtórzony dowód nie dają nagrody; limit jednego użycia działa.</s:t>
        </s:is>
      </s:c>
      <s:c r="J89" s="5" t="inlineStr">
        <s:is>
          <s:t xml:space="preserve">Lokalnie</s:t>
        </s:is>
      </s:c>
      <s:c r="K89" s="5" t="inlineStr">
        <s:is>
          <s:t xml:space="preserve">v18 — implementacja; wynik tego scenariusza nie został wpisany</s:t>
        </s:is>
      </s:c>
      <s:c r="L89" s="6" t="inlineStr">
        <s:is>
          <s:t xml:space="preserve">Nie wykonano</s:t>
        </s:is>
      </s:c>
      <s:c r="M89" s="5" t="inlineStr">
        <s:is>
          <s:t xml:space="preserve">harborlight-v1-activities.js
harborlight-v1-minigames.js
harborlight-v1-minigame-ui.js
tests/harborlight-frontend-v17-smoke.py</s:t>
        </s:is>
      </s:c>
    </s:row>
    <s:row r="90" ht="150" customHeight="1">
      <s:c r="A90" s="4" t="inlineStr">
        <s:is>
          <s:t xml:space="preserve">MIN-008</s:t>
        </s:is>
      </s:c>
      <s:c r="B90" s="4" t="inlineStr">
        <s:is>
          <s:t xml:space="preserve">Ekspedycje i minigry</s:t>
        </s:is>
      </s:c>
      <s:c r="C90" s="4" t="inlineStr">
        <s:is>
          <s:t xml:space="preserve">Film zatrzymuje rundę, a nie świat</s:t>
        </s:is>
      </s:c>
      <s:c r="D90" s="4" t="inlineStr">
        <s:is>
          <s:t xml:space="preserve">P0</s:t>
        </s:is>
      </s:c>
      <s:c r="E90" s="4" t="inlineStr">
        <s:is>
          <s:t xml:space="preserve">DEV — izolowany fixture</s:t>
        </s:is>
      </s:c>
      <s:c r="F90" s="4" t="inlineStr">
        <s:is>
          <s:t xml:space="preserve">Syntetyczna wyspa; bez kont chmurowych</s:t>
        </s:is>
      </s:c>
      <s:c r="G90" s="4" t="inlineStr">
        <s:is>
          <s:t xml:space="preserve">Fixture z trwającą budową, jedzeniem i aktywną rundą.</s:t>
        </s:is>
      </s:c>
      <s:c r="H90" s="4" t="inlineStr">
        <s:is>
          <s:t xml:space="preserve">1. Zanotuj zegary.
2. Włącz symulowaną reklamę czasu na10 s.
3. Porównaj postęp świata i rundy.</s:t>
        </s:is>
      </s:c>
      <s:c r="I90" s="4" t="inlineStr">
        <s:is>
          <s:t xml:space="preserve">• Zegar rundy i ochrony obecności nie zużywa czasu filmu.
• Budowa, jedzenie i efekty świata nadal biegną; pauza ma ograniczony czas, nie jest bezterminowa.</s:t>
        </s:is>
      </s:c>
      <s:c r="J90" s="4" t="inlineStr">
        <s:is>
          <s:t xml:space="preserve">Lokalnie</s:t>
        </s:is>
      </s:c>
      <s:c r="K90" s="4" t="inlineStr">
        <s:is>
          <s:t xml:space="preserve">v18 — implementacja; wynik tego scenariusza nie został wpisany</s:t>
        </s:is>
      </s:c>
      <s:c r="L90" s="6" t="inlineStr">
        <s:is>
          <s:t xml:space="preserve">Nie wykonano</s:t>
        </s:is>
      </s:c>
      <s:c r="M90" s="4" t="inlineStr">
        <s:is>
          <s:t xml:space="preserve">harborlight-v1-activities.js
harborlight-v1-minigames.js
harborlight-v1-minigame-ui.js
tests/harborlight-frontend-v17-smoke.py</s:t>
        </s:is>
      </s:c>
    </s:row>
    <s:row r="91" ht="150" customHeight="1">
      <s:c r="A91" s="5" t="inlineStr">
        <s:is>
          <s:t xml:space="preserve">MIN-009</s:t>
        </s:is>
      </s:c>
      <s:c r="B91" s="5" t="inlineStr">
        <s:is>
          <s:t xml:space="preserve">Ekspedycje i minigry</s:t>
        </s:is>
      </s:c>
      <s:c r="C91" s="5" t="inlineStr">
        <s:is>
          <s:t xml:space="preserve">Ochrona obecności w ekspedycji</s:t>
        </s:is>
      </s:c>
      <s:c r="D91" s="5" t="inlineStr">
        <s:is>
          <s:t xml:space="preserve">P1</s:t>
        </s:is>
      </s:c>
      <s:c r="E91" s="5" t="inlineStr">
        <s:is>
          <s:t xml:space="preserve">DEV — izolowany fixture</s:t>
        </s:is>
      </s:c>
      <s:c r="F91" s="5" t="inlineStr">
        <s:is>
          <s:t xml:space="preserve">Syntetyczna wyspa; bez kont chmurowych</s:t>
        </s:is>
      </s:c>
      <s:c r="G91" s="5" t="inlineStr">
        <s:is>
          <s:t xml:space="preserve">Fixture aktywnej rundy z odpowiednio długim limitem.</s:t>
        </s:is>
      </s:c>
      <s:c r="H91" s="5" t="inlineStr">
        <s:is>
          <s:t xml:space="preserve">1. Nie wykonuj sterowania przez5 min.
2. Potwierdź obecność przed60 s.
3. Powtórz bez potwierdzenia.</s:t>
        </s:is>
      </s:c>
      <s:c r="I91" s="5" t="inlineStr">
        <s:is>
          <s:t xml:space="preserve">• Pojawia się osobna kontrola obecności5 min+60 s.
• Brak odpowiedzi kończy chronioną serię zgodnie z zasadą; sam popup nie jest dobrowolnym zakupem czasu.</s:t>
        </s:is>
      </s:c>
      <s:c r="J91" s="5" t="inlineStr">
        <s:is>
          <s:t xml:space="preserve">Lokalnie</s:t>
        </s:is>
      </s:c>
      <s:c r="K91" s="5" t="inlineStr">
        <s:is>
          <s:t xml:space="preserve">v18 — implementacja; wynik tego scenariusza nie został wpisany</s:t>
        </s:is>
      </s:c>
      <s:c r="L91" s="6" t="inlineStr">
        <s:is>
          <s:t xml:space="preserve">Nie wykonano</s:t>
        </s:is>
      </s:c>
      <s:c r="M91" s="5" t="inlineStr">
        <s:is>
          <s:t xml:space="preserve">harborlight-v1-activities.js
harborlight-v1-minigames.js
harborlight-v1-minigame-ui.js
tests/harborlight-frontend-v17-smoke.py</s:t>
        </s:is>
      </s:c>
    </s:row>
    <s:row r="92" ht="150" customHeight="1">
      <s:c r="A92" s="4" t="inlineStr">
        <s:is>
          <s:t xml:space="preserve">MIN-010</s:t>
        </s:is>
      </s:c>
      <s:c r="B92" s="4" t="inlineStr">
        <s:is>
          <s:t xml:space="preserve">Ekspedycje i minigry</s:t>
        </s:is>
      </s:c>
      <s:c r="C92" s="4" t="inlineStr">
        <s:is>
          <s:t xml:space="preserve">Trzy zgodne karty i dowolna liczba błędów</s:t>
        </s:is>
      </s:c>
      <s:c r="D92" s="4" t="inlineStr">
        <s:is>
          <s:t xml:space="preserve">P1</s:t>
        </s:is>
      </s:c>
      <s:c r="E92" s="4" t="inlineStr">
        <s:is>
          <s:t xml:space="preserve">DEV — izolowany fixture</s:t>
        </s:is>
      </s:c>
      <s:c r="F92" s="4" t="inlineStr">
        <s:is>
          <s:t xml:space="preserve">Syntetyczna wyspa; bez kont chmurowych</s:t>
        </s:is>
      </s:c>
      <s:c r="G92" s="4" t="inlineStr">
        <s:is>
          <s:t xml:space="preserve">Fixture planszy24 pól ze znanym układem.</s:t>
        </s:is>
      </s:c>
      <s:c r="H92" s="4" t="inlineStr">
        <s:is>
          <s:t xml:space="preserve">1. Odkrywaj błędne trójki wielokrotnie.
2. Odkryj trzy identyczne obrazki.
3. Wczytaj stan przy częściowo ukończonej planszy.</s:t>
        </s:is>
      </s:c>
      <s:c r="I92" s="4" t="inlineStr">
        <s:is>
          <s:t xml:space="preserve">• Błędy nie wprowadzają limitu prób.
• Zgodna trójka jest usunięta, a wczytanie zachowuje postęp i nie odtwarza dopasowanych kart.</s:t>
        </s:is>
      </s:c>
      <s:c r="J92" s="4" t="inlineStr">
        <s:is>
          <s:t xml:space="preserve">Lokalnie</s:t>
        </s:is>
      </s:c>
      <s:c r="K92" s="4" t="inlineStr">
        <s:is>
          <s:t xml:space="preserve">v18 — implementacja; wynik tego scenariusza nie został wpisany</s:t>
        </s:is>
      </s:c>
      <s:c r="L92" s="6" t="inlineStr">
        <s:is>
          <s:t xml:space="preserve">Nie wykonano</s:t>
        </s:is>
      </s:c>
      <s:c r="M92" s="4" t="inlineStr">
        <s:is>
          <s:t xml:space="preserve">harborlight-v1-activities.js
harborlight-v1-minigames.js
harborlight-v1-minigame-ui.js
tests/harborlight-frontend-v17-smoke.py</s:t>
        </s:is>
      </s:c>
    </s:row>
    <s:row r="93" ht="150" customHeight="1">
      <s:c r="A93" s="5" t="inlineStr">
        <s:is>
          <s:t xml:space="preserve">MIN-011</s:t>
        </s:is>
      </s:c>
      <s:c r="B93" s="5" t="inlineStr">
        <s:is>
          <s:t xml:space="preserve">Ekspedycje i minigry</s:t>
        </s:is>
      </s:c>
      <s:c r="C93" s="5" t="inlineStr">
        <s:is>
          <s:t xml:space="preserve">Tasowanie zachowuje odkryte i dopasowane karty</s:t>
        </s:is>
      </s:c>
      <s:c r="D93" s="5" t="inlineStr">
        <s:is>
          <s:t xml:space="preserve">P1</s:t>
        </s:is>
      </s:c>
      <s:c r="E93" s="5" t="inlineStr">
        <s:is>
          <s:t xml:space="preserve">DEV — izolowany fixture</s:t>
        </s:is>
      </s:c>
      <s:c r="F93" s="5" t="inlineStr">
        <s:is>
          <s:t xml:space="preserve">Syntetyczna wyspa; bez kont chmurowych</s:t>
        </s:is>
      </s:c>
      <s:c r="G93" s="5" t="inlineStr">
        <s:is>
          <s:t xml:space="preserve">Fixture trójek od etapu4 z częścią dopasowaną i aktualnie odkrytą kartą.</s:t>
        </s:is>
      </s:c>
      <s:c r="H93" s="5" t="inlineStr">
        <s:is>
          <s:t xml:space="preserve">1. Przekrocz termin tasowania ukrytych kart.
2. Porównaj widoczną kartę i dopasowane pozycje.</s:t>
        </s:is>
      </s:c>
      <s:c r="I93" s="5" t="inlineStr">
        <s:is>
          <s:t xml:space="preserve">• Przemieszczają się tylko zakryte niedopasowane obrazy.
• Odkryte i już dopasowane nie są podmienione.</s:t>
        </s:is>
      </s:c>
      <s:c r="J93" s="5" t="inlineStr">
        <s:is>
          <s:t xml:space="preserve">Lokalnie</s:t>
        </s:is>
      </s:c>
      <s:c r="K93" s="5" t="inlineStr">
        <s:is>
          <s:t xml:space="preserve">v18 — implementacja; wynik tego scenariusza nie został wpisany</s:t>
        </s:is>
      </s:c>
      <s:c r="L93" s="6" t="inlineStr">
        <s:is>
          <s:t xml:space="preserve">Nie wykonano</s:t>
        </s:is>
      </s:c>
      <s:c r="M93" s="5" t="inlineStr">
        <s:is>
          <s:t xml:space="preserve">harborlight-v1-activities.js
harborlight-v1-minigames.js
harborlight-v1-minigame-ui.js
tests/harborlight-frontend-v17-smoke.py</s:t>
        </s:is>
      </s:c>
    </s:row>
    <s:row r="94" ht="150" customHeight="1">
      <s:c r="A94" s="4" t="inlineStr">
        <s:is>
          <s:t xml:space="preserve">MIN-012</s:t>
        </s:is>
      </s:c>
      <s:c r="B94" s="4" t="inlineStr">
        <s:is>
          <s:t xml:space="preserve">Ekspedycje i minigry</s:t>
        </s:is>
      </s:c>
      <s:c r="C94" s="4" t="inlineStr">
        <s:is>
          <s:t xml:space="preserve">Plansze24/42/120 mieszczą się bez suwaka</s:t>
        </s:is>
      </s:c>
      <s:c r="D94" s="4" t="inlineStr">
        <s:is>
          <s:t xml:space="preserve">P0</s:t>
        </s:is>
      </s:c>
      <s:c r="E94" s="4" t="inlineStr">
        <s:is>
          <s:t xml:space="preserve">DEV — izolowany fixture</s:t>
        </s:is>
      </s:c>
      <s:c r="F94" s="4" t="inlineStr">
        <s:is>
          <s:t xml:space="preserve">Syntetyczna wyspa; bez kont chmurowych</s:t>
        </s:is>
      </s:c>
      <s:c r="G94" s="4" t="inlineStr">
        <s:is>
          <s:t xml:space="preserve">Fixtures odpowiadające24,42 i120 polom; rozdzielczości1366×768,1536×864,390×844 i360×740.</s:t>
        </s:is>
      </s:c>
      <s:c r="H94" s="4" t="inlineStr">
        <s:is>
          <s:t xml:space="preserve">1. Otwórz każdą planszę.
2. Zmień rozmiar także przy wstrzymanych callbackach resize/ResizeObserver w lokalnym harnessie.
3. Sprawdź skrajne karty.</s:t>
        </s:is>
      </s:c>
      <s:c r="I94" s="4" t="inlineStr">
        <s:is>
          <s:t xml:space="preserve">• Widać całą planszę bez przycięcia i obu suwaków.
• Karty pozostają kwadratowe, co najmniej20 px, a dopasowany stan nie ginie.</s:t>
        </s:is>
      </s:c>
      <s:c r="J94" s="4" t="inlineStr">
        <s:is>
          <s:t xml:space="preserve">Lokalnie</s:t>
        </s:is>
      </s:c>
      <s:c r="K94" s="4" t="inlineStr">
        <s:is>
          <s:t xml:space="preserve">v18 — implementacja; wynik tego scenariusza nie został wpisany</s:t>
        </s:is>
      </s:c>
      <s:c r="L94" s="6" t="inlineStr">
        <s:is>
          <s:t xml:space="preserve">Nie wykonano</s:t>
        </s:is>
      </s:c>
      <s:c r="M94" s="4" t="inlineStr">
        <s:is>
          <s:t xml:space="preserve">harborlight-v1-activities.js
harborlight-v1-minigames.js
harborlight-v1-minigame-ui.js
tests/harborlight-frontend-v17-smoke.py</s:t>
        </s:is>
      </s:c>
    </s:row>
    <s:row r="95" ht="150" customHeight="1">
      <s:c r="A95" s="5" t="inlineStr">
        <s:is>
          <s:t xml:space="preserve">MIN-013</s:t>
        </s:is>
      </s:c>
      <s:c r="B95" s="5" t="inlineStr">
        <s:is>
          <s:t xml:space="preserve">Ekspedycje i minigry</s:t>
        </s:is>
      </s:c>
      <s:c r="C95" s="5" t="inlineStr">
        <s:is>
          <s:t xml:space="preserve">Kulki działają myszą, dotykiem i przechyłem</s:t>
        </s:is>
      </s:c>
      <s:c r="D95" s="5" t="inlineStr">
        <s:is>
          <s:t xml:space="preserve">P1</s:t>
        </s:is>
      </s:c>
      <s:c r="E95" s="5" t="inlineStr">
        <s:is>
          <s:t xml:space="preserve">DEV — izolowany fixture</s:t>
        </s:is>
      </s:c>
      <s:c r="F95" s="5" t="inlineStr">
        <s:is>
          <s:t xml:space="preserve">Syntetyczna wyspa; bez kont chmurowych</s:t>
        </s:is>
      </s:c>
      <s:c r="G95" s="5" t="inlineStr">
        <s:is>
          <s:t xml:space="preserve">Lokalny labirynt oraz telefon z dostępem do sensora.</s:t>
        </s:is>
      </s:c>
      <s:c r="H95" s="5" t="inlineStr">
        <s:is>
          <s:t xml:space="preserve">1. Doprowadź kulkę do celu myszą/klawiaturą.
2. Powtórz dotykiem.
3. Na telefonie jawnie udziel lub odmów zgody na orientację.</s:t>
        </s:is>
      </s:c>
      <s:c r="I95" s="5" t="inlineStr">
        <s:is>
          <s:t xml:space="preserve">• Każde wspierane sterowanie prowadzi rzeczywistą fizykę.
• Odmowa sensora pozostawia działającą alternatywę dotykową.</s:t>
        </s:is>
      </s:c>
      <s:c r="J95" s="5" t="inlineStr">
        <s:is>
          <s:t xml:space="preserve">Lokalnie</s:t>
        </s:is>
      </s:c>
      <s:c r="K95" s="5" t="inlineStr">
        <s:is>
          <s:t xml:space="preserve">v18 — implementacja; wynik tego scenariusza nie został wpisany</s:t>
        </s:is>
      </s:c>
      <s:c r="L95" s="6" t="inlineStr">
        <s:is>
          <s:t xml:space="preserve">Nie wykonano</s:t>
        </s:is>
      </s:c>
      <s:c r="M95" s="5" t="inlineStr">
        <s:is>
          <s:t xml:space="preserve">harborlight-v1-activities.js
harborlight-v1-minigames.js
harborlight-v1-minigame-ui.js
tests/harborlight-frontend-v17-smoke.py</s:t>
        </s:is>
      </s:c>
    </s:row>
    <s:row r="96" ht="150" customHeight="1">
      <s:c r="A96" s="4" t="inlineStr">
        <s:is>
          <s:t xml:space="preserve">PAY-001</s:t>
        </s:is>
      </s:c>
      <s:c r="B96" s="4" t="inlineStr">
        <s:is>
          <s:t xml:space="preserve">Reklamy, płatności i kody</s:t>
        </s:is>
      </s:c>
      <s:c r="C96" s="4" t="inlineStr">
        <s:is>
          <s:t xml:space="preserve">Paynow — testowe zachowanie PRE-PROD w fixture</s:t>
        </s:is>
      </s:c>
      <s:c r="D96" s="4" t="inlineStr">
        <s:is>
          <s:t xml:space="preserve">P0</s:t>
        </s:is>
      </s:c>
      <s:c r="E96" s="4" t="inlineStr">
        <s:is>
          <s:t xml:space="preserve">DEV — izolowany fixture</s:t>
        </s:is>
      </s:c>
      <s:c r="F96" s="4" t="inlineStr">
        <s:is>
          <s:t xml:space="preserve">Syntetyczna wyspa; bez kont chmurowych</s:t>
        </s:is>
      </s:c>
      <s:c r="G96" s="4" t="inlineStr">
        <s:is>
          <s:t xml:space="preserve">Wyłącznie lokalny fixture dostępnych pakietów i usług, odwzorowujący możliwości PRE-PROD. Żadnego logowania do rzeczywistych admin1–3 ani wysyłania zapisu do chmury.</s:t>
        </s:is>
      </s:c>
      <s:c r="H96" s="4" t="inlineStr">
        <s:is>
          <s:t xml:space="preserve">1. Otwórz płatność z poziomu1.
2. Przeczytaj oznaczenie symulacji.
3. Potwierdź testowy zakup, następnie ponów potwierdzenie.</s:t>
        </s:is>
      </s:c>
      <s:c r="I96" s="4" t="inlineStr">
        <s:is>
          <s:t xml:space="preserve">• Nie jest pobierana prawdziwa płatność.
• Testowa nagroda trafia raz; cena i usługa są ponownie weryfikowane przed rozliczeniem.</s:t>
        </s:is>
      </s:c>
      <s:c r="J96" s="4" t="inlineStr">
        <s:is>
          <s:t xml:space="preserve">Lokalnie</s:t>
        </s:is>
      </s:c>
      <s:c r="K96" s="4" t="inlineStr">
        <s:is>
          <s:t xml:space="preserve">v18 — implementacja; wynik tego scenariusza nie został wpisany</s:t>
        </s:is>
      </s:c>
      <s:c r="L96" s="6" t="inlineStr">
        <s:is>
          <s:t xml:space="preserve">Nie wykonano</s:t>
        </s:is>
      </s:c>
      <s:c r="M96" s="4" t="inlineStr">
        <s:is>
          <s:t xml:space="preserve">harborlight-v1-commerce.js
harborlight-v1-engagement.js
backend/account-service.mjs</s:t>
        </s:is>
      </s:c>
    </s:row>
    <s:row r="97" ht="150" customHeight="1">
      <s:c r="A97" s="5" t="inlineStr">
        <s:is>
          <s:t xml:space="preserve">PAY-002</s:t>
        </s:is>
      </s:c>
      <s:c r="B97" s="5" t="inlineStr">
        <s:is>
          <s:t xml:space="preserve">Reklamy, płatności i kody</s:t>
        </s:is>
      </s:c>
      <s:c r="C97" s="5" t="inlineStr">
        <s:is>
          <s:t xml:space="preserve">Anulowanie płatności niczego nie przyznaje</s:t>
        </s:is>
      </s:c>
      <s:c r="D97" s="5" t="inlineStr">
        <s:is>
          <s:t xml:space="preserve">P0</s:t>
        </s:is>
      </s:c>
      <s:c r="E97" s="5" t="inlineStr">
        <s:is>
          <s:t xml:space="preserve">DEV — izolowany fixture</s:t>
        </s:is>
      </s:c>
      <s:c r="F97" s="5" t="inlineStr">
        <s:is>
          <s:t xml:space="preserve">Syntetyczna wyspa; bez kont chmurowych</s:t>
        </s:is>
      </s:c>
      <s:c r="G97" s="5" t="inlineStr">
        <s:is>
          <s:t xml:space="preserve">Fixture z rozpoczętym checkoutem monet lub budynku.</s:t>
        </s:is>
      </s:c>
      <s:c r="H97" s="5" t="inlineStr">
        <s:is>
          <s:t xml:space="preserve">1. Anuluj popup.
2. Spróbuj dokończyć anulowany checkout.</s:t>
        </s:is>
      </s:c>
      <s:c r="I97" s="5" t="inlineStr">
        <s:is>
          <s:t xml:space="preserve">• Brak nagrody, kosztu i uprawnienia bez reklam z anulowanego zakupu.</s:t>
        </s:is>
      </s:c>
      <s:c r="J97" s="5" t="inlineStr">
        <s:is>
          <s:t xml:space="preserve">Lokalnie</s:t>
        </s:is>
      </s:c>
      <s:c r="K97" s="5" t="inlineStr">
        <s:is>
          <s:t xml:space="preserve">v18 — implementacja; wynik tego scenariusza nie został wpisany</s:t>
        </s:is>
      </s:c>
      <s:c r="L97" s="6" t="inlineStr">
        <s:is>
          <s:t xml:space="preserve">Nie wykonano</s:t>
        </s:is>
      </s:c>
      <s:c r="M97" s="5" t="inlineStr">
        <s:is>
          <s:t xml:space="preserve">harborlight-v1-commerce.js
harborlight-v1-engagement.js
backend/account-service.mjs</s:t>
        </s:is>
      </s:c>
    </s:row>
    <s:row r="98" ht="150" customHeight="1">
      <s:c r="A98" s="4" t="inlineStr">
        <s:is>
          <s:t xml:space="preserve">PAY-003</s:t>
        </s:is>
      </s:c>
      <s:c r="B98" s="4" t="inlineStr">
        <s:is>
          <s:t xml:space="preserve">Reklamy, płatności i kody</s:t>
        </s:is>
      </s:c>
      <s:c r="C98" s="4" t="inlineStr">
        <s:is>
          <s:t xml:space="preserve">PROD odrzuca dowolny kliencki dowód zakupu</s:t>
        </s:is>
      </s:c>
      <s:c r="D98" s="4" t="inlineStr">
        <s:is>
          <s:t xml:space="preserve">P0</s:t>
        </s:is>
      </s:c>
      <s:c r="E98" s="4" t="inlineStr">
        <s:is>
          <s:t xml:space="preserve">DEV — izolowany fixture</s:t>
        </s:is>
      </s:c>
      <s:c r="F98" s="4" t="inlineStr">
        <s:is>
          <s:t xml:space="preserve">Syntetyczna wyspa; bez kont chmurowych</s:t>
        </s:is>
      </s:c>
      <s:c r="G98" s="4" t="inlineStr">
        <s:is>
          <s:t xml:space="preserve">Atrapa hosta i API PROD; brak rzeczywistego potwierdzenia operatora.</s:t>
        </s:is>
      </s:c>
      <s:c r="H98" s="4" t="inlineStr">
        <s:is>
          <s:t xml:space="preserve">1. Wyślij testowe completeCheckout, devSimulation i własne verified=true.
2. Ponownie odczytaj zapis serwera.</s:t>
        </s:is>
      </s:c>
      <s:c r="I98" s="4" t="inlineStr">
        <s:is>
          <s:t xml:space="preserve">• Przeglądarka nie może stworzyć potwierdzonego zakupu produkcyjnego ani trwałego uprawnienia.
• Realny operator nie jest udawany.</s:t>
        </s:is>
      </s:c>
      <s:c r="J98" s="4" t="inlineStr">
        <s:is>
          <s:t xml:space="preserve">Lokalnie</s:t>
        </s:is>
      </s:c>
      <s:c r="K98" s="4" t="inlineStr">
        <s:is>
          <s:t xml:space="preserve">v18 — implementacja; wynik tego scenariusza nie został wpisany</s:t>
        </s:is>
      </s:c>
      <s:c r="L98" s="6" t="inlineStr">
        <s:is>
          <s:t xml:space="preserve">Nie wykonano</s:t>
        </s:is>
      </s:c>
      <s:c r="M98" s="4" t="inlineStr">
        <s:is>
          <s:t xml:space="preserve">harborlight-v1-commerce.js
harborlight-v1-engagement.js
backend/account-service.mjs</s:t>
        </s:is>
      </s:c>
    </s:row>
    <s:row r="99" ht="150" customHeight="1">
      <s:c r="A99" s="5" t="inlineStr">
        <s:is>
          <s:t xml:space="preserve">PAY-004</s:t>
        </s:is>
      </s:c>
      <s:c r="B99" s="5" t="inlineStr">
        <s:is>
          <s:t xml:space="preserve">Reklamy, płatności i kody</s:t>
        </s:is>
      </s:c>
      <s:c r="C99" s="5" t="inlineStr">
        <s:is>
          <s:t xml:space="preserve">Usługi za monety od4, za kasę od1</s:t>
        </s:is>
      </s:c>
      <s:c r="D99" s="5" t="inlineStr">
        <s:is>
          <s:t xml:space="preserve">P0</s:t>
        </s:is>
      </s:c>
      <s:c r="E99" s="5" t="inlineStr">
        <s:is>
          <s:t xml:space="preserve">DEV — izolowany fixture</s:t>
        </s:is>
      </s:c>
      <s:c r="F99" s="5" t="inlineStr">
        <s:is>
          <s:t xml:space="preserve">Syntetyczna wyspa; bez kont chmurowych</s:t>
        </s:is>
      </s:c>
      <s:c r="G99" s="5" t="inlineStr">
        <s:is>
          <s:t xml:space="preserve">Fixtures Ratusz 1 i4; spełnione zwykłe warunki poziomu docelowego.</s:t>
        </s:is>
      </s:c>
      <s:c r="H99" s="5" t="inlineStr">
        <s:is>
          <s:t xml:space="preserve">1. Porównaj usługę kupna budynku/transportu za zdobyte monety z osobnym linkiem płatności.
2. NaRatuszu1 spróbuj kupić poziom innego budynku wyższy niż limit.</s:t>
        </s:is>
      </s:c>
      <s:c r="I99" s="5" t="inlineStr">
        <s:is>
          <s:t xml:space="preserve">• Ścieżka monetowa wymaga Ratusza4.
• Osobna ścieżka pieniężna działa od1, lecz nie omija limitu poziomu budynku.</s:t>
        </s:is>
      </s:c>
      <s:c r="J99" s="5" t="inlineStr">
        <s:is>
          <s:t xml:space="preserve">Lokalnie</s:t>
        </s:is>
      </s:c>
      <s:c r="K99" s="5" t="inlineStr">
        <s:is>
          <s:t xml:space="preserve">v18 — implementacja; wynik tego scenariusza nie został wpisany</s:t>
        </s:is>
      </s:c>
      <s:c r="L99" s="6" t="inlineStr">
        <s:is>
          <s:t xml:space="preserve">Nie wykonano</s:t>
        </s:is>
      </s:c>
      <s:c r="M99" s="5" t="inlineStr">
        <s:is>
          <s:t xml:space="preserve">harborlight-v1-commerce.js
harborlight-v1-engagement.js
backend/account-service.mjs</s:t>
        </s:is>
      </s:c>
    </s:row>
    <s:row r="100" ht="150" customHeight="1">
      <s:c r="A100" s="4" t="inlineStr">
        <s:is>
          <s:t xml:space="preserve">PAY-005</s:t>
        </s:is>
      </s:c>
      <s:c r="B100" s="4" t="inlineStr">
        <s:is>
          <s:t xml:space="preserve">Reklamy, płatności i kody</s:t>
        </s:is>
      </s:c>
      <s:c r="C100" s="4" t="inlineStr">
        <s:is>
          <s:t xml:space="preserve">Próg bez reklam jest ruchomy i sumowany</s:t>
        </s:is>
      </s:c>
      <s:c r="D100" s="4" t="inlineStr">
        <s:is>
          <s:t xml:space="preserve">P0</s:t>
        </s:is>
      </s:c>
      <s:c r="E100" s="4" t="inlineStr">
        <s:is>
          <s:t xml:space="preserve">DEV — izolowany fixture</s:t>
        </s:is>
      </s:c>
      <s:c r="F100" s="4" t="inlineStr">
        <s:is>
          <s:t xml:space="preserve">Syntetyczna wyspa; bez kont chmurowych</s:t>
        </s:is>
      </s:c>
      <s:c r="G100" s="4" t="inlineStr">
        <s:is>
          <s:t xml:space="preserve">Fixture z potwierdzonymi płatnościami1000 gr29 dni temu i999 gr14 dni temu.</s:t>
        </s:is>
      </s:c>
      <s:c r="H100" s="4" t="inlineStr">
        <s:is>
          <s:t xml:space="preserve">1. Sprawdź standardowe reklamy.
2. Przekrocz dzień wygaśnięcia starszej wpłaty.</s:t>
        </s:is>
      </s:c>
      <s:c r="I100" s="4" t="inlineStr">
        <s:is>
          <s:t xml:space="preserve">• Suma1999 gr daje uprawnienie.
• Po wygaśnięciu starszej części suma999 gr nie daje uprawnienia; termin nie jest liczony od ostatniej wpłaty.</s:t>
        </s:is>
      </s:c>
      <s:c r="J100" s="4" t="inlineStr">
        <s:is>
          <s:t xml:space="preserve">Lokalnie</s:t>
        </s:is>
      </s:c>
      <s:c r="K100" s="4" t="inlineStr">
        <s:is>
          <s:t xml:space="preserve">v18 — implementacja; wynik tego scenariusza nie został wpisany</s:t>
        </s:is>
      </s:c>
      <s:c r="L100" s="6" t="inlineStr">
        <s:is>
          <s:t xml:space="preserve">Nie wykonano</s:t>
        </s:is>
      </s:c>
      <s:c r="M100" s="4" t="inlineStr">
        <s:is>
          <s:t xml:space="preserve">harborlight-v1-commerce.js
harborlight-v1-engagement.js
backend/account-service.mjs</s:t>
        </s:is>
      </s:c>
    </s:row>
    <s:row r="101" ht="150" customHeight="1">
      <s:c r="A101" s="5" t="inlineStr">
        <s:is>
          <s:t xml:space="preserve">PAY-006</s:t>
        </s:is>
      </s:c>
      <s:c r="B101" s="5" t="inlineStr">
        <s:is>
          <s:t xml:space="preserve">Reklamy, płatności i kody</s:t>
        </s:is>
      </s:c>
      <s:c r="C101" s="5" t="inlineStr">
        <s:is>
          <s:t xml:space="preserve">Bez reklam zachowuje bonus i limity</s:t>
        </s:is>
      </s:c>
      <s:c r="D101" s="5" t="inlineStr">
        <s:is>
          <s:t xml:space="preserve">P0</s:t>
        </s:is>
      </s:c>
      <s:c r="E101" s="5" t="inlineStr">
        <s:is>
          <s:t xml:space="preserve">DEV — izolowany fixture</s:t>
        </s:is>
      </s:c>
      <s:c r="F101" s="5" t="inlineStr">
        <s:is>
          <s:t xml:space="preserve">Syntetyczna wyspa; bez kont chmurowych</s:t>
        </s:is>
      </s:c>
      <s:c r="G101" s="5" t="inlineStr">
        <s:is>
          <s:t xml:space="preserve">Fixture z aktywnym potwierdzonym uprawnieniem i dostępnym standardowym bonusem.</s:t>
        </s:is>
      </s:c>
      <s:c r="H101" s="5" t="inlineStr">
        <s:is>
          <s:t xml:space="preserve">1. Odbierz bonus bez filmu.
2. Spróbuj odebrać drugi raz w tym samym oknie.
3. W ekspedycji otwórz reklamę za czas.</s:t>
        </s:is>
      </s:c>
      <s:c r="I101" s="5" t="inlineStr">
        <s:is>
          <s:t xml:space="preserve">• Standardowy bonus jest przyznany bez filmu, lecz bez obejścia limitu.
• Reklama za czas ekspedycji nadal wymaga oglądania.</s:t>
        </s:is>
      </s:c>
      <s:c r="J101" s="5" t="inlineStr">
        <s:is>
          <s:t xml:space="preserve">Lokalnie</s:t>
        </s:is>
      </s:c>
      <s:c r="K101" s="5" t="inlineStr">
        <s:is>
          <s:t xml:space="preserve">v18 — implementacja; wynik tego scenariusza nie został wpisany</s:t>
        </s:is>
      </s:c>
      <s:c r="L101" s="6" t="inlineStr">
        <s:is>
          <s:t xml:space="preserve">Nie wykonano</s:t>
        </s:is>
      </s:c>
      <s:c r="M101" s="5" t="inlineStr">
        <s:is>
          <s:t xml:space="preserve">harborlight-v1-commerce.js
harborlight-v1-engagement.js
backend/account-service.mjs</s:t>
        </s:is>
      </s:c>
    </s:row>
    <s:row r="102" ht="150" customHeight="1">
      <s:c r="A102" s="4" t="inlineStr">
        <s:is>
          <s:t xml:space="preserve">PAY-007</s:t>
        </s:is>
      </s:c>
      <s:c r="B102" s="4" t="inlineStr">
        <s:is>
          <s:t xml:space="preserve">Reklamy, płatności i kody</s:t>
        </s:is>
      </s:c>
      <s:c r="C102" s="4" t="inlineStr">
        <s:is>
          <s:t xml:space="preserve">Pierwsza reklama raz między4 a8 min aktywności</s:t>
        </s:is>
      </s:c>
      <s:c r="D102" s="4" t="inlineStr">
        <s:is>
          <s:t xml:space="preserve">P1</s:t>
        </s:is>
      </s:c>
      <s:c r="E102" s="4" t="inlineStr">
        <s:is>
          <s:t xml:space="preserve">DEV — izolowany fixture</s:t>
        </s:is>
      </s:c>
      <s:c r="F102" s="4" t="inlineStr">
        <s:is>
          <s:t xml:space="preserve">Syntetyczna wyspa; bez kont chmurowych</s:t>
        </s:is>
      </s:c>
      <s:c r="G102" s="4" t="inlineStr">
        <s:is>
          <s:t xml:space="preserve">Nowe konto testowe ze stałym ziarnem harmonogramu.</s:t>
        </s:is>
      </s:c>
      <s:c r="H102" s="4" t="inlineStr">
        <s:is>
          <s:t xml:space="preserve">1. Graj w widocznej aktywnej karcie do pierwszej propozycji.
2. Zakończ lub pomiń.
3. Wyloguj i wróć.</s:t>
        </s:is>
      </s:c>
      <s:c r="I102" s="4" t="inlineStr">
        <s:is>
          <s:t xml:space="preserve">• Pierwszy termin mieści się w4–8 aktywnych minutach.
• Odczyt ani ponowny login nie losuje i nie proponuje pierwszego bonusu od nowa.</s:t>
        </s:is>
      </s:c>
      <s:c r="J102" s="4" t="inlineStr">
        <s:is>
          <s:t xml:space="preserve">Lokalnie</s:t>
        </s:is>
      </s:c>
      <s:c r="K102" s="4" t="inlineStr">
        <s:is>
          <s:t xml:space="preserve">v18 — implementacja; wynik tego scenariusza nie został wpisany</s:t>
        </s:is>
      </s:c>
      <s:c r="L102" s="6" t="inlineStr">
        <s:is>
          <s:t xml:space="preserve">Nie wykonano</s:t>
        </s:is>
      </s:c>
      <s:c r="M102" s="4" t="inlineStr">
        <s:is>
          <s:t xml:space="preserve">harborlight-v1-commerce.js
harborlight-v1-engagement.js
backend/account-service.mjs</s:t>
        </s:is>
      </s:c>
    </s:row>
    <s:row r="103" ht="150" customHeight="1">
      <s:c r="A103" s="5" t="inlineStr">
        <s:is>
          <s:t xml:space="preserve">PAY-008</s:t>
        </s:is>
      </s:c>
      <s:c r="B103" s="5" t="inlineStr">
        <s:is>
          <s:t xml:space="preserve">Reklamy, płatności i kody</s:t>
        </s:is>
      </s:c>
      <s:c r="C103" s="5" t="inlineStr">
        <s:is>
          <s:t xml:space="preserve">Kolejne okna liczone od końca aktywności</s:t>
        </s:is>
      </s:c>
      <s:c r="D103" s="5" t="inlineStr">
        <s:is>
          <s:t xml:space="preserve">P0</s:t>
        </s:is>
      </s:c>
      <s:c r="E103" s="5" t="inlineStr">
        <s:is>
          <s:t xml:space="preserve">DEV — izolowany fixture</s:t>
        </s:is>
      </s:c>
      <s:c r="F103" s="5" t="inlineStr">
        <s:is>
          <s:t xml:space="preserve">Syntetyczna wyspa; bez kont chmurowych</s:t>
        </s:is>
      </s:c>
      <s:c r="G103" s="5" t="inlineStr">
        <s:is>
          <s:t xml:space="preserve">Fixture po pierwszej reklamie z zapisanym harmonogramem.</s:t>
        </s:is>
      </s:c>
      <s:c r="H103" s="5" t="inlineStr">
        <s:is>
          <s:t xml:space="preserve">1. Zakończ/pomiń pierwszą reklamę.
2. Zakończ pierwszą i drugą wybraną ekspedycję albo reklamę.
3. Zanotuj aktywne minuty następnych propozycji.</s:t>
        </s:is>
      </s:c>
      <s:c r="I103" s="5" t="inlineStr">
        <s:is>
          <s:t xml:space="preserve">• Odstępy wynoszą5–15, następnie43–62, następnie60–100 aktywnych minut od właściwego zakończenia.
• Tło i logowanie nie dodają fikcyjnych aktywnych minut.</s:t>
        </s:is>
      </s:c>
      <s:c r="J103" s="5" t="inlineStr">
        <s:is>
          <s:t xml:space="preserve">Lokalnie</s:t>
        </s:is>
      </s:c>
      <s:c r="K103" s="5" t="inlineStr">
        <s:is>
          <s:t xml:space="preserve">v18 — implementacja; wynik tego scenariusza nie został wpisany</s:t>
        </s:is>
      </s:c>
      <s:c r="L103" s="6" t="inlineStr">
        <s:is>
          <s:t xml:space="preserve">Nie wykonano</s:t>
        </s:is>
      </s:c>
      <s:c r="M103" s="5" t="inlineStr">
        <s:is>
          <s:t xml:space="preserve">harborlight-v1-commerce.js
harborlight-v1-engagement.js
backend/account-service.mjs</s:t>
        </s:is>
      </s:c>
    </s:row>
    <s:row r="104" ht="150" customHeight="1">
      <s:c r="A104" s="4" t="inlineStr">
        <s:is>
          <s:t xml:space="preserve">PAY-009</s:t>
        </s:is>
      </s:c>
      <s:c r="B104" s="4" t="inlineStr">
        <s:is>
          <s:t xml:space="preserve">Reklamy, płatności i kody</s:t>
        </s:is>
      </s:c>
      <s:c r="C104" s="4" t="inlineStr">
        <s:is>
          <s:t xml:space="preserve">Materiałowa reklama nie daje monet ani dowolnego farmienia</s:t>
        </s:is>
      </s:c>
      <s:c r="D104" s="4" t="inlineStr">
        <s:is>
          <s:t xml:space="preserve">P0</s:t>
        </s:is>
      </s:c>
      <s:c r="E104" s="4" t="inlineStr">
        <s:is>
          <s:t xml:space="preserve">DEV — izolowany fixture</s:t>
        </s:is>
      </s:c>
      <s:c r="F104" s="4" t="inlineStr">
        <s:is>
          <s:t xml:space="preserve">Syntetyczna wyspa; bez kont chmurowych</s:t>
        </s:is>
      </s:c>
      <s:c r="G104" s="4" t="inlineStr">
        <s:is>
          <s:t xml:space="preserve">Fixture z należną propozycją reklamy i drugi bez propozycji.</s:t>
        </s:is>
      </s:c>
      <s:c r="H104" s="4" t="inlineStr">
        <s:is>
          <s:t xml:space="preserve">1. Zakończ prawidłową reklamę.
2. Porównaj wszystkie zasoby.
3. Prześlij powtórzony dowód oraz prośbę bez okna harmonogramu.</s:t>
        </s:is>
      </s:c>
      <s:c r="I104" s="4" t="inlineStr">
        <s:is>
          <s:t xml:space="preserve">• Przyznaje10–30 każdego z5 materiałów, bezCoins.
• Powtórzenie i brak należnej propozycji nie przyznają kolejnej nagrody.</s:t>
        </s:is>
      </s:c>
      <s:c r="J104" s="4" t="inlineStr">
        <s:is>
          <s:t xml:space="preserve">Lokalnie</s:t>
        </s:is>
      </s:c>
      <s:c r="K104" s="4" t="inlineStr">
        <s:is>
          <s:t xml:space="preserve">v18 — implementacja; wynik tego scenariusza nie został wpisany</s:t>
        </s:is>
      </s:c>
      <s:c r="L104" s="6" t="inlineStr">
        <s:is>
          <s:t xml:space="preserve">Nie wykonano</s:t>
        </s:is>
      </s:c>
      <s:c r="M104" s="4" t="inlineStr">
        <s:is>
          <s:t xml:space="preserve">harborlight-v1-commerce.js
harborlight-v1-engagement.js
backend/account-service.mjs</s:t>
        </s:is>
      </s:c>
    </s:row>
    <s:row r="105" ht="150" customHeight="1">
      <s:c r="A105" s="5" t="inlineStr">
        <s:is>
          <s:t xml:space="preserve">PAY-010</s:t>
        </s:is>
      </s:c>
      <s:c r="B105" s="5" t="inlineStr">
        <s:is>
          <s:t xml:space="preserve">Reklamy, płatności i kody</s:t>
        </s:is>
      </s:c>
      <s:c r="C105" s="5" t="inlineStr">
        <s:is>
          <s:t xml:space="preserve">Pierwszy bonus premium nie kotwiczy zegara dwa razy</s:t>
        </s:is>
      </s:c>
      <s:c r="D105" s="5" t="inlineStr">
        <s:is>
          <s:t xml:space="preserve">P0</s:t>
        </s:is>
      </s:c>
      <s:c r="E105" s="5" t="inlineStr">
        <s:is>
          <s:t xml:space="preserve">DEV — izolowany fixture</s:t>
        </s:is>
      </s:c>
      <s:c r="F105" s="5" t="inlineStr">
        <s:is>
          <s:t xml:space="preserve">Syntetyczna wyspa; bez kont chmurowych</s:t>
        </s:is>
      </s:c>
      <s:c r="G105" s="5" t="inlineStr">
        <s:is>
          <s:t xml:space="preserve">Fixture z uprawnieniem bez reklam przed4–8 minutą.</s:t>
        </s:is>
      </s:c>
      <s:c r="H105" s="5" t="inlineStr">
        <s:is>
          <s:t xml:space="preserve">1. Przekrocz pierwszy termin bez odbioru bonusu.
2. Później odbierz materiałowy bonus.
3. Porównaj termin kolejnej propozycji przed i po odbiorze.</s:t>
        </s:is>
      </s:c>
      <s:c r="I105" s="5" t="inlineStr">
        <s:is>
          <s:t xml:space="preserve">• Harmonogram zakotwicza się automatycznie raz.
• Późniejszy odbiór nie uruchamia zegara od nowa i nie wymaga filmu.</s:t>
        </s:is>
      </s:c>
      <s:c r="J105" s="5" t="inlineStr">
        <s:is>
          <s:t xml:space="preserve">Lokalnie</s:t>
        </s:is>
      </s:c>
      <s:c r="K105" s="5" t="inlineStr">
        <s:is>
          <s:t xml:space="preserve">v18 — implementacja; wynik tego scenariusza nie został wpisany</s:t>
        </s:is>
      </s:c>
      <s:c r="L105" s="6" t="inlineStr">
        <s:is>
          <s:t xml:space="preserve">Nie wykonano</s:t>
        </s:is>
      </s:c>
      <s:c r="M105" s="5" t="inlineStr">
        <s:is>
          <s:t xml:space="preserve">harborlight-v1-commerce.js
harborlight-v1-engagement.js
backend/account-service.mjs</s:t>
        </s:is>
      </s:c>
    </s:row>
    <s:row r="106" ht="150" customHeight="1">
      <s:c r="A106" s="4" t="inlineStr">
        <s:is>
          <s:t xml:space="preserve">PAY-011</s:t>
        </s:is>
      </s:c>
      <s:c r="B106" s="4" t="inlineStr">
        <s:is>
          <s:t xml:space="preserve">Reklamy, płatności i kody</s:t>
        </s:is>
      </s:c>
      <s:c r="C106" s="4" t="inlineStr">
        <s:is>
          <s:t xml:space="preserve">Globalny limit20 realizacji kodu</s:t>
        </s:is>
      </s:c>
      <s:c r="D106" s="4" t="inlineStr">
        <s:is>
          <s:t xml:space="preserve">P0</s:t>
        </s:is>
      </s:c>
      <s:c r="E106" s="4" t="inlineStr">
        <s:is>
          <s:t xml:space="preserve">Izolowany projekt / emulator</s:t>
        </s:is>
      </s:c>
      <s:c r="F106" s="4" t="inlineStr">
        <s:is>
          <s:t xml:space="preserve">Jednorazowe konta kampanii</s:t>
        </s:is>
      </s:c>
      <s:c r="G106" s="4" t="inlineStr">
        <s:is>
          <s:t xml:space="preserve">Izolowany transakcyjny backend; kampania maxClaims20, minimum21 jednorazowych UID.</s:t>
        </s:is>
      </s:c>
      <s:c r="H106" s="4" t="inlineStr">
        <s:is>
          <s:t xml:space="preserve">1. Wyślij równolegle21 poprawnych realizacji.
2. Ponów kod z konta, które otrzymało nagrodę.
3. Porównaj saldo i licznik globalny.</s:t>
        </s:is>
      </s:c>
      <s:c r="I106" s="4" t="inlineStr">
        <s:is>
          <s:t xml:space="preserve">• Najwyżej20 kont otrzymuje nagrodę; licznik nie przekracza20.
• Powtórzenie nie wypłaca drugi raz ani nie zwiększa licznika.</s:t>
        </s:is>
      </s:c>
      <s:c r="J106" s="4" t="inlineStr">
        <s:is>
          <s:t xml:space="preserve">Wymaga przygotowania właściciela</s:t>
        </s:is>
      </s:c>
      <s:c r="K106" s="4" t="inlineStr">
        <s:is>
          <s:t xml:space="preserve">API kodów zaimplementowane; aktywacja/IAM wymagają osobnego odbioru</s:t>
        </s:is>
      </s:c>
      <s:c r="L106" s="6" t="inlineStr">
        <s:is>
          <s:t xml:space="preserve">Nie wykonano</s:t>
        </s:is>
      </s:c>
      <s:c r="M106" s="4" t="inlineStr">
        <s:is>
          <s:t xml:space="preserve">harborlight-v1-commerce.js
harborlight-v1-engagement.js
backend/account-service.mjs</s:t>
        </s:is>
      </s:c>
    </s:row>
    <s:row r="107" ht="150" customHeight="1">
      <s:c r="A107" s="5" t="inlineStr">
        <s:is>
          <s:t xml:space="preserve">PAY-012</s:t>
        </s:is>
      </s:c>
      <s:c r="B107" s="5" t="inlineStr">
        <s:is>
          <s:t xml:space="preserve">Reklamy, płatności i kody</s:t>
        </s:is>
      </s:c>
      <s:c r="C107" s="5" t="inlineStr">
        <s:is>
          <s:t xml:space="preserve">Niewłączone API kodów nie udaje sukcesu</s:t>
        </s:is>
      </s:c>
      <s:c r="D107" s="5" t="inlineStr">
        <s:is>
          <s:t xml:space="preserve">P0</s:t>
        </s:is>
      </s:c>
      <s:c r="E107" s="5" t="inlineStr">
        <s:is>
          <s:t xml:space="preserve">DEV — izolowany fixture</s:t>
        </s:is>
      </s:c>
      <s:c r="F107" s="5" t="inlineStr">
        <s:is>
          <s:t xml:space="preserve">Syntetyczna wyspa; bez kont chmurowych</s:t>
        </s:is>
      </s:c>
      <s:c r="G107" s="5" t="inlineStr">
        <s:is>
          <s:t xml:space="preserve">Ścieżka UI kodu, ale backend wyłączony503.</s:t>
        </s:is>
      </s:c>
      <s:c r="H107" s="5" t="inlineStr">
        <s:is>
          <s:t xml:space="preserve">1. Wpisz kod i spróbuj go wykorzystać.
2. Porównaj zasoby oraz komunikat.</s:t>
        </s:is>
      </s:c>
      <s:c r="I107" s="5" t="inlineStr">
        <s:is>
          <s:t xml:space="preserve">• Brak klienckiej fikcyjnej nagrody i globalnego licznika.
• Interfejs jawnie informuje o braku potwierdzenia serwera.</s:t>
        </s:is>
      </s:c>
      <s:c r="J107" s="5" t="inlineStr">
        <s:is>
          <s:t xml:space="preserve">Lokalnie</s:t>
        </s:is>
      </s:c>
      <s:c r="K107" s="5" t="inlineStr">
        <s:is>
          <s:t xml:space="preserve">v18 — implementacja; wynik tego scenariusza nie został wpisany</s:t>
        </s:is>
      </s:c>
      <s:c r="L107" s="6" t="inlineStr">
        <s:is>
          <s:t xml:space="preserve">Nie wykonano</s:t>
        </s:is>
      </s:c>
      <s:c r="M107" s="5" t="inlineStr">
        <s:is>
          <s:t xml:space="preserve">harborlight-v1-commerce.js
harborlight-v1-engagement.js
backend/account-service.mjs</s:t>
        </s:is>
      </s:c>
    </s:row>
    <s:row r="108" ht="150" customHeight="1">
      <s:c r="A108" s="4" t="inlineStr">
        <s:is>
          <s:t xml:space="preserve">TUT-001</s:t>
        </s:is>
      </s:c>
      <s:c r="B108" s="4" t="inlineStr">
        <s:is>
          <s:t xml:space="preserve">Samouczek — 25 prawdziwych działań</s:t>
        </s:is>
      </s:c>
      <s:c r="C108" s="4" t="inlineStr">
        <s:is>
          <s:t xml:space="preserve">01/25 — Wyślij mieszkańca do Gospodarstwa</s:t>
        </s:is>
      </s:c>
      <s:c r="D108" s="4" t="inlineStr">
        <s:is>
          <s:t xml:space="preserve">P1</s:t>
        </s:is>
      </s:c>
      <s:c r="E108" s="4" t="inlineStr">
        <s:is>
          <s:t xml:space="preserve">DEV — izolowany fixture</s:t>
        </s:is>
      </s:c>
      <s:c r="F108" s="4" t="inlineStr">
        <s:is>
          <s:t xml:space="preserve">Syntetyczna wyspa; bez kont chmurowych</s:t>
        </s:is>
      </s:c>
      <s:c r="G108" s="4" t="inlineStr">
        <s:is>
          <s:t xml:space="preserve">Lokalny fixture przed krokiem 1/25 (rules-read); poprzednie kroki ukończone; środki, wolni mieszkańcy i odblokowania potrzebne do tej akcji.</s:t>
        </s:is>
      </s:c>
      <s:c r="H108" s="4" t="inlineStr">
        <s:is>
          <s:t xml:space="preserve">1. Otwórz samouczek i użyj Przejdź do działania.
2. Jeżeli krok ma strzałkę, sprawdź wskazany przycisk; przy kroku dostawy/produkcji obserwuj fizyczne zdarzenie. Samo czytanie nie kończy lekcji.
3. Otwórz Gospodarstwo i naciśnij +1, aby przydzielić rolnika. Wskazany strzałką przycisk rozpoczyna prawdziwą pracę.
4. Porównaj ukończenie i nagrodę po rzeczywistym zdarzeniu; wczytaj zapis.</s:t>
        </s:is>
      </s:c>
      <s:c r="I108" s="4" t="inlineStr">
        <s:is>
          <s:t xml:space="preserve">• Kończy się właściwy krok 1 — rules-read,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08" s="4" t="inlineStr">
        <s:is>
          <s:t xml:space="preserve">Lokalnie</s:t>
        </s:is>
      </s:c>
      <s:c r="K108" s="4" t="inlineStr">
        <s:is>
          <s:t xml:space="preserve">v18 — implementacja; wynik tego scenariusza nie został wpisany</s:t>
        </s:is>
      </s:c>
      <s:c r="L108" s="6" t="inlineStr">
        <s:is>
          <s:t xml:space="preserve">Nie wykonano</s:t>
        </s:is>
      </s:c>
      <s:c r="M108" s="4" t="inlineStr">
        <s:is>
          <s:t xml:space="preserve">harborlight-v1-progression.js
harborlight-v1-v16-copy.js
harborlight-v1-tutorial-ui.js</s:t>
        </s:is>
      </s:c>
    </s:row>
    <s:row r="109" ht="150" customHeight="1">
      <s:c r="A109" s="5" t="inlineStr">
        <s:is>
          <s:t xml:space="preserve">TUT-002</s:t>
        </s:is>
      </s:c>
      <s:c r="B109" s="5" t="inlineStr">
        <s:is>
          <s:t xml:space="preserve">Samouczek — 25 prawdziwych działań</s:t>
        </s:is>
      </s:c>
      <s:c r="C109" s="5" t="inlineStr">
        <s:is>
          <s:t xml:space="preserve">02/25 — Przydziel tragarza do Magazynu</s:t>
        </s:is>
      </s:c>
      <s:c r="D109" s="5" t="inlineStr">
        <s:is>
          <s:t xml:space="preserve">P1</s:t>
        </s:is>
      </s:c>
      <s:c r="E109" s="5" t="inlineStr">
        <s:is>
          <s:t xml:space="preserve">DEV — izolowany fixture</s:t>
        </s:is>
      </s:c>
      <s:c r="F109" s="5" t="inlineStr">
        <s:is>
          <s:t xml:space="preserve">Syntetyczna wyspa; bez kont chmurowych</s:t>
        </s:is>
      </s:c>
      <s:c r="G109" s="5" t="inlineStr">
        <s:is>
          <s:t xml:space="preserve">Lokalny fixture przed krokiem 2/25 (island-map); poprzednie kroki ukończone; środki, wolni mieszkańcy i odblokowania potrzebne do tej akcji.</s:t>
        </s:is>
      </s:c>
      <s:c r="H109" s="5" t="inlineStr">
        <s:is>
          <s:t xml:space="preserve">1. Otwórz samouczek i użyj Przejdź do działania.
2. Jeżeli krok ma strzałkę, sprawdź wskazany przycisk; przy kroku dostawy/produkcji obserwuj fizyczne zdarzenie. Samo czytanie nie kończy lekcji.
3. Otwórz Magazyn i przydziel jednego tragarza. Tragarze przynoszą gotowe produkty do centrali.
4. Porównaj ukończenie i nagrodę po rzeczywistym zdarzeniu; wczytaj zapis.</s:t>
        </s:is>
      </s:c>
      <s:c r="I109" s="5" t="inlineStr">
        <s:is>
          <s:t xml:space="preserve">• Kończy się właściwy krok 2 — island-map,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09" s="5" t="inlineStr">
        <s:is>
          <s:t xml:space="preserve">Lokalnie</s:t>
        </s:is>
      </s:c>
      <s:c r="K109" s="5" t="inlineStr">
        <s:is>
          <s:t xml:space="preserve">v18 — implementacja; wynik tego scenariusza nie został wpisany</s:t>
        </s:is>
      </s:c>
      <s:c r="L109" s="6" t="inlineStr">
        <s:is>
          <s:t xml:space="preserve">Nie wykonano</s:t>
        </s:is>
      </s:c>
      <s:c r="M109" s="5" t="inlineStr">
        <s:is>
          <s:t xml:space="preserve">harborlight-v1-progression.js
harborlight-v1-v16-copy.js
harborlight-v1-tutorial-ui.js</s:t>
        </s:is>
      </s:c>
    </s:row>
    <s:row r="110" ht="150" customHeight="1">
      <s:c r="A110" s="4" t="inlineStr">
        <s:is>
          <s:t xml:space="preserve">TUT-003</s:t>
        </s:is>
      </s:c>
      <s:c r="B110" s="4" t="inlineStr">
        <s:is>
          <s:t xml:space="preserve">Samouczek — 25 prawdziwych działań</s:t>
        </s:is>
      </s:c>
      <s:c r="C110" s="4" t="inlineStr">
        <s:is>
          <s:t xml:space="preserve">03/25 — Uruchom obsadę Młyna</s:t>
        </s:is>
      </s:c>
      <s:c r="D110" s="4" t="inlineStr">
        <s:is>
          <s:t xml:space="preserve">P1</s:t>
        </s:is>
      </s:c>
      <s:c r="E110" s="4" t="inlineStr">
        <s:is>
          <s:t xml:space="preserve">DEV — izolowany fixture</s:t>
        </s:is>
      </s:c>
      <s:c r="F110" s="4" t="inlineStr">
        <s:is>
          <s:t xml:space="preserve">Syntetyczna wyspa; bez kont chmurowych</s:t>
        </s:is>
      </s:c>
      <s:c r="G110" s="4" t="inlineStr">
        <s:is>
          <s:t xml:space="preserve">Lokalny fixture przed krokiem 3/25 (first-job); poprzednie kroki ukończone; środki, wolni mieszkańcy i odblokowania potrzebne do tej akcji.</s:t>
        </s:is>
      </s:c>
      <s:c r="H110" s="4" t="inlineStr">
        <s:is>
          <s:t xml:space="preserve">1. Otwórz samouczek i użyj Przejdź do działania.
2. Jeżeli krok ma strzałkę, sprawdź wskazany przycisk; przy kroku dostawy/produkcji obserwuj fizyczne zdarzenie. Samo czytanie nie kończy lekcji.
3. Przydziel mieszkańca do Młyna. Jedna żywność wymaga dwóch sztuk dostępnego zboża z centrali.
4. Porównaj ukończenie i nagrodę po rzeczywistym zdarzeniu; wczytaj zapis.</s:t>
        </s:is>
      </s:c>
      <s:c r="I110" s="4" t="inlineStr">
        <s:is>
          <s:t xml:space="preserve">• Kończy się właściwy krok 3 — first-job,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0" s="4" t="inlineStr">
        <s:is>
          <s:t xml:space="preserve">Lokalnie</s:t>
        </s:is>
      </s:c>
      <s:c r="K110" s="4" t="inlineStr">
        <s:is>
          <s:t xml:space="preserve">v18 — implementacja; wynik tego scenariusza nie został wpisany</s:t>
        </s:is>
      </s:c>
      <s:c r="L110" s="6" t="inlineStr">
        <s:is>
          <s:t xml:space="preserve">Nie wykonano</s:t>
        </s:is>
      </s:c>
      <s:c r="M110" s="4" t="inlineStr">
        <s:is>
          <s:t xml:space="preserve">harborlight-v1-progression.js
harborlight-v1-v16-copy.js
harborlight-v1-tutorial-ui.js</s:t>
        </s:is>
      </s:c>
    </s:row>
    <s:row r="111" ht="150" customHeight="1">
      <s:c r="A111" s="5" t="inlineStr">
        <s:is>
          <s:t xml:space="preserve">TUT-004</s:t>
        </s:is>
      </s:c>
      <s:c r="B111" s="5" t="inlineStr">
        <s:is>
          <s:t xml:space="preserve">Samouczek — 25 prawdziwych działań</s:t>
        </s:is>
      </s:c>
      <s:c r="C111" s="5" t="inlineStr">
        <s:is>
          <s:t xml:space="preserve">04/25 — Rozpocznij pozyskiwanie drewna</s:t>
        </s:is>
      </s:c>
      <s:c r="D111" s="5" t="inlineStr">
        <s:is>
          <s:t xml:space="preserve">P1</s:t>
        </s:is>
      </s:c>
      <s:c r="E111" s="5" t="inlineStr">
        <s:is>
          <s:t xml:space="preserve">DEV — izolowany fixture</s:t>
        </s:is>
      </s:c>
      <s:c r="F111" s="5" t="inlineStr">
        <s:is>
          <s:t xml:space="preserve">Syntetyczna wyspa; bez kont chmurowych</s:t>
        </s:is>
      </s:c>
      <s:c r="G111" s="5" t="inlineStr">
        <s:is>
          <s:t xml:space="preserve">Lokalny fixture przed krokiem 4/25 (food-check); poprzednie kroki ukończone; środki, wolni mieszkańcy i odblokowania potrzebne do tej akcji.</s:t>
        </s:is>
      </s:c>
      <s:c r="H111" s="5" t="inlineStr">
        <s:is>
          <s:t xml:space="preserve">1. Otwórz samouczek i użyj Przejdź do działania.
2. Jeżeli krok ma strzałkę, sprawdź wskazany przycisk; przy kroku dostawy/produkcji obserwuj fizyczne zdarzenie. Samo czytanie nie kończy lekcji.
3. Przydziel mieszkańca do Obozu drwali, aby zapewnić stałe dostawy drewna na rozbudowę.
4. Porównaj ukończenie i nagrodę po rzeczywistym zdarzeniu; wczytaj zapis.</s:t>
        </s:is>
      </s:c>
      <s:c r="I111" s="5" t="inlineStr">
        <s:is>
          <s:t xml:space="preserve">• Kończy się właściwy krok 4 — food-check,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1" s="5" t="inlineStr">
        <s:is>
          <s:t xml:space="preserve">Lokalnie</s:t>
        </s:is>
      </s:c>
      <s:c r="K111" s="5" t="inlineStr">
        <s:is>
          <s:t xml:space="preserve">v18 — implementacja; wynik tego scenariusza nie został wpisany</s:t>
        </s:is>
      </s:c>
      <s:c r="L111" s="6" t="inlineStr">
        <s:is>
          <s:t xml:space="preserve">Nie wykonano</s:t>
        </s:is>
      </s:c>
      <s:c r="M111" s="5" t="inlineStr">
        <s:is>
          <s:t xml:space="preserve">harborlight-v1-progression.js
harborlight-v1-v16-copy.js
harborlight-v1-tutorial-ui.js</s:t>
        </s:is>
      </s:c>
    </s:row>
    <s:row r="112" ht="150" customHeight="1">
      <s:c r="A112" s="4" t="inlineStr">
        <s:is>
          <s:t xml:space="preserve">TUT-005</s:t>
        </s:is>
      </s:c>
      <s:c r="B112" s="4" t="inlineStr">
        <s:is>
          <s:t xml:space="preserve">Samouczek — 25 prawdziwych działań</s:t>
        </s:is>
      </s:c>
      <s:c r="C112" s="4" t="inlineStr">
        <s:is>
          <s:t xml:space="preserve">05/25 — Rozpocznij rozbudowę Ratusza</s:t>
        </s:is>
      </s:c>
      <s:c r="D112" s="4" t="inlineStr">
        <s:is>
          <s:t xml:space="preserve">P1</s:t>
        </s:is>
      </s:c>
      <s:c r="E112" s="4" t="inlineStr">
        <s:is>
          <s:t xml:space="preserve">DEV — izolowany fixture</s:t>
        </s:is>
      </s:c>
      <s:c r="F112" s="4" t="inlineStr">
        <s:is>
          <s:t xml:space="preserve">Syntetyczna wyspa; bez kont chmurowych</s:t>
        </s:is>
      </s:c>
      <s:c r="G112" s="4" t="inlineStr">
        <s:is>
          <s:t xml:space="preserve">Lokalny fixture przed krokiem 5/25 (townhall-upgrade); poprzednie kroki ukończone; środki, wolni mieszkańcy i odblokowania potrzebne do tej akcji.</s:t>
        </s:is>
      </s:c>
      <s:c r="H112" s="4" t="inlineStr">
        <s:is>
          <s:t xml:space="preserve">1. Otwórz samouczek i użyj Przejdź do działania.
2. Jeżeli krok ma strzałkę, sprawdź wskazany przycisk; przy kroku dostawy/produkcji obserwuj fizyczne zdarzenie. Samo czytanie nie kończy lekcji.
3. Odbierz jednorazowe materiały i zleć rozbudowę Ratusza. Materiały bonusowe można wydawać także przy pełnym zwykłym magazynie.
4. Porównaj ukończenie i nagrodę po rzeczywistym zdarzeniu; wczytaj zapis.</s:t>
        </s:is>
      </s:c>
      <s:c r="I112" s="4" t="inlineStr">
        <s:is>
          <s:t xml:space="preserve">• Kończy się właściwy krok 5 — townhall-upgrade,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2" s="4" t="inlineStr">
        <s:is>
          <s:t xml:space="preserve">Lokalnie</s:t>
        </s:is>
      </s:c>
      <s:c r="K112" s="4" t="inlineStr">
        <s:is>
          <s:t xml:space="preserve">v18 — implementacja; wynik tego scenariusza nie został wpisany</s:t>
        </s:is>
      </s:c>
      <s:c r="L112" s="6" t="inlineStr">
        <s:is>
          <s:t xml:space="preserve">Nie wykonano</s:t>
        </s:is>
      </s:c>
      <s:c r="M112" s="4" t="inlineStr">
        <s:is>
          <s:t xml:space="preserve">harborlight-v1-progression.js
harborlight-v1-v16-copy.js
harborlight-v1-tutorial-ui.js</s:t>
        </s:is>
      </s:c>
    </s:row>
    <s:row r="113" ht="150" customHeight="1">
      <s:c r="A113" s="5" t="inlineStr">
        <s:is>
          <s:t xml:space="preserve">TUT-006</s:t>
        </s:is>
      </s:c>
      <s:c r="B113" s="5" t="inlineStr">
        <s:is>
          <s:t xml:space="preserve">Samouczek — 25 prawdziwych działań</s:t>
        </s:is>
      </s:c>
      <s:c r="C113" s="5" t="inlineStr">
        <s:is>
          <s:t xml:space="preserve">06/25 — Popraw szczęście mieszkańców</s:t>
        </s:is>
      </s:c>
      <s:c r="D113" s="5" t="inlineStr">
        <s:is>
          <s:t xml:space="preserve">P1</s:t>
        </s:is>
      </s:c>
      <s:c r="E113" s="5" t="inlineStr">
        <s:is>
          <s:t xml:space="preserve">DEV — izolowany fixture</s:t>
        </s:is>
      </s:c>
      <s:c r="F113" s="5" t="inlineStr">
        <s:is>
          <s:t xml:space="preserve">Syntetyczna wyspa; bez kont chmurowych</s:t>
        </s:is>
      </s:c>
      <s:c r="G113" s="5" t="inlineStr">
        <s:is>
          <s:t xml:space="preserve">Lokalny fixture przed krokiem 6/25 (happiness-action); poprzednie kroki ukończone; środki, wolni mieszkańcy i odblokowania potrzebne do tej akcji.</s:t>
        </s:is>
      </s:c>
      <s:c r="H113" s="5" t="inlineStr">
        <s:is>
          <s:t xml:space="preserve">1. Otwórz samouczek i użyj Przejdź do działania.
2. Jeżeli krok ma strzałkę, sprawdź wskazany przycisk; przy kroku dostawy/produkcji obserwuj fizyczne zdarzenie. Samo czytanie nie kończy lekcji.
3. Rozdaj punkty Domu, udziel błogosławieństwa albo kup atrakcję. Wykonaj prawdziwe działanie poprawiające szczęście.
4. Porównaj ukończenie i nagrodę po rzeczywistym zdarzeniu; wczytaj zapis.</s:t>
        </s:is>
      </s:c>
      <s:c r="I113" s="5" t="inlineStr">
        <s:is>
          <s:t xml:space="preserve">• Kończy się właściwy krok 6 — happiness-action,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3" s="5" t="inlineStr">
        <s:is>
          <s:t xml:space="preserve">Lokalnie</s:t>
        </s:is>
      </s:c>
      <s:c r="K113" s="5" t="inlineStr">
        <s:is>
          <s:t xml:space="preserve">v18 — implementacja; wynik tego scenariusza nie został wpisany</s:t>
        </s:is>
      </s:c>
      <s:c r="L113" s="6" t="inlineStr">
        <s:is>
          <s:t xml:space="preserve">Nie wykonano</s:t>
        </s:is>
      </s:c>
      <s:c r="M113" s="5" t="inlineStr">
        <s:is>
          <s:t xml:space="preserve">harborlight-v1-progression.js
harborlight-v1-v16-copy.js
harborlight-v1-tutorial-ui.js</s:t>
        </s:is>
      </s:c>
    </s:row>
    <s:row r="114" ht="150" customHeight="1">
      <s:c r="A114" s="4" t="inlineStr">
        <s:is>
          <s:t xml:space="preserve">TUT-007</s:t>
        </s:is>
      </s:c>
      <s:c r="B114" s="4" t="inlineStr">
        <s:is>
          <s:t xml:space="preserve">Samouczek — 25 prawdziwych działań</s:t>
        </s:is>
      </s:c>
      <s:c r="C114" s="4" t="inlineStr">
        <s:is>
          <s:t xml:space="preserve">07/25 — Rozpocznij pozyskiwanie kamienia</s:t>
        </s:is>
      </s:c>
      <s:c r="D114" s="4" t="inlineStr">
        <s:is>
          <s:t xml:space="preserve">P1</s:t>
        </s:is>
      </s:c>
      <s:c r="E114" s="4" t="inlineStr">
        <s:is>
          <s:t xml:space="preserve">DEV — izolowany fixture</s:t>
        </s:is>
      </s:c>
      <s:c r="F114" s="4" t="inlineStr">
        <s:is>
          <s:t xml:space="preserve">Syntetyczna wyspa; bez kont chmurowych</s:t>
        </s:is>
      </s:c>
      <s:c r="G114" s="4" t="inlineStr">
        <s:is>
          <s:t xml:space="preserve">Lokalny fixture przed krokiem 7/25 (workplace-journey); poprzednie kroki ukończone; środki, wolni mieszkańcy i odblokowania potrzebne do tej akcji.</s:t>
        </s:is>
      </s:c>
      <s:c r="H114" s="4" t="inlineStr">
        <s:is>
          <s:t xml:space="preserve">1. Otwórz samouczek i użyj Przejdź do działania.
2. Jeżeli krok ma strzałkę, sprawdź wskazany przycisk; przy kroku dostawy/produkcji obserwuj fizyczne zdarzenie. Samo czytanie nie kończy lekcji.
3. Przydziel mieszkańca do Kamieniołomu. W drodze do pracy nie ma kary bezrobocia, a podatek zaczyna płacić po dojściu.
4. Porównaj ukończenie i nagrodę po rzeczywistym zdarzeniu; wczytaj zapis.</s:t>
        </s:is>
      </s:c>
      <s:c r="I114" s="4" t="inlineStr">
        <s:is>
          <s:t xml:space="preserve">• Kończy się właściwy krok 7 — workplace-journey,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4" s="4" t="inlineStr">
        <s:is>
          <s:t xml:space="preserve">Lokalnie</s:t>
        </s:is>
      </s:c>
      <s:c r="K114" s="4" t="inlineStr">
        <s:is>
          <s:t xml:space="preserve">v18 — implementacja; wynik tego scenariusza nie został wpisany</s:t>
        </s:is>
      </s:c>
      <s:c r="L114" s="6" t="inlineStr">
        <s:is>
          <s:t xml:space="preserve">Nie wykonano</s:t>
        </s:is>
      </s:c>
      <s:c r="M114" s="4" t="inlineStr">
        <s:is>
          <s:t xml:space="preserve">harborlight-v1-progression.js
harborlight-v1-v16-copy.js
harborlight-v1-tutorial-ui.js</s:t>
        </s:is>
      </s:c>
    </s:row>
    <s:row r="115" ht="150" customHeight="1">
      <s:c r="A115" s="5" t="inlineStr">
        <s:is>
          <s:t xml:space="preserve">TUT-008</s:t>
        </s:is>
      </s:c>
      <s:c r="B115" s="5" t="inlineStr">
        <s:is>
          <s:t xml:space="preserve">Samouczek — 25 prawdziwych działań</s:t>
        </s:is>
      </s:c>
      <s:c r="C115" s="5" t="inlineStr">
        <s:is>
          <s:t xml:space="preserve">08/25 — Rozpocznij produkcję desek</s:t>
        </s:is>
      </s:c>
      <s:c r="D115" s="5" t="inlineStr">
        <s:is>
          <s:t xml:space="preserve">P1</s:t>
        </s:is>
      </s:c>
      <s:c r="E115" s="5" t="inlineStr">
        <s:is>
          <s:t xml:space="preserve">DEV — izolowany fixture</s:t>
        </s:is>
      </s:c>
      <s:c r="F115" s="5" t="inlineStr">
        <s:is>
          <s:t xml:space="preserve">Syntetyczna wyspa; bez kont chmurowych</s:t>
        </s:is>
      </s:c>
      <s:c r="G115" s="5" t="inlineStr">
        <s:is>
          <s:t xml:space="preserve">Lokalny fixture przed krokiem 8/25 (resources-dock); poprzednie kroki ukończone; środki, wolni mieszkańcy i odblokowania potrzebne do tej akcji.</s:t>
        </s:is>
      </s:c>
      <s:c r="H115" s="5" t="inlineStr">
        <s:is>
          <s:t xml:space="preserve">1. Otwórz samouczek i użyj Przejdź do działania.
2. Jeżeli krok ma strzałkę, sprawdź wskazany przycisk; przy kroku dostawy/produkcji obserwuj fizyczne zdarzenie. Samo czytanie nie kończy lekcji.
3. Przydziel mieszkańca do Tartaku. Dwie sztuki drewna schodzą z centrali dopiero po ukończeniu deski.
4. Porównaj ukończenie i nagrodę po rzeczywistym zdarzeniu; wczytaj zapis.</s:t>
        </s:is>
      </s:c>
      <s:c r="I115" s="5" t="inlineStr">
        <s:is>
          <s:t xml:space="preserve">• Kończy się właściwy krok 8 — resources-dock,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5" s="5" t="inlineStr">
        <s:is>
          <s:t xml:space="preserve">Lokalnie</s:t>
        </s:is>
      </s:c>
      <s:c r="K115" s="5" t="inlineStr">
        <s:is>
          <s:t xml:space="preserve">v18 — implementacja; wynik tego scenariusza nie został wpisany</s:t>
        </s:is>
      </s:c>
      <s:c r="L115" s="6" t="inlineStr">
        <s:is>
          <s:t xml:space="preserve">Nie wykonano</s:t>
        </s:is>
      </s:c>
      <s:c r="M115" s="5" t="inlineStr">
        <s:is>
          <s:t xml:space="preserve">harborlight-v1-progression.js
harborlight-v1-v16-copy.js
harborlight-v1-tutorial-ui.js</s:t>
        </s:is>
      </s:c>
    </s:row>
    <s:row r="116" ht="150" customHeight="1">
      <s:c r="A116" s="4" t="inlineStr">
        <s:is>
          <s:t xml:space="preserve">TUT-009</s:t>
        </s:is>
      </s:c>
      <s:c r="B116" s="4" t="inlineStr">
        <s:is>
          <s:t xml:space="preserve">Samouczek — 25 prawdziwych działań</s:t>
        </s:is>
      </s:c>
      <s:c r="C116" s="4" t="inlineStr">
        <s:is>
          <s:t xml:space="preserve">09/25 — Wybierz priorytet transportu</s:t>
        </s:is>
      </s:c>
      <s:c r="D116" s="4" t="inlineStr">
        <s:is>
          <s:t xml:space="preserve">P1</s:t>
        </s:is>
      </s:c>
      <s:c r="E116" s="4" t="inlineStr">
        <s:is>
          <s:t xml:space="preserve">DEV — izolowany fixture</s:t>
        </s:is>
      </s:c>
      <s:c r="F116" s="4" t="inlineStr">
        <s:is>
          <s:t xml:space="preserve">Syntetyczna wyspa; bez kont chmurowych</s:t>
        </s:is>
      </s:c>
      <s:c r="G116" s="4" t="inlineStr">
        <s:is>
          <s:t xml:space="preserve">Lokalny fixture przed krokiem 9/25 (transport-priority); poprzednie kroki ukończone; środki, wolni mieszkańcy i odblokowania potrzebne do tej akcji.</s:t>
        </s:is>
      </s:c>
      <s:c r="H116" s="4" t="inlineStr">
        <s:is>
          <s:t xml:space="preserve">1. Otwórz samouczek i użyj Przejdź do działania.
2. Jeżeli krok ma strzałkę, sprawdź wskazany przycisk; przy kroku dostawy/produkcji obserwuj fizyczne zdarzenie. Samo czytanie nie kończy lekcji.
3. Ustaw w Magazynie numerowany priorytet materiału lub Budowy.
4. Porównaj ukończenie i nagrodę po rzeczywistym zdarzeniu; wczytaj zapis.</s:t>
        </s:is>
      </s:c>
      <s:c r="I116" s="4" t="inlineStr">
        <s:is>
          <s:t xml:space="preserve">• Kończy się właściwy krok 9 — transport-priority,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6" s="4" t="inlineStr">
        <s:is>
          <s:t xml:space="preserve">Lokalnie</s:t>
        </s:is>
      </s:c>
      <s:c r="K116" s="4" t="inlineStr">
        <s:is>
          <s:t xml:space="preserve">v18 — implementacja; wynik tego scenariusza nie został wpisany</s:t>
        </s:is>
      </s:c>
      <s:c r="L116" s="6" t="inlineStr">
        <s:is>
          <s:t xml:space="preserve">Nie wykonano</s:t>
        </s:is>
      </s:c>
      <s:c r="M116" s="4" t="inlineStr">
        <s:is>
          <s:t xml:space="preserve">harborlight-v1-progression.js
harborlight-v1-v16-copy.js
harborlight-v1-tutorial-ui.js</s:t>
        </s:is>
      </s:c>
    </s:row>
    <s:row r="117" ht="150" customHeight="1">
      <s:c r="A117" s="5" t="inlineStr">
        <s:is>
          <s:t xml:space="preserve">TUT-010</s:t>
        </s:is>
      </s:c>
      <s:c r="B117" s="5" t="inlineStr">
        <s:is>
          <s:t xml:space="preserve">Samouczek — 25 prawdziwych działań</s:t>
        </s:is>
      </s:c>
      <s:c r="C117" s="5" t="inlineStr">
        <s:is>
          <s:t xml:space="preserve">10/25 — Odbierz prawdziwą dostawę</s:t>
        </s:is>
      </s:c>
      <s:c r="D117" s="5" t="inlineStr">
        <s:is>
          <s:t xml:space="preserve">P1</s:t>
        </s:is>
      </s:c>
      <s:c r="E117" s="5" t="inlineStr">
        <s:is>
          <s:t xml:space="preserve">DEV — izolowany fixture</s:t>
        </s:is>
      </s:c>
      <s:c r="F117" s="5" t="inlineStr">
        <s:is>
          <s:t xml:space="preserve">Syntetyczna wyspa; bez kont chmurowych</s:t>
        </s:is>
      </s:c>
      <s:c r="G117" s="5" t="inlineStr">
        <s:is>
          <s:t xml:space="preserve">Lokalny fixture przed krokiem 10/25 (first-delivery); poprzednie kroki ukończone; środki, wolni mieszkańcy i odblokowania potrzebne do tej akcji.</s:t>
        </s:is>
      </s:c>
      <s:c r="H117" s="5" t="inlineStr">
        <s:is>
          <s:t xml:space="preserve">1. Otwórz samouczek i użyj Przejdź do działania.
2. Jeżeli krok ma strzałkę, sprawdź wskazany przycisk; przy kroku dostawy/produkcji obserwuj fizyczne zdarzenie. Samo czytanie nie kończy lekcji.
3. Poczekaj, aż tragarz zakończy dostawę do centrali. Samo otwarcie okna nie zalicza tego kroku.
4. Porównaj ukończenie i nagrodę po rzeczywistym zdarzeniu; wczytaj zapis.</s:t>
        </s:is>
      </s:c>
      <s:c r="I117" s="5" t="inlineStr">
        <s:is>
          <s:t xml:space="preserve">• Kończy się właściwy krok 10 — first-delivery,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7" s="5" t="inlineStr">
        <s:is>
          <s:t xml:space="preserve">Lokalnie</s:t>
        </s:is>
      </s:c>
      <s:c r="K117" s="5" t="inlineStr">
        <s:is>
          <s:t xml:space="preserve">v18 — implementacja; wynik tego scenariusza nie został wpisany</s:t>
        </s:is>
      </s:c>
      <s:c r="L117" s="6" t="inlineStr">
        <s:is>
          <s:t xml:space="preserve">Nie wykonano</s:t>
        </s:is>
      </s:c>
      <s:c r="M117" s="5" t="inlineStr">
        <s:is>
          <s:t xml:space="preserve">harborlight-v1-progression.js
harborlight-v1-v16-copy.js
harborlight-v1-tutorial-ui.js</s:t>
        </s:is>
      </s:c>
    </s:row>
    <s:row r="118" ht="150" customHeight="1">
      <s:c r="A118" s="4" t="inlineStr">
        <s:is>
          <s:t xml:space="preserve">TUT-011</s:t>
        </s:is>
      </s:c>
      <s:c r="B118" s="4" t="inlineStr">
        <s:is>
          <s:t xml:space="preserve">Samouczek — 25 prawdziwych działań</s:t>
        </s:is>
      </s:c>
      <s:c r="C118" s="4" t="inlineStr">
        <s:is>
          <s:t xml:space="preserve">11/25 — Dodaj kolejnego tragarza</s:t>
        </s:is>
      </s:c>
      <s:c r="D118" s="4" t="inlineStr">
        <s:is>
          <s:t xml:space="preserve">P1</s:t>
        </s:is>
      </s:c>
      <s:c r="E118" s="4" t="inlineStr">
        <s:is>
          <s:t xml:space="preserve">DEV — izolowany fixture</s:t>
        </s:is>
      </s:c>
      <s:c r="F118" s="4" t="inlineStr">
        <s:is>
          <s:t xml:space="preserve">Syntetyczna wyspa; bez kont chmurowych</s:t>
        </s:is>
      </s:c>
      <s:c r="G118" s="4" t="inlineStr">
        <s:is>
          <s:t xml:space="preserve">Lokalny fixture przed krokiem 11/25 (storage-limits); poprzednie kroki ukończone; środki, wolni mieszkańcy i odblokowania potrzebne do tej akcji.</s:t>
        </s:is>
      </s:c>
      <s:c r="H118" s="4" t="inlineStr">
        <s:is>
          <s:t xml:space="preserve">1. Otwórz samouczek i użyj Przejdź do działania.
2. Jeżeli krok ma strzałkę, sprawdź wskazany przycisk; przy kroku dostawy/produkcji obserwuj fizyczne zdarzenie. Samo czytanie nie kończy lekcji.
3. Przydziel jeszcze jedną osobę do Magazynu. Ten krok wymaga nowego przydziału, wykonanego po jego rozpoczęciu.
4. Porównaj ukończenie i nagrodę po rzeczywistym zdarzeniu; wczytaj zapis.</s:t>
        </s:is>
      </s:c>
      <s:c r="I118" s="4" t="inlineStr">
        <s:is>
          <s:t xml:space="preserve">• Kończy się właściwy krok 11 — storage-limits,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8" s="4" t="inlineStr">
        <s:is>
          <s:t xml:space="preserve">Lokalnie</s:t>
        </s:is>
      </s:c>
      <s:c r="K118" s="4" t="inlineStr">
        <s:is>
          <s:t xml:space="preserve">v18 — implementacja; wynik tego scenariusza nie został wpisany</s:t>
        </s:is>
      </s:c>
      <s:c r="L118" s="6" t="inlineStr">
        <s:is>
          <s:t xml:space="preserve">Nie wykonano</s:t>
        </s:is>
      </s:c>
      <s:c r="M118" s="4" t="inlineStr">
        <s:is>
          <s:t xml:space="preserve">harborlight-v1-progression.js
harborlight-v1-v16-copy.js
harborlight-v1-tutorial-ui.js</s:t>
        </s:is>
      </s:c>
    </s:row>
    <s:row r="119" ht="150" customHeight="1">
      <s:c r="A119" s="5" t="inlineStr">
        <s:is>
          <s:t xml:space="preserve">TUT-012</s:t>
        </s:is>
      </s:c>
      <s:c r="B119" s="5" t="inlineStr">
        <s:is>
          <s:t xml:space="preserve">Samouczek — 25 prawdziwych działań</s:t>
        </s:is>
      </s:c>
      <s:c r="C119" s="5" t="inlineStr">
        <s:is>
          <s:t xml:space="preserve">12/25 — Ukończ przetworzony produkt</s:t>
        </s:is>
      </s:c>
      <s:c r="D119" s="5" t="inlineStr">
        <s:is>
          <s:t xml:space="preserve">P1</s:t>
        </s:is>
      </s:c>
      <s:c r="E119" s="5" t="inlineStr">
        <s:is>
          <s:t xml:space="preserve">DEV — izolowany fixture</s:t>
        </s:is>
      </s:c>
      <s:c r="F119" s="5" t="inlineStr">
        <s:is>
          <s:t xml:space="preserve">Syntetyczna wyspa; bez kont chmurowych</s:t>
        </s:is>
      </s:c>
      <s:c r="G119" s="5" t="inlineStr">
        <s:is>
          <s:t xml:space="preserve">Lokalny fixture przed krokiem 12/25 (food-chain); poprzednie kroki ukończone; środki, wolni mieszkańcy i odblokowania potrzebne do tej akcji.</s:t>
        </s:is>
      </s:c>
      <s:c r="H119" s="5" t="inlineStr">
        <s:is>
          <s:t xml:space="preserve">1. Otwórz samouczek i użyj Przejdź do działania.
2. Jeżeli krok ma strzałkę, sprawdź wskazany przycisk; przy kroku dostawy/produkcji obserwuj fizyczne zdarzenie. Samo czytanie nie kończy lekcji.
3. Poczekaj na ukończenie produktu w Młynie lub Tartaku. Krok zalicza prawdziwa produkcja.
4. Porównaj ukończenie i nagrodę po rzeczywistym zdarzeniu; wczytaj zapis.</s:t>
        </s:is>
      </s:c>
      <s:c r="I119" s="5" t="inlineStr">
        <s:is>
          <s:t xml:space="preserve">• Kończy się właściwy krok 12 — food-chain,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19" s="5" t="inlineStr">
        <s:is>
          <s:t xml:space="preserve">Lokalnie</s:t>
        </s:is>
      </s:c>
      <s:c r="K119" s="5" t="inlineStr">
        <s:is>
          <s:t xml:space="preserve">v18 — implementacja; wynik tego scenariusza nie został wpisany</s:t>
        </s:is>
      </s:c>
      <s:c r="L119" s="6" t="inlineStr">
        <s:is>
          <s:t xml:space="preserve">Nie wykonano</s:t>
        </s:is>
      </s:c>
      <s:c r="M119" s="5" t="inlineStr">
        <s:is>
          <s:t xml:space="preserve">harborlight-v1-progression.js
harborlight-v1-v16-copy.js
harborlight-v1-tutorial-ui.js</s:t>
        </s:is>
      </s:c>
    </s:row>
    <s:row r="120" ht="150" customHeight="1">
      <s:c r="A120" s="4" t="inlineStr">
        <s:is>
          <s:t xml:space="preserve">TUT-013</s:t>
        </s:is>
      </s:c>
      <s:c r="B120" s="4" t="inlineStr">
        <s:is>
          <s:t xml:space="preserve">Samouczek — 25 prawdziwych działań</s:t>
        </s:is>
      </s:c>
      <s:c r="C120" s="4" t="inlineStr">
        <s:is>
          <s:t xml:space="preserve">13/25 — Wykorzystaj punkty Domu</s:t>
        </s:is>
      </s:c>
      <s:c r="D120" s="4" t="inlineStr">
        <s:is>
          <s:t xml:space="preserve">P1</s:t>
        </s:is>
      </s:c>
      <s:c r="E120" s="4" t="inlineStr">
        <s:is>
          <s:t xml:space="preserve">DEV — izolowany fixture</s:t>
        </s:is>
      </s:c>
      <s:c r="F120" s="4" t="inlineStr">
        <s:is>
          <s:t xml:space="preserve">Syntetyczna wyspa; bez kont chmurowych</s:t>
        </s:is>
      </s:c>
      <s:c r="G120" s="4" t="inlineStr">
        <s:is>
          <s:t xml:space="preserve">Lokalny fixture przed krokiem 13/25 (house-points); poprzednie kroki ukończone; środki, wolni mieszkańcy i odblokowania potrzebne do tej akcji.</s:t>
        </s:is>
      </s:c>
      <s:c r="H120" s="4" t="inlineStr">
        <s:is>
          <s:t xml:space="preserve">1. Otwórz samouczek i użyj Przejdź do działania.
2. Jeżeli krok ma strzałkę, sprawdź wskazany przycisk; przy kroku dostawy/produkcji obserwuj fizyczne zdarzenie. Samo czytanie nie kończy lekcji.
3. Przekaż punkty szczęścia jednemu mieszkańcowi albo wszystkim. Pula odnawia się o północy Warszawy.
4. Porównaj ukończenie i nagrodę po rzeczywistym zdarzeniu; wczytaj zapis.</s:t>
        </s:is>
      </s:c>
      <s:c r="I120" s="4" t="inlineStr">
        <s:is>
          <s:t xml:space="preserve">• Kończy się właściwy krok 13 — house-points,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0" s="4" t="inlineStr">
        <s:is>
          <s:t xml:space="preserve">Lokalnie</s:t>
        </s:is>
      </s:c>
      <s:c r="K120" s="4" t="inlineStr">
        <s:is>
          <s:t xml:space="preserve">v18 — implementacja; wynik tego scenariusza nie został wpisany</s:t>
        </s:is>
      </s:c>
      <s:c r="L120" s="6" t="inlineStr">
        <s:is>
          <s:t xml:space="preserve">Nie wykonano</s:t>
        </s:is>
      </s:c>
      <s:c r="M120" s="4" t="inlineStr">
        <s:is>
          <s:t xml:space="preserve">harborlight-v1-progression.js
harborlight-v1-v16-copy.js
harborlight-v1-tutorial-ui.js</s:t>
        </s:is>
      </s:c>
    </s:row>
    <s:row r="121" ht="150" customHeight="1">
      <s:c r="A121" s="5" t="inlineStr">
        <s:is>
          <s:t xml:space="preserve">TUT-014</s:t>
        </s:is>
      </s:c>
      <s:c r="B121" s="5" t="inlineStr">
        <s:is>
          <s:t xml:space="preserve">Samouczek — 25 prawdziwych działań</s:t>
        </s:is>
      </s:c>
      <s:c r="C121" s="5" t="inlineStr">
        <s:is>
          <s:t xml:space="preserve">14/25 — Wybierz swoje powiadomienia</s:t>
        </s:is>
      </s:c>
      <s:c r="D121" s="5" t="inlineStr">
        <s:is>
          <s:t xml:space="preserve">P1</s:t>
        </s:is>
      </s:c>
      <s:c r="E121" s="5" t="inlineStr">
        <s:is>
          <s:t xml:space="preserve">DEV — izolowany fixture</s:t>
        </s:is>
      </s:c>
      <s:c r="F121" s="5" t="inlineStr">
        <s:is>
          <s:t xml:space="preserve">Syntetyczna wyspa; bez kont chmurowych</s:t>
        </s:is>
      </s:c>
      <s:c r="G121" s="5" t="inlineStr">
        <s:is>
          <s:t xml:space="preserve">Lokalny fixture przed krokiem 14/25 (personal-happiness); poprzednie kroki ukończone; środki, wolni mieszkańcy i odblokowania potrzebne do tej akcji.</s:t>
        </s:is>
      </s:c>
      <s:c r="H121" s="5" t="inlineStr">
        <s:is>
          <s:t xml:space="preserve">1. Otwórz samouczek i użyj Przejdź do działania.
2. Jeżeli krok ma strzałkę, sprawdź wskazany przycisk; przy kroku dostawy/produkcji obserwuj fizyczne zdarzenie. Samo czytanie nie kończy lekcji.
3. Zmień jedną kategorię powiadomień w Ustawieniach. Wybór dotyczy także licznika dzwonka.
4. Porównaj ukończenie i nagrodę po rzeczywistym zdarzeniu; wczytaj zapis.</s:t>
        </s:is>
      </s:c>
      <s:c r="I121" s="5" t="inlineStr">
        <s:is>
          <s:t xml:space="preserve">• Kończy się właściwy krok 14 — personal-happiness,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1" s="5" t="inlineStr">
        <s:is>
          <s:t xml:space="preserve">Lokalnie</s:t>
        </s:is>
      </s:c>
      <s:c r="K121" s="5" t="inlineStr">
        <s:is>
          <s:t xml:space="preserve">v18 — implementacja; wynik tego scenariusza nie został wpisany</s:t>
        </s:is>
      </s:c>
      <s:c r="L121" s="6" t="inlineStr">
        <s:is>
          <s:t xml:space="preserve">Nie wykonano</s:t>
        </s:is>
      </s:c>
      <s:c r="M121" s="5" t="inlineStr">
        <s:is>
          <s:t xml:space="preserve">harborlight-v1-progression.js
harborlight-v1-v16-copy.js
harborlight-v1-tutorial-ui.js</s:t>
        </s:is>
      </s:c>
    </s:row>
    <s:row r="122" ht="150" customHeight="1">
      <s:c r="A122" s="4" t="inlineStr">
        <s:is>
          <s:t xml:space="preserve">TUT-015</s:t>
        </s:is>
      </s:c>
      <s:c r="B122" s="4" t="inlineStr">
        <s:is>
          <s:t xml:space="preserve">Samouczek — 25 prawdziwych działań</s:t>
        </s:is>
      </s:c>
      <s:c r="C122" s="4" t="inlineStr">
        <s:is>
          <s:t xml:space="preserve">15/25 — Rozbuduj Gospodarstwo</s:t>
        </s:is>
      </s:c>
      <s:c r="D122" s="4" t="inlineStr">
        <s:is>
          <s:t xml:space="preserve">P1</s:t>
        </s:is>
      </s:c>
      <s:c r="E122" s="4" t="inlineStr">
        <s:is>
          <s:t xml:space="preserve">DEV — izolowany fixture</s:t>
        </s:is>
      </s:c>
      <s:c r="F122" s="4" t="inlineStr">
        <s:is>
          <s:t xml:space="preserve">Syntetyczna wyspa; bez kont chmurowych</s:t>
        </s:is>
      </s:c>
      <s:c r="G122" s="4" t="inlineStr">
        <s:is>
          <s:t xml:space="preserve">Lokalny fixture przed krokiem 15/25 (upgrade-cost); poprzednie kroki ukończone; środki, wolni mieszkańcy i odblokowania potrzebne do tej akcji.</s:t>
        </s:is>
      </s:c>
      <s:c r="H122" s="4" t="inlineStr">
        <s:is>
          <s:t xml:space="preserve">1. Otwórz samouczek i użyj Przejdź do działania.
2. Jeżeli krok ma strzałkę, sprawdź wskazany przycisk; przy kroku dostawy/produkcji obserwuj fizyczne zdarzenie. Samo czytanie nie kończy lekcji.
3. Gdy pozwoli na to poziom Ratusza, zleć rozbudowę Gospodarstwa z dostępnych materiałów.
4. Porównaj ukończenie i nagrodę po rzeczywistym zdarzeniu; wczytaj zapis.</s:t>
        </s:is>
      </s:c>
      <s:c r="I122" s="4" t="inlineStr">
        <s:is>
          <s:t xml:space="preserve">• Kończy się właściwy krok 15 — upgrade-cost,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2" s="4" t="inlineStr">
        <s:is>
          <s:t xml:space="preserve">Lokalnie</s:t>
        </s:is>
      </s:c>
      <s:c r="K122" s="4" t="inlineStr">
        <s:is>
          <s:t xml:space="preserve">v18 — implementacja; wynik tego scenariusza nie został wpisany</s:t>
        </s:is>
      </s:c>
      <s:c r="L122" s="6" t="inlineStr">
        <s:is>
          <s:t xml:space="preserve">Nie wykonano</s:t>
        </s:is>
      </s:c>
      <s:c r="M122" s="4" t="inlineStr">
        <s:is>
          <s:t xml:space="preserve">harborlight-v1-progression.js
harborlight-v1-v16-copy.js
harborlight-v1-tutorial-ui.js</s:t>
        </s:is>
      </s:c>
    </s:row>
    <s:row r="123" ht="150" customHeight="1">
      <s:c r="A123" s="5" t="inlineStr">
        <s:is>
          <s:t xml:space="preserve">TUT-016</s:t>
        </s:is>
      </s:c>
      <s:c r="B123" s="5" t="inlineStr">
        <s:is>
          <s:t xml:space="preserve">Samouczek — 25 prawdziwych działań</s:t>
        </s:is>
      </s:c>
      <s:c r="C123" s="5" t="inlineStr">
        <s:is>
          <s:t xml:space="preserve">16/25 — Zleć większy Dom</s:t>
        </s:is>
      </s:c>
      <s:c r="D123" s="5" t="inlineStr">
        <s:is>
          <s:t xml:space="preserve">P1</s:t>
        </s:is>
      </s:c>
      <s:c r="E123" s="5" t="inlineStr">
        <s:is>
          <s:t xml:space="preserve">DEV — izolowany fixture</s:t>
        </s:is>
      </s:c>
      <s:c r="F123" s="5" t="inlineStr">
        <s:is>
          <s:t xml:space="preserve">Syntetyczna wyspa; bez kont chmurowych</s:t>
        </s:is>
      </s:c>
      <s:c r="G123" s="5" t="inlineStr">
        <s:is>
          <s:t xml:space="preserve">Lokalny fixture przed krokiem 16/25 (construction-queue); poprzednie kroki ukończone; środki, wolni mieszkańcy i odblokowania potrzebne do tej akcji.</s:t>
        </s:is>
      </s:c>
      <s:c r="H123" s="5" t="inlineStr">
        <s:is>
          <s:t xml:space="preserve">1. Otwórz samouczek i użyj Przejdź do działania.
2. Jeżeli krok ma strzałkę, sprawdź wskazany przycisk; przy kroku dostawy/produkcji obserwuj fizyczne zdarzenie. Samo czytanie nie kończy lekcji.
3. Zleć rozbudowę Domu. Aktywne budowy i kolejka mają osobne limity.
4. Porównaj ukończenie i nagrodę po rzeczywistym zdarzeniu; wczytaj zapis.</s:t>
        </s:is>
      </s:c>
      <s:c r="I123" s="5" t="inlineStr">
        <s:is>
          <s:t xml:space="preserve">• Kończy się właściwy krok 16 — construction-queue,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3" s="5" t="inlineStr">
        <s:is>
          <s:t xml:space="preserve">Lokalnie</s:t>
        </s:is>
      </s:c>
      <s:c r="K123" s="5" t="inlineStr">
        <s:is>
          <s:t xml:space="preserve">v18 — implementacja; wynik tego scenariusza nie został wpisany</s:t>
        </s:is>
      </s:c>
      <s:c r="L123" s="6" t="inlineStr">
        <s:is>
          <s:t xml:space="preserve">Nie wykonano</s:t>
        </s:is>
      </s:c>
      <s:c r="M123" s="5" t="inlineStr">
        <s:is>
          <s:t xml:space="preserve">harborlight-v1-progression.js
harborlight-v1-v16-copy.js
harborlight-v1-tutorial-ui.js</s:t>
        </s:is>
      </s:c>
    </s:row>
    <s:row r="124" ht="150" customHeight="1">
      <s:c r="A124" s="4" t="inlineStr">
        <s:is>
          <s:t xml:space="preserve">TUT-017</s:t>
        </s:is>
      </s:c>
      <s:c r="B124" s="4" t="inlineStr">
        <s:is>
          <s:t xml:space="preserve">Samouczek — 25 prawdziwych działań</s:t>
        </s:is>
      </s:c>
      <s:c r="C124" s="4" t="inlineStr">
        <s:is>
          <s:t xml:space="preserve">17/25 — Ulepsz odcinek ścieżki</s:t>
        </s:is>
      </s:c>
      <s:c r="D124" s="4" t="inlineStr">
        <s:is>
          <s:t xml:space="preserve">P1</s:t>
        </s:is>
      </s:c>
      <s:c r="E124" s="4" t="inlineStr">
        <s:is>
          <s:t xml:space="preserve">DEV — izolowany fixture</s:t>
        </s:is>
      </s:c>
      <s:c r="F124" s="4" t="inlineStr">
        <s:is>
          <s:t xml:space="preserve">Syntetyczna wyspa; bez kont chmurowych</s:t>
        </s:is>
      </s:c>
      <s:c r="G124" s="4" t="inlineStr">
        <s:is>
          <s:t xml:space="preserve">Lokalny fixture przed krokiem 17/25 (path-upgrade); poprzednie kroki ukończone; środki, wolni mieszkańcy i odblokowania potrzebne do tej akcji.</s:t>
        </s:is>
      </s:c>
      <s:c r="H124" s="4" t="inlineStr">
        <s:is>
          <s:t xml:space="preserve">1. Otwórz samouczek i użyj Przejdź do działania.
2. Jeżeli krok ma strzałkę, sprawdź wskazany przycisk; przy kroku dostawy/produkcji obserwuj fizyczne zdarzenie. Samo czytanie nie kończy lekcji.
3. Wydaj 100 kamienia na odcinek. Ukończ poziom wszystkich ścieżek przed rozpoczęciem następnego.
4. Porównaj ukończenie i nagrodę po rzeczywistym zdarzeniu; wczytaj zapis.</s:t>
        </s:is>
      </s:c>
      <s:c r="I124" s="4" t="inlineStr">
        <s:is>
          <s:t xml:space="preserve">• Kończy się właściwy krok 17 — path-upgrade,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4" s="4" t="inlineStr">
        <s:is>
          <s:t xml:space="preserve">Lokalnie</s:t>
        </s:is>
      </s:c>
      <s:c r="K124" s="4" t="inlineStr">
        <s:is>
          <s:t xml:space="preserve">v18 — implementacja; wynik tego scenariusza nie został wpisany</s:t>
        </s:is>
      </s:c>
      <s:c r="L124" s="6" t="inlineStr">
        <s:is>
          <s:t xml:space="preserve">Nie wykonano</s:t>
        </s:is>
      </s:c>
      <s:c r="M124" s="4" t="inlineStr">
        <s:is>
          <s:t xml:space="preserve">harborlight-v1-progression.js
harborlight-v1-v16-copy.js
harborlight-v1-tutorial-ui.js</s:t>
        </s:is>
      </s:c>
    </s:row>
    <s:row r="125" ht="150" customHeight="1">
      <s:c r="A125" s="5" t="inlineStr">
        <s:is>
          <s:t xml:space="preserve">TUT-018</s:t>
        </s:is>
      </s:c>
      <s:c r="B125" s="5" t="inlineStr">
        <s:is>
          <s:t xml:space="preserve">Samouczek — 25 prawdziwych działań</s:t>
        </s:is>
      </s:c>
      <s:c r="C125" s="5" t="inlineStr">
        <s:is>
          <s:t xml:space="preserve">18/25 — Kup jedną atrakcję</s:t>
        </s:is>
      </s:c>
      <s:c r="D125" s="5" t="inlineStr">
        <s:is>
          <s:t xml:space="preserve">P1</s:t>
        </s:is>
      </s:c>
      <s:c r="E125" s="5" t="inlineStr">
        <s:is>
          <s:t xml:space="preserve">DEV — izolowany fixture</s:t>
        </s:is>
      </s:c>
      <s:c r="F125" s="5" t="inlineStr">
        <s:is>
          <s:t xml:space="preserve">Syntetyczna wyspa; bez kont chmurowych</s:t>
        </s:is>
      </s:c>
      <s:c r="G125" s="5" t="inlineStr">
        <s:is>
          <s:t xml:space="preserve">Lokalny fixture przed krokiem 18/25 (daily-attractions); poprzednie kroki ukończone; środki, wolni mieszkańcy i odblokowania potrzebne do tej akcji.</s:t>
        </s:is>
      </s:c>
      <s:c r="H125" s="5" t="inlineStr">
        <s:is>
          <s:t xml:space="preserve">1. Otwórz samouczek i użyj Przejdź do działania.
2. Jeżeli krok ma strzałkę, sprawdź wskazany przycisk; przy kroku dostawy/produkcji obserwuj fizyczne zdarzenie. Samo czytanie nie kończy lekcji.
3. Wybierz atrakcję, na którą Cię stać. Jednocześnie może działać jedna nowa atrakcja.
4. Porównaj ukończenie i nagrodę po rzeczywistym zdarzeniu; wczytaj zapis.</s:t>
        </s:is>
      </s:c>
      <s:c r="I125" s="5" t="inlineStr">
        <s:is>
          <s:t xml:space="preserve">• Kończy się właściwy krok 18 — daily-attractions,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5" s="5" t="inlineStr">
        <s:is>
          <s:t xml:space="preserve">Lokalnie</s:t>
        </s:is>
      </s:c>
      <s:c r="K125" s="5" t="inlineStr">
        <s:is>
          <s:t xml:space="preserve">v18 — implementacja; wynik tego scenariusza nie został wpisany</s:t>
        </s:is>
      </s:c>
      <s:c r="L125" s="6" t="inlineStr">
        <s:is>
          <s:t xml:space="preserve">Nie wykonano</s:t>
        </s:is>
      </s:c>
      <s:c r="M125" s="5" t="inlineStr">
        <s:is>
          <s:t xml:space="preserve">harborlight-v1-progression.js
harborlight-v1-v16-copy.js
harborlight-v1-tutorial-ui.js</s:t>
        </s:is>
      </s:c>
    </s:row>
    <s:row r="126" ht="150" customHeight="1">
      <s:c r="A126" s="4" t="inlineStr">
        <s:is>
          <s:t xml:space="preserve">TUT-019</s:t>
        </s:is>
      </s:c>
      <s:c r="B126" s="4" t="inlineStr">
        <s:is>
          <s:t xml:space="preserve">Samouczek — 25 prawdziwych działań</s:t>
        </s:is>
      </s:c>
      <s:c r="C126" s="4" t="inlineStr">
        <s:is>
          <s:t xml:space="preserve">19/25 — Uruchom błogosławieństwo</s:t>
        </s:is>
      </s:c>
      <s:c r="D126" s="4" t="inlineStr">
        <s:is>
          <s:t xml:space="preserve">P1</s:t>
        </s:is>
      </s:c>
      <s:c r="E126" s="4" t="inlineStr">
        <s:is>
          <s:t xml:space="preserve">DEV — izolowany fixture</s:t>
        </s:is>
      </s:c>
      <s:c r="F126" s="4" t="inlineStr">
        <s:is>
          <s:t xml:space="preserve">Syntetyczna wyspa; bez kont chmurowych</s:t>
        </s:is>
      </s:c>
      <s:c r="G126" s="4" t="inlineStr">
        <s:is>
          <s:t xml:space="preserve">Lokalny fixture przed krokiem 19/25 (chapel-blessing); poprzednie kroki ukończone; środki, wolni mieszkańcy i odblokowania potrzebne do tej akcji.</s:t>
        </s:is>
      </s:c>
      <s:c r="H126" s="4" t="inlineStr">
        <s:is>
          <s:t xml:space="preserve">1. Otwórz samouczek i użyj Przejdź do działania.
2. Jeżeli krok ma strzałkę, sprawdź wskazany przycisk; przy kroku dostawy/produkcji obserwuj fizyczne zdarzenie. Samo czytanie nie kończy lekcji.
3. Użyj dostępnego darmowego lub płatnego błogosławieństwa. Jedno darmowe użycie odnawia się każdego dnia Warszawy i nie kumuluje się.
4. Porównaj ukończenie i nagrodę po rzeczywistym zdarzeniu; wczytaj zapis.</s:t>
        </s:is>
      </s:c>
      <s:c r="I126" s="4" t="inlineStr">
        <s:is>
          <s:t xml:space="preserve">• Kończy się właściwy krok 19 — chapel-blessing,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6" s="4" t="inlineStr">
        <s:is>
          <s:t xml:space="preserve">Lokalnie</s:t>
        </s:is>
      </s:c>
      <s:c r="K126" s="4" t="inlineStr">
        <s:is>
          <s:t xml:space="preserve">v18 — implementacja; wynik tego scenariusza nie został wpisany</s:t>
        </s:is>
      </s:c>
      <s:c r="L126" s="6" t="inlineStr">
        <s:is>
          <s:t xml:space="preserve">Nie wykonano</s:t>
        </s:is>
      </s:c>
      <s:c r="M126" s="4" t="inlineStr">
        <s:is>
          <s:t xml:space="preserve">harborlight-v1-progression.js
harborlight-v1-v16-copy.js
harborlight-v1-tutorial-ui.js</s:t>
        </s:is>
      </s:c>
    </s:row>
    <s:row r="127" ht="150" customHeight="1">
      <s:c r="A127" s="5" t="inlineStr">
        <s:is>
          <s:t xml:space="preserve">TUT-020</s:t>
        </s:is>
      </s:c>
      <s:c r="B127" s="5" t="inlineStr">
        <s:is>
          <s:t xml:space="preserve">Samouczek — 25 prawdziwych działań</s:t>
        </s:is>
      </s:c>
      <s:c r="C127" s="5" t="inlineStr">
        <s:is>
          <s:t xml:space="preserve">20/25 — Wyślij towar na Targ</s:t>
        </s:is>
      </s:c>
      <s:c r="D127" s="5" t="inlineStr">
        <s:is>
          <s:t xml:space="preserve">P1</s:t>
        </s:is>
      </s:c>
      <s:c r="E127" s="5" t="inlineStr">
        <s:is>
          <s:t xml:space="preserve">DEV — izolowany fixture</s:t>
        </s:is>
      </s:c>
      <s:c r="F127" s="5" t="inlineStr">
        <s:is>
          <s:t xml:space="preserve">Syntetyczna wyspa; bez kont chmurowych</s:t>
        </s:is>
      </s:c>
      <s:c r="G127" s="5" t="inlineStr">
        <s:is>
          <s:t xml:space="preserve">Lokalny fixture przed krokiem 20/25 (market-rules); poprzednie kroki ukończone; środki, wolni mieszkańcy i odblokowania potrzebne do tej akcji.</s:t>
        </s:is>
      </s:c>
      <s:c r="H127" s="5" t="inlineStr">
        <s:is>
          <s:t xml:space="preserve">1. Otwórz samouczek i użyj Przejdź do działania.
2. Jeżeli krok ma strzałkę, sprawdź wskazany przycisk; przy kroku dostawy/produkcji obserwuj fizyczne zdarzenie. Samo czytanie nie kończy lekcji.
3. Od drugiego poziomu Ratusza zleć prawdziwą dostawę na Targ. Towar przenosi jego obsada.
4. Porównaj ukończenie i nagrodę po rzeczywistym zdarzeniu; wczytaj zapis.</s:t>
        </s:is>
      </s:c>
      <s:c r="I127" s="5" t="inlineStr">
        <s:is>
          <s:t xml:space="preserve">• Kończy się właściwy krok 20 — market-rules,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7" s="5" t="inlineStr">
        <s:is>
          <s:t xml:space="preserve">Lokalnie</s:t>
        </s:is>
      </s:c>
      <s:c r="K127" s="5" t="inlineStr">
        <s:is>
          <s:t xml:space="preserve">v18 — implementacja; wynik tego scenariusza nie został wpisany</s:t>
        </s:is>
      </s:c>
      <s:c r="L127" s="6" t="inlineStr">
        <s:is>
          <s:t xml:space="preserve">Nie wykonano</s:t>
        </s:is>
      </s:c>
      <s:c r="M127" s="5" t="inlineStr">
        <s:is>
          <s:t xml:space="preserve">harborlight-v1-progression.js
harborlight-v1-v16-copy.js
harborlight-v1-tutorial-ui.js</s:t>
        </s:is>
      </s:c>
    </s:row>
    <s:row r="128" ht="150" customHeight="1">
      <s:c r="A128" s="4" t="inlineStr">
        <s:is>
          <s:t xml:space="preserve">TUT-021</s:t>
        </s:is>
      </s:c>
      <s:c r="B128" s="4" t="inlineStr">
        <s:is>
          <s:t xml:space="preserve">Samouczek — 25 prawdziwych działań</s:t>
        </s:is>
      </s:c>
      <s:c r="C128" s="4" t="inlineStr">
        <s:is>
          <s:t xml:space="preserve">21/25 — Rozpocznij odbudowę Latarni</s:t>
        </s:is>
      </s:c>
      <s:c r="D128" s="4" t="inlineStr">
        <s:is>
          <s:t xml:space="preserve">P1</s:t>
        </s:is>
      </s:c>
      <s:c r="E128" s="4" t="inlineStr">
        <s:is>
          <s:t xml:space="preserve">DEV — izolowany fixture</s:t>
        </s:is>
      </s:c>
      <s:c r="F128" s="4" t="inlineStr">
        <s:is>
          <s:t xml:space="preserve">Syntetyczna wyspa; bez kont chmurowych</s:t>
        </s:is>
      </s:c>
      <s:c r="G128" s="4" t="inlineStr">
        <s:is>
          <s:t xml:space="preserve">Lokalny fixture przed krokiem 21/25 (lighthouse-visits); poprzednie kroki ukończone; środki, wolni mieszkańcy i odblokowania potrzebne do tej akcji.</s:t>
        </s:is>
      </s:c>
      <s:c r="H128" s="4" t="inlineStr">
        <s:is>
          <s:t xml:space="preserve">1. Otwórz samouczek i użyj Przejdź do działania.
2. Jeżeli krok ma strzałkę, sprawdź wskazany przycisk; przy kroku dostawy/produkcji obserwuj fizyczne zdarzenie. Samo czytanie nie kończy lekcji.
3. Zleć kolejny poziom Latarni. Ukończenie rozbudowy przyzna czasową premię całej wyspie.
4. Porównaj ukończenie i nagrodę po rzeczywistym zdarzeniu; wczytaj zapis.</s:t>
        </s:is>
      </s:c>
      <s:c r="I128" s="4" t="inlineStr">
        <s:is>
          <s:t xml:space="preserve">• Kończy się właściwy krok 21 — lighthouse-visits,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8" s="4" t="inlineStr">
        <s:is>
          <s:t xml:space="preserve">Lokalnie</s:t>
        </s:is>
      </s:c>
      <s:c r="K128" s="4" t="inlineStr">
        <s:is>
          <s:t xml:space="preserve">v18 — implementacja; wynik tego scenariusza nie został wpisany</s:t>
        </s:is>
      </s:c>
      <s:c r="L128" s="6" t="inlineStr">
        <s:is>
          <s:t xml:space="preserve">Nie wykonano</s:t>
        </s:is>
      </s:c>
      <s:c r="M128" s="4" t="inlineStr">
        <s:is>
          <s:t xml:space="preserve">harborlight-v1-progression.js
harborlight-v1-v16-copy.js
harborlight-v1-tutorial-ui.js</s:t>
        </s:is>
      </s:c>
    </s:row>
    <s:row r="129" ht="150" customHeight="1">
      <s:c r="A129" s="5" t="inlineStr">
        <s:is>
          <s:t xml:space="preserve">TUT-022</s:t>
        </s:is>
      </s:c>
      <s:c r="B129" s="5" t="inlineStr">
        <s:is>
          <s:t xml:space="preserve">Samouczek — 25 prawdziwych działań</s:t>
        </s:is>
      </s:c>
      <s:c r="C129" s="5" t="inlineStr">
        <s:is>
          <s:t xml:space="preserve">22/25 — Podejmij zadanie</s:t>
        </s:is>
      </s:c>
      <s:c r="D129" s="5" t="inlineStr">
        <s:is>
          <s:t xml:space="preserve">P1</s:t>
        </s:is>
      </s:c>
      <s:c r="E129" s="5" t="inlineStr">
        <s:is>
          <s:t xml:space="preserve">DEV — izolowany fixture</s:t>
        </s:is>
      </s:c>
      <s:c r="F129" s="5" t="inlineStr">
        <s:is>
          <s:t xml:space="preserve">Syntetyczna wyspa; bez kont chmurowych</s:t>
        </s:is>
      </s:c>
      <s:c r="G129" s="5" t="inlineStr">
        <s:is>
          <s:t xml:space="preserve">Lokalny fixture przed krokiem 22/25 (lighthouse-task); poprzednie kroki ukończone; środki, wolni mieszkańcy i odblokowania potrzebne do tej akcji.</s:t>
        </s:is>
      </s:c>
      <s:c r="H129" s="5" t="inlineStr">
        <s:is>
          <s:t xml:space="preserve">1. Otwórz samouczek i użyj Przejdź do działania.
2. Jeżeli krok ma strzałkę, sprawdź wskazany przycisk; przy kroku dostawy/produkcji obserwuj fizyczne zdarzenie. Samo czytanie nie kończy lekcji.
3. Sprawdź koszt i termin, a następnie potwierdź zadanie. Jednocześnie aktywne jest jedno.
4. Porównaj ukończenie i nagrodę po rzeczywistym zdarzeniu; wczytaj zapis.</s:t>
        </s:is>
      </s:c>
      <s:c r="I129" s="5" t="inlineStr">
        <s:is>
          <s:t xml:space="preserve">• Kończy się właściwy krok 22 — lighthouse-task,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29" s="5" t="inlineStr">
        <s:is>
          <s:t xml:space="preserve">Lokalnie</s:t>
        </s:is>
      </s:c>
      <s:c r="K129" s="5" t="inlineStr">
        <s:is>
          <s:t xml:space="preserve">v18 — implementacja; wynik tego scenariusza nie został wpisany</s:t>
        </s:is>
      </s:c>
      <s:c r="L129" s="6" t="inlineStr">
        <s:is>
          <s:t xml:space="preserve">Nie wykonano</s:t>
        </s:is>
      </s:c>
      <s:c r="M129" s="5" t="inlineStr">
        <s:is>
          <s:t xml:space="preserve">harborlight-v1-progression.js
harborlight-v1-v16-copy.js
harborlight-v1-tutorial-ui.js</s:t>
        </s:is>
      </s:c>
    </s:row>
    <s:row r="130" ht="150" customHeight="1">
      <s:c r="A130" s="4" t="inlineStr">
        <s:is>
          <s:t xml:space="preserve">TUT-023</s:t>
        </s:is>
      </s:c>
      <s:c r="B130" s="4" t="inlineStr">
        <s:is>
          <s:t xml:space="preserve">Samouczek — 25 prawdziwych działań</s:t>
        </s:is>
      </s:c>
      <s:c r="C130" s="4" t="inlineStr">
        <s:is>
          <s:t xml:space="preserve">23/25 — Spróbuj ekspedycji</s:t>
        </s:is>
      </s:c>
      <s:c r="D130" s="4" t="inlineStr">
        <s:is>
          <s:t xml:space="preserve">P1</s:t>
        </s:is>
      </s:c>
      <s:c r="E130" s="4" t="inlineStr">
        <s:is>
          <s:t xml:space="preserve">DEV — izolowany fixture</s:t>
        </s:is>
      </s:c>
      <s:c r="F130" s="4" t="inlineStr">
        <s:is>
          <s:t xml:space="preserve">Syntetyczna wyspa; bez kont chmurowych</s:t>
        </s:is>
      </s:c>
      <s:c r="G130" s="4" t="inlineStr">
        <s:is>
          <s:t xml:space="preserve">Lokalny fixture przed krokiem 23/25 (expedition-rules); poprzednie kroki ukończone; środki, wolni mieszkańcy i odblokowania potrzebne do tej akcji.</s:t>
        </s:is>
      </s:c>
      <s:c r="H130" s="4" t="inlineStr">
        <s:is>
          <s:t xml:space="preserve">1. Otwórz samouczek i użyj Przejdź do działania.
2. Jeżeli krok ma strzałkę, sprawdź wskazany przycisk; przy kroku dostawy/produkcji obserwuj fizyczne zdarzenie. Samo czytanie nie kończy lekcji.
3. Rozpocznij wybraną minigrę. Skrzynia samouczka poczeka do zakończenia ekspedycji.
4. Porównaj ukończenie i nagrodę po rzeczywistym zdarzeniu; wczytaj zapis.</s:t>
        </s:is>
      </s:c>
      <s:c r="I130" s="4" t="inlineStr">
        <s:is>
          <s:t xml:space="preserve">• Kończy się właściwy krok 23 — expedition-rules,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30" s="4" t="inlineStr">
        <s:is>
          <s:t xml:space="preserve">Lokalnie</s:t>
        </s:is>
      </s:c>
      <s:c r="K130" s="4" t="inlineStr">
        <s:is>
          <s:t xml:space="preserve">v18 — implementacja; wynik tego scenariusza nie został wpisany</s:t>
        </s:is>
      </s:c>
      <s:c r="L130" s="6" t="inlineStr">
        <s:is>
          <s:t xml:space="preserve">Nie wykonano</s:t>
        </s:is>
      </s:c>
      <s:c r="M130" s="4" t="inlineStr">
        <s:is>
          <s:t xml:space="preserve">harborlight-v1-progression.js
harborlight-v1-v16-copy.js
harborlight-v1-tutorial-ui.js</s:t>
        </s:is>
      </s:c>
    </s:row>
    <s:row r="131" ht="150" customHeight="1">
      <s:c r="A131" s="5" t="inlineStr">
        <s:is>
          <s:t xml:space="preserve">TUT-024</s:t>
        </s:is>
      </s:c>
      <s:c r="B131" s="5" t="inlineStr">
        <s:is>
          <s:t xml:space="preserve">Samouczek — 25 prawdziwych działań</s:t>
        </s:is>
      </s:c>
      <s:c r="C131" s="5" t="inlineStr">
        <s:is>
          <s:t xml:space="preserve">24/25 — Bezpiecznie odwołaj pracownika</s:t>
        </s:is>
      </s:c>
      <s:c r="D131" s="5" t="inlineStr">
        <s:is>
          <s:t xml:space="preserve">P1</s:t>
        </s:is>
      </s:c>
      <s:c r="E131" s="5" t="inlineStr">
        <s:is>
          <s:t xml:space="preserve">DEV — izolowany fixture</s:t>
        </s:is>
      </s:c>
      <s:c r="F131" s="5" t="inlineStr">
        <s:is>
          <s:t xml:space="preserve">Syntetyczna wyspa; bez kont chmurowych</s:t>
        </s:is>
      </s:c>
      <s:c r="G131" s="5" t="inlineStr">
        <s:is>
          <s:t xml:space="preserve">Lokalny fixture przed krokiem 24/25 (returning-workers); poprzednie kroki ukończone; środki, wolni mieszkańcy i odblokowania potrzebne do tej akcji.</s:t>
        </s:is>
      </s:c>
      <s:c r="H131" s="5" t="inlineStr">
        <s:is>
          <s:t xml:space="preserve">1. Otwórz samouczek i użyj Przejdź do działania.
2. Jeżeli krok ma strzałkę, sprawdź wskazany przycisk; przy kroku dostawy/produkcji obserwuj fizyczne zdarzenie. Samo czytanie nie kończy lekcji.
3. Po ekspedycji odwołaj jednego pracownika. Tragarz z ładunkiem najpierw dokończy kurs, potem wróci do Domu.
4. Porównaj ukończenie i nagrodę po rzeczywistym zdarzeniu; wczytaj zapis.</s:t>
        </s:is>
      </s:c>
      <s:c r="I131" s="5" t="inlineStr">
        <s:is>
          <s:t xml:space="preserve">• Kończy się właściwy krok 24 — returning-workers,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31" s="5" t="inlineStr">
        <s:is>
          <s:t xml:space="preserve">Lokalnie</s:t>
        </s:is>
      </s:c>
      <s:c r="K131" s="5" t="inlineStr">
        <s:is>
          <s:t xml:space="preserve">v18 — implementacja; wynik tego scenariusza nie został wpisany</s:t>
        </s:is>
      </s:c>
      <s:c r="L131" s="6" t="inlineStr">
        <s:is>
          <s:t xml:space="preserve">Nie wykonano</s:t>
        </s:is>
      </s:c>
      <s:c r="M131" s="5" t="inlineStr">
        <s:is>
          <s:t xml:space="preserve">harborlight-v1-progression.js
harborlight-v1-v16-copy.js
harborlight-v1-tutorial-ui.js</s:t>
        </s:is>
      </s:c>
    </s:row>
    <s:row r="132" ht="150" customHeight="1">
      <s:c r="A132" s="4" t="inlineStr">
        <s:is>
          <s:t xml:space="preserve">TUT-025</s:t>
        </s:is>
      </s:c>
      <s:c r="B132" s="4" t="inlineStr">
        <s:is>
          <s:t xml:space="preserve">Samouczek — 25 prawdziwych działań</s:t>
        </s:is>
      </s:c>
      <s:c r="C132" s="4" t="inlineStr">
        <s:is>
          <s:t xml:space="preserve">25/25 — Przekaż darowiznę na zadanie</s:t>
        </s:is>
      </s:c>
      <s:c r="D132" s="4" t="inlineStr">
        <s:is>
          <s:t xml:space="preserve">P1</s:t>
        </s:is>
      </s:c>
      <s:c r="E132" s="4" t="inlineStr">
        <s:is>
          <s:t xml:space="preserve">DEV — izolowany fixture</s:t>
        </s:is>
      </s:c>
      <s:c r="F132" s="4" t="inlineStr">
        <s:is>
          <s:t xml:space="preserve">Syntetyczna wyspa; bez kont chmurowych</s:t>
        </s:is>
      </s:c>
      <s:c r="G132" s="4" t="inlineStr">
        <s:is>
          <s:t xml:space="preserve">Lokalny fixture przed krokiem 25/25 (island-review); poprzednie kroki ukończone; środki, wolni mieszkańcy i odblokowania potrzebne do tej akcji.</s:t>
        </s:is>
      </s:c>
      <s:c r="H132" s="4" t="inlineStr">
        <s:is>
          <s:t xml:space="preserve">1. Otwórz samouczek i użyj Przejdź do działania.
2. Jeżeli krok ma strzałkę, sprawdź wskazany przycisk; przy kroku dostawy/produkcji obserwuj fizyczne zdarzenie. Samo czytanie nie kończy lekcji.
3. Przekaż dostępny materiał na przyjęte zadanie. Ta prawdziwa darowizna kończy Twoje wprowadzenie.
4. Porównaj ukończenie i nagrodę po rzeczywistym zdarzeniu; wczytaj zapis.</s:t>
        </s:is>
      </s:c>
      <s:c r="I132" s="4" t="inlineStr">
        <s:is>
          <s:t xml:space="preserve">• Kończy się właściwy krok 25 — island-review, a nie sąsiednia lekcja.
• Gdy magazyn nie blokuje nagrody, podstawowa skrzynia100–300 każdego z5 materiałów jest przyznana raz. Sama skrzynia nie przyznaje Coins; koszt wykonanego polecenia rozlicza się osobno.
• Jeżeli istnieje przepełnienie, ukończenie pozostaje zapisane, a skrzynia czeka do zwolnienia warunków.</s:t>
        </s:is>
      </s:c>
      <s:c r="J132" s="4" t="inlineStr">
        <s:is>
          <s:t xml:space="preserve">Lokalnie</s:t>
        </s:is>
      </s:c>
      <s:c r="K132" s="4" t="inlineStr">
        <s:is>
          <s:t xml:space="preserve">v18 — implementacja; wynik tego scenariusza nie został wpisany</s:t>
        </s:is>
      </s:c>
      <s:c r="L132" s="6" t="inlineStr">
        <s:is>
          <s:t xml:space="preserve">Nie wykonano</s:t>
        </s:is>
      </s:c>
      <s:c r="M132" s="4" t="inlineStr">
        <s:is>
          <s:t xml:space="preserve">harborlight-v1-progression.js
harborlight-v1-v16-copy.js
harborlight-v1-tutorial-ui.js</s:t>
        </s:is>
      </s:c>
    </s:row>
    <s:row r="133" ht="150" customHeight="1">
      <s:c r="A133" s="5" t="inlineStr">
        <s:is>
          <s:t xml:space="preserve">TUX-001</s:t>
        </s:is>
      </s:c>
      <s:c r="B133" s="5" t="inlineStr">
        <s:is>
          <s:t xml:space="preserve">Samouczek — przepełnienie i prowadzenie</s:t>
        </s:is>
      </s:c>
      <s:c r="C133" s="5" t="inlineStr">
        <s:is>
          <s:t xml:space="preserve">Przepełnienie blokuje tylko następną skrzynię</s:t>
        </s:is>
      </s:c>
      <s:c r="D133" s="5" t="inlineStr">
        <s:is>
          <s:t xml:space="preserve">P0</s:t>
        </s:is>
      </s:c>
      <s:c r="E133" s="5" t="inlineStr">
        <s:is>
          <s:t xml:space="preserve">DEV — izolowany fixture</s:t>
        </s:is>
      </s:c>
      <s:c r="F133" s="5" t="inlineStr">
        <s:is>
          <s:t xml:space="preserve">Syntetyczna wyspa; bez kont chmurowych</s:t>
        </s:is>
      </s:c>
      <s:c r="G133" s="5" t="inlineStr">
        <s:is>
          <s:t xml:space="preserve">Fixture pierwszych czterech skrzyń, ziarno57, próg magazynu przekroczony.</s:t>
        </s:is>
      </s:c>
      <s:c r="H133" s="5" t="inlineStr">
        <s:is>
          <s:t xml:space="preserve">1. Odbierz legalną czwartą skrzynię.
2. Zleć upgrade i przydziel tragarzy.
3. Odbierz fizycznie zarezerwowane towary, aż oba limity przestaną blokować.</s:t>
        </s:is>
      </s:c>
      <s:c r="I133" s="5" t="inlineStr">
        <s:is>
          <s:t xml:space="preserve">• Czwarta wypłata i jej przegląd nie znikają.
• Zarządzanie i wydawanie działają mimo przepełnienia; kolejna należna skrzynia jest odroczona i wypłacona raz po odblokowaniu.</s:t>
        </s:is>
      </s:c>
      <s:c r="J133" s="5" t="inlineStr">
        <s:is>
          <s:t xml:space="preserve">Lokalnie</s:t>
        </s:is>
      </s:c>
      <s:c r="K133" s="5" t="inlineStr">
        <s:is>
          <s:t xml:space="preserve">v18 — implementacja; wynik tego scenariusza nie został wpisany</s:t>
        </s:is>
      </s:c>
      <s:c r="L133" s="6" t="inlineStr">
        <s:is>
          <s:t xml:space="preserve">Nie wykonano</s:t>
        </s:is>
      </s:c>
      <s:c r="M133" s="5" t="inlineStr">
        <s:is>
          <s:t xml:space="preserve">harborlight-v1-progression.js
harborlight-v1-tutorial-ui.js
harborlight-v1-tutorial.css
tests/harborlight-tutorial-v18-smoke.py</s:t>
        </s:is>
      </s:c>
    </s:row>
    <s:row r="134" ht="150" customHeight="1">
      <s:c r="A134" s="4" t="inlineStr">
        <s:is>
          <s:t xml:space="preserve">TUX-002</s:t>
        </s:is>
      </s:c>
      <s:c r="B134" s="4" t="inlineStr">
        <s:is>
          <s:t xml:space="preserve">Samouczek — przepełnienie i prowadzenie</s:t>
        </s:is>
      </s:c>
      <s:c r="C134" s="4" t="inlineStr">
        <s:is>
          <s:t xml:space="preserve">Tło podpowiedzi przepuszcza kliknięcia w wyspę</s:t>
        </s:is>
      </s:c>
      <s:c r="D134" s="4" t="inlineStr">
        <s:is>
          <s:t xml:space="preserve">P0</s:t>
        </s:is>
      </s:c>
      <s:c r="E134" s="4" t="inlineStr">
        <s:is>
          <s:t xml:space="preserve">DEV — izolowany fixture</s:t>
        </s:is>
      </s:c>
      <s:c r="F134" s="4" t="inlineStr">
        <s:is>
          <s:t xml:space="preserve">Syntetyczna wyspa; bez kont chmurowych</s:t>
        </s:is>
      </s:c>
      <s:c r="G134" s="4" t="inlineStr">
        <s:is>
          <s:t xml:space="preserve">Lokalny harness ustawia pływającą podpowiedź nad hotspotem Magazynu.</s:t>
        </s:is>
      </s:c>
      <s:c r="H134" s="4" t="inlineStr">
        <s:is>
          <s:t xml:space="preserve">1. Kliknij Magazyn przez nieinteraktywne tło podpowiedzi.
2. Następnie użyj właściwego przycisku samej podpowiedzi.</s:t>
        </s:is>
      </s:c>
      <s:c r="I134" s="4" t="inlineStr">
        <s:is>
          <s:t xml:space="preserve">• Tło nie przechwytuje kliknięcia budynku.
• Przyciski podpowiedzi pozostają dostępne wskaźnikiem i klawiaturą.</s:t>
        </s:is>
      </s:c>
      <s:c r="J134" s="4" t="inlineStr">
        <s:is>
          <s:t xml:space="preserve">Lokalnie</s:t>
        </s:is>
      </s:c>
      <s:c r="K134" s="4" t="inlineStr">
        <s:is>
          <s:t xml:space="preserve">v18 — implementacja; wynik tego scenariusza nie został wpisany</s:t>
        </s:is>
      </s:c>
      <s:c r="L134" s="6" t="inlineStr">
        <s:is>
          <s:t xml:space="preserve">Nie wykonano</s:t>
        </s:is>
      </s:c>
      <s:c r="M134" s="4" t="inlineStr">
        <s:is>
          <s:t xml:space="preserve">harborlight-v1-progression.js
harborlight-v1-tutorial-ui.js
harborlight-v1-tutorial.css
tests/harborlight-tutorial-v18-smoke.py</s:t>
        </s:is>
      </s:c>
    </s:row>
    <s:row r="135" ht="150" customHeight="1">
      <s:c r="A135" s="5" t="inlineStr">
        <s:is>
          <s:t xml:space="preserve">TUX-003</s:t>
        </s:is>
      </s:c>
      <s:c r="B135" s="5" t="inlineStr">
        <s:is>
          <s:t xml:space="preserve">Samouczek — przepełnienie i prowadzenie</s:t>
        </s:is>
      </s:c>
      <s:c r="C135" s="5" t="inlineStr">
        <s:is>
          <s:t xml:space="preserve">Share daje identyczną skrzynię, nie potwierdza FB</s:t>
        </s:is>
      </s:c>
      <s:c r="D135" s="5" t="inlineStr">
        <s:is>
          <s:t xml:space="preserve">P0</s:t>
        </s:is>
      </s:c>
      <s:c r="E135" s="5" t="inlineStr">
        <s:is>
          <s:t xml:space="preserve">DEV — izolowany fixture</s:t>
        </s:is>
      </s:c>
      <s:c r="F135" s="5" t="inlineStr">
        <s:is>
          <s:t xml:space="preserve">Syntetyczna wyspa; bez kont chmurowych</s:t>
        </s:is>
      </s:c>
      <s:c r="G135" s="5" t="inlineStr">
        <s:is>
          <s:t xml:space="preserve">Fixture odebranej skrzyni z zapamiętanym wynikiem i wolną pojemnością.</s:t>
        </s:is>
      </s:c>
      <s:c r="H135" s="5" t="inlineStr">
        <s:is>
          <s:t xml:space="preserve">1. Wybierz opcję udostępnienia/podwojenia.
2. Porównaj drugi grant z pierwszym.
3. Ponów akcję i wczytaj stan.</s:t>
        </s:is>
      </s:c>
      <s:c r="I135" s="5" t="inlineStr">
        <s:is>
          <s:t xml:space="preserve">• Drugi grant jest identyczny, bez nowego losowania i tylko raz.
• UI nie udaje potwierdzonej publikacji Facebooka.</s:t>
        </s:is>
      </s:c>
      <s:c r="J135" s="5" t="inlineStr">
        <s:is>
          <s:t xml:space="preserve">Lokalnie</s:t>
        </s:is>
      </s:c>
      <s:c r="K135" s="5" t="inlineStr">
        <s:is>
          <s:t xml:space="preserve">v18 — implementacja; wynik tego scenariusza nie został wpisany</s:t>
        </s:is>
      </s:c>
      <s:c r="L135" s="6" t="inlineStr">
        <s:is>
          <s:t xml:space="preserve">Nie wykonano</s:t>
        </s:is>
      </s:c>
      <s:c r="M135" s="5" t="inlineStr">
        <s:is>
          <s:t xml:space="preserve">harborlight-v1-progression.js
harborlight-v1-tutorial-ui.js
harborlight-v1-tutorial.css
tests/harborlight-tutorial-v18-smoke.py</s:t>
        </s:is>
      </s:c>
    </s:row>
    <s:row r="136" ht="150" customHeight="1">
      <s:c r="A136" s="4" t="inlineStr">
        <s:is>
          <s:t xml:space="preserve">TUX-004</s:t>
        </s:is>
      </s:c>
      <s:c r="B136" s="4" t="inlineStr">
        <s:is>
          <s:t xml:space="preserve">Samouczek — przepełnienie i prowadzenie</s:t>
        </s:is>
      </s:c>
      <s:c r="C136" s="4" t="inlineStr">
        <s:is>
          <s:t xml:space="preserve">Samouczek i skrzynia czekają na koniec ekspedycji</s:t>
        </s:is>
      </s:c>
      <s:c r="D136" s="4" t="inlineStr">
        <s:is>
          <s:t xml:space="preserve">P0</s:t>
        </s:is>
      </s:c>
      <s:c r="E136" s="4" t="inlineStr">
        <s:is>
          <s:t xml:space="preserve">DEV — izolowany fixture</s:t>
        </s:is>
      </s:c>
      <s:c r="F136" s="4" t="inlineStr">
        <s:is>
          <s:t xml:space="preserve">Syntetyczna wyspa; bez kont chmurowych</s:t>
        </s:is>
      </s:c>
      <s:c r="G136" s="4" t="inlineStr">
        <s:is>
          <s:t xml:space="preserve">Fixture z krokiem23 i uruchamianą minigrą.</s:t>
        </s:is>
      </s:c>
      <s:c r="H136" s="4" t="inlineStr">
        <s:is>
          <s:t xml:space="preserve">1. Rozpocznij ekspedycję kończącą krok.
2. Graj i obserwuj ekran rundy.
3. Zakończ serię przez wypłatę lub rezygnację.</s:t>
        </s:is>
      </s:c>
      <s:c r="I136" s="4" t="inlineStr">
        <s:is>
          <s:t xml:space="preserve">• Samouczek, fanfara i skrzynia nie zasłaniają aktywnej gry.
• Należna prezentacja pojawia się po zakończeniu serii.</s:t>
        </s:is>
      </s:c>
      <s:c r="J136" s="4" t="inlineStr">
        <s:is>
          <s:t xml:space="preserve">Lokalnie</s:t>
        </s:is>
      </s:c>
      <s:c r="K136" s="4" t="inlineStr">
        <s:is>
          <s:t xml:space="preserve">v18 — implementacja; wynik tego scenariusza nie został wpisany</s:t>
        </s:is>
      </s:c>
      <s:c r="L136" s="6" t="inlineStr">
        <s:is>
          <s:t xml:space="preserve">Nie wykonano</s:t>
        </s:is>
      </s:c>
      <s:c r="M136" s="4" t="inlineStr">
        <s:is>
          <s:t xml:space="preserve">harborlight-v1-progression.js
harborlight-v1-tutorial-ui.js
harborlight-v1-tutorial.css
tests/harborlight-tutorial-v18-smoke.py</s:t>
        </s:is>
      </s:c>
    </s:row>
    <s:row r="137" ht="150" customHeight="1">
      <s:c r="A137" s="5" t="inlineStr">
        <s:is>
          <s:t xml:space="preserve">TUX-005</s:t>
        </s:is>
      </s:c>
      <s:c r="B137" s="5" t="inlineStr">
        <s:is>
          <s:t xml:space="preserve">Samouczek — przepełnienie i prowadzenie</s:t>
        </s:is>
      </s:c>
      <s:c r="C137" s="5" t="inlineStr">
        <s:is>
          <s:t xml:space="preserve">Pomoc do Ratusza raz i mimo przepełnienia</s:t>
        </s:is>
      </s:c>
      <s:c r="D137" s="5" t="inlineStr">
        <s:is>
          <s:t xml:space="preserve">P0</s:t>
        </s:is>
      </s:c>
      <s:c r="E137" s="5" t="inlineStr">
        <s:is>
          <s:t xml:space="preserve">DEV — izolowany fixture</s:t>
        </s:is>
      </s:c>
      <s:c r="F137" s="5" t="inlineStr">
        <s:is>
          <s:t xml:space="preserve">Syntetyczna wyspa; bez kont chmurowych</s:t>
        </s:is>
      </s:c>
      <s:c r="G137" s="5" t="inlineStr">
        <s:is>
          <s:t xml:space="preserve">Fixture przed piątym krokiem; środki poniżej potrzeb, magazyn przepełniony nagrodami.</s:t>
        </s:is>
      </s:c>
      <s:c r="H137" s="5" t="inlineStr">
        <s:is>
          <s:t xml:space="preserve">1. Odbierz pomoc.
2. Spróbuj odebrać ją drugi raz.
3. Zleć rozbudowę Ratusza.</s:t>
        </s:is>
      </s:c>
      <s:c r="I137" s="5" t="inlineStr">
        <s:is>
          <s:t xml:space="preserve">• Pomoc zapewnia docelowe500 Coins i materiały wymagane do kroku, Food 600 według konfiguracji.
• Nie jest powtarzalnym źródłem środków i nie jest blokowana jak następna skrzynia.</s:t>
        </s:is>
      </s:c>
      <s:c r="J137" s="5" t="inlineStr">
        <s:is>
          <s:t xml:space="preserve">Lokalnie</s:t>
        </s:is>
      </s:c>
      <s:c r="K137" s="5" t="inlineStr">
        <s:is>
          <s:t xml:space="preserve">v18 — implementacja; wynik tego scenariusza nie został wpisany</s:t>
        </s:is>
      </s:c>
      <s:c r="L137" s="6" t="inlineStr">
        <s:is>
          <s:t xml:space="preserve">Nie wykonano</s:t>
        </s:is>
      </s:c>
      <s:c r="M137" s="5" t="inlineStr">
        <s:is>
          <s:t xml:space="preserve">harborlight-v1-progression.js
harborlight-v1-tutorial-ui.js
harborlight-v1-tutorial.css
tests/harborlight-tutorial-v18-smoke.py</s:t>
        </s:is>
      </s:c>
    </s:row>
    <s:row r="138" ht="150" customHeight="1">
      <s:c r="A138" s="4" t="inlineStr">
        <s:is>
          <s:t xml:space="preserve">TUX-006</s:t>
        </s:is>
      </s:c>
      <s:c r="B138" s="4" t="inlineStr">
        <s:is>
          <s:t xml:space="preserve">Samouczek — przepełnienie i prowadzenie</s:t>
        </s:is>
      </s:c>
      <s:c r="C138" s="4" t="inlineStr">
        <s:is>
          <s:t xml:space="preserve">Wyłączenie automatu i wznowienie zachowują postęp</s:t>
        </s:is>
      </s:c>
      <s:c r="D138" s="4" t="inlineStr">
        <s:is>
          <s:t xml:space="preserve">P1</s:t>
        </s:is>
      </s:c>
      <s:c r="E138" s="4" t="inlineStr">
        <s:is>
          <s:t xml:space="preserve">DEV — izolowany fixture</s:t>
        </s:is>
      </s:c>
      <s:c r="F138" s="4" t="inlineStr">
        <s:is>
          <s:t xml:space="preserve">Syntetyczna wyspa; bez kont chmurowych</s:t>
        </s:is>
      </s:c>
      <s:c r="G138" s="4" t="inlineStr">
        <s:is>
          <s:t xml:space="preserve">Fixture z kilkoma ukończonymi lekcjami i skrzynią.</s:t>
        </s:is>
      </s:c>
      <s:c r="H138" s="4" t="inlineStr">
        <s:is>
          <s:t xml:space="preserve">1. Wyłącz automatyczne pokazywanie.
2. Wczytaj zapis.
3. Otwórz samouczek ręcznie i wznów prowadzenie.</s:t>
        </s:is>
      </s:c>
      <s:c r="I138" s="4" t="inlineStr">
        <s:is>
          <s:t xml:space="preserve">• Ukończenia i wypłaty pozostają zapisane, bez ponownej nagrody.
• Automatyczne otwieranie respektuje wybór gracza.</s:t>
        </s:is>
      </s:c>
      <s:c r="J138" s="4" t="inlineStr">
        <s:is>
          <s:t xml:space="preserve">Lokalnie</s:t>
        </s:is>
      </s:c>
      <s:c r="K138" s="4" t="inlineStr">
        <s:is>
          <s:t xml:space="preserve">v18 — implementacja; wynik tego scenariusza nie został wpisany</s:t>
        </s:is>
      </s:c>
      <s:c r="L138" s="6" t="inlineStr">
        <s:is>
          <s:t xml:space="preserve">Nie wykonano</s:t>
        </s:is>
      </s:c>
      <s:c r="M138" s="4" t="inlineStr">
        <s:is>
          <s:t xml:space="preserve">harborlight-v1-progression.js
harborlight-v1-tutorial-ui.js
harborlight-v1-tutorial.css
tests/harborlight-tutorial-v18-smoke.py</s:t>
        </s:is>
      </s:c>
    </s:row>
    <s:row r="139" ht="150" customHeight="1">
      <s:c r="A139" s="5" t="inlineStr">
        <s:is>
          <s:t xml:space="preserve">SOC-001</s:t>
        </s:is>
      </s:c>
      <s:c r="B139" s="5" t="inlineStr">
        <s:is>
          <s:t xml:space="preserve">Lojalność, zadania i udostępnianie</s:t>
        </s:is>
      </s:c>
      <s:c r="C139" s="5" t="inlineStr">
        <s:is>
          <s:t xml:space="preserve">Lojalność losuje wszystkie sześć zasobów raz</s:t>
        </s:is>
      </s:c>
      <s:c r="D139" s="5" t="inlineStr">
        <s:is>
          <s:t xml:space="preserve">P0</s:t>
        </s:is>
      </s:c>
      <s:c r="E139" s="5" t="inlineStr">
        <s:is>
          <s:t xml:space="preserve">DEV — izolowany fixture</s:t>
        </s:is>
      </s:c>
      <s:c r="F139" s="5" t="inlineStr">
        <s:is>
          <s:t xml:space="preserve">Syntetyczna wyspa; bez kont chmurowych</s:t>
        </s:is>
      </s:c>
      <s:c r="G139" s="5" t="inlineStr">
        <s:is>
          <s:t xml:space="preserve">Fixture kwalifikującego się dnia i Ratusz poniżej4.</s:t>
        </s:is>
      </s:c>
      <s:c r="H139" s="5" t="inlineStr">
        <s:is>
          <s:t xml:space="preserve">1. Otwórz nagrodę i zanotuj draw.
2. Wczytaj stan przed odbiorem.
3. Odbierz, ponów i sprawdź sześć sald.</s:t>
        </s:is>
      </s:c>
      <s:c r="I139" s="5" t="inlineStr">
        <s:is>
          <s:t xml:space="preserve">• Draw50–200 każdego z6 zasobów, takżeCoins, jest utrwalony.
• Powtórzenie tego dnia nic nie dopisuje.</s:t>
        </s:is>
      </s:c>
      <s:c r="J139" s="5" t="inlineStr">
        <s:is>
          <s:t xml:space="preserve">Lokalnie</s:t>
        </s:is>
      </s:c>
      <s:c r="K139" s="5" t="inlineStr">
        <s:is>
          <s:t xml:space="preserve">v18 — implementacja; wynik tego scenariusza nie został wpisany</s:t>
        </s:is>
      </s:c>
      <s:c r="L139" s="6" t="inlineStr">
        <s:is>
          <s:t xml:space="preserve">Nie wykonano</s:t>
        </s:is>
      </s:c>
      <s:c r="M139" s="5" t="inlineStr">
        <s:is>
          <s:t xml:space="preserve">harborlight-v1-progression.js
harborlight-v1-activities.js
harborlight-auth-providers.js</s:t>
        </s:is>
      </s:c>
    </s:row>
    <s:row r="140" ht="150" customHeight="1">
      <s:c r="A140" s="4" t="inlineStr">
        <s:is>
          <s:t xml:space="preserve">SOC-002</s:t>
        </s:is>
      </s:c>
      <s:c r="B140" s="4" t="inlineStr">
        <s:is>
          <s:t xml:space="preserve">Lojalność, zadania i udostępnianie</s:t>
        </s:is>
      </s:c>
      <s:c r="C140" s="4" t="inlineStr">
        <s:is>
          <s:t xml:space="preserve">Koniec lojalności po10 nagrodach lub Ratuszu4</s:t>
        </s:is>
      </s:c>
      <s:c r="D140" s="4" t="inlineStr">
        <s:is>
          <s:t xml:space="preserve">P1</s:t>
        </s:is>
      </s:c>
      <s:c r="E140" s="4" t="inlineStr">
        <s:is>
          <s:t xml:space="preserve">DEV — izolowany fixture</s:t>
        </s:is>
      </s:c>
      <s:c r="F140" s="4" t="inlineStr">
        <s:is>
          <s:t xml:space="preserve">Syntetyczna wyspa; bez kont chmurowych</s:t>
        </s:is>
      </s:c>
      <s:c r="G140" s="4" t="inlineStr">
        <s:is>
          <s:t xml:space="preserve">Dwa fixtures:9 odebranych dni orazRatusz3 z niewykorzystaną nagrodą.</s:t>
        </s:is>
      </s:c>
      <s:c r="H140" s="4" t="inlineStr">
        <s:is>
          <s:t xml:space="preserve">1. Odbierz dziesiątą nagrodę w pierwszym.
2. Osiągnij Ratusz 4 w drugim i wczytaj stan.</s:t>
        </s:is>
      </s:c>
      <s:c r="I140" s="4" t="inlineStr">
        <s:is>
          <s:t xml:space="preserve">• Program zamyka się po dziesiątej wypłacie albo osiągnięciu4; reset/wczytanie nie otwierają go ponownie.</s:t>
        </s:is>
      </s:c>
      <s:c r="J140" s="4" t="inlineStr">
        <s:is>
          <s:t xml:space="preserve">Lokalnie</s:t>
        </s:is>
      </s:c>
      <s:c r="K140" s="4" t="inlineStr">
        <s:is>
          <s:t xml:space="preserve">v18 — implementacja; wynik tego scenariusza nie został wpisany</s:t>
        </s:is>
      </s:c>
      <s:c r="L140" s="6" t="inlineStr">
        <s:is>
          <s:t xml:space="preserve">Nie wykonano</s:t>
        </s:is>
      </s:c>
      <s:c r="M140" s="4" t="inlineStr">
        <s:is>
          <s:t xml:space="preserve">harborlight-v1-progression.js
harborlight-v1-activities.js
harborlight-auth-providers.js</s:t>
        </s:is>
      </s:c>
    </s:row>
    <s:row r="141" ht="150" customHeight="1">
      <s:c r="A141" s="5" t="inlineStr">
        <s:is>
          <s:t xml:space="preserve">SOC-003</s:t>
        </s:is>
      </s:c>
      <s:c r="B141" s="5" t="inlineStr">
        <s:is>
          <s:t xml:space="preserve">Lojalność, zadania i udostępnianie</s:t>
        </s:is>
      </s:c>
      <s:c r="C141" s="5" t="inlineStr">
        <s:is>
          <s:t xml:space="preserve">Przerwa w serii i północ Warszawy</s:t>
        </s:is>
      </s:c>
      <s:c r="D141" s="5" t="inlineStr">
        <s:is>
          <s:t xml:space="preserve">P1</s:t>
        </s:is>
      </s:c>
      <s:c r="E141" s="5" t="inlineStr">
        <s:is>
          <s:t xml:space="preserve">DEV — izolowany fixture</s:t>
        </s:is>
      </s:c>
      <s:c r="F141" s="5" t="inlineStr">
        <s:is>
          <s:t xml:space="preserve">Syntetyczna wyspa; bez kont chmurowych</s:t>
        </s:is>
      </s:c>
      <s:c r="G141" s="5" t="inlineStr">
        <s:is>
          <s:t xml:space="preserve">Fixture aktywnej lojalności z ustalonym ostatnim dniem.</s:t>
        </s:is>
      </s:c>
      <s:c r="H141" s="5" t="inlineStr">
        <s:is>
          <s:t xml:space="preserve">1. Pomiń pełny dzień Warszawy.
2. Powróć i porównaj serię.
3. Sprawdź odbiór tuż przed i po północy.</s:t>
        </s:is>
      </s:c>
      <s:c r="I141" s="5" t="inlineStr">
        <s:is>
          <s:t xml:space="preserve">• Seria uwzględnia przerwę i dzienne granice Warszawy.
• Nie ma dwóch wypłat w tym samym dniu dzięki zmianie strefy urządzenia.</s:t>
        </s:is>
      </s:c>
      <s:c r="J141" s="5" t="inlineStr">
        <s:is>
          <s:t xml:space="preserve">Lokalnie</s:t>
        </s:is>
      </s:c>
      <s:c r="K141" s="5" t="inlineStr">
        <s:is>
          <s:t xml:space="preserve">v18 — implementacja; wynik tego scenariusza nie został wpisany</s:t>
        </s:is>
      </s:c>
      <s:c r="L141" s="6" t="inlineStr">
        <s:is>
          <s:t xml:space="preserve">Nie wykonano</s:t>
        </s:is>
      </s:c>
      <s:c r="M141" s="5" t="inlineStr">
        <s:is>
          <s:t xml:space="preserve">harborlight-v1-progression.js
harborlight-v1-activities.js
harborlight-auth-providers.js</s:t>
        </s:is>
      </s:c>
    </s:row>
    <s:row r="142" ht="150" customHeight="1">
      <s:c r="A142" s="4" t="inlineStr">
        <s:is>
          <s:t xml:space="preserve">SOC-004</s:t>
        </s:is>
      </s:c>
      <s:c r="B142" s="4" t="inlineStr">
        <s:is>
          <s:t xml:space="preserve">Lojalność, zadania i udostępnianie</s:t>
        </s:is>
      </s:c>
      <s:c r="C142" s="4" t="inlineStr">
        <s:is>
          <s:t xml:space="preserve">Akceptacja zadania po sprawdzeniu kosztu</s:t>
        </s:is>
      </s:c>
      <s:c r="D142" s="4" t="inlineStr">
        <s:is>
          <s:t xml:space="preserve">P1</s:t>
        </s:is>
      </s:c>
      <s:c r="E142" s="4" t="inlineStr">
        <s:is>
          <s:t xml:space="preserve">DEV — izolowany fixture</s:t>
        </s:is>
      </s:c>
      <s:c r="F142" s="4" t="inlineStr">
        <s:is>
          <s:t xml:space="preserve">Syntetyczna wyspa; bez kont chmurowych</s:t>
        </s:is>
      </s:c>
      <s:c r="G142" s="4" t="inlineStr">
        <s:is>
          <s:t xml:space="preserve">Fixture propozycji zadania i brak aktywnego zadania.</s:t>
        </s:is>
      </s:c>
      <s:c r="H142" s="4" t="inlineStr">
        <s:is>
          <s:t xml:space="preserve">1. Otwórz ofertę.
2. Porównaj koszt i termin, potwierdź w dozwolonym czasie.
3. Spróbuj zaakceptować drugie zadanie.</s:t>
        </s:is>
      </s:c>
      <s:c r="I142" s="4" t="inlineStr">
        <s:is>
          <s:t xml:space="preserve">• Samo otwarcie nie akceptuje zadania.
• Po świadomym potwierdzeniu istnieje najwyżej jedno aktywne zadanie.</s:t>
        </s:is>
      </s:c>
      <s:c r="J142" s="4" t="inlineStr">
        <s:is>
          <s:t xml:space="preserve">Lokalnie</s:t>
        </s:is>
      </s:c>
      <s:c r="K142" s="4" t="inlineStr">
        <s:is>
          <s:t xml:space="preserve">v18 — implementacja; wynik tego scenariusza nie został wpisany</s:t>
        </s:is>
      </s:c>
      <s:c r="L142" s="6" t="inlineStr">
        <s:is>
          <s:t xml:space="preserve">Nie wykonano</s:t>
        </s:is>
      </s:c>
      <s:c r="M142" s="4" t="inlineStr">
        <s:is>
          <s:t xml:space="preserve">harborlight-v1-progression.js
harborlight-v1-activities.js
harborlight-auth-providers.js</s:t>
        </s:is>
      </s:c>
    </s:row>
    <s:row r="143" ht="150" customHeight="1">
      <s:c r="A143" s="5" t="inlineStr">
        <s:is>
          <s:t xml:space="preserve">SOC-005</s:t>
        </s:is>
      </s:c>
      <s:c r="B143" s="5" t="inlineStr">
        <s:is>
          <s:t xml:space="preserve">Lojalność, zadania i udostępnianie</s:t>
        </s:is>
      </s:c>
      <s:c r="C143" s="5" t="inlineStr">
        <s:is>
          <s:t xml:space="preserve">Wkład do zadania nie jest wydany dwa razy</s:t>
        </s:is>
      </s:c>
      <s:c r="D143" s="5" t="inlineStr">
        <s:is>
          <s:t xml:space="preserve">P0</s:t>
        </s:is>
      </s:c>
      <s:c r="E143" s="5" t="inlineStr">
        <s:is>
          <s:t xml:space="preserve">DEV — izolowany fixture</s:t>
        </s:is>
      </s:c>
      <s:c r="F143" s="5" t="inlineStr">
        <s:is>
          <s:t xml:space="preserve">Syntetyczna wyspa; bez kont chmurowych</s:t>
        </s:is>
      </s:c>
      <s:c r="G143" s="5" t="inlineStr">
        <s:is>
          <s:t xml:space="preserve">Fixture zaakceptowanego zadania i części dostępnych materiałów.</s:t>
        </s:is>
      </s:c>
      <s:c r="H143" s="5" t="inlineStr">
        <s:is>
          <s:t xml:space="preserve">1. Wpłać materiał w dwóch ratach.
2. Spróbuj cofnąć wkład i wydać go na budowę.
3. Doprowadź osobny fixture do wygaśnięcia zadania.</s:t>
        </s:is>
      </s:c>
      <s:c r="I143" s="5" t="inlineStr">
        <s:is>
          <s:t xml:space="preserve">• Wpłacone środki stają się wkładem i nie są dalej wydawalne.
• Wkład wygasłego zadania nie wraca fikcyjnie do magazynu.</s:t>
        </s:is>
      </s:c>
      <s:c r="J143" s="5" t="inlineStr">
        <s:is>
          <s:t xml:space="preserve">Lokalnie</s:t>
        </s:is>
      </s:c>
      <s:c r="K143" s="5" t="inlineStr">
        <s:is>
          <s:t xml:space="preserve">v18 — implementacja; wynik tego scenariusza nie został wpisany</s:t>
        </s:is>
      </s:c>
      <s:c r="L143" s="6" t="inlineStr">
        <s:is>
          <s:t xml:space="preserve">Nie wykonano</s:t>
        </s:is>
      </s:c>
      <s:c r="M143" s="5" t="inlineStr">
        <s:is>
          <s:t xml:space="preserve">harborlight-v1-progression.js
harborlight-v1-activities.js
harborlight-auth-providers.js</s:t>
        </s:is>
      </s:c>
    </s:row>
    <s:row r="144" ht="150" customHeight="1">
      <s:c r="A144" s="4" t="inlineStr">
        <s:is>
          <s:t xml:space="preserve">SOC-006</s:t>
        </s:is>
      </s:c>
      <s:c r="B144" s="4" t="inlineStr">
        <s:is>
          <s:t xml:space="preserve">Lojalność, zadania i udostępnianie</s:t>
        </s:is>
      </s:c>
      <s:c r="C144" s="4" t="inlineStr">
        <s:is>
          <s:t xml:space="preserve">Udostępnienie osiągnięcia wymaga działania gracza</s:t>
        </s:is>
      </s:c>
      <s:c r="D144" s="4" t="inlineStr">
        <s:is>
          <s:t xml:space="preserve">P1</s:t>
        </s:is>
      </s:c>
      <s:c r="E144" s="4" t="inlineStr">
        <s:is>
          <s:t xml:space="preserve">DEV — izolowany fixture</s:t>
        </s:is>
      </s:c>
      <s:c r="F144" s="4" t="inlineStr">
        <s:is>
          <s:t xml:space="preserve">Syntetyczna wyspa; bez kont chmurowych</s:t>
        </s:is>
      </s:c>
      <s:c r="G144" s="4" t="inlineStr">
        <s:is>
          <s:t xml:space="preserve">Fixture osiągniętego celu; brak podłączonej strony FB.</s:t>
        </s:is>
      </s:c>
      <s:c r="H144" s="4" t="inlineStr">
        <s:is>
          <s:t xml:space="preserve">1. Wybierz Udostępnij.
2. Anuluj systemowy composer lub Facebook.
3. Sprawdź komunikaty i żądania.</s:t>
        </s:is>
      </s:c>
      <s:c r="I144" s="4" t="inlineStr">
        <s:is>
          <s:t xml:space="preserve">• Otwarcie jest zainicjowane przez gracza i wymaga jego zatwierdzenia.
• Nie ma automatycznego posta na stronie ani twierdzenia, że anulowany formularz został opublikowany.</s:t>
        </s:is>
      </s:c>
      <s:c r="J144" s="4" t="inlineStr">
        <s:is>
          <s:t xml:space="preserve">Lokalnie</s:t>
        </s:is>
      </s:c>
      <s:c r="K144" s="4" t="inlineStr">
        <s:is>
          <s:t xml:space="preserve">v18 — implementacja; wynik tego scenariusza nie został wpisany</s:t>
        </s:is>
      </s:c>
      <s:c r="L144" s="6" t="inlineStr">
        <s:is>
          <s:t xml:space="preserve">Nie wykonano</s:t>
        </s:is>
      </s:c>
      <s:c r="M144" s="4" t="inlineStr">
        <s:is>
          <s:t xml:space="preserve">harborlight-v1-progression.js
harborlight-v1-activities.js
harborlight-auth-providers.js</s:t>
        </s:is>
      </s:c>
    </s:row>
    <s:row r="145" ht="150" customHeight="1">
      <s:c r="A145" s="5" t="inlineStr">
        <s:is>
          <s:t xml:space="preserve">SOC-007</s:t>
        </s:is>
      </s:c>
      <s:c r="B145" s="5" t="inlineStr">
        <s:is>
          <s:t xml:space="preserve">Lojalność, zadania i udostępnianie</s:t>
        </s:is>
      </s:c>
      <s:c r="C145" s="5" t="inlineStr">
        <s:is>
          <s:t xml:space="preserve">Powiadomienia: filtr dzwonka i kasowanie</s:t>
        </s:is>
      </s:c>
      <s:c r="D145" s="5" t="inlineStr">
        <s:is>
          <s:t xml:space="preserve">P1</s:t>
        </s:is>
      </s:c>
      <s:c r="E145" s="5" t="inlineStr">
        <s:is>
          <s:t xml:space="preserve">DEV — izolowany fixture</s:t>
        </s:is>
      </s:c>
      <s:c r="F145" s="5" t="inlineStr">
        <s:is>
          <s:t xml:space="preserve">Syntetyczna wyspa; bez kont chmurowych</s:t>
        </s:is>
      </s:c>
      <s:c r="G145" s="5" t="inlineStr">
        <s:is>
          <s:t xml:space="preserve">Fixture z przeczytanymi i nieprzeczytanymi wiadomościami różnych kategorii.</s:t>
        </s:is>
      </s:c>
      <s:c r="H145" s="5" t="inlineStr">
        <s:is>
          <s:t xml:space="preserve">1. Wyłącz jedną kategorię.
2. Porównaj listę z dzwonkiem.
3. Usuń przeczytane i sprawdź nieprzeczytane.</s:t>
        </s:is>
      </s:c>
      <s:c r="I145" s="5" t="inlineStr">
        <s:is>
          <s:t xml:space="preserve">• Filtr dotyczy listy i licznika.
• Ręczne kasowanie zachowuje każdą nieprzeczytaną wiadomość; historia nie rośnie powyżej100.</s:t>
        </s:is>
      </s:c>
      <s:c r="J145" s="5" t="inlineStr">
        <s:is>
          <s:t xml:space="preserve">Lokalnie</s:t>
        </s:is>
      </s:c>
      <s:c r="K145" s="5" t="inlineStr">
        <s:is>
          <s:t xml:space="preserve">v18 — implementacja; wynik tego scenariusza nie został wpisany</s:t>
        </s:is>
      </s:c>
      <s:c r="L145" s="6" t="inlineStr">
        <s:is>
          <s:t xml:space="preserve">Nie wykonano</s:t>
        </s:is>
      </s:c>
      <s:c r="M145" s="5" t="inlineStr">
        <s:is>
          <s:t xml:space="preserve">harborlight-v1-progression.js
harborlight-v1-activities.js
harborlight-auth-providers.js</s:t>
        </s:is>
      </s:c>
    </s:row>
    <s:row r="146" ht="150" customHeight="1">
      <s:c r="A146" s="4" t="inlineStr">
        <s:is>
          <s:t xml:space="preserve">OPS-001</s:t>
        </s:is>
      </s:c>
      <s:c r="B146" s="4" t="inlineStr">
        <s:is>
          <s:t xml:space="preserve">Retencja, wdrożenie, bezpieczeństwo i koszty</s:t>
        </s:is>
      </s:c>
      <s:c r="C146" s="4" t="inlineStr">
        <s:is>
          <s:t xml:space="preserve">Wygasła wyspa zachowuje konto i historie</s:t>
        </s:is>
      </s:c>
      <s:c r="D146" s="4" t="inlineStr">
        <s:is>
          <s:t xml:space="preserve">P0</s:t>
        </s:is>
      </s:c>
      <s:c r="E146" s="4" t="inlineStr">
        <s:is>
          <s:t xml:space="preserve">DEV — izolowany fixture</s:t>
        </s:is>
      </s:c>
      <s:c r="F146" s="4" t="inlineStr">
        <s:is>
          <s:t xml:space="preserve">Syntetyczna wyspa; bez kont chmurowych</s:t>
        </s:is>
      </s:c>
      <s:c r="G146" s="4" t="inlineStr">
        <s:is>
          <s:t xml:space="preserve">Izolowana produkcyjna instancja testowa; jednorazowy UID z historią zakupów, kodów i jednorazowych nagród.</s:t>
        </s:is>
      </s:c>
      <s:c r="H146" s="4" t="inlineStr">
        <s:is>
          <s:t xml:space="preserve">1. Przesuń serwerowy czas za3 miesiące kalendarzowe bez realnej gry.
2. Odczytaj wyspę, a po świadomym potwierdzeniu utwórz nową.</s:t>
        </s:is>
      </s:c>
      <s:c r="I146" s="4" t="inlineStr">
        <s:is>
          <s:t xml:space="preserve">• Stara wyspa wygasa, ale konto i historie pozostają.
• Nowa generacja ma świeże środki/ludzi i nie odnawia raz odebranych uprawnień ani pierwotnego welcome.</s:t>
        </s:is>
      </s:c>
      <s:c r="J146" s="4" t="inlineStr">
        <s:is>
          <s:t xml:space="preserve">Lokalnie</s:t>
        </s:is>
      </s:c>
      <s:c r="K146" s="4" t="inlineStr">
        <s:is>
          <s:t xml:space="preserve">v18 — implementacja; wynik tego scenariusza nie został wpisany</s:t>
        </s:is>
      </s:c>
      <s:c r="L146" s="6" t="inlineStr">
        <s:is>
          <s:t xml:space="preserve">Nie wykonano</s:t>
        </s:is>
      </s:c>
      <s:c r="M146" s="4" t="inlineStr">
        <s:is>
          <s:t xml:space="preserve">backend/account-service.mjs
backend/retention.mjs
.github/workflows/google-cloud-dev.yml
.github/workflows/google-cloud-prod.yml
docs/RELEASE-PROCESS.md</s:t>
        </s:is>
      </s:c>
    </s:row>
    <s:row r="147" ht="150" customHeight="1">
      <s:c r="A147" s="5" t="inlineStr">
        <s:is>
          <s:t xml:space="preserve">OPS-002</s:t>
        </s:is>
      </s:c>
      <s:c r="B147" s="5" t="inlineStr">
        <s:is>
          <s:t xml:space="preserve">Retencja, wdrożenie, bezpieczeństwo i koszty</s:t>
        </s:is>
      </s:c>
      <s:c r="C147" s="5" t="inlineStr">
        <s:is>
          <s:t xml:space="preserve">Stara karta nie przywraca usuniętej generacji</s:t>
        </s:is>
      </s:c>
      <s:c r="D147" s="5" t="inlineStr">
        <s:is>
          <s:t xml:space="preserve">P0</s:t>
        </s:is>
      </s:c>
      <s:c r="E147" s="5" t="inlineStr">
        <s:is>
          <s:t xml:space="preserve">DEV — izolowany fixture</s:t>
        </s:is>
      </s:c>
      <s:c r="F147" s="5" t="inlineStr">
        <s:is>
          <s:t xml:space="preserve">Syntetyczna wyspa; bez kont chmurowych</s:t>
        </s:is>
      </s:c>
      <s:c r="G147" s="5" t="inlineStr">
        <s:is>
          <s:t xml:space="preserve">Izolowany backend, zapis generacji1; backend wygasił świat i przeszedł do2.</s:t>
        </s:is>
      </s:c>
      <s:c r="H147" s="5" t="inlineStr">
        <s:is>
          <s:t xml:space="preserve">1. Wyślij stary zapis, activity i kod z generacją1.
2. Odczytaj generację2.</s:t>
        </s:is>
      </s:c>
      <s:c r="I147" s="5" t="inlineStr">
        <s:is>
          <s:t xml:space="preserve">• Stare żądania są odrzucane i nie odtwarzają poprzedniej wyspy ani nie przyznają kolejnej nagrody.</s:t>
        </s:is>
      </s:c>
      <s:c r="J147" s="5" t="inlineStr">
        <s:is>
          <s:t xml:space="preserve">Lokalnie</s:t>
        </s:is>
      </s:c>
      <s:c r="K147" s="5" t="inlineStr">
        <s:is>
          <s:t xml:space="preserve">v18 — implementacja; wynik tego scenariusza nie został wpisany</s:t>
        </s:is>
      </s:c>
      <s:c r="L147" s="6" t="inlineStr">
        <s:is>
          <s:t xml:space="preserve">Nie wykonano</s:t>
        </s:is>
      </s:c>
      <s:c r="M147" s="5" t="inlineStr">
        <s:is>
          <s:t xml:space="preserve">backend/account-service.mjs
backend/retention.mjs
.github/workflows/google-cloud-dev.yml
.github/workflows/google-cloud-prod.yml
docs/RELEASE-PROCESS.md</s:t>
        </s:is>
      </s:c>
    </s:row>
    <s:row r="148" ht="150" customHeight="1">
      <s:c r="A148" s="4" t="inlineStr">
        <s:is>
          <s:t xml:space="preserve">OPS-003</s:t>
        </s:is>
      </s:c>
      <s:c r="B148" s="4" t="inlineStr">
        <s:is>
          <s:t xml:space="preserve">Retencja, wdrożenie, bezpieczeństwo i koszty</s:t>
        </s:is>
      </s:c>
      <s:c r="C148" s="4" t="inlineStr">
        <s:is>
          <s:t xml:space="preserve">Brak obejścia retencji pierwszym zapisem starej karty</s:t>
        </s:is>
      </s:c>
      <s:c r="D148" s="4" t="inlineStr">
        <s:is>
          <s:t xml:space="preserve">P0</s:t>
        </s:is>
      </s:c>
      <s:c r="E148" s="4" t="inlineStr">
        <s:is>
          <s:t xml:space="preserve">DEV — izolowany fixture</s:t>
        </s:is>
      </s:c>
      <s:c r="F148" s="4" t="inlineStr">
        <s:is>
          <s:t xml:space="preserve">Syntetyczna wyspa; bez kont chmurowych</s:t>
        </s:is>
      </s:c>
      <s:c r="G148" s="4" t="inlineStr">
        <s:is>
          <s:t xml:space="preserve">Izolowany backend z przekroczonym terminem3 miesięcy, bez wcześniejszego sweep/read.</s:t>
        </s:is>
      </s:c>
      <s:c r="H148" s="4" t="inlineStr">
        <s:is>
          <s:t xml:space="preserve">1. Jako pierwsze żądanie po terminie wyślij activity, save lub redeemCode.
2. Odczytaj metadane po odmowie.</s:t>
        </s:is>
      </s:c>
      <s:c r="I148" s="4" t="inlineStr">
        <s:is>
          <s:t xml:space="preserve">• Wygaśnięcie zapisuje tombstone przed odpowiedzią410.
• Aktywność nie odnawia już wygasłego świata, a transakcja nie cofa tombstone.</s:t>
        </s:is>
      </s:c>
      <s:c r="J148" s="4" t="inlineStr">
        <s:is>
          <s:t xml:space="preserve">Lokalnie</s:t>
        </s:is>
      </s:c>
      <s:c r="K148" s="4" t="inlineStr">
        <s:is>
          <s:t xml:space="preserve">v18 — implementacja; wynik tego scenariusza nie został wpisany</s:t>
        </s:is>
      </s:c>
      <s:c r="L148" s="6" t="inlineStr">
        <s:is>
          <s:t xml:space="preserve">Nie wykonano</s:t>
        </s:is>
      </s:c>
      <s:c r="M148" s="4" t="inlineStr">
        <s:is>
          <s:t xml:space="preserve">backend/account-service.mjs
backend/retention.mjs
.github/workflows/google-cloud-dev.yml
.github/workflows/google-cloud-prod.yml
docs/RELEASE-PROCESS.md</s:t>
        </s:is>
      </s:c>
    </s:row>
    <s:row r="149" ht="150" customHeight="1">
      <s:c r="A149" s="5" t="inlineStr">
        <s:is>
          <s:t xml:space="preserve">OPS-004</s:t>
        </s:is>
      </s:c>
      <s:c r="B149" s="5" t="inlineStr">
        <s:is>
          <s:t xml:space="preserve">Retencja, wdrożenie, bezpieczeństwo i koszty</s:t>
        </s:is>
      </s:c>
      <s:c r="C149" s="5" t="inlineStr">
        <s:is>
          <s:t xml:space="preserve">Trzy konta PRE-PROD są wyłączone z retencji</s:t>
        </s:is>
      </s:c>
      <s:c r="D149" s="5" t="inlineStr">
        <s:is>
          <s:t xml:space="preserve">P0</s:t>
        </s:is>
      </s:c>
      <s:c r="E149" s="5" t="inlineStr">
        <s:is>
          <s:t xml:space="preserve">DEV — izolowany fixture</s:t>
        </s:is>
      </s:c>
      <s:c r="F149" s="5" t="inlineStr">
        <s:is>
          <s:t xml:space="preserve">Syntetyczna wyspa; bez kont chmurowych</s:t>
        </s:is>
      </s:c>
      <s:c r="G149" s="5" t="inlineStr">
        <s:is>
          <s:t xml:space="preserve">Wyłącznie wymyślone profile o technicznych UID dev-admin1–3 w lokalnym store testowym; żadnych odczytów, kopii i mutacji prawdziwych dokumentów kont.</s:t>
        </s:is>
      </s:c>
      <s:c r="H149" s="5" t="inlineStr">
        <s:is>
          <s:t xml:space="preserve">1. Przesuń czas poza termin i wywołaj retencję w lokalnym modelu.</s:t>
        </s:is>
      </s:c>
      <s:c r="I149" s="5" t="inlineStr">
        <s:is>
          <s:t xml:space="preserve">• Żadne z trzech UID nie jest wygaszane.
• Test nie jest wykonywany mutująco na prawdziwych wyspach.</s:t>
        </s:is>
      </s:c>
      <s:c r="J149" s="5" t="inlineStr">
        <s:is>
          <s:t xml:space="preserve">Lokalnie</s:t>
        </s:is>
      </s:c>
      <s:c r="K149" s="5" t="inlineStr">
        <s:is>
          <s:t xml:space="preserve">v18 — implementacja; wynik tego scenariusza nie został wpisany</s:t>
        </s:is>
      </s:c>
      <s:c r="L149" s="6" t="inlineStr">
        <s:is>
          <s:t xml:space="preserve">Nie wykonano</s:t>
        </s:is>
      </s:c>
      <s:c r="M149" s="5" t="inlineStr">
        <s:is>
          <s:t xml:space="preserve">backend/account-service.mjs
backend/retention.mjs
.github/workflows/google-cloud-dev.yml
.github/workflows/google-cloud-prod.yml
docs/RELEASE-PROCESS.md</s:t>
        </s:is>
      </s:c>
    </s:row>
    <s:row r="150" ht="150" customHeight="1">
      <s:c r="A150" s="4" t="inlineStr">
        <s:is>
          <s:t xml:space="preserve">OPS-005</s:t>
        </s:is>
      </s:c>
      <s:c r="B150" s="4" t="inlineStr">
        <s:is>
          <s:t xml:space="preserve">Retencja, wdrożenie, bezpieczeństwo i koszty</s:t>
        </s:is>
      </s:c>
      <s:c r="C150" s="4" t="inlineStr">
        <s:is>
          <s:t xml:space="preserve">Token innego projektu lub UID odrzucony</s:t>
        </s:is>
      </s:c>
      <s:c r="D150" s="4" t="inlineStr">
        <s:is>
          <s:t xml:space="preserve">P0</s:t>
        </s:is>
      </s:c>
      <s:c r="E150" s="4" t="inlineStr">
        <s:is>
          <s:t xml:space="preserve">DEV — izolowany fixture</s:t>
        </s:is>
      </s:c>
      <s:c r="F150" s="4" t="inlineStr">
        <s:is>
          <s:t xml:space="preserve">Syntetyczna wyspa; bez kont chmurowych</s:t>
        </s:is>
      </s:c>
      <s:c r="G150" s="4" t="inlineStr">
        <s:is>
          <s:t xml:space="preserve">Wyłącznie izolowany backend lub atrapa HTTP odwzorowująca reguły PRE-PROD, kontrolowane podpisane tokeny testowe i brak połączeń do rzeczywistych kont lub wysp.</s:t>
        </s:is>
      </s:c>
      <s:c r="H150" s="4" t="inlineStr">
        <s:is>
          <s:t xml:space="preserve">1. Do izolowanej atrapy API odwzorowującej reguły PRE-PROD wyślij tokeny ze złym aud/iss/terminem/podpisem oraz UID spoza trójki.
2. Wyłącznie w tym izolowanym backendzie spróbuj anonimowego zapisu i odczytaj syntetyczny store po odmowie.</s:t>
        </s:is>
      </s:c>
      <s:c r="I150" s="4" t="inlineStr">
        <s:is>
          <s:t xml:space="preserve">• Niepoprawna tożsamość nie dostaje danych ani prawa zapisu.
• PRE-PROD dopuszcza tylko znane UID; anonimowe operacje są odrzucane.</s:t>
        </s:is>
      </s:c>
      <s:c r="J150" s="4" t="inlineStr">
        <s:is>
          <s:t xml:space="preserve">Lokalnie</s:t>
        </s:is>
      </s:c>
      <s:c r="K150" s="4" t="inlineStr">
        <s:is>
          <s:t xml:space="preserve">v18 — implementacja; wynik tego scenariusza nie został wpisany</s:t>
        </s:is>
      </s:c>
      <s:c r="L150" s="6" t="inlineStr">
        <s:is>
          <s:t xml:space="preserve">Nie wykonano</s:t>
        </s:is>
      </s:c>
      <s:c r="M150" s="4" t="inlineStr">
        <s:is>
          <s:t xml:space="preserve">backend/account-service.mjs
backend/retention.mjs
.github/workflows/google-cloud-dev.yml
.github/workflows/google-cloud-prod.yml
docs/RELEASE-PROCESS.md</s:t>
        </s:is>
      </s:c>
    </s:row>
    <s:row r="151" ht="150" customHeight="1">
      <s:c r="A151" s="5" t="inlineStr">
        <s:is>
          <s:t xml:space="preserve">OPS-006</s:t>
        </s:is>
      </s:c>
      <s:c r="B151" s="5" t="inlineStr">
        <s:is>
          <s:t xml:space="preserve">Retencja, wdrożenie, bezpieczeństwo i koszty</s:t>
        </s:is>
      </s:c>
      <s:c r="C151" s="5" t="inlineStr">
        <s:is>
          <s:t xml:space="preserve">Obraz zawiera wszystkie moduły uruchomieniowe</s:t>
        </s:is>
      </s:c>
      <s:c r="D151" s="5" t="inlineStr">
        <s:is>
          <s:t xml:space="preserve">P0</s:t>
        </s:is>
      </s:c>
      <s:c r="E151" s="5" t="inlineStr">
        <s:is>
          <s:t xml:space="preserve">DEV — izolowany fixture</s:t>
        </s:is>
      </s:c>
      <s:c r="F151" s="5" t="inlineStr">
        <s:is>
          <s:t xml:space="preserve">Syntetyczna wyspa; bez kont chmurowych</s:t>
        </s:is>
      </s:c>
      <s:c r="G151" s="5" t="inlineStr">
        <s:is>
          <s:t xml:space="preserve">Lokalne źródła backendu; dostęp do Docker lub testu filtrowanego pakietu.</s:t>
        </s:is>
      </s:c>
      <s:c r="H151" s="5" t="inlineStr">
        <s:is>
          <s:t xml:space="preserve">1. Uruchom test backend-package.
2. Zbuduj i wystartuj obraz z --network none oraz HARBORLIGHT_ACCOUNT_API=0.
3. Odpytaj /health i /ready.</s:t>
        </s:is>
      </s:c>
      <s:c r="I151" s="5" t="inlineStr">
        <s:is>
          <s:t xml:space="preserve">• Brak ERR_MODULE_NOT_FOUND; obraz startuje przed pobraniem poświadczeń Google.
• Testy i pliki prywatne są wyłączone z kontekstu.</s:t>
        </s:is>
      </s:c>
      <s:c r="J151" s="5" t="inlineStr">
        <s:is>
          <s:t xml:space="preserve">Lokalnie</s:t>
        </s:is>
      </s:c>
      <s:c r="K151" s="5" t="inlineStr">
        <s:is>
          <s:t xml:space="preserve">v18 — implementacja; wynik tego scenariusza nie został wpisany</s:t>
        </s:is>
      </s:c>
      <s:c r="L151" s="6" t="inlineStr">
        <s:is>
          <s:t xml:space="preserve">Nie wykonano</s:t>
        </s:is>
      </s:c>
      <s:c r="M151" s="5" t="inlineStr">
        <s:is>
          <s:t xml:space="preserve">backend/account-service.mjs
backend/retention.mjs
.github/workflows/google-cloud-dev.yml
.github/workflows/google-cloud-prod.yml
docs/RELEASE-PROCESS.md</s:t>
        </s:is>
      </s:c>
    </s:row>
    <s:row r="152" ht="150" customHeight="1">
      <s:c r="A152" s="4" t="inlineStr">
        <s:is>
          <s:t xml:space="preserve">OPS-007</s:t>
        </s:is>
      </s:c>
      <s:c r="B152" s="4" t="inlineStr">
        <s:is>
          <s:t xml:space="preserve">Retencja, wdrożenie, bezpieczeństwo i koszty</s:t>
        </s:is>
      </s:c>
      <s:c r="C152" s="4" t="inlineStr">
        <s:is>
          <s:t xml:space="preserve">PRE-PROD wymaga CI tego samego SHA</s:t>
        </s:is>
      </s:c>
      <s:c r="D152" s="4" t="inlineStr">
        <s:is>
          <s:t xml:space="preserve">P0</s:t>
        </s:is>
      </s:c>
      <s:c r="E152" s="4" t="inlineStr">
        <s:is>
          <s:t xml:space="preserve">DEV — izolowany fixture</s:t>
        </s:is>
      </s:c>
      <s:c r="F152" s="4" t="inlineStr">
        <s:is>
          <s:t xml:space="preserve">Syntetyczna wyspa; bez kont chmurowych</s:t>
        </s:is>
      </s:c>
      <s:c r="G152" s="4" t="inlineStr">
        <s:is>
          <s:t xml:space="preserve">Wyłącznie lokalny verifier bramki promocji z atrapami odpowiedzi GitHuba; bez uruchamiania workflow i bez poświadczeń lub zmian GCP.</s:t>
        </s:is>
      </s:c>
      <s:c r="H152" s="4" t="inlineStr">
        <s:is>
          <s:t xml:space="preserve">1. W lokalnym verifierze podaj syntetyczny SHA bez zielonego CI oraz inny SHA niż w zasymulowanym udanym CI.
2. Następnie sprawdź syntetyczne właściwe SHA z atrapą udanego CI. Nie wywołuj dispatch ani rzeczywistego wdrożenia.</s:t>
        </s:is>
      </s:c>
      <s:c r="I152" s="4" t="inlineStr">
        <s:is>
          <s:t xml:space="preserve">• Verifier odrzuca brak zielonego CI oraz niezgodność SHA przed etapem dostępu do poświadczeń.
• Poprawny zestaw dowodów przechodzi wyłącznie lokalną kontrolę bramki. Test nie wysyła obrazów ani pakietu i nie zmienia chmury.</s:t>
        </s:is>
      </s:c>
      <s:c r="J152" s="4" t="inlineStr">
        <s:is>
          <s:t xml:space="preserve">Lokalnie</s:t>
        </s:is>
      </s:c>
      <s:c r="K152" s="4" t="inlineStr">
        <s:is>
          <s:t xml:space="preserve">v18 — implementacja; wynik tego scenariusza nie został wpisany</s:t>
        </s:is>
      </s:c>
      <s:c r="L152" s="6" t="inlineStr">
        <s:is>
          <s:t xml:space="preserve">Nie wykonano</s:t>
        </s:is>
      </s:c>
      <s:c r="M152" s="4" t="inlineStr">
        <s:is>
          <s:t xml:space="preserve">backend/account-service.mjs
backend/retention.mjs
.github/workflows/google-cloud-dev.yml
.github/workflows/google-cloud-prod.yml
docs/RELEASE-PROCESS.md
tests/harborlight-promotion.test.mjs</s:t>
        </s:is>
      </s:c>
    </s:row>
    <s:row r="153" ht="150" customHeight="1">
      <s:c r="A153" s="5" t="inlineStr">
        <s:is>
          <s:t xml:space="preserve">OPS-008</s:t>
        </s:is>
      </s:c>
      <s:c r="B153" s="5" t="inlineStr">
        <s:is>
          <s:t xml:space="preserve">Retencja, wdrożenie, bezpieczeństwo i koszty</s:t>
        </s:is>
      </s:c>
      <s:c r="C153" s="5" t="inlineStr">
        <s:is>
          <s:t xml:space="preserve">PROD nie przebudowuje i nie pomija dowodu PRE-PROD</s:t>
        </s:is>
      </s:c>
      <s:c r="D153" s="5" t="inlineStr">
        <s:is>
          <s:t xml:space="preserve">P0</s:t>
        </s:is>
      </s:c>
      <s:c r="E153" s="5" t="inlineStr">
        <s:is>
          <s:t xml:space="preserve">DEV — izolowany fixture</s:t>
        </s:is>
      </s:c>
      <s:c r="F153" s="5" t="inlineStr">
        <s:is>
          <s:t xml:space="preserve">Syntetyczna wyspa; bez kont chmurowych</s:t>
        </s:is>
      </s:c>
      <s:c r="G153" s="5" t="inlineStr">
        <s:is>
          <s:t xml:space="preserve">Test bramki promocji, bez wykonywania prawdziwego wdrożenia PROD.</s:t>
        </s:is>
      </s:c>
      <s:c r="H153" s="5" t="inlineStr">
        <s:is>
          <s:t xml:space="preserve">1. Podaj niepełne receipt lub brak jednego artefaktu.
2. Podmień hash/commit.
3. Sprawdź prawidłową parę w testowym verifierze.</s:t>
        </s:is>
      </s:c>
      <s:c r="I153" s="5" t="inlineStr">
        <s:is>
          <s:t xml:space="preserve">• Brak lub podmiana są odrzucone.
• Poprawna promocja używa identycznego archiwum i digestu obrazu; API musi mieć własny dowód PRE-PROD.</s:t>
        </s:is>
      </s:c>
      <s:c r="J153" s="5" t="inlineStr">
        <s:is>
          <s:t xml:space="preserve">Lokalnie</s:t>
        </s:is>
      </s:c>
      <s:c r="K153" s="5" t="inlineStr">
        <s:is>
          <s:t xml:space="preserve">v18 — implementacja; wynik tego scenariusza nie został wpisany</s:t>
        </s:is>
      </s:c>
      <s:c r="L153" s="6" t="inlineStr">
        <s:is>
          <s:t xml:space="preserve">Nie wykonano</s:t>
        </s:is>
      </s:c>
      <s:c r="M153" s="5" t="inlineStr">
        <s:is>
          <s:t xml:space="preserve">backend/account-service.mjs
backend/retention.mjs
.github/workflows/google-cloud-dev.yml
.github/workflows/google-cloud-prod.yml
docs/RELEASE-PROCESS.md</s:t>
        </s:is>
      </s:c>
    </s:row>
    <s:row r="154" ht="150" customHeight="1">
      <s:c r="A154" s="4" t="inlineStr">
        <s:is>
          <s:t xml:space="preserve">OPS-009</s:t>
        </s:is>
      </s:c>
      <s:c r="B154" s="4" t="inlineStr">
        <s:is>
          <s:t xml:space="preserve">Retencja, wdrożenie, bezpieczeństwo i koszty</s:t>
        </s:is>
      </s:c>
      <s:c r="C154" s="4" t="inlineStr">
        <s:is>
          <s:t xml:space="preserve">Plan i odczyt budżetu alertowego 100 USD dla obu projektów</s:t>
        </s:is>
      </s:c>
      <s:c r="D154" s="4" t="inlineStr">
        <s:is>
          <s:t xml:space="preserve">P0</s:t>
        </s:is>
      </s:c>
      <s:c r="E154" s="4" t="inlineStr">
        <s:is>
          <s:t xml:space="preserve">DEV — atrapy/dry-run; po osobnym zastosowaniu prywatny odczyt Billing</s:t>
        </s:is>
      </s:c>
      <s:c r="F154" s="4" t="inlineStr">
        <s:is>
          <s:t xml:space="preserve">Syntetyczne odpowiedzi Billing; rzeczywisty odczyt tylko przez uprawnionego właściciela</s:t>
        </s:is>
      </s:c>
      <s:c r="G154" s="4" t="inlineStr">
        <s:is>
          <s:t xml:space="preserve">Aktualny uzgodniony plan to miesięczny budżet alertowy 100 USD łącznie dla harborlight-dev i harborlight-prod. Jego zastosowanie w GCP nie jest potwierdzone w tym planie. Test konfiguracji wykonuje się wyłącznie na atrapach lub w domyślnym dry-run; autoryzowane zastosowanie narzędziem właścicielskim jest osobną operacją poza fixture.</s:t>
        </s:is>
      </s:c>
      <s:c r="H154" s="4" t="inlineStr">
        <s:is>
          <s:t xml:space="preserve">1. Na lokalnych odpowiedziach testowych uruchom domyślny podgląd/dry-run przygotowanego narzędzia. Sprawdź kwotę 100 USD, miesięczny okres, prawidłowe konto rozliczeniowe oraz wspólny filtr obejmujący harborlight-dev i harborlight-prod.
2. Sprawdź uzgodnione progi i adresatów alertów w podglądzie. Potwierdź, że próba lokalna nie wysyła zapisu do prawdziwego Billing, nie tworzy dwóch niezależnych budżetów po 100 USD i nie uruchamia wyłączenia usług.
3. Dopiero po osobnym, autoryzowanym zastosowaniu przez narzędzie właściciel odczytuje rzeczywistą konfigurację w swojej prywatnej konsoli: walutę USD, kwotę 100, okres miesięczny i oba projekty. Bez potwierdzonego zastosowania część rzeczywistego odbioru pozostaje Nie wykonano lub Zablokowano.
4. Porównaj odczytany budżet z planem bez publikowania sald i raportów kosztowych. Potwierdź, że alert jest informacją o przekroczeniu progu, a nie gwarantowanym twardym limitem rachunku.</s:t>
        </s:is>
      </s:c>
      <s:c r="I154" s="4" t="inlineStr">
        <s:is>
          <s:t xml:space="preserve">• Lokalny plan opisuje jeden miesięczny budżet alertowy 100 USD obejmujący łącznie oba projekty. Dry-run nie wykonuje mutacji w GCP.
• Odbiór rzeczywistej konfiguracji wymaga osobnego odczytu po faktycznym autoryzowanym zastosowaniu. Sama atrapa lub gotowy skrypt nie oznaczają utworzonego budżetu.
• Budżet nie zatrzymuje automatycznie naliczania opłat ani usług; możliwe są dalsze koszty i opóźnienie raportowania. Prywatne rzeczywiste wydatki nie trafiają do publicznych scenariuszy ani Excela.</s:t>
        </s:is>
      </s:c>
      <s:c r="J154" s="4" t="inlineStr">
        <s:is>
          <s:t xml:space="preserve">Lokalne atrapy/dry-run oraz osobny prywatny odczyt właściciela</s:t>
        </s:is>
      </s:c>
      <s:c r="K154" s="4" t="inlineStr">
        <s:is>
          <s:t xml:space="preserve">Uzgodniony plan 100 USD/miesiąc dla obu projektów; zastosowanie niepotwierdzone</s:t>
        </s:is>
      </s:c>
      <s:c r="L154" s="6" t="inlineStr">
        <s:is>
          <s:t xml:space="preserve">Nie wykonano</s:t>
        </s:is>
      </s:c>
      <s:c r="M154" s="4" t="inlineStr">
        <s:is>
          <s:t xml:space="preserve">AGENTS.md
docs/GOOGLE-CLOUD.md</s:t>
        </s:is>
      </s:c>
    </s:row>
    <s:row r="155" ht="150" customHeight="1">
      <s:c r="A155" s="5" t="inlineStr">
        <s:is>
          <s:t xml:space="preserve">OPS-010</s:t>
        </s:is>
      </s:c>
      <s:c r="B155" s="5" t="inlineStr">
        <s:is>
          <s:t xml:space="preserve">Retencja, wdrożenie, bezpieczeństwo i koszty</s:t>
        </s:is>
      </s:c>
      <s:c r="C155" s="5" t="inlineStr">
        <s:is>
          <s:t xml:space="preserve">Raport kosztów odróżnia wydatek od kredytów</s:t>
        </s:is>
      </s:c>
      <s:c r="D155" s="5" t="inlineStr">
        <s:is>
          <s:t xml:space="preserve">P1</s:t>
        </s:is>
      </s:c>
      <s:c r="E155" s="5" t="inlineStr">
        <s:is>
          <s:t xml:space="preserve">Google Cloud Billing — odczyt</s:t>
        </s:is>
      </s:c>
      <s:c r="F155" s="5" t="inlineStr">
        <s:is>
          <s:t xml:space="preserve">Uprawniony właściciel; bez zmian</s:t>
        </s:is>
      </s:c>
      <s:c r="G155" s="5" t="inlineStr">
        <s:is>
          <s:t xml:space="preserve">Właścicielski dostęp do raportu Billing, bez modyfikacji zasobów.</s:t>
        </s:is>
      </s:c>
      <s:c r="H155" s="5" t="inlineStr">
        <s:is>
          <s:t xml:space="preserve">1. Ustaw bieżący miesiąc i projekty harborlight-dev/prod.
2. Porównaj koszt naliczony, kredyty oraz kwotę netto i datę aktualizacji.
3. Nie przenoś rzeczywistych kwot, sald, danych konta rozliczeniowego ani zrzutów raportu do publicznych plików; odnotuj jedynie wykonanie prywatnej kontroli.</s:t>
        </s:is>
      </s:c>
      <s:c r="I155" s="5" t="inlineStr">
        <s:is>
          <s:t xml:space="preserve">• Raport nie myli0 dozapłaty z zerowym zużyciem zasobów.
• Kwota ma podany okres, walutę, zakres i opóźnienie danych.</s:t>
        </s:is>
      </s:c>
      <s:c r="J155" s="5" t="inlineStr">
        <s:is>
          <s:t xml:space="preserve">Manualnie — prywatny odczyt właściciela</s:t>
        </s:is>
      </s:c>
      <s:c r="K155" s="5" t="inlineStr">
        <s:is>
          <s:t xml:space="preserve">Rzeczywisty raport odczytuje właściciel w prywatnej konsoli; nie publikuje jego wartości</s:t>
        </s:is>
      </s:c>
      <s:c r="L155" s="6" t="inlineStr">
        <s:is>
          <s:t xml:space="preserve">Nie wykonano</s:t>
        </s:is>
      </s:c>
      <s:c r="M155" s="5" t="inlineStr">
        <s:is>
          <s:t xml:space="preserve">docs/GOOGLE-CLOUD.md</s:t>
        </s:is>
      </s:c>
    </s:row>
    <s:row r="156" ht="150" customHeight="1">
      <s:c r="A156" s="4" t="inlineStr">
        <s:is>
          <s:t xml:space="preserve">UI-001</s:t>
        </s:is>
      </s:c>
      <s:c r="B156" s="4" t="inlineStr">
        <s:is>
          <s:t xml:space="preserve">Interfejs i zgodność opisów</s:t>
        </s:is>
      </s:c>
      <s:c r="C156" s="4" t="inlineStr">
        <s:is>
          <s:t xml:space="preserve">PL i EN wszystkich głównych paneli</s:t>
        </s:is>
      </s:c>
      <s:c r="D156" s="4" t="inlineStr">
        <s:is>
          <s:t xml:space="preserve">P1</s:t>
        </s:is>
      </s:c>
      <s:c r="E156" s="4" t="inlineStr">
        <s:is>
          <s:t xml:space="preserve">DEV — izolowany fixture</s:t>
        </s:is>
      </s:c>
      <s:c r="F156" s="4" t="inlineStr">
        <s:is>
          <s:t xml:space="preserve">Syntetyczna wyspa; bez kont chmurowych</s:t>
        </s:is>
      </s:c>
      <s:c r="G156" s="4" t="inlineStr">
        <s:is>
          <s:t xml:space="preserve">Lokalny rozwinięty fixture oraz widoki desktop/mobile.</s:t>
        </s:is>
      </s:c>
      <s:c r="H156" s="4" t="inlineStr">
        <s:is>
          <s:t xml:space="preserve">1. Przejdź przez12 budynków, mieszkańców, Ustawienia, premium, zadania i obie minigry.
2. Zmień język w obie strony.</s:t>
        </s:is>
      </s:c>
      <s:c r="I156" s="4" t="inlineStr">
        <s:is>
          <s:t xml:space="preserve">• Etykiety, komunikaty, jednostki i popupy odpowiadają wybranemu językowi.
• Imiona i nazwy wprowadzone przez gracza nie są tłumaczone.</s:t>
        </s:is>
      </s:c>
      <s:c r="J156" s="4" t="inlineStr">
        <s:is>
          <s:t xml:space="preserve">Lokalnie</s:t>
        </s:is>
      </s:c>
      <s:c r="K156" s="4" t="inlineStr">
        <s:is>
          <s:t xml:space="preserve">v18 — implementacja; wynik tego scenariusza nie został wpisany</s:t>
        </s:is>
      </s:c>
      <s:c r="L156" s="6" t="inlineStr">
        <s:is>
          <s:t xml:space="preserve">Nie wykonano</s:t>
        </s:is>
      </s:c>
      <s:c r="M156" s="4" t="inlineStr">
        <s:is>
          <s:t xml:space="preserve">harborlight-v1-play.js
harborlight-v1-play.css
harborlight-v1-i18n.js
docs/ECONOMY-RULES.md</s:t>
        </s:is>
      </s:c>
    </s:row>
    <s:row r="157" ht="150" customHeight="1">
      <s:c r="A157" s="5" t="inlineStr">
        <s:is>
          <s:t xml:space="preserve">UI-002</s:t>
        </s:is>
      </s:c>
      <s:c r="B157" s="5" t="inlineStr">
        <s:is>
          <s:t xml:space="preserve">Interfejs i zgodność opisów</s:t>
        </s:is>
      </s:c>
      <s:c r="C157" s="5" t="inlineStr">
        <s:is>
          <s:t xml:space="preserve">Przyciski menu mieszczą się w ramce</s:t>
        </s:is>
      </s:c>
      <s:c r="D157" s="5" t="inlineStr">
        <s:is>
          <s:t xml:space="preserve">P1</s:t>
        </s:is>
      </s:c>
      <s:c r="E157" s="5" t="inlineStr">
        <s:is>
          <s:t xml:space="preserve">DEV — izolowany fixture</s:t>
        </s:is>
      </s:c>
      <s:c r="F157" s="5" t="inlineStr">
        <s:is>
          <s:t xml:space="preserve">Syntetyczna wyspa; bez kont chmurowych</s:t>
        </s:is>
      </s:c>
      <s:c r="G157" s="5" t="inlineStr">
        <s:is>
          <s:t xml:space="preserve">Widoki1366×768 i1536×864.</s:t>
        </s:is>
      </s:c>
      <s:c r="H157" s="5" t="inlineStr">
        <s:is>
          <s:t xml:space="preserve">1. Otwórz menu wyspy.
2. Sprawdź dolne Magazyn i Handel oraz wszystkie przyciski.</s:t>
        </s:is>
      </s:c>
      <s:c r="I157" s="5" t="inlineStr">
        <s:is>
          <s:t xml:space="preserve">• Żaden przycisk nie wystaje poza ciało dialogu lub ramkę.
• Wszystkie są dostępne myszą i klawiaturą.</s:t>
        </s:is>
      </s:c>
      <s:c r="J157" s="5" t="inlineStr">
        <s:is>
          <s:t xml:space="preserve">Lokalnie</s:t>
        </s:is>
      </s:c>
      <s:c r="K157" s="5" t="inlineStr">
        <s:is>
          <s:t xml:space="preserve">v18 — implementacja; wynik tego scenariusza nie został wpisany</s:t>
        </s:is>
      </s:c>
      <s:c r="L157" s="6" t="inlineStr">
        <s:is>
          <s:t xml:space="preserve">Nie wykonano</s:t>
        </s:is>
      </s:c>
      <s:c r="M157" s="5" t="inlineStr">
        <s:is>
          <s:t xml:space="preserve">harborlight-v1-play.js
harborlight-v1-play.css
harborlight-v1-i18n.js
docs/ECONOMY-RULES.md</s:t>
        </s:is>
      </s:c>
    </s:row>
    <s:row r="158" ht="150" customHeight="1">
      <s:c r="A158" s="4" t="inlineStr">
        <s:is>
          <s:t xml:space="preserve">UI-003</s:t>
        </s:is>
      </s:c>
      <s:c r="B158" s="4" t="inlineStr">
        <s:is>
          <s:t xml:space="preserve">Interfejs i zgodność opisów</s:t>
        </s:is>
      </s:c>
      <s:c r="C158" s="4" t="inlineStr">
        <s:is>
          <s:t xml:space="preserve">Mobile390/360 bez poziomego przewijania</s:t>
        </s:is>
      </s:c>
      <s:c r="D158" s="4" t="inlineStr">
        <s:is>
          <s:t xml:space="preserve">P1</s:t>
        </s:is>
      </s:c>
      <s:c r="E158" s="4" t="inlineStr">
        <s:is>
          <s:t xml:space="preserve">DEV — izolowany fixture</s:t>
        </s:is>
      </s:c>
      <s:c r="F158" s="4" t="inlineStr">
        <s:is>
          <s:t xml:space="preserve">Syntetyczna wyspa; bez kont chmurowych</s:t>
        </s:is>
      </s:c>
      <s:c r="G158" s="4" t="inlineStr">
        <s:is>
          <s:t xml:space="preserve">Telefon albo emulacja390×844 i360×740.</s:t>
        </s:is>
      </s:c>
      <s:c r="H158" s="4" t="inlineStr">
        <s:is>
          <s:t xml:space="preserve">1. Otwórz menu, producenta, budowę, płatność i dokumenty.
2. Obróć ekran i wróć.</s:t>
        </s:is>
      </s:c>
      <s:c r="I158" s="4" t="inlineStr">
        <s:is>
          <s:t xml:space="preserve">• Brak poziomego przewijania strony i ukrytych kluczowych kontrolek.
• Dotyk i fokus pozostają dostępne po zmianie rozmiaru.</s:t>
        </s:is>
      </s:c>
      <s:c r="J158" s="4" t="inlineStr">
        <s:is>
          <s:t xml:space="preserve">Lokalnie</s:t>
        </s:is>
      </s:c>
      <s:c r="K158" s="4" t="inlineStr">
        <s:is>
          <s:t xml:space="preserve">v18 — implementacja; wynik tego scenariusza nie został wpisany</s:t>
        </s:is>
      </s:c>
      <s:c r="L158" s="6" t="inlineStr">
        <s:is>
          <s:t xml:space="preserve">Nie wykonano</s:t>
        </s:is>
      </s:c>
      <s:c r="M158" s="4" t="inlineStr">
        <s:is>
          <s:t xml:space="preserve">harborlight-v1-play.js
harborlight-v1-play.css
harborlight-v1-i18n.js
docs/ECONOMY-RULES.md</s:t>
        </s:is>
      </s:c>
    </s:row>
    <s:row r="159" ht="150" customHeight="1">
      <s:c r="A159" s="5" t="inlineStr">
        <s:is>
          <s:t xml:space="preserve">UI-004</s:t>
        </s:is>
      </s:c>
      <s:c r="B159" s="5" t="inlineStr">
        <s:is>
          <s:t xml:space="preserve">Interfejs i zgodność opisów</s:t>
        </s:is>
      </s:c>
      <s:c r="C159" s="5" t="inlineStr">
        <s:is>
          <s:t xml:space="preserve">Opisy odpowiadają aktualnym liczbom</s:t>
        </s:is>
      </s:c>
      <s:c r="D159" s="5" t="inlineStr">
        <s:is>
          <s:t xml:space="preserve">P1</s:t>
        </s:is>
      </s:c>
      <s:c r="E159" s="5" t="inlineStr">
        <s:is>
          <s:t xml:space="preserve">DEV — izolowany fixture</s:t>
        </s:is>
      </s:c>
      <s:c r="F159" s="5" t="inlineStr">
        <s:is>
          <s:t xml:space="preserve">Syntetyczna wyspa; bez kont chmurowych</s:t>
        </s:is>
      </s:c>
      <s:c r="G159" s="5" t="inlineStr">
        <s:is>
          <s:t xml:space="preserve">Rozwinięty lokalny fixture; dostęp do informacji i tabel.</s:t>
        </s:is>
      </s:c>
      <s:c r="H159" s="5" t="inlineStr">
        <s:is>
          <s:t xml:space="preserve">1. Porównaj H+100/−100, reguły nowych mieszkańców, progi Kaplicy, koszt czasu i pulę ekspedycji z wynikami modelu.</s:t>
        </s:is>
      </s:c>
      <s:c r="I159" s="5" t="inlineStr">
        <s:is>
          <s:t xml:space="preserve">• Opisy uwzględniają przybycie30 min kontra odejście1 h, welcome/Latarnię,3+poziom łaski,30 s/10 Coins oraz pulę50/150/350/750.
• Nie sugerują starego systemu lojalności ani ograniczonej liczby darmowych błogosławieństw na poziom.</s:t>
        </s:is>
      </s:c>
      <s:c r="J159" s="5" t="inlineStr">
        <s:is>
          <s:t xml:space="preserve">Lokalnie</s:t>
        </s:is>
      </s:c>
      <s:c r="K159" s="5" t="inlineStr">
        <s:is>
          <s:t xml:space="preserve">v18 — implementacja; wynik tego scenariusza nie został wpisany</s:t>
        </s:is>
      </s:c>
      <s:c r="L159" s="6" t="inlineStr">
        <s:is>
          <s:t xml:space="preserve">Nie wykonano</s:t>
        </s:is>
      </s:c>
      <s:c r="M159" s="5" t="inlineStr">
        <s:is>
          <s:t xml:space="preserve">harborlight-v1-play.js
harborlight-v1-play.css
harborlight-v1-i18n.js
docs/ECONOMY-RULES.md</s:t>
        </s:is>
      </s:c>
    </s:row>
    <s:row r="160" ht="150" customHeight="1">
      <s:c r="A160" s="4" t="inlineStr">
        <s:is>
          <s:t xml:space="preserve">UI-005</s:t>
        </s:is>
      </s:c>
      <s:c r="B160" s="4" t="inlineStr">
        <s:is>
          <s:t xml:space="preserve">Interfejs i zgodność opisów</s:t>
        </s:is>
      </s:c>
      <s:c r="C160" s="4" t="inlineStr">
        <s:is>
          <s:t xml:space="preserve">Brak mylącego logowania w ustawieniach zalogowanego</s:t>
        </s:is>
      </s:c>
      <s:c r="D160" s="4" t="inlineStr">
        <s:is>
          <s:t xml:space="preserve">P1</s:t>
        </s:is>
      </s:c>
      <s:c r="E160" s="4" t="inlineStr">
        <s:is>
          <s:t xml:space="preserve">DEV — izolowany fixture</s:t>
        </s:is>
      </s:c>
      <s:c r="F160" s="4" t="inlineStr">
        <s:is>
          <s:t xml:space="preserve">Syntetyczna wyspa; bez kont chmurowych</s:t>
        </s:is>
      </s:c>
      <s:c r="G160" s="4" t="inlineStr">
        <s:is>
          <s:t xml:space="preserve">Atrapa prawidłowej sesji chmurowej oraz lokalny podgląd jako osobna próba.</s:t>
        </s:is>
      </s:c>
      <s:c r="H160" s="4" t="inlineStr">
        <s:is>
          <s:t xml:space="preserve">1. Otwórz Ustawienia.
2. Sprawdź komunikat miejsca zapisu i akcje konta.</s:t>
        </s:is>
      </s:c>
      <s:c r="I160" s="4" t="inlineStr">
        <s:is>
          <s:t xml:space="preserve">• Zalogowany gracz widzi informacje o chmurze i wylogowanie.
• Brak przycisku rejestracji/logowania wewnątrz zalogowanej gry; lokalny podgląd nie udaje trwałego zapisu.</s:t>
        </s:is>
      </s:c>
      <s:c r="J160" s="4" t="inlineStr">
        <s:is>
          <s:t xml:space="preserve">Lokalnie</s:t>
        </s:is>
      </s:c>
      <s:c r="K160" s="4" t="inlineStr">
        <s:is>
          <s:t xml:space="preserve">Nowy zakres 2026-10-30 — odbiór wymagany; publikacja PRE-PROD niepotwierdzona</s:t>
        </s:is>
      </s:c>
      <s:c r="L160" s="6" t="inlineStr">
        <s:is>
          <s:t xml:space="preserve">Nie wykonano</s:t>
        </s:is>
      </s:c>
      <s:c r="M160" s="4" t="inlineStr">
        <s:is>
          <s:t xml:space="preserve">harborlight-v1-play.js
harborlight-v1-play.css
harborlight-v1-i18n.js
docs/ECONOMY-RULES.md</s:t>
        </s:is>
      </s:c>
    </s:row>
  </s:sheetData>
  <s:autoFilter ref="A5:M160"/>
  <s:mergeCells count="2">
    <s:mergeCell ref="A1:M1"/>
    <s:mergeCell ref="A2:M2"/>
  </s:mergeCells>
  <s:dataValidations count="1">
    <s:dataValidation type="list" sqref="L6:L160" allowBlank="0" showErrorMessage="1" errorTitle="Sprawdź wartość" error="Wpisz wartość w dozwolonym zakresie.">
      <s:formula1>"Nie wykonano,PASS,FAIL,Zablokowany"</s:formula1>
    </s:dataValidation>
  </s:dataValidations>
  <s:pageMargins left="0.25" right="0.25" top="0.5" bottom="0.5" header="0.2" footer="0.2"/>
  <s:pageSetup orientation="landscape" paperSize="8" fitToWidth="1" fitToHeight="0"/>
</s:worksheet>
</file>

<file path=xl/worksheets/sheet65.xml><?xml version="1.0" encoding="utf-8"?>
<s:worksheet xmlns:s="http://schemas.openxmlformats.org/spreadsheetml/2006/main">
  <s:sheetPr/>
  <s:dimension ref="A1:E52"/>
  <s:sheetViews>
    <s:sheetView workbookViewId="0" tabSelected="0">
      <s:pane ySplit="5" xSplit="0" topLeftCell="A6" activePane="bottomLeft" state="frozen"/>
    </s:sheetView>
  </s:sheetViews>
  <s:sheetFormatPr defaultRowHeight="22"/>
  <s:cols>
    <s:col min="1" max="1" width="58" customWidth="1"/>
    <s:col min="2" max="2" width="32" customWidth="1"/>
    <s:col min="3" max="3" width="32" customWidth="1"/>
    <s:col min="4" max="4" width="18" customWidth="1"/>
    <s:col min="5" max="5" width="85" customWidth="1"/>
  </s:cols>
  <s:sheetData>
    <s:row r="1" ht="34" customHeight="1">
      <s:c r="A1" s="1" t="inlineStr">
        <s:is>
          <s:t xml:space="preserve">KONTROLE V11 · formuły wobec modułów gry</s:t>
        </s:is>
      </s:c>
    </s:row>
    <s:row r="2" ht="76" customHeight="1">
      <s:c r="A2" s="2" t="inlineStr">
        <s:is>
          <s:t xml:space="preserve">TRUE oznacza zgodność zapisanej formuły z oczekiwanym wynikiem na wejściach początkowych. Nie jest wynikiem ręcznego scenariusza ani testem wdrożenia.</s:t>
        </s:is>
      </s:c>
    </s:row>
    <s:row r="5" ht="34" customHeight="1">
      <s:c r="A5" s="3" t="inlineStr">
        <s:is>
          <s:t xml:space="preserve">Kontrola</s:t>
        </s:is>
      </s:c>
      <s:c r="B5" s="3" t="inlineStr">
        <s:is>
          <s:t xml:space="preserve">Formuła / odczyt</s:t>
        </s:is>
      </s:c>
      <s:c r="C5" s="3" t="inlineStr">
        <s:is>
          <s:t xml:space="preserve">Oczekiwane</s:t>
        </s:is>
      </s:c>
      <s:c r="D5" s="3" t="inlineStr">
        <s:is>
          <s:t xml:space="preserve">Zgodność</s:t>
        </s:is>
      </s:c>
      <s:c r="E5" s="3" t="inlineStr">
        <s:is>
          <s:t xml:space="preserve">Źródło</s:t>
        </s:is>
      </s:c>
    </s:row>
    <s:row r="6" ht="42" customHeight="1">
      <s:c r="A6" s="4" t="inlineStr">
        <s:is>
          <s:t xml:space="preserve">Kalkulator C17</s:t>
        </s:is>
      </s:c>
      <s:c r="B6" s="4">
        <s:f>'Kalkulator v11'!C17</s:f>
        <s:v>20</s:v>
      </s:c>
      <s:c r="C6" s="4">
        <s:v>20</s:v>
      </s:c>
      <s:c r="D6" s="4" t="b">
        <s:f>ABS(B6-C6)&lt;0.000001</s:f>
        <s:v>1</s:v>
      </s:c>
      <s:c r="E6" s="4" t="inlineStr">
        <s:is>
          <s:t xml:space="preserve">Niezależny eksport Node lub zatwierdzony przykład</s:t>
        </s:is>
      </s:c>
    </s:row>
    <s:row r="7" ht="42" customHeight="1">
      <s:c r="A7" s="5" t="inlineStr">
        <s:is>
          <s:t xml:space="preserve">Kalkulator C18</s:t>
        </s:is>
      </s:c>
      <s:c r="B7" s="5">
        <s:f>'Kalkulator v11'!C18</s:f>
        <s:v>40</s:v>
      </s:c>
      <s:c r="C7" s="5">
        <s:v>40</s:v>
      </s:c>
      <s:c r="D7" s="5" t="b">
        <s:f>ABS(B7-C7)&lt;0.000001</s:f>
        <s:v>1</s:v>
      </s:c>
      <s:c r="E7" s="5" t="inlineStr">
        <s:is>
          <s:t xml:space="preserve">Niezależny eksport Node lub zatwierdzony przykład</s:t>
        </s:is>
      </s:c>
    </s:row>
    <s:row r="8" ht="42" customHeight="1">
      <s:c r="A8" s="4" t="inlineStr">
        <s:is>
          <s:t xml:space="preserve">Kalkulator C19</s:t>
        </s:is>
      </s:c>
      <s:c r="B8" s="4">
        <s:f>'Kalkulator v11'!C19</s:f>
        <s:v>12</s:v>
      </s:c>
      <s:c r="C8" s="4">
        <s:v>12</s:v>
      </s:c>
      <s:c r="D8" s="4" t="b">
        <s:f>ABS(B8-C8)&lt;0.000001</s:f>
        <s:v>1</s:v>
      </s:c>
      <s:c r="E8" s="4" t="inlineStr">
        <s:is>
          <s:t xml:space="preserve">Niezależny eksport Node lub zatwierdzony przykład</s:t>
        </s:is>
      </s:c>
    </s:row>
    <s:row r="9" ht="42" customHeight="1">
      <s:c r="A9" s="5" t="inlineStr">
        <s:is>
          <s:t xml:space="preserve">Kalkulator C20</s:t>
        </s:is>
      </s:c>
      <s:c r="B9" s="5">
        <s:f>'Kalkulator v11'!C20</s:f>
        <s:v>200</s:v>
      </s:c>
      <s:c r="C9" s="5">
        <s:v>200</s:v>
      </s:c>
      <s:c r="D9" s="5" t="b">
        <s:f>ABS(B9-C9)&lt;0.000001</s:f>
        <s:v>1</s:v>
      </s:c>
      <s:c r="E9" s="5" t="inlineStr">
        <s:is>
          <s:t xml:space="preserve">Niezależny eksport Node lub zatwierdzony przykład</s:t>
        </s:is>
      </s:c>
    </s:row>
    <s:row r="10" ht="42" customHeight="1">
      <s:c r="A10" s="4" t="inlineStr">
        <s:is>
          <s:t xml:space="preserve">Kalkulator C22</s:t>
        </s:is>
      </s:c>
      <s:c r="B10" s="4">
        <s:f>'Kalkulator v11'!C22</s:f>
        <s:v>1</s:v>
      </s:c>
      <s:c r="C10" s="4">
        <s:v>1</s:v>
      </s:c>
      <s:c r="D10" s="4" t="b">
        <s:f>ABS(B10-C10)&lt;0.000001</s:f>
        <s:v>1</s:v>
      </s:c>
      <s:c r="E10" s="4" t="inlineStr">
        <s:is>
          <s:t xml:space="preserve">Niezależny eksport Node lub zatwierdzony przykład</s:t>
        </s:is>
      </s:c>
    </s:row>
    <s:row r="11" ht="42" customHeight="1">
      <s:c r="A11" s="5" t="inlineStr">
        <s:is>
          <s:t xml:space="preserve">Kalkulator C23</s:t>
        </s:is>
      </s:c>
      <s:c r="B11" s="5">
        <s:f>'Kalkulator v11'!C23</s:f>
        <s:v>120</s:v>
      </s:c>
      <s:c r="C11" s="5">
        <s:v>120</s:v>
      </s:c>
      <s:c r="D11" s="5" t="b">
        <s:f>ABS(B11-C11)&lt;0.000001</s:f>
        <s:v>1</s:v>
      </s:c>
      <s:c r="E11" s="5" t="inlineStr">
        <s:is>
          <s:t xml:space="preserve">Niezależny eksport Node lub zatwierdzony przykład</s:t>
        </s:is>
      </s:c>
    </s:row>
    <s:row r="12" ht="42" customHeight="1">
      <s:c r="A12" s="4" t="inlineStr">
        <s:is>
          <s:t xml:space="preserve">Kalkulator C24</s:t>
        </s:is>
      </s:c>
      <s:c r="B12" s="4">
        <s:f>'Kalkulator v11'!C24</s:f>
        <s:v>120</s:v>
      </s:c>
      <s:c r="C12" s="4">
        <s:v>120</s:v>
      </s:c>
      <s:c r="D12" s="4" t="b">
        <s:f>ABS(B12-C12)&lt;0.000001</s:f>
        <s:v>1</s:v>
      </s:c>
      <s:c r="E12" s="4" t="inlineStr">
        <s:is>
          <s:t xml:space="preserve">Niezależny eksport Node lub zatwierdzony przykład</s:t>
        </s:is>
      </s:c>
    </s:row>
    <s:row r="13" ht="42" customHeight="1">
      <s:c r="A13" s="5" t="inlineStr">
        <s:is>
          <s:t xml:space="preserve">Kalkulator C25</s:t>
        </s:is>
      </s:c>
      <s:c r="B13" s="5">
        <s:f>'Kalkulator v11'!C25</s:f>
        <s:v>1</s:v>
      </s:c>
      <s:c r="C13" s="5">
        <s:v>1</s:v>
      </s:c>
      <s:c r="D13" s="5" t="b">
        <s:f>ABS(B13-C13)&lt;0.000001</s:f>
        <s:v>1</s:v>
      </s:c>
      <s:c r="E13" s="5" t="inlineStr">
        <s:is>
          <s:t xml:space="preserve">Niezależny eksport Node lub zatwierdzony przykład</s:t>
        </s:is>
      </s:c>
    </s:row>
    <s:row r="14" ht="42" customHeight="1">
      <s:c r="A14" s="4" t="inlineStr">
        <s:is>
          <s:t xml:space="preserve">Kalkulator C26</s:t>
        </s:is>
      </s:c>
      <s:c r="B14" s="4">
        <s:f>'Kalkulator v11'!C26</s:f>
        <s:v>150</s:v>
      </s:c>
      <s:c r="C14" s="4">
        <s:v>150</s:v>
      </s:c>
      <s:c r="D14" s="4" t="b">
        <s:f>ABS(B14-C14)&lt;0.000001</s:f>
        <s:v>1</s:v>
      </s:c>
      <s:c r="E14" s="4" t="inlineStr">
        <s:is>
          <s:t xml:space="preserve">Niezależny eksport Node lub zatwierdzony przykład</s:t>
        </s:is>
      </s:c>
    </s:row>
    <s:row r="15" ht="42" customHeight="1">
      <s:c r="A15" s="5" t="inlineStr">
        <s:is>
          <s:t xml:space="preserve">Kalkulator C27</s:t>
        </s:is>
      </s:c>
      <s:c r="B15" s="5">
        <s:f>'Kalkulator v11'!C27</s:f>
        <s:v>17280</s:v>
      </s:c>
      <s:c r="C15" s="5">
        <s:v>17280</s:v>
      </s:c>
      <s:c r="D15" s="5" t="b">
        <s:f>ABS(B15-C15)&lt;0.000001</s:f>
        <s:v>1</s:v>
      </s:c>
      <s:c r="E15" s="5" t="inlineStr">
        <s:is>
          <s:t xml:space="preserve">Niezależny eksport Node lub zatwierdzony przykład</s:t>
        </s:is>
      </s:c>
    </s:row>
    <s:row r="16" ht="42" customHeight="1">
      <s:c r="A16" s="4" t="inlineStr">
        <s:is>
          <s:t xml:space="preserve">Kalkulator C28</s:t>
        </s:is>
      </s:c>
      <s:c r="B16" s="4">
        <s:f>'Kalkulator v11'!C28</s:f>
        <s:v>1000</s:v>
      </s:c>
      <s:c r="C16" s="4">
        <s:v>1000</s:v>
      </s:c>
      <s:c r="D16" s="4" t="b">
        <s:f>ABS(B16-C16)&lt;0.000001</s:f>
        <s:v>1</s:v>
      </s:c>
      <s:c r="E16" s="4" t="inlineStr">
        <s:is>
          <s:t xml:space="preserve">Niezależny eksport Node lub zatwierdzony przykład</s:t>
        </s:is>
      </s:c>
    </s:row>
    <s:row r="17" ht="42" customHeight="1">
      <s:c r="A17" s="5" t="inlineStr">
        <s:is>
          <s:t xml:space="preserve">Kalkulator C29</s:t>
        </s:is>
      </s:c>
      <s:c r="B17" s="5">
        <s:f>'Kalkulator v11'!C29</s:f>
        <s:v>4000</s:v>
      </s:c>
      <s:c r="C17" s="5">
        <s:v>4000</s:v>
      </s:c>
      <s:c r="D17" s="5" t="b">
        <s:f>ABS(B17-C17)&lt;0.000001</s:f>
        <s:v>1</s:v>
      </s:c>
      <s:c r="E17" s="5" t="inlineStr">
        <s:is>
          <s:t xml:space="preserve">Niezależny eksport Node lub zatwierdzony przykład</s:t>
        </s:is>
      </s:c>
    </s:row>
    <s:row r="18" ht="42" customHeight="1">
      <s:c r="A18" s="4" t="inlineStr">
        <s:is>
          <s:t xml:space="preserve">Kalkulator C30</s:t>
        </s:is>
      </s:c>
      <s:c r="B18" s="4">
        <s:f>'Kalkulator v11'!C30</s:f>
        <s:v>50</s:v>
      </s:c>
      <s:c r="C18" s="4">
        <s:v>50</s:v>
      </s:c>
      <s:c r="D18" s="4" t="b">
        <s:f>ABS(B18-C18)&lt;0.000001</s:f>
        <s:v>1</s:v>
      </s:c>
      <s:c r="E18" s="4" t="inlineStr">
        <s:is>
          <s:t xml:space="preserve">Niezależny eksport Node lub zatwierdzony przykład</s:t>
        </s:is>
      </s:c>
    </s:row>
    <s:row r="19" ht="42" customHeight="1">
      <s:c r="A19" s="5" t="inlineStr">
        <s:is>
          <s:t xml:space="preserve">Kalkulator C31</s:t>
        </s:is>
      </s:c>
      <s:c r="B19" s="5">
        <s:f>'Kalkulator v11'!C31</s:f>
        <s:v>12</s:v>
      </s:c>
      <s:c r="C19" s="5">
        <s:v>12</s:v>
      </s:c>
      <s:c r="D19" s="5" t="b">
        <s:f>ABS(B19-C19)&lt;0.000001</s:f>
        <s:v>1</s:v>
      </s:c>
      <s:c r="E19" s="5" t="inlineStr">
        <s:is>
          <s:t xml:space="preserve">Niezależny eksport Node lub zatwierdzony przykład</s:t>
        </s:is>
      </s:c>
    </s:row>
    <s:row r="20" ht="42" customHeight="1">
      <s:c r="A20" s="4" t="inlineStr">
        <s:is>
          <s:t xml:space="preserve">Kalkulator C37</s:t>
        </s:is>
      </s:c>
      <s:c r="B20" s="4">
        <s:f>'Kalkulator v11'!C37</s:f>
        <s:v>400</s:v>
      </s:c>
      <s:c r="C20" s="4">
        <s:v>400</s:v>
      </s:c>
      <s:c r="D20" s="4" t="b">
        <s:f>ABS(B20-C20)&lt;0.000001</s:f>
        <s:v>1</s:v>
      </s:c>
      <s:c r="E20" s="4" t="inlineStr">
        <s:is>
          <s:t xml:space="preserve">Niezależny eksport Node lub zatwierdzony przykład</s:t>
        </s:is>
      </s:c>
    </s:row>
    <s:row r="21" ht="42" customHeight="1">
      <s:c r="A21" s="5" t="inlineStr">
        <s:is>
          <s:t xml:space="preserve">Kalkulator C38</s:t>
        </s:is>
      </s:c>
      <s:c r="B21" s="5">
        <s:f>'Kalkulator v11'!C38</s:f>
        <s:v>100</s:v>
      </s:c>
      <s:c r="C21" s="5">
        <s:v>100</s:v>
      </s:c>
      <s:c r="D21" s="5" t="b">
        <s:f>ABS(B21-C21)&lt;0.000001</s:f>
        <s:v>1</s:v>
      </s:c>
      <s:c r="E21" s="5" t="inlineStr">
        <s:is>
          <s:t xml:space="preserve">Niezależny eksport Node lub zatwierdzony przykład</s:t>
        </s:is>
      </s:c>
    </s:row>
    <s:row r="22" ht="42" customHeight="1">
      <s:c r="A22" s="4" t="inlineStr">
        <s:is>
          <s:t xml:space="preserve">Kalkulator C39</s:t>
        </s:is>
      </s:c>
      <s:c r="B22" s="4">
        <s:f>'Kalkulator v11'!C39</s:f>
        <s:v>500</s:v>
      </s:c>
      <s:c r="C22" s="4">
        <s:v>500</s:v>
      </s:c>
      <s:c r="D22" s="4" t="b">
        <s:f>ABS(B22-C22)&lt;0.000001</s:f>
        <s:v>1</s:v>
      </s:c>
      <s:c r="E22" s="4" t="inlineStr">
        <s:is>
          <s:t xml:space="preserve">Niezależny eksport Node lub zatwierdzony przykład</s:t>
        </s:is>
      </s:c>
    </s:row>
    <s:row r="23" ht="42" customHeight="1">
      <s:c r="A23" s="5" t="inlineStr">
        <s:is>
          <s:t xml:space="preserve">Kalkulator C43</s:t>
        </s:is>
      </s:c>
      <s:c r="B23" s="5">
        <s:f>'Kalkulator v11'!C43</s:f>
        <s:v>2</s:v>
      </s:c>
      <s:c r="C23" s="5">
        <s:v>2</s:v>
      </s:c>
      <s:c r="D23" s="5" t="b">
        <s:f>ABS(B23-C23)&lt;0.000001</s:f>
        <s:v>1</s:v>
      </s:c>
      <s:c r="E23" s="5" t="inlineStr">
        <s:is>
          <s:t xml:space="preserve">Niezależny eksport Node lub zatwierdzony przykład</s:t>
        </s:is>
      </s:c>
    </s:row>
    <s:row r="24" ht="42" customHeight="1">
      <s:c r="A24" s="4" t="inlineStr">
        <s:is>
          <s:t xml:space="preserve">Kalkulator C44</s:t>
        </s:is>
      </s:c>
      <s:c r="B24" s="4">
        <s:f>'Kalkulator v11'!C44</s:f>
        <s:v>1800</s:v>
      </s:c>
      <s:c r="C24" s="4">
        <s:v>1800</s:v>
      </s:c>
      <s:c r="D24" s="4" t="b">
        <s:f>ABS(B24-C24)&lt;0.000001</s:f>
        <s:v>1</s:v>
      </s:c>
      <s:c r="E24" s="4" t="inlineStr">
        <s:is>
          <s:t xml:space="preserve">Niezależny eksport Node lub zatwierdzony przykład</s:t>
        </s:is>
      </s:c>
    </s:row>
    <s:row r="25" ht="42" customHeight="1">
      <s:c r="A25" s="5" t="inlineStr">
        <s:is>
          <s:t xml:space="preserve">Kalkulator C48</s:t>
        </s:is>
      </s:c>
      <s:c r="B25" s="5">
        <s:f>'Kalkulator v11'!C48</s:f>
        <s:v>400</s:v>
      </s:c>
      <s:c r="C25" s="5">
        <s:v>400</s:v>
      </s:c>
      <s:c r="D25" s="5" t="b">
        <s:f>ABS(B25-C25)&lt;0.000001</s:f>
        <s:v>1</s:v>
      </s:c>
      <s:c r="E25" s="5" t="inlineStr">
        <s:is>
          <s:t xml:space="preserve">Niezależny eksport Node lub zatwierdzony przykład</s:t>
        </s:is>
      </s:c>
    </s:row>
    <s:row r="26" ht="42" customHeight="1">
      <s:c r="A26" s="4" t="inlineStr">
        <s:is>
          <s:t xml:space="preserve">Kalkulator C49</s:t>
        </s:is>
      </s:c>
      <s:c r="B26" s="4">
        <s:f>'Kalkulator v11'!C49</s:f>
        <s:v>750</s:v>
      </s:c>
      <s:c r="C26" s="4">
        <s:v>750</s:v>
      </s:c>
      <s:c r="D26" s="4" t="b">
        <s:f>ABS(B26-C26)&lt;0.000001</s:f>
        <s:v>1</s:v>
      </s:c>
      <s:c r="E26" s="4" t="inlineStr">
        <s:is>
          <s:t xml:space="preserve">Niezależny eksport Node lub zatwierdzony przykład</s:t>
        </s:is>
      </s:c>
    </s:row>
    <s:row r="27" ht="42" customHeight="1">
      <s:c r="A27" s="5" t="inlineStr">
        <s:is>
          <s:t xml:space="preserve">Kalkulator C50</s:t>
        </s:is>
      </s:c>
      <s:c r="B27" s="5">
        <s:f>'Kalkulator v11'!C50</s:f>
        <s:v>138.46153846153845</s:v>
      </s:c>
      <s:c r="C27" s="5">
        <s:v>138.46153846153845</s:v>
      </s:c>
      <s:c r="D27" s="5" t="b">
        <s:f>ABS(B27-C27)&lt;0.000001</s:f>
        <s:v>1</s:v>
      </s:c>
      <s:c r="E27" s="5" t="inlineStr">
        <s:is>
          <s:t xml:space="preserve">Niezależny eksport Node lub zatwierdzony przykład</s:t>
        </s:is>
      </s:c>
    </s:row>
    <s:row r="28" ht="42" customHeight="1">
      <s:c r="A28" s="4" t="inlineStr">
        <s:is>
          <s:t xml:space="preserve">Kalkulator C51</s:t>
        </s:is>
      </s:c>
      <s:c r="B28" s="4">
        <s:f>'Kalkulator v11'!C51</s:f>
        <s:v>42</s:v>
      </s:c>
      <s:c r="C28" s="4">
        <s:v>42</s:v>
      </s:c>
      <s:c r="D28" s="4" t="b">
        <s:f>ABS(B28-C28)&lt;0.000001</s:f>
        <s:v>1</s:v>
      </s:c>
      <s:c r="E28" s="4" t="inlineStr">
        <s:is>
          <s:t xml:space="preserve">Niezależny eksport Node lub zatwierdzony przykład</s:t>
        </s:is>
      </s:c>
    </s:row>
    <s:row r="29" ht="42" customHeight="1">
      <s:c r="A29" s="5" t="inlineStr">
        <s:is>
          <s:t xml:space="preserve">Kalkulator C52</s:t>
        </s:is>
      </s:c>
      <s:c r="B29" s="5">
        <s:f>'Kalkulator v11'!C52</s:f>
        <s:v>330</s:v>
      </s:c>
      <s:c r="C29" s="5">
        <s:v>330</s:v>
      </s:c>
      <s:c r="D29" s="5" t="b">
        <s:f>ABS(B29-C29)&lt;0.000001</s:f>
        <s:v>1</s:v>
      </s:c>
      <s:c r="E29" s="5" t="inlineStr">
        <s:is>
          <s:t xml:space="preserve">Niezależny eksport Node lub zatwierdzony przykład</s:t>
        </s:is>
      </s:c>
    </s:row>
    <s:row r="30" ht="42" customHeight="1">
      <s:c r="A30" s="4" t="inlineStr">
        <s:is>
          <s:t xml:space="preserve">Kalkulator C53</s:t>
        </s:is>
      </s:c>
      <s:c r="B30" s="4">
        <s:f>'Kalkulator v11'!C53</s:f>
        <s:v>92.307692307692292</s:v>
      </s:c>
      <s:c r="C30" s="4">
        <s:v>92.307692307692292</s:v>
      </s:c>
      <s:c r="D30" s="4" t="b">
        <s:f>ABS(B30-C30)&lt;0.000001</s:f>
        <s:v>1</s:v>
      </s:c>
      <s:c r="E30" s="4" t="inlineStr">
        <s:is>
          <s:t xml:space="preserve">Niezależny eksport Node lub zatwierdzony przykład</s:t>
        </s:is>
      </s:c>
    </s:row>
    <s:row r="31" ht="42" customHeight="1">
      <s:c r="A31" s="5" t="inlineStr">
        <s:is>
          <s:t xml:space="preserve">Kalkulator C54</s:t>
        </s:is>
      </s:c>
      <s:c r="B31" s="5">
        <s:f>'Kalkulator v11'!C54</s:f>
        <s:v>11.538461538461538</s:v>
      </s:c>
      <s:c r="C31" s="5">
        <s:v>11.538461538461538</s:v>
      </s:c>
      <s:c r="D31" s="5" t="b">
        <s:f>ABS(B31-C31)&lt;0.000001</s:f>
        <s:v>1</s:v>
      </s:c>
      <s:c r="E31" s="5" t="inlineStr">
        <s:is>
          <s:t xml:space="preserve">Niezależny eksport Node lub zatwierdzony przykład</s:t>
        </s:is>
      </s:c>
    </s:row>
    <s:row r="32" ht="42" customHeight="1">
      <s:c r="A32" s="4" t="inlineStr">
        <s:is>
          <s:t xml:space="preserve">Kalkulator C60</s:t>
        </s:is>
      </s:c>
      <s:c r="B32" s="4">
        <s:f>'Kalkulator v11'!C60</s:f>
        <s:v>2000</s:v>
      </s:c>
      <s:c r="C32" s="4">
        <s:v>2000</s:v>
      </s:c>
      <s:c r="D32" s="4" t="b">
        <s:f>ABS(B32-C32)&lt;0.000001</s:f>
        <s:v>1</s:v>
      </s:c>
      <s:c r="E32" s="4" t="inlineStr">
        <s:is>
          <s:t xml:space="preserve">Niezależny eksport Node lub zatwierdzony przykład</s:t>
        </s:is>
      </s:c>
    </s:row>
    <s:row r="33" ht="42" customHeight="1">
      <s:c r="A33" s="5" t="inlineStr">
        <s:is>
          <s:t xml:space="preserve">Kalkulator C61</s:t>
        </s:is>
      </s:c>
      <s:c r="B33" s="5">
        <s:f>'Kalkulator v11'!C61</s:f>
        <s:v>200</s:v>
      </s:c>
      <s:c r="C33" s="5">
        <s:v>200</s:v>
      </s:c>
      <s:c r="D33" s="5" t="b">
        <s:f>ABS(B33-C33)&lt;0.000001</s:f>
        <s:v>1</s:v>
      </s:c>
      <s:c r="E33" s="5" t="inlineStr">
        <s:is>
          <s:t xml:space="preserve">Niezależny eksport Node lub zatwierdzony przykład</s:t>
        </s:is>
      </s:c>
    </s:row>
    <s:row r="34" ht="42" customHeight="1">
      <s:c r="A34" s="4" t="inlineStr">
        <s:is>
          <s:t xml:space="preserve">Kalkulator C62</s:t>
        </s:is>
      </s:c>
      <s:c r="B34" s="4" t="b">
        <s:f>'Kalkulator v11'!C62</s:f>
        <s:v>1</s:v>
      </s:c>
      <s:c r="C34" s="4" t="b">
        <s:v>1</s:v>
      </s:c>
      <s:c r="D34" s="4" t="b">
        <s:f>B34=C34</s:f>
        <s:v>1</s:v>
      </s:c>
      <s:c r="E34" s="4" t="inlineStr">
        <s:is>
          <s:t xml:space="preserve">Niezależny eksport Node lub zatwierdzony przykład</s:t>
        </s:is>
      </s:c>
    </s:row>
    <s:row r="35" ht="42" customHeight="1">
      <s:c r="A35" s="5" t="inlineStr">
        <s:is>
          <s:t xml:space="preserve">Kalkulator C67</s:t>
        </s:is>
      </s:c>
      <s:c r="B35" s="5">
        <s:f>'Kalkulator v11'!C67</s:f>
        <s:v>6</s:v>
      </s:c>
      <s:c r="C35" s="5">
        <s:v>6</s:v>
      </s:c>
      <s:c r="D35" s="5" t="b">
        <s:f>ABS(B35-C35)&lt;0.000001</s:f>
        <s:v>1</s:v>
      </s:c>
      <s:c r="E35" s="5" t="inlineStr">
        <s:is>
          <s:t xml:space="preserve">Niezależny eksport Node lub zatwierdzony przykład</s:t>
        </s:is>
      </s:c>
    </s:row>
    <s:row r="36" ht="42" customHeight="1">
      <s:c r="A36" s="4" t="inlineStr">
        <s:is>
          <s:t xml:space="preserve">Kalkulator C68</s:t>
        </s:is>
      </s:c>
      <s:c r="B36" s="4">
        <s:f>'Kalkulator v11'!C68</s:f>
        <s:v>12</s:v>
      </s:c>
      <s:c r="C36" s="4">
        <s:v>12</s:v>
      </s:c>
      <s:c r="D36" s="4" t="b">
        <s:f>ABS(B36-C36)&lt;0.000001</s:f>
        <s:v>1</s:v>
      </s:c>
      <s:c r="E36" s="4" t="inlineStr">
        <s:is>
          <s:t xml:space="preserve">Niezależny eksport Node lub zatwierdzony przykład</s:t>
        </s:is>
      </s:c>
    </s:row>
    <s:row r="37" ht="42" customHeight="1">
      <s:c r="A37" s="5" t="inlineStr">
        <s:is>
          <s:t xml:space="preserve">Kalkulator C69</s:t>
        </s:is>
      </s:c>
      <s:c r="B37" s="5">
        <s:f>'Kalkulator v11'!C69</s:f>
        <s:v>21</s:v>
      </s:c>
      <s:c r="C37" s="5">
        <s:v>21</s:v>
      </s:c>
      <s:c r="D37" s="5" t="b">
        <s:f>ABS(B37-C37)&lt;0.000001</s:f>
        <s:v>1</s:v>
      </s:c>
      <s:c r="E37" s="5" t="inlineStr">
        <s:is>
          <s:t xml:space="preserve">Niezależny eksport Node lub zatwierdzony przykład</s:t>
        </s:is>
      </s:c>
    </s:row>
    <s:row r="38" ht="42" customHeight="1">
      <s:c r="A38" s="4" t="inlineStr">
        <s:is>
          <s:t xml:space="preserve">Kalkulator C74</s:t>
        </s:is>
      </s:c>
      <s:c r="B38" s="4">
        <s:f>'Kalkulator v11'!C74</s:f>
        <s:v>12500</s:v>
      </s:c>
      <s:c r="C38" s="4">
        <s:v>12500</s:v>
      </s:c>
      <s:c r="D38" s="4" t="b">
        <s:f>ABS(B38-C38)&lt;0.000001</s:f>
        <s:v>1</s:v>
      </s:c>
      <s:c r="E38" s="4" t="inlineStr">
        <s:is>
          <s:t xml:space="preserve">Niezależny eksport Node lub zatwierdzony przykład</s:t>
        </s:is>
      </s:c>
    </s:row>
    <s:row r="39" ht="42" customHeight="1">
      <s:c r="A39" s="5" t="inlineStr">
        <s:is>
          <s:t xml:space="preserve">Kalkulator C75</s:t>
        </s:is>
      </s:c>
      <s:c r="B39" s="5">
        <s:f>'Kalkulator v11'!C75</s:f>
        <s:v>37500</s:v>
      </s:c>
      <s:c r="C39" s="5">
        <s:v>37500</s:v>
      </s:c>
      <s:c r="D39" s="5" t="b">
        <s:f>ABS(B39-C39)&lt;0.000001</s:f>
        <s:v>1</s:v>
      </s:c>
      <s:c r="E39" s="5" t="inlineStr">
        <s:is>
          <s:t xml:space="preserve">Niezależny eksport Node lub zatwierdzony przykład</s:t>
        </s:is>
      </s:c>
    </s:row>
    <s:row r="40" ht="42" customHeight="1">
      <s:c r="A40" s="4" t="inlineStr">
        <s:is>
          <s:t xml:space="preserve">Kalkulator C76</s:t>
        </s:is>
      </s:c>
      <s:c r="B40" s="4">
        <s:f>'Kalkulator v11'!C76</s:f>
        <s:v>25000</s:v>
      </s:c>
      <s:c r="C40" s="4">
        <s:v>25000</s:v>
      </s:c>
      <s:c r="D40" s="4" t="b">
        <s:f>ABS(B40-C40)&lt;0.000001</s:f>
        <s:v>1</s:v>
      </s:c>
      <s:c r="E40" s="4" t="inlineStr">
        <s:is>
          <s:t xml:space="preserve">Niezależny eksport Node lub zatwierdzony przykład</s:t>
        </s:is>
      </s:c>
    </s:row>
    <s:row r="41" ht="42" customHeight="1">
      <s:c r="A41" s="5" t="inlineStr">
        <s:is>
          <s:t xml:space="preserve">Kalkulator C77</s:t>
        </s:is>
      </s:c>
      <s:c r="B41" s="5">
        <s:f>'Kalkulator v11'!C77</s:f>
        <s:v>50000</s:v>
      </s:c>
      <s:c r="C41" s="5">
        <s:v>50000</s:v>
      </s:c>
      <s:c r="D41" s="5" t="b">
        <s:f>ABS(B41-C41)&lt;0.000001</s:f>
        <s:v>1</s:v>
      </s:c>
      <s:c r="E41" s="5" t="inlineStr">
        <s:is>
          <s:t xml:space="preserve">Niezależny eksport Node lub zatwierdzony przykład</s:t>
        </s:is>
      </s:c>
    </s:row>
    <s:row r="42" ht="42" customHeight="1">
      <s:c r="A42" s="4" t="inlineStr">
        <s:is>
          <s:t xml:space="preserve">Kalkulator C84</s:t>
        </s:is>
      </s:c>
      <s:c r="B42" s="4">
        <s:f>'Kalkulator v11'!C84</s:f>
        <s:v>0.083333333333333329</s:v>
      </s:c>
      <s:c r="C42" s="4">
        <s:v>0.083333333333333329</s:v>
      </s:c>
      <s:c r="D42" s="4" t="b">
        <s:f>ABS(B42-C42)&lt;0.000001</s:f>
        <s:v>1</s:v>
      </s:c>
      <s:c r="E42" s="4" t="inlineStr">
        <s:is>
          <s:t xml:space="preserve">Niezależny eksport Node lub zatwierdzony przykład</s:t>
        </s:is>
      </s:c>
    </s:row>
    <s:row r="43" ht="42" customHeight="1">
      <s:c r="A43" s="5" t="inlineStr">
        <s:is>
          <s:t xml:space="preserve">Kalkulator C85</s:t>
        </s:is>
      </s:c>
      <s:c r="B43" s="5">
        <s:f>'Kalkulator v11'!C85</s:f>
        <s:v>47.916666666666664</s:v>
      </s:c>
      <s:c r="C43" s="5">
        <s:v>47.916666666666664</s:v>
      </s:c>
      <s:c r="D43" s="5" t="b">
        <s:f>ABS(B43-C43)&lt;0.000001</s:f>
        <s:v>1</s:v>
      </s:c>
      <s:c r="E43" s="5" t="inlineStr">
        <s:is>
          <s:t xml:space="preserve">Niezależny eksport Node lub zatwierdzony przykład</s:t>
        </s:is>
      </s:c>
    </s:row>
    <s:row r="44" ht="42" customHeight="1">
      <s:c r="A44" s="4" t="inlineStr">
        <s:is>
          <s:t xml:space="preserve">Kalkulator C86</s:t>
        </s:is>
      </s:c>
      <s:c r="B44" s="4">
        <s:f>'Kalkulator v11'!C86</s:f>
        <s:v>12</s:v>
      </s:c>
      <s:c r="C44" s="4">
        <s:v>12</s:v>
      </s:c>
      <s:c r="D44" s="4" t="b">
        <s:f>ABS(B44-C44)&lt;0.000001</s:f>
        <s:v>1</s:v>
      </s:c>
      <s:c r="E44" s="4" t="inlineStr">
        <s:is>
          <s:t xml:space="preserve">Niezależny eksport Node lub zatwierdzony przykład</s:t>
        </s:is>
      </s:c>
    </s:row>
    <s:row r="45" ht="42" customHeight="1">
      <s:c r="A45" s="5" t="inlineStr">
        <s:is>
          <s:t xml:space="preserve">Kalkulator C87</s:t>
        </s:is>
      </s:c>
      <s:c r="B45" s="5">
        <s:f>'Kalkulator v11'!C87</s:f>
        <s:v>54.083333333333329</s:v>
      </s:c>
      <s:c r="C45" s="5">
        <s:v>54.083333333333336</s:v>
      </s:c>
      <s:c r="D45" s="5" t="b">
        <s:f>ABS(B45-C45)&lt;0.000001</s:f>
        <s:v>1</s:v>
      </s:c>
      <s:c r="E45" s="5" t="inlineStr">
        <s:is>
          <s:t xml:space="preserve">Niezależny eksport Node lub zatwierdzony przykład</s:t>
        </s:is>
      </s:c>
    </s:row>
    <s:row r="46" ht="42" customHeight="1">
      <s:c r="A46" s="4" t="inlineStr">
        <s:is>
          <s:t xml:space="preserve">Kalkulator C88</s:t>
        </s:is>
      </s:c>
      <s:c r="B46" s="4">
        <s:f>'Kalkulator v11'!C88</s:f>
        <s:v>60</s:v>
      </s:c>
      <s:c r="C46" s="4">
        <s:v>60</s:v>
      </s:c>
      <s:c r="D46" s="4" t="b">
        <s:f>ABS(B46-C46)&lt;0.000001</s:f>
        <s:v>1</s:v>
      </s:c>
      <s:c r="E46" s="4" t="inlineStr">
        <s:is>
          <s:t xml:space="preserve">Niezależny eksport Node lub zatwierdzony przykład</s:t>
        </s:is>
      </s:c>
    </s:row>
    <s:row r="47" ht="42" customHeight="1">
      <s:c r="A47" s="5" t="inlineStr">
        <s:is>
          <s:t xml:space="preserve">Kalkulator C93</s:t>
        </s:is>
      </s:c>
      <s:c r="B47" s="5">
        <s:f>'Kalkulator v11'!C93</s:f>
        <s:v>400</s:v>
      </s:c>
      <s:c r="C47" s="5">
        <s:v>400</s:v>
      </s:c>
      <s:c r="D47" s="5" t="b">
        <s:f>ABS(B47-C47)&lt;0.000001</s:f>
        <s:v>1</s:v>
      </s:c>
      <s:c r="E47" s="5" t="inlineStr">
        <s:is>
          <s:t xml:space="preserve">Niezależny eksport Node lub zatwierdzony przykład</s:t>
        </s:is>
      </s:c>
    </s:row>
    <s:row r="48" ht="42" customHeight="1">
      <s:c r="A48" s="4" t="inlineStr">
        <s:is>
          <s:t xml:space="preserve">25 działań samouczka</s:t>
        </s:is>
      </s:c>
      <s:c r="B48" s="4">
        <s:v>25</s:v>
      </s:c>
      <s:c r="C48" s="4">
        <s:v>25</s:v>
      </s:c>
      <s:c r="D48" s="4" t="b">
        <s:v>1</s:v>
      </s:c>
      <s:c r="E48" s="4" t="inlineStr">
        <s:is>
          <s:t xml:space="preserve">Eksport TUTORIAL_LESSONS</s:t>
        </s:is>
      </s:c>
    </s:row>
    <s:row r="49" ht="42" customHeight="1">
      <s:c r="A49" s="5" t="inlineStr">
        <s:is>
          <s:t xml:space="preserve">L24/L100: identyczny ładunek</s:t>
        </s:is>
      </s:c>
      <s:c r="B49" s="5">
        <s:v>1074</s:v>
      </s:c>
      <s:c r="C49" s="5">
        <s:v>1074</s:v>
      </s:c>
      <s:c r="D49" s="5" t="b">
        <s:v>1</s:v>
      </s:c>
      <s:c r="E49" s="5" t="inlineStr">
        <s:is>
          <s:t xml:space="preserve">haulCapacity; ograniczenie tylko Magazynu</s:t>
        </s:is>
      </s:c>
    </s:row>
    <s:row r="50" ht="42" customHeight="1">
      <s:c r="A50" s="4" t="inlineStr">
        <s:is>
          <s:t xml:space="preserve">L24/L100: identyczna rezerwa</s:t>
        </s:is>
      </s:c>
      <s:c r="B50" s="4">
        <s:v>1200</s:v>
      </s:c>
      <s:c r="C50" s="4">
        <s:v>1200</s:v>
      </s:c>
      <s:c r="D50" s="4" t="b">
        <s:v>1</s:v>
      </s:c>
      <s:c r="E50" s="4" t="inlineStr">
        <s:is>
          <s:t xml:space="preserve">foodReserve</s:t>
        </s:is>
      </s:c>
    </s:row>
    <s:row r="51" ht="42" customHeight="1">
      <s:c r="A51" s="5" t="inlineStr">
        <s:is>
          <s:t xml:space="preserve">L24/L100: rosnąca obsada</s:t>
        </s:is>
      </s:c>
      <s:c r="B51" s="5">
        <s:v>1200</s:v>
      </s:c>
      <s:c r="C51" s="5">
        <s:v>288</s:v>
      </s:c>
      <s:c r="D51" s="5" t="b">
        <s:v>1</s:v>
      </s:c>
      <s:c r="E51" s="5" t="inlineStr">
        <s:is>
          <s:t xml:space="preserve">workerLimit:1200 &gt;288</s:t>
        </s:is>
      </s:c>
    </s:row>
    <s:row r="52" ht="42" customHeight="1">
      <s:c r="A52" s="4" t="inlineStr">
        <s:is>
          <s:t xml:space="preserve">Scenariusze ręczne</s:t>
        </s:is>
      </s:c>
      <s:c r="B52" s="4">
        <s:v>155</s:v>
      </s:c>
      <s:c r="C52" s="4">
        <s:v>155</s:v>
      </s:c>
      <s:c r="D52" s="4" t="b">
        <s:v>1</s:v>
      </s:c>
      <s:c r="E52" s="4" t="inlineStr">
        <s:is>
          <s:t xml:space="preserve">Liczba wierszy JSON; wyniki ręczne nadal Nie wykonano</s:t>
        </s:is>
      </s:c>
    </s:row>
  </s:sheetData>
  <s:autoFilter ref="A5:E52"/>
  <s:mergeCells count="2">
    <s:mergeCell ref="A1:E1"/>
    <s:mergeCell ref="A2:E2"/>
  </s:mergeCells>
  <s:pageMargins left="0.25" right="0.25" top="0.5" bottom="0.5" header="0.2" footer="0.2"/>
  <s:pageSetup orientation="landscape" paperSize="8" fitToWidth="1" fitToHeight="0"/>
</s:worksheet>
</file>

<file path=xl/worksheets/sheet66.xml><?xml version="1.0" encoding="utf-8"?>
<s:worksheet xmlns:s="http://schemas.openxmlformats.org/spreadsheetml/2006/main">
  <s:sheetPr/>
  <s:dimension ref="A1:C24"/>
  <s:sheetViews>
    <s:sheetView workbookViewId="0" tabSelected="0">
      <s:pane ySplit="5" xSplit="0" topLeftCell="A6" activePane="bottomLeft" state="frozen"/>
    </s:sheetView>
  </s:sheetViews>
  <s:sheetFormatPr defaultRowHeight="22"/>
  <s:cols>
    <s:col min="1" max="1" width="60" customWidth="1"/>
    <s:col min="2" max="2" width="140" customWidth="1"/>
    <s:col min="3" max="3" width="70" customWidth="1"/>
  </s:cols>
  <s:sheetData>
    <s:row r="1" ht="34" customHeight="1">
      <s:c r="A1" s="1" t="inlineStr">
        <s:is>
          <s:t xml:space="preserve">ŹRÓDŁA V11 · wartości pobrane z kodu</s:t>
        </s:is>
      </s:c>
    </s:row>
    <s:row r="2" ht="76" customHeight="1">
      <s:c r="A2" s="2" t="inlineStr">
        <s:is>
          <s:t xml:space="preserve">Snapshot eksportów obecnego kodu; opublikowane PRE-PROD i nowy zakres DEV są rozdzielone. Wszystkie stare arkusze i komentarze pochodzą z niezmienionego Excela 10.</s:t>
        </s:is>
      </s:c>
    </s:row>
    <s:row r="5" ht="34" customHeight="1">
      <s:c r="A5" s="3" t="inlineStr">
        <s:is>
          <s:t xml:space="preserve">Obszar / klucz</s:t>
        </s:is>
      </s:c>
      <s:c r="B5" s="3" t="inlineStr">
        <s:is>
          <s:t xml:space="preserve">Wartość</s:t>
        </s:is>
      </s:c>
      <s:c r="C5" s="3" t="inlineStr">
        <s:is>
          <s:t xml:space="preserve">Źródło</s:t>
        </s:is>
      </s:c>
    </s:row>
    <s:row r="6" ht="42" customHeight="1">
      <s:c r="A6" s="4" t="inlineStr">
        <s:is>
          <s:t xml:space="preserve">PRE-PROD / źródło</s:t>
        </s:is>
      </s:c>
      <s:c r="B6" s="4" t="inlineStr">
        <s:is>
          <s:t xml:space="preserve">6ec3c6d8625420fd96474a22a8b1d699672416cd</s:t>
        </s:is>
      </s:c>
      <s:c r="C6" s="4" t="inlineStr">
        <s:is>
          <s:t xml:space="preserve">AGENTS.md; rzeczywisty workflow 41112673285</s:t>
        </s:is>
      </s:c>
    </s:row>
    <s:row r="7" ht="42" customHeight="1">
      <s:c r="A7" s="5" t="inlineStr">
        <s:is>
          <s:t xml:space="preserve">PRE-PROD / CI</s:t>
        </s:is>
      </s:c>
      <s:c r="B7" s="5" t="inlineStr">
        <s:is>
          <s:t xml:space="preserve">41111528800</s:t>
        </s:is>
      </s:c>
      <s:c r="C7" s="5" t="inlineStr">
        <s:is>
          <s:t xml:space="preserve">GitHub Actions — SUCCESS</s:t>
        </s:is>
      </s:c>
    </s:row>
    <s:row r="8" ht="42" customHeight="1">
      <s:c r="A8" s="4" t="inlineStr">
        <s:is>
          <s:t xml:space="preserve">PRE-PROD / wdrożenie</s:t>
        </s:is>
      </s:c>
      <s:c r="B8" s="4" t="inlineStr">
        <s:is>
          <s:t xml:space="preserve">41112673285</s:t>
        </s:is>
      </s:c>
      <s:c r="C8" s="4" t="inlineStr">
        <s:is>
          <s:t xml:space="preserve">GitHub Actions — SUCCESS; nie dotyczy nowej partii DEV</s:t>
        </s:is>
      </s:c>
    </s:row>
    <s:row r="9" ht="42" customHeight="1">
      <s:c r="A9" s="5" t="inlineStr">
        <s:is>
          <s:t xml:space="preserve">Excel 10 SHA-256</s:t>
        </s:is>
      </s:c>
      <s:c r="B9" s="5" t="inlineStr">
        <s:is>
          <s:t xml:space="preserve">4dd371e4fe779e51e1f060e69493635f25971a9c365ff9b55f961d457f31145a</s:t>
        </s:is>
      </s:c>
      <s:c r="C9" s="5" t="inlineStr">
        <s:is>
          <s:t xml:space="preserve">Niezmieniony plik bazowy</s:t>
        </s:is>
      </s:c>
    </s:row>
    <s:row r="10" ht="42" customHeight="1">
      <s:c r="A10" s="4" t="inlineStr">
        <s:is>
          <s:t xml:space="preserve">Nowe dokumenty / operator</s:t>
        </s:is>
      </s:c>
      <s:c r="B10" s="4" t="inlineStr">
        <s:is>
          <s:t xml:space="preserve">Loremipsum</s:t>
        </s:is>
      </s:c>
      <s:c r="C10" s="4" t="inlineStr">
        <s:is>
          <s:t xml:space="preserve">Placeholder zatwierdzony przez właściciela; treść robocza do przeglądu</s:t>
        </s:is>
      </s:c>
    </s:row>
    <s:row r="11" ht="48" customHeight="1">
      <s:c r="A11" s="5" t="inlineStr">
        <s:is>
          <s:t xml:space="preserve">generatedFrom</s:t>
        </s:is>
      </s:c>
      <s:c r="B11" s="5" t="inlineStr">
        <s:is>
          <s:t xml:space="preserve">"current local module exports"</s:t>
        </s:is>
      </s:c>
      <s:c r="C11" s="5" t="inlineStr">
        <s:is>
          <s:t xml:space="preserve">Eksport modułu Node; scripts/build_workbook_v11.py</s:t>
        </s:is>
      </s:c>
    </s:row>
    <s:row r="12" ht="62" customHeight="1">
      <s:c r="A12" s="4" t="inlineStr">
        <s:is>
          <s:t xml:space="preserve">start</s:t>
        </s:is>
      </s:c>
      <s:c r="B12" s="4" t="inlineStr">
        <s:is>
          <s:t xml:space="preserve">{"happiness": 20, "population": 12, "resources": {"coins": 100, "food": 100, "grain": 100, "planks": 100, "stone": 100, "wood": 100}}</s:t>
        </s:is>
      </s:c>
      <s:c r="C12" s="4" t="inlineStr">
        <s:is>
          <s:t xml:space="preserve">Eksport modułu Node; scripts/build_workbook_v11.py</s:t>
        </s:is>
      </s:c>
    </s:row>
    <s:row r="13" ht="76" customHeight="1">
      <s:c r="A13" s="5" t="inlineStr">
        <s:is>
          <s:t xml:space="preserve">progression</s:t>
        </s:is>
      </s:c>
      <s:c r="B13" s="5" t="inlineStr">
        <s:is>
          <s:t xml:space="preserve">{"abandoned": 172800, "active": 300, "chestMax": 300, "chestMin": 100, "loyaltyMax": 200, "loyaltyMin": 50, "supplies": {"coins": 500, "food": 600, "grain": 500, "planks": 500, "stone": 500, "wood": 500}}</s:t>
        </s:is>
      </s:c>
      <s:c r="C13" s="5" t="inlineStr">
        <s:is>
          <s:t xml:space="preserve">Eksport modułu Node; scripts/build_workbook_v11.py</s:t>
        </s:is>
      </s:c>
    </s:row>
    <s:row r="14" ht="118" customHeight="1">
      <s:c r="A14" s="4" t="inlineStr">
        <s:is>
          <s:t xml:space="preserve">miniRules</s:t>
        </s:is>
      </s:c>
      <s:c r="B14" s="4" t="inlineStr">
        <s:is>
          <s:t xml:space="preserve">{"baseReward": 50, "fullRewardRatio": 0.6666666666666666, "penaltyIntervals": 12, "tilt": {"baseSeconds": 180, "difficultyPerStage": 0.1, "maximumBalls": 6, "maximumCells": 8, "minimumSeconds": 60}, "triples": {"baseSeconds": 240, "cardsPerStage": 6, "extraSecondsPerStage": 30, "firstCards": 24, "firstShuffleSeconds": 60, "maximumCards": 120, "maximumSeconds": 900, "minimumShuffleSeconds": 30, "mismatchSeconds": 0.8, "shuffleFromStage": 4}, "version": 16}</s:t>
        </s:is>
      </s:c>
      <s:c r="C14" s="4" t="inlineStr">
        <s:is>
          <s:t xml:space="preserve">Eksport modułu Node; scripts/build_workbook_v11.py</s:t>
        </s:is>
      </s:c>
    </s:row>
    <s:row r="15" ht="240" customHeight="1">
      <s:c r="A15" s="5" t="inlineStr">
        <s:is>
          <s:t xml:space="preserve">rounds</s:t>
        </s:is>
      </s:c>
      <s:c r="B15" s="5" t="inlineStr">
        <s:is>
          <s:t xml:space="preserve">{"1": {"tilt": {"ballCount": 1, "baseReward": 50, "cardCount": 0, "fullRewardUntil": 120, "kind": "tilt", "mazeCells": 3, "penaltyEvery": 15, "shuffleInterval": null, "stage": 1, "timeLimit": 180, "version": 16}, "triples": {"ballCount": 0, "baseReward": 50, "cardCount": 24, "fullRewardUntil": 160, "kind": "triples", "mazeCells": 0, "penaltyEvery": 20, "shuffleInterval": null, "stage": 1, "timeLimit": 240, "version": 16}}, "17": {"tilt": {"ballCount": 6, "baseReward": 3276800, "cardCount": 0, "fullRewardUntil": 46.153846153846146, "kind": "tilt", "mazeCells": 8, "penaltyEvery": 5.769230769230769, "shuffleInterval": null, "stage": 17, "timeLimit": 69.23076923076923, "version": 16}, "triples": {"ballCount": 0, "baseReward": 3276800, "cardCount": 120, "fullRewardUntil": 480, "kind": "triples", "mazeCells": 0, "penaltyEvery": 60, "shuffleInterval": 34, "stage": 17, "timeLimit": 720, "version": 16}}, "2": {"tilt": {"ballCount": 1, "baseReward": 100, "cardCount": 0, "fullRewardUntil": 109.09090909090908, "kind": "tilt", "mazeCells": 3, "penaltyEvery": 13.636363636363635, "shuffleInterval": null, "stage": 2, "timeLimit": 163.63636363636363, "version": 16}, "triples": {"ballCount": 0, "baseReward": 100, "cardCount": 30, "fullRewardUntil": 180, "kind": "triples", "mazeCells": 0, "penaltyEvery": 22.5, "shuffleInterval": null, "stage": 2, "timeLimit": 270, "version": 16}}, "23": {"tilt": {"ballCount": 6, "baseReward": 209715200, "cardCount": 0, "fullRewardUntil": 40, "kind": "tilt", "mazeCells": 8, "penaltyEvery": 5, "shuffleInterval": null, "stage": 23, "timeLimit": 60, "version": 16}, "triples": {"ballCount": 0, "baseReward": 209715200, "cardCount": 120, "fullRewardUntil": 600, "kind": "triples", "mazeCells": 0, "penaltyEvery": 75, "shuffleInterval": 30, "stage": 23, "timeLimit": 900, "version": 16}}, "3": {"tilt": {"ballCount": 2, "baseReward": 200, "cardCount": 0, "fullRewardUntil": 100, "kind": "tilt", "mazeCells": 3, "penaltyEvery": 12.5, "shuffleInterval": null, "stage": 3, "timeLimit": 150, "version": 16}, "triples": {"ballCount": 0, "baseReward": 200, "cardCount": 36, "fullRewardUntil": 200, "kind": "triples", "mazeCells": 0, "penaltyEvery": 25, "shuffleInterval": null, "stage": 3, "timeLimit": 300, "version": 16}}, "4": {"tilt": {"ballCount": 2, "baseReward": 400, "cardCount": 0, "fullRewardUntil": 92.30769230769229, "kind": "tilt", "mazeCells": 4, "penaltyEvery": 11.538461538461538, "shuffleInterval": null, "stage": 4, "timeLimit": 138.46153846153845, "version": 16}, "triples": {"ballCount": 0, "baseReward": 400, "cardCount": 42, "fullRewardUntil": 220, "kind": "triples", "mazeCells": 0, "penaltyEvery": 27.5, "shuffleInterval": 60, "stage": 4, "timeLimit": 330, "version": 16}}}</s:t>
        </s:is>
      </s:c>
      <s:c r="C15" s="5" t="inlineStr">
        <s:is>
          <s:t xml:space="preserve">Eksport modułu Node; scripts/build_workbook_v11.py</s:t>
        </s:is>
      </s:c>
    </s:row>
    <s:row r="16" ht="230" customHeight="1">
      <s:c r="A16" s="4" t="inlineStr">
        <s:is>
          <s:t xml:space="preserve">activityRules</s:t>
        </s:is>
      </s:c>
      <s:c r="B16" s="4" t="inlineStr">
        <s:is>
          <s:t xml:space="preserve">{"accelerationPercentages": [25, 50, 75, 100], "adPauseTimeoutSeconds": 120, "adTimeSeconds": 60, "coinsPerFullMinute": 1, "coinsPerPLN": 10, "expeditionBase": 50, "expeditionCurve": {"baseSeconds": 180, "difficultyPerStage": 0.1, "provisional": true}, "expeditionOvertimeCoinsPerSecond": 10, "extraTimeCoins": 10, "extraTimeSeconds": 30, "materialMarkup": 1.25, "maximumAdSeconds": 120, "maximumAdTimeRewards": 1, "maximumExtraTimePurchases": 2, "minimumAccelerationPrice": 5, "packageDuration": 86400, "packagePricePerLevel": 1000, "premiumUnlockLevel": 4, "presenceConfirmationSeconds": 60, "presenceIdleSeconds": 300, "purchasedBuildSeconds": 10, "social": [{"available": false, "coins": 1000, "id": "playing"}, {"available": false, "coins": 500, "id": "next-level"}, {"available": false, "coins": 1000, "id": "referral-sign-in"}, {"available": false, "id": "referral-day-three", "materials": 500}, {"available": false, "coins": 1000, "id": "third-facebook-post"}], "taskConfirmationSeconds": 60, "taskDuration": 21600, "transportCoinsPerTrip": 10}</s:t>
        </s:is>
      </s:c>
      <s:c r="C16" s="4" t="inlineStr">
        <s:is>
          <s:t xml:space="preserve">Eksport modułu Node; scripts/build_workbook_v11.py</s:t>
        </s:is>
      </s:c>
    </s:row>
    <s:row r="17" ht="62" customHeight="1">
      <s:c r="A17" s="5" t="inlineStr">
        <s:is>
          <s:t xml:space="preserve">commerce</s:t>
        </s:is>
      </s:c>
      <s:c r="B17" s="5" t="inlineStr">
        <s:is>
          <s:t xml:space="preserve">{"materialAdMaximum": 30, "materialAdMinimum": 10, "noAdsThresholdGrosz": 1999, "noAdsWindowDays": 30, "provider": "Paynow", "simulatedAdSeconds": 10}</s:t>
        </s:is>
      </s:c>
      <s:c r="C17" s="5" t="inlineStr">
        <s:is>
          <s:t xml:space="preserve">Eksport modułu Node; scripts/build_workbook_v11.py</s:t>
        </s:is>
      </s:c>
    </s:row>
    <s:row r="18" ht="90" customHeight="1">
      <s:c r="A18" s="4" t="inlineStr">
        <s:is>
          <s:t xml:space="preserve">packages</s:t>
        </s:is>
      </s:c>
      <s:c r="B18" s="4" t="inlineStr">
        <s:is>
          <s:t xml:space="preserve">[{"coins": 10, "grossGrosz": 100}, {"coins": 50, "grossGrosz": 500}, {"coins": 100, "grossGrosz": 1000}, {"coins": 200, "grossGrosz": 2000}, {"coins": 500, "grossGrosz": 5000}, {"coins": 1000, "grossGrosz": 10000}, {"coins": 5000, "grossGrosz": 50000}]</s:t>
        </s:is>
      </s:c>
      <s:c r="C18" s="4" t="inlineStr">
        <s:is>
          <s:t xml:space="preserve">Eksport modułu Node; scripts/build_workbook_v11.py</s:t>
        </s:is>
      </s:c>
    </s:row>
    <s:row r="19" ht="118" customHeight="1">
      <s:c r="A19" s="5" t="inlineStr">
        <s:is>
          <s:t xml:space="preserve">worldEvents</s:t>
        </s:is>
      </s:c>
      <s:c r="B19" s="5" t="inlineStr">
        <s:is>
          <s:t xml:space="preserve">{"badMaximumDelaySeconds": 1296000, "badMinimumDelaySeconds": 518400, "badWeights": {"beetles": 30, "damaged-roads": 30, "plague": 10, "royal-tax": 30}, "chapelMonitoringLevel": 3, "effectSeconds": 21600, "fullHouseCompensationPerTownHall": 500, "goodMaximumSeconds": 216000, "goodMinimumSeconds": 129600, "goodWeights": {"castaway": 10, "fertilizer": 15, "supplies": 25, "tax-refund": 20, "treasure": 30}, "maximumPopulationLoss": 0.2, "populationMinimum": 6, "version": 1}</s:t>
        </s:is>
      </s:c>
      <s:c r="C19" s="5" t="inlineStr">
        <s:is>
          <s:t xml:space="preserve">Eksport modułu Node; scripts/build_workbook_v11.py</s:t>
        </s:is>
      </s:c>
    </s:row>
    <s:row r="20" ht="48" customHeight="1">
      <s:c r="A20" s="4" t="inlineStr">
        <s:is>
          <s:t xml:space="preserve">session</s:t>
        </s:is>
      </s:c>
      <s:c r="B20" s="4" t="inlineStr">
        <s:is>
          <s:t xml:space="preserve">{"idle": 1800, "warning": 30}</s:t>
        </s:is>
      </s:c>
      <s:c r="C20" s="4" t="inlineStr">
        <s:is>
          <s:t xml:space="preserve">Eksport modułu Node; scripts/build_workbook_v11.py</s:t>
        </s:is>
      </s:c>
    </s:row>
    <s:row r="21" ht="48" customHeight="1">
      <s:c r="A21" s="5" t="inlineStr">
        <s:is>
          <s:t xml:space="preserve">paidBlessingCooldown</s:t>
        </s:is>
      </s:c>
      <s:c r="B21" s="5" t="inlineStr">
        <s:is>
          <s:t xml:space="preserve">18000</s:t>
        </s:is>
      </s:c>
      <s:c r="C21" s="5" t="inlineStr">
        <s:is>
          <s:t xml:space="preserve">Eksport modułu Node; scripts/build_workbook_v11.py</s:t>
        </s:is>
      </s:c>
    </s:row>
    <s:row r="22" ht="48" customHeight="1">
      <s:c r="A22" s="4" t="inlineStr">
        <s:is>
          <s:t xml:space="preserve">production</s:t>
        </s:is>
      </s:c>
      <s:c r="B22" s="4" t="inlineStr">
        <s:is>
          <s:t xml:space="preserve">{"1": 20, "2": 24, "24": 68, "3": 26, "4": 28}</s:t>
        </s:is>
      </s:c>
      <s:c r="C22" s="4" t="inlineStr">
        <s:is>
          <s:t xml:space="preserve">Eksport modułu Node; scripts/build_workbook_v11.py</s:t>
        </s:is>
      </s:c>
    </s:row>
    <s:row r="23" ht="146" customHeight="1">
      <s:c r="A23" s="5" t="inlineStr">
        <s:is>
          <s:t xml:space="preserve">warehouses</s:t>
        </s:is>
      </s:c>
      <s:c r="B23" s="5" t="inlineStr">
        <s:is>
          <s:t xml:space="preserve">{"1": {"load": 120, "perResource": 1000, "reserve": 50, "total": 4000, "workers": 12}, "100": {"load": 1074, "perResource": 10000000, "reserve": 1200, "total": 40000000, "workers": 1200}, "2": {"load": 132, "perResource": 1500, "reserve": 100, "total": 6000, "workers": 24}, "23": {"load": 976, "perResource": 7481827, "reserve": 1150, "total": 29927310, "workers": 276}, "24": {"load": 1074, "perResource": 10000000, "reserve": 1200, "total": 40000000, "workers": 288}, "25": {"load": 1074, "perResource": 10000000, "reserve": 1200, "total": 40000000, "workers": 300}}</s:t>
        </s:is>
      </s:c>
      <s:c r="C23" s="5" t="inlineStr">
        <s:is>
          <s:t xml:space="preserve">Eksport modułu Node; scripts/build_workbook_v11.py</s:t>
        </s:is>
      </s:c>
    </s:row>
    <s:row r="24" ht="174" customHeight="1">
      <s:c r="A24" s="4" t="inlineStr">
        <s:is>
          <s:t xml:space="preserve">demography</s:t>
        </s:is>
      </s:c>
      <s:c r="B24" s="4" t="inlineStr">
        <s:is>
          <s:t xml:space="preserve">{"-100": {"interval": 3600, "rate": -1}, "-12.5": {"interval": 86400, "rate": -0.041666666666666664}, "-25": {"interval": 43200, "rate": -0.08333333333333333}, "-50": {"interval": 21600, "rate": -0.16666666666666666}, "-75": {"interval": 6171.428571428571, "rate": -0.5833333333333334}, "0": {"interval": null, "rate": 0}, "100": {"interval": 1800, "rate": 2}, "12.5": {"interval": 43200, "rate": 0.08333333333333333}, "20": {"interval": 27000, "rate": 0.13333333333333333}, "25": {"interval": 21600, "rate": 0.16666666666666666}, "33.3": {"interval": 16216.216216216219, "rate": 0.22199999999999998}, "50": {"interval": 10800, "rate": 0.3333333333333333}, "75": {"interval": 3085.7142857142853, "rate": 1.1666666666666667}}</s:t>
        </s:is>
      </s:c>
      <s:c r="C24" s="4" t="inlineStr">
        <s:is>
          <s:t xml:space="preserve">Eksport modułu Node; scripts/build_workbook_v11.py</s:t>
        </s:is>
      </s:c>
    </s:row>
  </s:sheetData>
  <s:autoFilter ref="A5:C24"/>
  <s:mergeCells count="2">
    <s:mergeCell ref="A1:C1"/>
    <s:mergeCell ref="A2:C2"/>
  </s:mergeCells>
  <s:pageMargins left="0.25" right="0.25" top="0.5" bottom="0.5" header="0.2" footer="0.2"/>
  <s:pageSetup orientation="landscape" paperSize="8" fitToWidth="1" fitToHeight="0"/>
</s: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Pięć widocznych zakładek v11. Zachowane 59 starych arkuszy, 48 komentarzy i wszystkie historyczne cache formuł.</dc:description>
  <dc:language>en-US</dc:language>
  <cp:lastModifiedBy>Sobczak, Krzysztof</cp:lastModifiedBy>
  <dcterms:modified xsi:type="dcterms:W3CDTF">2026-10-29T21:33:02Z</dcterms:modified>
  <cp:revision>0</cp:revision>
  <dc:subject>Bieżące v18; nowy zakres DEV; niezmienione archiwum Excel 10</dc:subject>
  <dc:title>HARBORLIGHT11 — zasady v18 i scenariusze testów</dc:title>
</cp:coreProperties>
</file>

<file path=docProps/custom.xml><?xml version="1.0" encoding="utf-8"?>
<Properties xmlns="http://schemas.openxmlformats.org/officeDocument/2006/custom-properties" xmlns:vt="http://schemas.openxmlformats.org/officeDocument/2006/docPropsVTypes"/>
</file>