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25.xml" ContentType="application/vnd.openxmlformats-officedocument.spreadsheetml.worksheet+xml"/>
  <Override PartName="/xl/worksheets/sheet3.xml" ContentType="application/vnd.openxmlformats-officedocument.spreadsheetml.worksheet+xml"/>
  <Override PartName="/xl/worksheets/sheet27.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20.xml" ContentType="application/vnd.openxmlformats-officedocument.spreadsheetml.worksheet+xml"/>
  <Override PartName="/xl/worksheets/sheet24.xml" ContentType="application/vnd.openxmlformats-officedocument.spreadsheetml.worksheet+xml"/>
  <Override PartName="/xl/worksheets/sheet22.xml" ContentType="application/vnd.openxmlformats-officedocument.spreadsheetml.worksheet+xml"/>
  <Override PartName="/xl/worksheets/sheet14.xml" ContentType="application/vnd.openxmlformats-officedocument.spreadsheetml.worksheet+xml"/>
  <Override PartName="/xl/worksheets/sheet17.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16.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15.xml" ContentType="application/vnd.openxmlformats-officedocument.spreadsheetml.worksheet+xml"/>
  <Override PartName="/xl/worksheets/sheet19.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21.xml" ContentType="application/vnd.openxmlformats-officedocument.spreadsheetml.worksheet+xml"/>
  <Override PartName="/xl/worksheets/sheet28.xml" ContentType="application/vnd.openxmlformats-officedocument.spreadsheetml.worksheet+xml"/>
  <Override PartName="/xl/worksheets/sheet9.xml" ContentType="application/vnd.openxmlformats-officedocument.spreadsheetml.worksheet+xml"/>
  <Override PartName="/xl/worksheets/sheet23.xml" ContentType="application/vnd.openxmlformats-officedocument.spreadsheetml.worksheet+xml"/>
  <Override PartName="/xl/worksheets/sheet26.xml" ContentType="application/vnd.openxmlformats-officedocument.spreadsheetml.worksheet+xml"/>
  <Override PartName="/xl/sharedStrings.xml" ContentType="application/vnd.openxmlformats-officedocument.spreadsheetml.sharedStrings+xml"/>
  <Override PartName="/xl/drawings/drawing27.xml" ContentType="application/vnd.openxmlformats-officedocument.drawing+xml"/>
  <Override PartName="/xl/drawings/drawing18.xml" ContentType="application/vnd.openxmlformats-officedocument.drawing+xml"/>
  <Override PartName="/xl/drawings/drawing2.xml" ContentType="application/vnd.openxmlformats-officedocument.drawing+xml"/>
  <Override PartName="/xl/drawings/drawing28.xml" ContentType="application/vnd.openxmlformats-officedocument.drawing+xml"/>
  <Override PartName="/xl/drawings/vmlDrawing1.vml" ContentType="application/vnd.openxmlformats-officedocument.vmlDrawing"/>
  <Override PartName="/xl/drawings/drawing3.xml" ContentType="application/vnd.openxmlformats-officedocument.drawing+xml"/>
  <Override PartName="/xl/drawings/drawing25.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9.xml" ContentType="application/vnd.openxmlformats-officedocument.drawing+xml"/>
  <Override PartName="/xl/drawings/drawing7.xml" ContentType="application/vnd.openxmlformats-officedocument.drawing+xml"/>
  <Override PartName="/xl/drawings/drawing29.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30.xml" ContentType="application/vnd.openxmlformats-officedocument.drawing+xml"/>
  <Override PartName="/xl/drawings/drawing16.xml" ContentType="application/vnd.openxmlformats-officedocument.drawing+xml"/>
  <Override PartName="/xl/drawings/drawing10.xml" ContentType="application/vnd.openxmlformats-officedocument.drawing+xml"/>
  <Override PartName="/xl/drawings/drawing15.xml" ContentType="application/vnd.openxmlformats-officedocument.drawing+xml"/>
  <Override PartName="/xl/drawings/drawing1.xml" ContentType="application/vnd.openxmlformats-officedocument.drawing+xml"/>
  <Override PartName="/xl/drawings/drawing6.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3.xml" ContentType="application/vnd.openxmlformats-officedocument.drawing+xml"/>
  <Override PartName="/xl/drawings/drawing17.xml" ContentType="application/vnd.openxmlformats-officedocument.drawing+xml"/>
  <Override PartName="/xl/drawings/drawing14.xml" ContentType="application/vnd.openxmlformats-officedocument.drawing+xml"/>
  <Override PartName="/xl/drawings/drawing24.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xl/drawings/drawing19.xml" ContentType="application/vnd.openxmlformats-officedocument.drawing+xml"/>
  <Override PartName="/xl/drawings/drawing22.xml" ContentType="application/vnd.openxmlformats-officedocument.drawing+xml"/>
  <Override PartName="/xl/drawings/drawing26.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sheetId="1" state="visible" r:id="rId3"/>
    <sheet name="Budynki" sheetId="2" state="visible" r:id="rId4"/>
    <sheet name="Czlowiek" sheetId="3" state="visible" r:id="rId5"/>
    <sheet name="Premium" sheetId="4" state="visible" r:id="rId6"/>
    <sheet name="Premium - czas" sheetId="5" state="visible" r:id="rId7"/>
    <sheet name="Premium - transport" sheetId="6" state="visible" r:id="rId8"/>
    <sheet name="Premium - budynek" sheetId="7" state="visible" r:id="rId9"/>
    <sheet name="Social i polecenia" sheetId="8" state="visible" r:id="rId10"/>
    <sheet name="Platformy" sheetId="9" state="visible" r:id="rId11"/>
    <sheet name="Zadania latarni" sheetId="10" state="visible" r:id="rId12"/>
    <sheet name="Zadania przyklady" sheetId="11" state="visible" r:id="rId13"/>
    <sheet name="Zadania - zegary" sheetId="12" state="visible" r:id="rId14"/>
    <sheet name="Ekspedycje" sheetId="13" state="visible" r:id="rId15"/>
    <sheet name="Ekspedycje - poziomy" sheetId="14" state="visible" r:id="rId16"/>
    <sheet name="Bilans V3" sheetId="15" state="visible" r:id="rId17"/>
    <sheet name="Produkcja" sheetId="16" state="visible" r:id="rId18"/>
    <sheet name="Czas budowy" sheetId="17" state="visible" r:id="rId19"/>
    <sheet name="Transport i priorytety" sheetId="18" state="visible" r:id="rId20"/>
    <sheet name="Parametry" sheetId="19" state="visible" r:id="rId21"/>
    <sheet name="Decyzje i konflikty" sheetId="20" state="visible" r:id="rId22"/>
    <sheet name="Ustalenia - uwagi" sheetId="21" state="visible" r:id="rId23"/>
    <sheet name="Populacja i szczescie" sheetId="22" state="visible" r:id="rId24"/>
    <sheet name="Przystan" sheetId="23" state="visible" r:id="rId25"/>
    <sheet name="Blogoslawienstwa" sheetId="24" state="visible" r:id="rId26"/>
    <sheet name="Odpowiedzi i zmiany" sheetId="25" state="visible" r:id="rId27"/>
    <sheet name="Pomysly" sheetId="26" state="visible" r:id="rId28"/>
    <sheet name="Twoje wpisy v1" sheetId="27" state="visible" r:id="rId29"/>
    <sheet name="Zrodlo" sheetId="28" state="visible" r:id="rId30"/>
    <sheet name="Zrodlo v3" sheetId="29" state="visible" r:id="rId31"/>
    <sheet name="Twoje wpisy v4" sheetId="30" state="visible" r:id="rId32"/>
  </sheets>
  <definedNames>
    <definedName function="false" hidden="false" localSheetId="14" name="_xlnm.Print_Area" vbProcedure="false">'Bilans V3'!$A$1:$C$19</definedName>
    <definedName function="false" hidden="false" localSheetId="14" name="_xlnm.Print_Titles" vbProcedure="false">'Bilans V3'!$1:$5</definedName>
    <definedName function="false" hidden="true" localSheetId="14" name="_xlnm._FilterDatabase" vbProcedure="false">'Bilans V3'!$A$5:$C$19</definedName>
    <definedName function="false" hidden="false" localSheetId="23" name="_xlnm.Print_Area" vbProcedure="false">Blogoslawienstwa!$A$1:$C$10</definedName>
    <definedName function="false" hidden="false" localSheetId="23" name="_xlnm.Print_Titles" vbProcedure="false">Blogoslawienstwa!$1:$5</definedName>
    <definedName function="false" hidden="true" localSheetId="23" name="_xlnm._FilterDatabase" vbProcedure="false">Blogoslawienstwa!$A$5:$C$10</definedName>
    <definedName function="false" hidden="false" localSheetId="1" name="_xlnm.Print_Area" vbProcedure="false">Budynki!$A$1:$O$18</definedName>
    <definedName function="false" hidden="false" localSheetId="1" name="_xlnm.Print_Titles" vbProcedure="false">Budynki!$1:$5</definedName>
    <definedName function="false" hidden="true" localSheetId="1" name="_xlnm._FilterDatabase" vbProcedure="false">Budynki!$A$5:$O$18</definedName>
    <definedName function="false" hidden="false" localSheetId="16" name="_xlnm.Print_Area" vbProcedure="false">'Czas budowy'!$A$1:$AA$79</definedName>
    <definedName function="false" hidden="false" localSheetId="16" name="_xlnm.Print_Titles" vbProcedure="false">'Czas budowy'!$1:$5</definedName>
    <definedName function="false" hidden="true" localSheetId="16" name="_xlnm._FilterDatabase" vbProcedure="false">'Czas budowy'!$A$5:$AA$79</definedName>
    <definedName function="false" hidden="false" localSheetId="2" name="_xlnm.Print_Area" vbProcedure="false">Czlowiek!$A$1:$E$37</definedName>
    <definedName function="false" hidden="false" localSheetId="2" name="_xlnm.Print_Titles" vbProcedure="false">Czlowiek!$1:$5</definedName>
    <definedName function="false" hidden="true" localSheetId="2" name="_xlnm._FilterDatabase" vbProcedure="false">Czlowiek!$A$5:$E$37</definedName>
    <definedName function="false" hidden="false" localSheetId="19" name="_xlnm.Print_Area" vbProcedure="false">'Decyzje i konflikty'!$A$1:$E$45</definedName>
    <definedName function="false" hidden="false" localSheetId="19" name="_xlnm.Print_Titles" vbProcedure="false">'Decyzje i konflikty'!$1:$5</definedName>
    <definedName function="false" hidden="true" localSheetId="19" name="_xlnm._FilterDatabase" vbProcedure="false">'Decyzje i konflikty'!$A$5:$E$45</definedName>
    <definedName function="false" hidden="false" localSheetId="12" name="_xlnm.Print_Area" vbProcedure="false">Ekspedycje!$A$1:$D$17</definedName>
    <definedName function="false" hidden="false" localSheetId="12" name="_xlnm.Print_Titles" vbProcedure="false">Ekspedycje!$1:$5</definedName>
    <definedName function="false" hidden="true" localSheetId="12" name="_xlnm._FilterDatabase" vbProcedure="false">Ekspedycje!$A$5:$D$17</definedName>
    <definedName function="false" hidden="false" localSheetId="13" name="_xlnm.Print_Area" vbProcedure="false">'Ekspedycje - poziomy'!$A$1:$G$19</definedName>
    <definedName function="false" hidden="false" localSheetId="13" name="_xlnm.Print_Titles" vbProcedure="false">'Ekspedycje - poziomy'!$1:$5</definedName>
    <definedName function="false" hidden="true" localSheetId="13" name="_xlnm._FilterDatabase" vbProcedure="false">'Ekspedycje - poziomy'!$A$5:$G$19</definedName>
    <definedName function="false" hidden="false" localSheetId="24" name="_xlnm.Print_Area" vbProcedure="false">'Odpowiedzi i zmiany'!$A$1:$C$15</definedName>
    <definedName function="false" hidden="false" localSheetId="24" name="_xlnm.Print_Titles" vbProcedure="false">'Odpowiedzi i zmiany'!$1:$5</definedName>
    <definedName function="false" hidden="true" localSheetId="24" name="_xlnm._FilterDatabase" vbProcedure="false">'Odpowiedzi i zmiany'!$A$5:$C$15</definedName>
    <definedName function="false" hidden="false" localSheetId="18" name="_xlnm.Print_Area" vbProcedure="false">Parametry!$A$1:$F$51</definedName>
    <definedName function="false" hidden="false" localSheetId="18" name="_xlnm.Print_Titles" vbProcedure="false">Parametry!$1:$5</definedName>
    <definedName function="false" hidden="true" localSheetId="18" name="_xlnm._FilterDatabase" vbProcedure="false">Parametry!$A$5:$F$51</definedName>
    <definedName function="false" hidden="false" localSheetId="8" name="_xlnm.Print_Area" vbProcedure="false">Platformy!$A$1:$G$16</definedName>
    <definedName function="false" hidden="false" localSheetId="8" name="_xlnm.Print_Titles" vbProcedure="false">Platformy!$1:$5</definedName>
    <definedName function="false" hidden="true" localSheetId="8" name="_xlnm._FilterDatabase" vbProcedure="false">Platformy!$A$5:$G$16</definedName>
    <definedName function="false" hidden="false" localSheetId="25" name="_xlnm.Print_Area" vbProcedure="false">Pomysly!$A$1:$C$8</definedName>
    <definedName function="false" hidden="true" localSheetId="25" name="_xlnm._FilterDatabase" vbProcedure="false">Pomysly!$A$5:$C$8</definedName>
    <definedName function="false" hidden="false" localSheetId="21" name="_xlnm.Print_Area" vbProcedure="false">'Populacja i szczescie'!$A$1:$O$18</definedName>
    <definedName function="false" hidden="false" localSheetId="21" name="_xlnm.Print_Titles" vbProcedure="false">'Populacja i szczescie'!$1:$5</definedName>
    <definedName function="false" hidden="true" localSheetId="21" name="_xlnm._FilterDatabase" vbProcedure="false">'Populacja i szczescie'!$A$5:$E$14</definedName>
    <definedName function="false" hidden="false" localSheetId="3" name="_xlnm.Print_Area" vbProcedure="false">Premium!$A$1:$E$27</definedName>
    <definedName function="false" hidden="false" localSheetId="3" name="_xlnm.Print_Titles" vbProcedure="false">Premium!$1:$5</definedName>
    <definedName function="false" hidden="true" localSheetId="3" name="_xlnm._FilterDatabase" vbProcedure="false">Premium!$A$5:$E$27</definedName>
    <definedName function="false" hidden="false" localSheetId="6" name="_xlnm.Print_Area" vbProcedure="false">'Premium - budynek'!$A$1:$Q$8</definedName>
    <definedName function="false" hidden="false" localSheetId="6" name="_xlnm.Print_Titles" vbProcedure="false">'Premium - budynek'!$1:$5</definedName>
    <definedName function="false" hidden="true" localSheetId="6" name="_xlnm._FilterDatabase" vbProcedure="false">'Premium - budynek'!$A$5:$Q$8</definedName>
    <definedName function="false" hidden="false" localSheetId="4" name="_xlnm.Print_Area" vbProcedure="false">'Premium - czas'!$A$1:$G$20</definedName>
    <definedName function="false" hidden="false" localSheetId="4" name="_xlnm.Print_Titles" vbProcedure="false">'Premium - czas'!$1:$5</definedName>
    <definedName function="false" hidden="true" localSheetId="4" name="_xlnm._FilterDatabase" vbProcedure="false">'Premium - czas'!$A$5:$G$20</definedName>
    <definedName function="false" hidden="false" localSheetId="5" name="_xlnm.Print_Area" vbProcedure="false">'Premium - transport'!$A$1:$K$18</definedName>
    <definedName function="false" hidden="false" localSheetId="5" name="_xlnm.Print_Titles" vbProcedure="false">'Premium - transport'!$1:$5</definedName>
    <definedName function="false" hidden="true" localSheetId="5" name="_xlnm._FilterDatabase" vbProcedure="false">'Premium - transport'!$A$5:$K$18</definedName>
    <definedName function="false" hidden="false" localSheetId="15" name="_xlnm.Print_Area" vbProcedure="false">Produkcja!$A$1:$F$15</definedName>
    <definedName function="false" hidden="false" localSheetId="15" name="_xlnm.Print_Titles" vbProcedure="false">Produkcja!$1:$5</definedName>
    <definedName function="false" hidden="true" localSheetId="15" name="_xlnm._FilterDatabase" vbProcedure="false">Produkcja!$A$5:$F$15</definedName>
    <definedName function="false" hidden="false" localSheetId="22" name="_xlnm.Print_Area" vbProcedure="false">Przystan!$A$1:$H$18</definedName>
    <definedName function="false" hidden="false" localSheetId="22" name="_xlnm.Print_Titles" vbProcedure="false">Przystan!$1:$5</definedName>
    <definedName function="false" hidden="true" localSheetId="22" name="_xlnm._FilterDatabase" vbProcedure="false">Przystan!$A$5:$H$18</definedName>
    <definedName function="false" hidden="false" localSheetId="7" name="_xlnm.Print_Area" vbProcedure="false">'Social i polecenia'!$A$1:$E$10</definedName>
    <definedName function="false" hidden="false" localSheetId="7" name="_xlnm.Print_Titles" vbProcedure="false">'Social i polecenia'!$1:$5</definedName>
    <definedName function="false" hidden="true" localSheetId="7" name="_xlnm._FilterDatabase" vbProcedure="false">'Social i polecenia'!$A$5:$E$10</definedName>
    <definedName function="false" hidden="false" localSheetId="0" name="_xlnm.Print_Area" vbProcedure="false">Start!$A$1:$C$26</definedName>
    <definedName function="false" hidden="false" localSheetId="0" name="_xlnm.Print_Titles" vbProcedure="false">Start!$1:$5</definedName>
    <definedName function="false" hidden="true" localSheetId="0" name="_xlnm._FilterDatabase" vbProcedure="false">Start!$A$5:$C$26</definedName>
    <definedName function="false" hidden="false" localSheetId="17" name="_xlnm.Print_Area" vbProcedure="false">'Transport i priorytety'!$A$1:$D$19</definedName>
    <definedName function="false" hidden="false" localSheetId="17" name="_xlnm.Print_Titles" vbProcedure="false">'Transport i priorytety'!$1:$5</definedName>
    <definedName function="false" hidden="true" localSheetId="17" name="_xlnm._FilterDatabase" vbProcedure="false">'Transport i priorytety'!$A$5:$D$19</definedName>
    <definedName function="false" hidden="false" localSheetId="26" name="_xlnm.Print_Area" vbProcedure="false">'Twoje wpisy v1'!$A$1:$D$80</definedName>
    <definedName function="false" hidden="false" localSheetId="26" name="_xlnm.Print_Titles" vbProcedure="false">'Twoje wpisy v1'!$1:$5</definedName>
    <definedName function="false" hidden="true" localSheetId="26" name="_xlnm._FilterDatabase" vbProcedure="false">'Twoje wpisy v1'!$A$5:$D$80</definedName>
    <definedName function="false" hidden="false" localSheetId="29" name="_xlnm.Print_Area" vbProcedure="false">'Twoje wpisy v4'!$A$1:$D$42</definedName>
    <definedName function="false" hidden="true" localSheetId="29" name="_xlnm._FilterDatabase" vbProcedure="false">'Twoje wpisy v4'!$A$5:$D$42</definedName>
    <definedName function="false" hidden="false" localSheetId="20" name="_xlnm.Print_Area" vbProcedure="false">'Ustalenia - uwagi'!$A$1:$F$205</definedName>
    <definedName function="false" hidden="false" localSheetId="20" name="_xlnm.Print_Titles" vbProcedure="false">'Ustalenia - uwagi'!$1:$5</definedName>
    <definedName function="false" hidden="true" localSheetId="20" name="_xlnm._FilterDatabase" vbProcedure="false">'Ustalenia - uwagi'!$A$5:$F$205</definedName>
    <definedName function="false" hidden="false" localSheetId="11" name="_xlnm.Print_Area" vbProcedure="false">'Zadania - zegary'!$A$1:$K$11</definedName>
    <definedName function="false" hidden="false" localSheetId="11" name="_xlnm.Print_Titles" vbProcedure="false">'Zadania - zegary'!$1:$5</definedName>
    <definedName function="false" hidden="true" localSheetId="11" name="_xlnm._FilterDatabase" vbProcedure="false">'Zadania - zegary'!$A$5:$K$11</definedName>
    <definedName function="false" hidden="false" localSheetId="9" name="_xlnm.Print_Area" vbProcedure="false">'Zadania latarni'!$A$1:$E$26</definedName>
    <definedName function="false" hidden="false" localSheetId="9" name="_xlnm.Print_Titles" vbProcedure="false">'Zadania latarni'!$1:$5</definedName>
    <definedName function="false" hidden="true" localSheetId="9" name="_xlnm._FilterDatabase" vbProcedure="false">'Zadania latarni'!$A$5:$E$26</definedName>
    <definedName function="false" hidden="false" localSheetId="10" name="_xlnm.Print_Area" vbProcedure="false">'Zadania przyklady'!$A$1:$X$17</definedName>
    <definedName function="false" hidden="false" localSheetId="10" name="_xlnm.Print_Titles" vbProcedure="false">'Zadania przyklady'!$1:$5</definedName>
    <definedName function="false" hidden="true" localSheetId="10" name="_xlnm._FilterDatabase" vbProcedure="false">'Zadania przyklady'!$A$5:$X$17</definedName>
    <definedName function="false" hidden="false" localSheetId="27" name="_xlnm.Print_Area" vbProcedure="false">Zrodlo!$A$1:$F$97</definedName>
    <definedName function="false" hidden="false" localSheetId="27" name="_xlnm.Print_Titles" vbProcedure="false">Zrodlo!$1:$5</definedName>
    <definedName function="false" hidden="true" localSheetId="27" name="_xlnm._FilterDatabase" vbProcedure="false">Zrodlo!$A$5:$M$19</definedName>
    <definedName function="false" hidden="false" localSheetId="28" name="_xlnm.Print_Area" vbProcedure="false">'Zrodlo v3'!$A$1:$C$43</definedName>
    <definedName function="false" hidden="false" localSheetId="28" name="_xlnm.Print_Titles" vbProcedure="false">'Zrodlo v3'!$1:$5</definedName>
    <definedName function="false" hidden="true" localSheetId="28" name="_xlnm._FilterDatabase" vbProcedure="false">'Zrodlo v3'!$A$5:$C$43</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Aktualne ustalenia v2</author>
    <author>Analiza v2</author>
  </authors>
  <commentList>
    <comment ref="I6"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U004 [AKTUALNE; PRZESTÓJ DO DOPRECYZOWANIA]: Poziom gracza=poziom Ratusza.
Ratusz nie zatrudnia pracowników.
U005 [AKTUALNE; PRZESTÓJ DO DOPRECYZOWANIA]: Pozostałe budynki mogą mieć najwyżej poziom Ratusza.
Podniesienie ratusza odblokowuje możliwość rozbudowy, nie wykonuje jej za gracza.
U006 [AKTUALNE; PRZESTÓJ DO DOPRECYZOWANIA]: Teoretyczny limit mieszkańców=24×poziom Ratusza.
PrzykładRatusz4→96;Ratusz6→144. To limit, nie automatyczna liczba osób.
U010 [POTWIERDZONE V2]: Limit każdego miejsca pracy=12×POZIOM TEGO BUDYNKU,ograniczony faktyczną pulą wolnych.
Drwale1:max12;Ratusz2bezdrwali2nicniezmienia;drwale2:max24.
U042 [DO UJEDNOLICENIA PO NOWEJ ZASADZIE]: Pracujący1moneta/h;bezrobotny i osoba w drodze0.
Nowo:blokada produkcji powoduje brak pracy. Podatek/+1przyblokadzie wymagają doprecyzowania.
U045 [AKTUALNE; PRZESTÓJ DO DOPRECYZOWANIA]: Dokładna średnia0%:brak zmian; dodatnia:przyrost;ujemna:ubytek.
Ubytek zawsze nazywamy odejściem,nie śmiercią.
U048 [AKTUALNE; PRZESTÓJ DO DOPRECYZOWANIA]: Co najmniej6osób; maksymalnie24×ratusz; przy minimum gra nadal grywalna.
Rozbudowa domu/ratusza nie dodaje ludzi natychmiast.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U069 [POTWIERDZONE V2]: Ratusz i Dom:łącznie2T=Ttransportu+Tbudowy.
Zastępuje3T.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U090 [ZAAKCEPTOWANE]: Ratusz2→Magazyn2→Ratusz3→Magazyn3→Ratusz4 ze względu na miejsce na pełny koszt.
5000materiałów kosztuRatusza3 nie mieści się wMagazynie1(4000);7500Ratusza4nie wMagazynie2(6000).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Kolejka [NOWE]: Zakolejkowany budynek kosztuje o 10% więcej niż zlecony bez kolejki.
Pełny koszt z dopłatą musi być w chwili zamówienia i zostaje zarezerwowany; zakres dopłaty, zaokrąglenie i zwiększenie fizycznych dostaw wymagają jawnej interpretacji.
Budowy [POTWIERDZONE]: Ratusz L daje L aktywnych rozbudów i L pozycji kolejki; kolejka wymaga surowców już przy zlecaniu.
Dopłata +10% jest nowa; oferty premium zebrane osobno.
Postęp budowy [NOWE]: Panel pokazuje potrzebną i dostarczoną ilość każdego materiału, np. 60/100, oraz ETA transportu i budowy przy bieżących priorytetach.
Nie utożsamiać z ilością w magazynie: to postęp dostawy na budowę.
Czas [ZMIENIONE]: Łączny czas ratusza i domu wraca do 2T = przewóz T + budowa T.
Zastępuje 3T.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7"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U007 [AKTUALNE; PRZESTÓJ DO DOPRECYZOWANIA]: Dom daje24×swój poziom miejsc mieszkalnych.
Ratusz i Dom mają niezależne limity; Ratusz4,Dom3→limit96,miejsca72.
U008 [AKTUALNE; PRZESTÓJ DO DOPRECYZOWANIA]: PrzeludnienieU=max(0,P−24×poziom Domu). Każdej osobie naliczamy−Upp/h.
78osób/72miejsca→−6pp/h każdemu; kara sumuje się z innymi stawkami.
U009 [AKTUALNE; PRZESTÓJ DO DOPRECYZOWANIA]: Nowe miejsca po ukończeniu Domu zatrzymują przyszłą karę w pokrytym zakresie, bez zwracania utraconego szczęścia.
Nie ma natychmiastowego dodania ludzi po rozbudowie.
U010 [POTWIERDZONE V2]: Limit każdego miejsca pracy=12×POZIOM TEGO BUDYNKU,ograniczony faktyczną pulą wolnych.
Drwale1:max12;Ratusz2bezdrwali2nicniezmienia;drwale2:max24.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U069 [POTWIERDZONE V2]: Ratusz i Dom:łącznie2T=Ttransportu+Tbudowy.
Zastępuje3T.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U089 [NOWE]: Dom ma dodatkowo powiadamiać o przeludnieniu.
Propozycja reagowania na zmianę stanu/liczbyosób,nie alarm co klatkę;częstotliwość przypomnień nieustalona.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Dom [NOWE]: Z panelu domu widać wszystkich ludzi i przydziały oraz można wysyłać do kaplicy lub latarni.
Na starcie 12 osób znajduje się w domu.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[ZMIENIONE]: Łączny czas ratusza i domu wraca do 2T = przewóz T + budowa T.
Zastępuje 3T.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Nowi ludzie [NOWE]: Przyrost populacji zawsze dodaje człowieka do domu.
Nie przypisuje go od razu do gospodarki. Maksimum ratusza, nie domu.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8"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U018 [AKTUALNE; PRZESTÓJ DO DOPRECYZOWANIA]: Farma produkuje osobne zboże, nie gotową żywność.
Zboże wymaga przewozu centralnie przed zużyciem przez młyn.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9"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U019 [AKTUALNE; PRZESTÓJ DO DOPRECYZOWANIA]: 2zboża z magazynu centralnego→1Food do lokalnego bufora młyna.
Brak surowca lub miejsca zatrzymuje produkcję.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U031 [AKTUALNE; PRZESTÓJ DO DOPRECYZOWANIA]: Każdy mieszkaniec automatycznie je1Food/h, niezależnie od zatrudnienia.
Tylko magazyn centralny. Food lokalny, targowy lub portowy nie karmi bez dowozu.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Przestój [NOWE; DO DOPRECYZOWANIA]: Brak surowca lub miejsca zatrzymuje produkcję i powoduje karę za brak pracy.
Próg po 12 h zgodnie z dotychczasową karą; nie ustalono naliczania podatku i bonusu pracy ani nakładania z karą pełnego magazynu.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0"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U021 [AKTUALNE; PRZESTÓJ DO DOPRECYZOWANIA]: Drwale produkują drewno; kamieniołom kamień.
Skończona produkcja trafia do bufora przy budynku.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U062 [AKTUALNE; PRZESTÓJ DO DOPRECYZOWANIA]: Drwale192Ldrewna+72Lkamienia;kamieniołom72Ldrewna+192Lkamienia.
To nie dodatkowe podwójne naliczenie; suma składnika bazowego i produktu.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1"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U020 [AKTUALNE; PRZESTÓJ DO DOPRECYZOWANIA]: 2drewna z magazynu centralnego→1deska do lokalnego bufora tartaku.
Brak surowca lub miejsca zatrzymuje produkcję.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Przestój [NOWE; DO DOPRECYZOWANIA]: Brak surowca lub miejsca zatrzymuje produkcję i powoduje karę za brak pracy.
Próg po 12 h zgodnie z dotychczasową karą; nie ustalono naliczania podatku i bonusu pracy ani nakładania z karą pełnego magazynu.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2"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U021 [AKTUALNE; PRZESTÓJ DO DOPRECYZOWANIA]: Drwale produkują drewno; kamieniołom kamień.
Skończona produkcja trafia do bufora przy budynku.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U062 [AKTUALNE; PRZESTÓJ DO DOPRECYZOWANIA]: Drwale192Ldrewna+72Lkamienia;kamieniołom72Ldrewna+192Lkamienia.
To nie dodatkowe podwójne naliczenie; suma składnika bazowego i produktu.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3"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U025 [AKTUALNE; PRZESTÓJ DO DOPRECYZOWANIA / NOWE DLA PORTU]: Powiadomienie przy zapełnieniu magazynu/bufora, także głównego.
Nowy port ma mieć notyfikację pełnego magazynu; nie spam co klatkę.
U026 [AKTUALNE; PRZESTÓJ DO DOPRECYZOWANIA]: Poziom1:1000na każdy z5 materiałów, nie więcej niż4000łącznie.
Monety są osobno w skarbcu.
U027 [AKTUALNE; PRZESTÓJ DO DOPRECYZOWANIA]: Każdy kolejny poziom mnoży oba limity×1.5, z zaokrągleniem w dół.
Poziom2:1500/6000;poziom3:2250/9000;poziom4:3375/13500.
U028 [POTWIERDZONE V2]: Ładunek60szt./kurs na1poziomie;pełnykurs5min,jeden materiał.
Nie60szt./h. Nie czeka na pełny ładunek.
U029 [POTWIERDZONE / FORMUŁA MODELOWA]: Pojemność tragarza rośnie10%/poziom własnego magazynu,targu lub portu.
W modelu floor(60×1.1^(L−1));60,66,72…
U030 [POTWIERDZONE V2]: Magazynierzy noszą produkcję i budowy;targ i port mają własne załogi w obie strony.
Przepływ przetwórstwa przez centralę.
U031 [AKTUALNE; PRZESTÓJ DO DOPRECYZOWANIA]: Każdy mieszkaniec automatycznie je1Food/h, niezależnie od zatrudnienia.
Tylko magazyn centralny. Food lokalny, targowy lub portowy nie karmi bez dowozu.
U032 [POTWIERDZONE V2]: Rezerwa Food=50×poziom magazynu;nie wynosić jej do celów innych niż żywienie.
Ludzie mogą zjadaćrezerwę.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U054 [POTWIERDZONE V2]: Targ ma własną załogę w obie strony,z takimi samymi zasadami ładunku i wzrostu jakmagazyn.
Dawna blokadadostaw1hniezostała usunięta.
U055 [POTWIERDZONE V2]: Towar z targu odnosi wyłącznie załoga targu. Zapas24hodprzyniesienia przepada;wynik wymiany ma nowe24h.
Zastępuje odbiór magazynierami;nie otrzymujemytowaruwcentrali natychmiast.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U090 [ZAAKCEPTOWANE]: Ratusz2→Magazyn2→Ratusz3→Magazyn3→Ratusz4 ze względu na miejsce na pełny koszt.
5000materiałów kosztuRatusza3 nie mieści się wMagazynie1(4000);7500Ratusza4nie wMagazynie2(6000).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Transport [POTWIERDZONE W ODPOWIEDZI]: Cały kurs z powrotem trwa 5 min. Bazowy ładunek na poziomie 1 to 60 sztuk jednego produktu.
100 wymaga dwóch kursów 60 i 40. Nie czeka na pełny ładunek i nie miesza produktów. To zastępuje wcześniejsze 60 szt./h.
Pojemność tragarza [POTWIERDZONE; ZAOKRĄGLENIE DO DECYZJI]: Kolejny poziom zwiększa ilość materiału, którą tragarz może zabrać, o 10%; takie same zasady w targu i porcie.
Sposób wzrostu liniowy/składany oraz zaokrąglenie całych sztuk nie zostały dopisane jako pewne ustalenia.
Priorytety [NOWE]: Domyślnie najpierw zaopatrzenie magazynu, później budowy; gracz może zmieniać priorytety kategorii, producenta i konkretnej budowy.
ETA ma wynikać z aktualnych priorytetów i już dostarczonych partii.
Transport żywności [NOWE; PRÓG DO UJEDNOLICENIA]: Jeden tragarz ma nosić żywność, gdy jest wyprodukowana, a centrala spadnie poniżej progu.
Nowa rezerwa to 50 × poziom magazynu, ale opis tragarza nadal używa 50. Nie wolno stworzyć pracownika, gdy obsada wynosi 0.
Rezerwa [ZMIENIONE]: Minimum pożywienia chronionego przed wynoszeniem = 50 × poziom magazynu.
Ludzie mogą zjadać rezerwę; transport żywności nie jest akcją ręcznego karmienia.
Koszt [ZMIENIONE]: Rozbudowa magazynu: 300 × obecny poziom każdego z 6 zasobów.
Zastępuje 500; 5 materiałów jadą na budowę, monety ze skarbca.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Targ [ZMIENIONE]: Targ ma własnych ludzi; tylko oni donoszą na targ i odwożą z targu do magazynu.
Zastępuje odbiór wyniku wymiany przez magazynierów. Towar musi być na targu, aby go wymienić.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4"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U025 [AKTUALNE; PRZESTÓJ DO DOPRECYZOWANIA / NOWE DLA PORTU]: Powiadomienie przy zapełnieniu magazynu/bufora, także głównego.
Nowy port ma mieć notyfikację pełnego magazynu; nie spam co klatkę.
U032 [POTWIERDZONE V2]: Rezerwa Food=50×poziom magazynu;nie wynosić jej do celów innych niż żywienie.
Ludzie mogą zjadaćrezerwę.
U049 [POTWIERDZONE W ROZMOWIE]: Cała gospodarka liczyczas zegarowy również offline.
Zastępuje zatrzymywanie po ukryciu/zamknięciu karty. Guziki przyspieszenia powiązane z czasowymi premiami.
U050 [AKTUALNE; PRZESTÓJ DO DOPRECYZOWANIA]: Targ dostępny od poziomu gracza2.
Przystań od4; odblokowanie następuje z poziomu ratusza.
U051 [AKTUALNE; PRZESTÓJ DO DOPRECYZOWANIA]: Wymiana dowolnej ilości, ale tylko w grupach:drewno/kamień/zboże lub deski/Food.
Brak wymiany między grupami; brak kupowania za pieniądze.
U052 [AKTUALNE; PRZESTÓJ DO DOPRECYZOWANIA]: Nominalnie1:1;marża10%,np.10drewna→9kamienia.
Nie stosujemy wcześniejszego sprzecznego przykładu deski→kamień.
U053 [AKTUALNE; PRZESTÓJ DO DOPRECYZOWANIA]: Pojemność1000na1,1500na2,2250na3…;każdy poziom×1.5.
Jeden limit łączny własnego targu, nie1000każdego materiału.
U054 [POTWIERDZONE V2]: Targ ma własną załogę w obie strony,z takimi samymi zasadami ładunku i wzrostu jakmagazyn.
Dawna blokadadostaw1hniezostała usunięta.
U055 [POTWIERDZONE V2]: Towar z targu odnosi wyłącznie załoga targu. Zapas24hodprzyniesienia przepada;wynik wymiany ma nowe24h.
Zastępuje odbiór magazynierami;nie otrzymujemytowaruwcentrali natychmiast.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Transport [POTWIERDZONE W ODPOWIEDZI]: Cały kurs z powrotem trwa 5 min. Bazowy ładunek na poziomie 1 to 60 sztuk jednego produktu.
100 wymaga dwóch kursów 60 i 40. Nie czeka na pełny ładunek i nie miesza produktów. To zastępuje wcześniejsze 60 szt./h.
Pojemność tragarza [POTWIERDZONE; ZAOKRĄGLENIE DO DECYZJI]: Kolejny poziom zwiększa ilość materiału, którą tragarz może zabrać, o 10%; takie same zasady w targu i porcie.
Sposób wzrostu liniowy/składany oraz zaokrąglenie całych sztuk nie zostały dopisane jako pewne ustalenia.
Koszt [ZMIENIONE]: Rozbudowa targu: 300 × obecny poziom każdego z 6 zasobów.
Zastępuje 500.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Targ [ZMIENIONE]: Targ ma własnych ludzi; tylko oni donoszą na targ i odwożą z targu do magazynu.
Zastępuje odbiór wyniku wymiany przez magazynierów. Towar musi być na targu, aby go wymienić.
Targ: wygaśnięcie [NOWE]: Towar na targu znika po 24 h od przyniesienia; wynik wymiany także znika po własnych 24 h.
Nie określono osobno zasad dzielenia/łączenia partii ani wpływu premium na wiek.
Targ: wymiana [POTWIERDZONE W NAJNOWSZEJ ODPOWIEDZI]: Targ pozostaje wymianą bez monet w dwóch grupach i z marżą10%.
140/150 to nowe portowe ceny przetworzonych, nie oferta pieniężna targu.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5"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U025 [AKTUALNE; PRZESTÓJ DO DOPRECYZOWANIA / NOWE DLA PORTU]: Powiadomienie przy zapełnieniu magazynu/bufora, także głównego.
Nowy port ma mieć notyfikację pełnego magazynu; nie spam co klatkę.
U030 [POTWIERDZONE V2]: Magazynierzy noszą produkcję i budowy;targ i port mają własne załogi w obie strony.
Przepływ przetwórstwa przez centralę.
U032 [POTWIERDZONE V2]: Rezerwa Food=50×poziom magazynu;nie wynosić jej do celów innych niż żywienie.
Ludzie mogą zjadaćrezerwę.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U081 [NOWE]: Od ratusza4 kupno i sprzedaż wszystkich5materiałów za monety;tylko pełne100.
Nie oznacza kupowania samych monet za monety.
U082 [OSTATNIA KOREKTA ROZMOWY]: Port za100:podstawowe40sprzedaż/50kupno;przetworzone140/150.
Zastępuje70/80;Targ pozostaje bezpieniędzy.
U083 [POTWIERDZONE LINIOWO]: Drugaikolejnakupionapaczka100wostatnich3h:+10%cenybazowej za każdy kolejny stopień.
50,55,60…;150,165,180…;licznikglobalny/perproduktnieokreślony.
U084 [POTWIERDZONE V2]: Portsprzedaż:centrala→port+port→statek;płatność/notyfikacja przy wypłynięciu. Zakup:płatność przy przypłynięciu,rozładunek i powrót towarów do centrali.
Załoga własna,zasadyjakmagazyn;statek mapojemnośćportu.
U085 [NOWE]: Pojemność portu jak magazynu:1000każdego/4000łącznie na1,potem×1.5.
Nie naliczono nieustalonej opłaty jako ceny budowy.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Transport [POTWIERDZONE W ODPOWIEDZI]: Cały kurs z powrotem trwa 5 min. Bazowy ładunek na poziomie 1 to 60 sztuk jednego produktu.
100 wymaga dwóch kursów 60 i 40. Nie czeka na pełny ładunek i nie miesza produktów. To zastępuje wcześniejsze 60 szt./h.
Pojemność tragarza [POTWIERDZONE; ZAOKRĄGLENIE DO DECYZJI]: Kolejny poziom zwiększa ilość materiału, którą tragarz może zabrać, o 10%; takie same zasady w targu i porcie.
Sposób wzrostu liniowy/składany oraz zaokrąglenie całych sztuk nie zostały dopisane jako pewne ustalenia.
Koszt [ZMIENIONE]: Rozbudowa przystani: 400 × obecny poziom każdego z 6 zasobów.
Zastępuje 500.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Port: operacje [WYJAŚNIONE]: Sprzedaż: z centrali do portu, potem na statek, własną załogą. Przy wypłynięciu statku notyfikacja i zapłata.
Przy zakupie zapłata przy przypłynięciu, potem rozładunek i transport do centrali. Przed dowozem zakup nie jest wydawalny centralnie.
Statek [NOWE]: Statek ma pojemność magazynu portu.
Port ma limit na każdy materiał i łączny; statek powinien respektować oba albo wymagać potwierdzenia jednego globalnego limitu.
Port: ceny [ZMIENIONE I POTWIERDZONE]: Za100 podstawowych sprzedaż40/kupno50; za100 przetworzonych sprzedaż140/kupno150.
Nowe140/150 zastępuje wcześniejsze portowe70/80; podstawowe pozostają40/50.
Port: podwyżki [WYJAŚNIONE CZĘŚCIOWO]: Rosnące ceny zakupów w ostatnich 3 h liczyć liniowo, nie składanie.
Druga i kolejne paczki +10% ceny bazowej; globalność/per materiał i zaokrąglenie nieustalone.
Port: wygaśnięcie [ZMIENIONE]: Towar nieodebrany w 24 h przepada.
Zastępuje wcześniejszą opłatę 10 monet; nie należy naliczać obu konsekwencji.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6"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U043 [AKTUALNE; PRZESTÓJ DO DOPRECYZOWANIA]: Głód nie obniża podatku; premia kaplicy daje×2podatku na10h.
Kaplica podwaja tylko istniejący podatek pracujących.
U049 [POTWIERDZONE W ROZMOWIE]: Cała gospodarka liczyczas zegarowy również offline.
Zastępuje zatrzymywanie po ukryciu/zamknięciu karty. Guziki przyspieszenia powiązane z czasowymi premiami.
U056 [AKTUALNE; PRZESTÓJ DO DOPRECYZOWANIA]: Na poziomie1 bez pasywnego plusa/minusa. Po rozbudowie doN:+10×Nszczęścia wszystkim i podatek×2przez10h.
Premia za ukończenie rozbudowy; kolejna odświeża okres, bez nakładania mnożnika do×4.
U057 [WCZEŚNIEJ UZGODNIONE / NOWE SZCZEGÓŁY ODŁOŻONE]: Ręczne użycie:+50każdego zasobu,+20szczęścia wszystkim na1h.
Przynależność wyjaśniona: Kaplica = błogosławieństwo, Latarnia = zwiedzanie. Liczba darmowych użyć błogosławieństwa = poziom kaplicy; nowe odstępy i oferty Premium są odłożone.
U058 [ODŁOŻONE]: Nowe odstępy+25%,zakup/challenge/share/reklama i natychmiastowe użycie.
Konflikt z godzinnym efektem bez nakładania zostawiony na później zgodnie z instrukcją.
U059 [ODŁOŻONE]: Nowa notatka:60sreklamy skraca pozostały czas o połowę, maks.2na1hgry.
Nie wybieramy resetu, czasu okna, początku cooldownu ani harmonogramu.
U060 [ZASADA UZGODNIONA / NAGRODA NIEUSTALONA]: Kolejny dzień logowania zwiększa lojalność do10dni; bonus lojalnościowy zostanie zdefiniowany później.
Nie wymyślono nagród. Poprzedni model używał dni Warszawy; szczegóły konta są przyszłe.
U064 [TYMCZASOWE]: N×(180monet+20drewna+60kamienia+10desek),Nnowy poziom.
Cena nie była docelowo ustalona;do przewozu90×N.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U071 [POTWIERDZONE W ROZMOWIE]: Kaplica:T+3T×(N−1),Nnowy poziom;1→2:4T,2→3:7T,3→4:10T.
Nie używamy obecnego poziomu wczłonie N−1.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[POTWIERDZONE W ODPOWIEDZI]: Łącznie T + 3T × (nowy poziom −1). Rozbudowy 1→2,2→3,3→4: 4T,7T,10T.
W mnożniku użyto nowego poziomu, nie starego.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Kaplica i latarnia [WYJAŚNIONE]: Błogosławieństwo należy do kaplicy; zwiedzanie do latarni. Oba prowadzą do bonusu/premii.
Czas i efekt pojedynczej wizyty nie są tym samym co automatyczna premia rozbudowy.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7"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U049 [POTWIERDZONE W ROZMOWIE]: Cała gospodarka liczyczas zegarowy również offline.
Zastępuje zatrzymywanie po ukryciu/zamknięciu karty. Guziki przyspieszenia powiązane z czasowymi premiami.
U057 [WCZEŚNIEJ UZGODNIONE / NOWE SZCZEGÓŁY ODŁOŻONE]: Ręczne użycie:+50każdego zasobu,+20szczęścia wszystkim na1h.
Przynależność wyjaśniona: Kaplica = błogosławieństwo, Latarnia = zwiedzanie. Liczba darmowych użyć błogosławieństwa = poziom kaplicy; nowe odstępy i oferty Premium są odłożone.
U058 [ODŁOŻONE]: Nowe odstępy+25%,zakup/challenge/share/reklama i natychmiastowe użycie.
Konflikt z godzinnym efektem bez nakładania zostawiony na później zgodnie z instrukcją.
U059 [ODŁOŻONE]: Nowa notatka:60sreklamy skraca pozostały czas o połowę, maks.2na1hgry.
Nie wybieramy resetu, czasu okna, początku cooldownu ani harmonogramu.
U060 [ZASADA UZGODNIONA / NAGRODA NIEUSTALONA]: Kolejny dzień logowania zwiększa lojalność do10dni; bonus lojalnościowy zostanie zdefiniowany później.
Nie wymyślono nagród. Poprzedni model używał dni Warszawy; szczegóły konta są przyszłe.
U065 [AKTUALNE; PRZESTÓJ DO DOPRECYZOWANIA]: 500każdego zasobu razem zmonetami/złotem;dla pierwszejbudowy500, dalej500×obecny poziom.
Użytkownik zdecydował zachować koszt500pomimo długiego zbierania. Do transportu2500×max(1,L).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U072 [POTWIERDZONE W ROZMOWIE]: Latarnia:łącznie5T=Ttransportu+4Tbudowy.
Zastępuje6T.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U079 [POTWIERDZONE V2]: Latarnia ustawia skuteczne szczęście KAŻDEGO na100%,nie dodaje+100. Produkcja×2.
Obie premie24h×N;podatki/transportbezmnożnika.
U080 [AKTUALNE; PRZESTÓJ DO DOPRECYZOWANIA]: Kolejna rozbudowa odświeża czas, a nie mnożnik produkcji do×4.
Premia zaczyna się po ukończeniu;nowe błogosławieństwaODŁOŻONE.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[POTWIERDZONE W ODPOWIEDZI]: Łącznie 5T = transport T + budowanie 4T.
Zastępuje sprzeczny nagłówek 6T.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Kaplica i latarnia [WYJAŚNIONE]: Błogosławieństwo należy do kaplicy; zwiedzanie do latarni. Oba prowadzą do bonusu/premii.
Czas i efekt pojedynczej wizyty nie są tym samym co automatyczna premia rozbudowy.
Latarnia: szczęście [ZMIENIONE]: Podczas premii wszyscy mają ustawione 100% szczęścia, nie dodane +100 pp.
Obie premie nadal 24 h × osiągnięty poziom; produkcja ×2; powrót do osobistych wartości po zakończeniu wymaga doprecyzowania.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8"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9"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0"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1"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2"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3"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4"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5"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8"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9"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0"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1"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2"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3"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4"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5"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8"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9"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0"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1"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2"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3"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4"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5"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List>
</comments>
</file>

<file path=xl/sharedStrings.xml><?xml version="1.0" encoding="utf-8"?>
<sst xmlns="http://schemas.openxmlformats.org/spreadsheetml/2006/main" count="3889" uniqueCount="2413">
  <si>
    <t xml:space="preserve">HARBORLIGHT V5 • plik4 + pomysły + potwierdzenia</t>
  </si>
  <si>
    <t xml:space="preserve">Wersja 5 łączy 37 nowych wpisów z pliku 4 z pełną wersją 3, tekstem pomysłów i trzema potwierdzeniami. Oryginał 4 zachowano; wpisy są w Twoje wpisy v4. Doprecyzowania na później wyraźnie oznaczono. Tylko Excel, bez zmian kodu gry.</t>
  </si>
  <si>
    <t xml:space="preserve">Obszar</t>
  </si>
  <si>
    <t xml:space="preserve">Co zmieniono</t>
  </si>
  <si>
    <t xml:space="preserve">Gdzie sprawdzić</t>
  </si>
  <si>
    <t xml:space="preserve">Główna tabela</t>
  </si>
  <si>
    <t xml:space="preserve">12 budynków + asset Człowiek; nowe koszty, limity własnego poziomu, efekty rozbudowy i czasy.</t>
  </si>
  <si>
    <t xml:space="preserve">Budynki</t>
  </si>
  <si>
    <t xml:space="preserve">Czasy</t>
  </si>
  <si>
    <t xml:space="preserve">5 min — pełny kurs, jeden rodzaj towaru, ładunki 60/66/72; Ratusz/Dom 2 T, Latarnia 5 T, Kaplica 4 T/7 T/10 T.</t>
  </si>
  <si>
    <t xml:space="preserve">Czas budowy: 74 warianty (37 etapów × bazowy/kolejka).</t>
  </si>
  <si>
    <t xml:space="preserve">Kolejka</t>
  </si>
  <si>
    <t xml:space="preserve">Pełny koszt przy zleceniu +10%; dopłata materiałowa zmienia liczbę kursów i czas.</t>
  </si>
  <si>
    <t xml:space="preserve">Normalnie L budów + L miejsc kolejki. Czekanie w kolejce jest wyłączone z estymat.</t>
  </si>
  <si>
    <t xml:space="preserve">Zatrudnienie</t>
  </si>
  <si>
    <t xml:space="preserve">Własny limit 12 × poziom; produkcja 10, 12, 13, 14…; 5 min do pracy. Podatek od dotarcia i także podczas przestoju.</t>
  </si>
  <si>
    <t xml:space="preserve">Czlowiek / Produkcja</t>
  </si>
  <si>
    <t xml:space="preserve">Offline</t>
  </si>
  <si>
    <t xml:space="preserve">Cała gospodarka działa również offline: podatki, jedzenie, szczęście, populacja, produkcja, transport i budowa.</t>
  </si>
  <si>
    <t xml:space="preserve">Transport i priorytety; Czlowiek</t>
  </si>
  <si>
    <t xml:space="preserve">Koszty</t>
  </si>
  <si>
    <t xml:space="preserve">Magazyn/Targ: 300 L każdego zasobu; Port: 400 L; Ratusz/Dom: 500 L; Latarnia: 500 × max(1, L).</t>
  </si>
  <si>
    <t xml:space="preserve">Parametry / Czas budowy</t>
  </si>
  <si>
    <t xml:space="preserve">Transport</t>
  </si>
  <si>
    <t xml:space="preserve">Rezerwa i ratunkowy próg Food: 50 × poziom magazynu. Ochrona ostatniego transportera przy brakach żywności; ETA aktualizuje się po zmianie priorytetów.</t>
  </si>
  <si>
    <t xml:space="preserve">Transport i priorytety / Czlowiek. Ratunkowy próg Food oraz rezerwa 50 × poziom magazynu są potwierdzone w V5.</t>
  </si>
  <si>
    <t xml:space="preserve">Ceny</t>
  </si>
  <si>
    <t xml:space="preserve">Port: podstawowe 40/50, produkty 140/150 za 100; podwyżki zakupowe +10% liniowo. Ostatnia korekta dotyczy PORTU, nie TARGU.</t>
  </si>
  <si>
    <t xml:space="preserve">Przystan; Targ: bez monet, marża 10%.</t>
  </si>
  <si>
    <t xml:space="preserve">Terminy</t>
  </si>
  <si>
    <t xml:space="preserve">Towar w porcie/targu nieodebrany przez 24 h przepada; portowa opłata 10 monet została zniesiona.</t>
  </si>
  <si>
    <t xml:space="preserve">Terminy zegarowe, również offline.</t>
  </si>
  <si>
    <t xml:space="preserve">Premie i wizyty</t>
  </si>
  <si>
    <t xml:space="preserve">Płatne błogosławieństwo kaplicy: 100 × poziom kaplicy monet, maksymalnie 1 użycie na 4 h. Zwiedzanie latarni: pobyt 4 h dla maks. 2 × poziom latarni osób z domu; szczęście uczestników 100% przez 24 h i premia dla populacji.</t>
  </si>
  <si>
    <t xml:space="preserve">Czlowiek / Blogoslawienstwa; brakujące jednostki i kumulacje opisane jawnie.</t>
  </si>
  <si>
    <t xml:space="preserve">Premium</t>
  </si>
  <si>
    <t xml:space="preserve">1 PLN = 10 monet; skrócenie budowy o 25/50/75% za 1 monetę za pełną minutę; transport: 10 monet/kurs; materiały według cen portu ×1,25 plus opłata czasowa.</t>
  </si>
  <si>
    <t xml:space="preserve">Premium / trzy kalkulatory Premium.</t>
  </si>
  <si>
    <t xml:space="preserve">Ludzie i ranking</t>
  </si>
  <si>
    <t xml:space="preserve">Odejścia: dom→największa załoga, nowa kolejność remisów. Ranking = ratusz × monety, aktualizacja co pełną godzinę.</t>
  </si>
  <si>
    <t xml:space="preserve">Czlowiek; niepełna kolejność przy remisach w arkuszu Decyzje i konflikty.</t>
  </si>
  <si>
    <t xml:space="preserve">Twoje wpisy</t>
  </si>
  <si>
    <t xml:space="preserve">Zachowano wszystkie 75 tekstowych różnic, również notatki w komórkach, nie tylko komentarze Excel.</t>
  </si>
  <si>
    <t xml:space="preserve">Twoje wpisy v1 / Odpowiedzi i zmiany</t>
  </si>
  <si>
    <t xml:space="preserve">Niewybrane szczegóły</t>
  </si>
  <si>
    <t xml:space="preserve">Pozostałe szczegóły: bonus szczęścia za pracę podczas postoju, niepełna kolejność remisów, początek i kumulacja premii zwiedzania, moment transakcji portowej oraz szczegóły Premium.</t>
  </si>
  <si>
    <t xml:space="preserve">Decyzje i konflikty: jasno opisane luki, bez wymyślonych ustaleń.</t>
  </si>
  <si>
    <t xml:space="preserve">Nowe pomysły z repozytorium</t>
  </si>
  <si>
    <t xml:space="preserve">Ekspedycje i wyzwania latarni otrzymały nowe reguły; sterowanie labiryntem/piłeczką pozostaje do opisania.</t>
  </si>
  <si>
    <t xml:space="preserve">Zadania latarni / Ekspedycje / Zrodlo v3.</t>
  </si>
  <si>
    <t xml:space="preserve">Zadania latarni</t>
  </si>
  <si>
    <t xml:space="preserve">Zawsze trzy rozmiary zadań, każde z własnym terminem 6 h; wpłaty ratami; szybkie kliknięcie daje ×2/×3; nagrody są zawsze widoczne.</t>
  </si>
  <si>
    <t xml:space="preserve">Zadania latarni / Zadania przyklady / Zadania - zegary.</t>
  </si>
  <si>
    <t xml:space="preserve">Ekspedycje</t>
  </si>
  <si>
    <t xml:space="preserve">50 monet po pierwszym poziomie; każda dalsza wygrana podwaja pulę, a przegrana ją zeruje. Dodatkowe ruchy/czas: monety lub reklama ≤30 s.</t>
  </si>
  <si>
    <t xml:space="preserve">Ekspedycje / Ekspedycje - poziomy.</t>
  </si>
  <si>
    <t xml:space="preserve">Social i polecenia</t>
  </si>
  <si>
    <t xml:space="preserve">Nagrody społecznościowe: 1000/500 monet; polecenie: 1000 monet oraz 500 wszystkiego w 3. aktywnym dniu; 1000 monet za każdy 3. post na FB.</t>
  </si>
  <si>
    <t xml:space="preserve">Social i polecenia / Platformy.</t>
  </si>
  <si>
    <t xml:space="preserve">Balans i niejasności</t>
  </si>
  <si>
    <t xml:space="preserve">Duże zadania wymagają wcześniejszych zapasów, a nagrody mogą nie mieścić się w centrali. Rozliczanie pełnych minut może dawać cenę 0; pula ekspedycji rośnie wykładniczo.</t>
  </si>
  <si>
    <t xml:space="preserve">Bilans V3 / Decyzje i konflikty.</t>
  </si>
  <si>
    <t xml:space="preserve">Nowe koszty V5</t>
  </si>
  <si>
    <t xml:space="preserve">Młyn, drwale, tartak, kamieniołom: koszt ×2; farma bez zmian. Czasy i kolejka +10% przeliczone.</t>
  </si>
  <si>
    <t xml:space="preserve">Budynki / Czas budowy</t>
  </si>
  <si>
    <t xml:space="preserve">Wymaganie interfejsu</t>
  </si>
  <si>
    <t xml:space="preserve">Usunąć ikony stop/play/przewijania w prawym górnym rogu.</t>
  </si>
  <si>
    <t xml:space="preserve">Zapis projektu; kod gry bez zmian.</t>
  </si>
  <si>
    <t xml:space="preserve">BUDYNKI V5 • nowe wpisy i komplet pomysłów</t>
  </si>
  <si>
    <t xml:space="preserve">Nowy plik 2; poprzednie pliki 0 i 1 pozostają. Czasy bazowe przy 6 DOSTĘPNYCH tragarzach, ładunki 60/66/72, pełny kurs 5 min. Bez zbierania, karmienia, oczekiwania w kolejce i wcześniejszych rozbudów. Kolejka ma osobne koszty i czasy z +10% w arkuszu Czas budowy. Wszystko działa offline.</t>
  </si>
  <si>
    <t xml:space="preserve">Budynek / asset</t>
  </si>
  <si>
    <t xml:space="preserve">Po co jest</t>
  </si>
  <si>
    <t xml:space="preserve">Ludzie</t>
  </si>
  <si>
    <t xml:space="preserve">Co daje rozbudowa</t>
  </si>
  <si>
    <t xml:space="preserve">Koszt bazowy</t>
  </si>
  <si>
    <t xml:space="preserve">Czas łączny</t>
  </si>
  <si>
    <t xml:space="preserve">Stan</t>
  </si>
  <si>
    <t xml:space="preserve">Notyfikacje</t>
  </si>
  <si>
    <t xml:space="preserve">Uwagi i reguły</t>
  </si>
  <si>
    <t xml:space="preserve">Twoje uwagi3 / doprecyzowania</t>
  </si>
  <si>
    <t xml:space="preserve">Źródło zmian</t>
  </si>
  <si>
    <t xml:space="preserve">1→2 transport+budowa</t>
  </si>
  <si>
    <t xml:space="preserve">2→3 transport+budowa</t>
  </si>
  <si>
    <t xml:space="preserve">3→4 transport+budowa</t>
  </si>
  <si>
    <t xml:space="preserve">Ratusz</t>
  </si>
  <si>
    <t xml:space="preserve">Wyznacza poziom gry i limity rozwoju; jest skarbcem monet i pokazuje podatek/h.</t>
  </si>
  <si>
    <t xml:space="preserve">Brak własnych pracowników.</t>
  </si>
  <si>
    <t xml:space="preserve">Maksymalna populacja: 24 × L; wyższy poziom innych budynków; L budów + L miejsc kolejki; lokalne bufory producentów: 200 × Ratusz.</t>
  </si>
  <si>
    <t xml:space="preserve">500×L KAŻDEGO z 6 zasobów</t>
  </si>
  <si>
    <t xml:space="preserve">2T = T transportu + T budowy</t>
  </si>
  <si>
    <t xml:space="preserve">Zasady uporządkowane; otwarte szczegóły w arkuszu Decyzje i konflikty.</t>
  </si>
  <si>
    <t xml:space="preserve">ZAWSZE: ukończenie budowy. Wcześniej także zlecenie/start/dostawa.</t>
  </si>
  <si>
    <t xml:space="preserve">Ranking = poziom ratusza × monety. L budów + L miejsc kolejki; zlecenia zakolejkowane mają koszt wyższy o 10%. Ranking: aktualizacja o każdej pełnej godzinie według zastanego stanu ratusza i monet.</t>
  </si>
  <si>
    <t xml:space="preserve">Patrz Premium — aktualny cennik oraz kalkulatory kosztów i czasu. Przy transporcie płatny jest także ostatni niepełny kurs.</t>
  </si>
  <si>
    <t xml:space="preserve">Budowa:
Ratusz na poziomie 1 daje możliwość 1 rozbudowy w tym samym czasie i (o ile mam surowce) jednej zakolejkowanej, ale na tą zakolejkowaną muszę mieć surowce w momencie zlecania. Ratusz na poziomie 2 daje prawo do 2 budów I dwóch obiektów w kolejce pod tym samym warunkiem. Budynki zakolejkowane są o 10 % droższe niż te budowane bez kolejki. Później dopiszemy co oferuje premium (na pewno jedną z opcji będzie skróć czas budowy) </t>
  </si>
  <si>
    <t xml:space="preserve">Budynki!wiersz 6; potwierdzenia w Odpowiedzi i zmiany</t>
  </si>
  <si>
    <t xml:space="preserve">Dom</t>
  </si>
  <si>
    <t xml:space="preserve">Zapewnia miejsca mieszkalne, osobno od maksymalnego limitu ratusza.</t>
  </si>
  <si>
    <t xml:space="preserve">Miejsca: 24 × poziom domu; zmniejszenie kary przeludnienia. Panel pokazuje ludzi i przydziały oraz pozwala wysyłać wizyty do kaplicy i latarni.</t>
  </si>
  <si>
    <t xml:space="preserve">ZAWSZE: ukończenie budowy. Wcześniej także zlecenie/start/dostawa. NOWE: przeludnienie; proponujemy na zmianę stanu, nie co klatkę.</t>
  </si>
  <si>
    <t xml:space="preserve">Kara przeludnienia: max(0, P − 24 × poziom domu) pp/h każdej osobie. Nowi mieszkańcy zawsze trafiają do domu.</t>
  </si>
  <si>
    <t xml:space="preserve">Z poziomu domu widzę wszystkich ludzi gdzie są dopisani, mogę ich stąd wysyłać do kaplicy lub na latarnię</t>
  </si>
  <si>
    <t xml:space="preserve">Budynki!wiersz 7; potwierdzenia w Odpowiedzi i zmiany</t>
  </si>
  <si>
    <t xml:space="preserve">Farma</t>
  </si>
  <si>
    <t xml:space="preserve">Produkuje zboże do młyna, budowy i wymiany.</t>
  </si>
  <si>
    <t xml:space="preserve">Start: 0; limit 12 × WŁASNY poziom budynku, ograniczony liczbą istniejących dostępnych ludzi. Ratusz tylko ogranicza poziom rozbudowy.</t>
  </si>
  <si>
    <t xml:space="preserve">Własny poziom daje limit 12 × L pracowników i wydajność na osobę/h: 10, 12, 13, 14…; L1 = 10, L ≥ 2: L + 10. Bufor lokalny: 200 × Ratusz.</t>
  </si>
  <si>
    <t xml:space="preserve">L×(72 drewna+72 kamienia+120 zboża)</t>
  </si>
  <si>
    <t xml:space="preserve">ZAWSZE: ukończenie budowy. Wcześniej także zlecenie/start/dostawa. Powiadomienie o pełnym magazynie.</t>
  </si>
  <si>
    <t xml:space="preserve">Przestój z braku wejścia lub miejsca: podatek nadal płynie; jedna kara przestoju −10, następnie −10 co 24 h, maksymalnie −50 z tego tytułu. Dotyczy przypisanych osób i faktycznej blokady. Powrót do domu resetuje licznik przestoju. Bonus +1 pracy podczas postoju pozostaje do doprecyzowania.</t>
  </si>
  <si>
    <t xml:space="preserve">Do wszystkich produkcyjnych, zwiększenie levelu zwiększa produkcję na 1 h, dla levelu 1 jest to 10 szt / h dla levelu 2 będzie to 12, dla levelu 3 -13 dla 4 - 14 etc 
W premium dla wszystkich produkcyjnych możłiwość natychmiastowego transportu do magazynu  oneclickiem. </t>
  </si>
  <si>
    <t xml:space="preserve">Budynki!wiersz 8; potwierdzenia w Odpowiedzi i zmiany</t>
  </si>
  <si>
    <t xml:space="preserve">Młyn</t>
  </si>
  <si>
    <t xml:space="preserve">Przetwarza 2 zboża z centrali→1 żywność do lokalnego bufora.</t>
  </si>
  <si>
    <t xml:space="preserve">2L×(72 drewna+72 kamienia+120 żywności)</t>
  </si>
  <si>
    <t xml:space="preserve">Budynki!wiersz 9; potwierdzenia w Odpowiedzi i zmiany</t>
  </si>
  <si>
    <t xml:space="preserve">Drwale</t>
  </si>
  <si>
    <t xml:space="preserve">Produkują drewno do tartaku i budowy.</t>
  </si>
  <si>
    <t xml:space="preserve">2L×(192 drewna+72 kamienia)</t>
  </si>
  <si>
    <t xml:space="preserve">Budynki!wiersz 10; potwierdzenia w Odpowiedzi i zmiany</t>
  </si>
  <si>
    <t xml:space="preserve">Tartak</t>
  </si>
  <si>
    <t xml:space="preserve">Przetwarza 2 drewna z centrali→1 deskę do lokalnego bufora.</t>
  </si>
  <si>
    <t xml:space="preserve">2L×(72 drewna+72 kamienia+120 desek)</t>
  </si>
  <si>
    <t xml:space="preserve">Budynki!wiersz 11; potwierdzenia w Odpowiedzi i zmiany</t>
  </si>
  <si>
    <t xml:space="preserve">Kamieniołom</t>
  </si>
  <si>
    <t xml:space="preserve">Produkuje kamień do budowy i wymiany.</t>
  </si>
  <si>
    <t xml:space="preserve">2L×(72 drewna+192 kamienia)</t>
  </si>
  <si>
    <t xml:space="preserve">Budynki!wiersz 12; potwierdzenia w Odpowiedzi i zmiany</t>
  </si>
  <si>
    <t xml:space="preserve">Magazyn</t>
  </si>
  <si>
    <t xml:space="preserve">Przechowuje materiały; własna załoga nosi produkcję do centrali i materiały na budowy. Ludzie jedzą z centrali automatycznie.</t>
  </si>
  <si>
    <t xml:space="preserve">Limit załogi: 12 × własny L; ładunek na kurs +10%/poziom. Pojemność ×1.5/poziom; magazyn/port: 1000 na rodzaj i 4000 łącznie na poziomie 1; targ: 1000 łącznie na poziomie 1.</t>
  </si>
  <si>
    <t xml:space="preserve">300 × L każdego z 6 zasobów; w kolejce ×1,1.</t>
  </si>
  <si>
    <t xml:space="preserve">Rezerwa i próg ratunkowego Food: 50 × poziom magazynu. Gdy Food jest poniżej minimum, a czeka w młynie, nie można ręcznie wycofać całej obsady transportu. ETA budowy przeliczamy po zmianie priorytetów.</t>
  </si>
  <si>
    <t xml:space="preserve">Transport. Nie rozróżniamy odległości, transport produków zawsze trwa 5 min z/do magazynu x capacity tragarza czyli jeżeli tragarz bierze 60 a potrzebuje przenieść 100 to I tak musi wykonać 2 kursy w jednym bierze 60 w drugim 40, tragarz nie może brać 2 produktow na raz, nie może czekać na towar. Jak klikam rozbudowa np drwala podświetla sie napis ile potrzeba surowców a ile zostało już dostarczonych np 60 /100 i estymowany czas zakońćzenia budowy czyli suma czasu transportu przy aktualnych ustawieniach priorytetów, i budowy. Z poziomu magazynu domyślne prirytety jest najpierw zaopatrz magazyn pózniej budowy, można je zmieniać, dodatkowo też można zmienić ustalić prio na konkretne gospodarstwo bądz konretną budowę, 1 tragarz zawsze będzie nosił żywność o ile jest wyprodukowana a w magazynie jest mniej niż 50 
Premium szybszy transport do puntu odbioru</t>
  </si>
  <si>
    <t xml:space="preserve">Budynki!wiersz 13; potwierdzenia w Odpowiedzi i zmiany</t>
  </si>
  <si>
    <t xml:space="preserve">Targ</t>
  </si>
  <si>
    <t xml:space="preserve">Od poziomu gracza 2: wymiana w grupach drewno/kamień/zboże lub deski/żywność, nominalnie 1:1 z marżą 10%. Bez kupowania za monety.</t>
  </si>
  <si>
    <t xml:space="preserve">Własna załoga w obu kierunkach. Barter w 2 grupach, marża 10%, bez monet. Pozostaje blokada dostaw 1 h; zapas przepada po 24 h od przyniesienia/wymiany.</t>
  </si>
  <si>
    <t xml:space="preserve">Premium transport oneclick
Ceny grupa 2 140/150</t>
  </si>
  <si>
    <t xml:space="preserve">Budynki!wiersz 14; potwierdzenia w Odpowiedzi i zmiany</t>
  </si>
  <si>
    <t xml:space="preserve">Przystań</t>
  </si>
  <si>
    <t xml:space="preserve">Od poziomu gracza 4: kupno i sprzedaż pięciu materiałów za monety. Wyłącznie pełne paczki 100. Monety są środkiem płatności, nie osobnym towarem.</t>
  </si>
  <si>
    <t xml:space="preserve">400 × L każdego z 6 zasobów; w kolejce ×1,1.</t>
  </si>
  <si>
    <t xml:space="preserve">Rejs zawsze 5 min. Zakup: monety pobierane w momencie transakcji; dokładny punkt zatwierdzenia opisano jako szczegół. Własna załoga, towary przez centralę; pełne paczki po 100 dla zwykłego handlu, ceny podstawowe 40/50, przetworzone 140/150. Towar nieodebrany przez 24 h przepada.</t>
  </si>
  <si>
    <t xml:space="preserve">Tempo załogi jak w magazynie, premium jak w magazynie </t>
  </si>
  <si>
    <t xml:space="preserve">Budynki!wiersz 15; potwierdzenia w Odpowiedzi i zmiany</t>
  </si>
  <si>
    <t xml:space="preserve">Kaplica</t>
  </si>
  <si>
    <t xml:space="preserve">Daje premie szczęścia i podatków po rozbudowie; dotychczas była miejscem ręcznych błogosławieństw.</t>
  </si>
  <si>
    <t xml:space="preserve">Brak etatów; wizyty nie są zatrudnieniem.</t>
  </si>
  <si>
    <t xml:space="preserve">+1 użycie dotychczasowego błogosławieństwa; rozbudowa do N: +10 × N szczęścia, podatki ×2 na 10 h. Kaplica = błogosławieństwo.</t>
  </si>
  <si>
    <t xml:space="preserve">TYMCZASOWO:N×(180 monet+20 drewna+60 kamienia+10 desek). N=nowy poziom.</t>
  </si>
  <si>
    <t xml:space="preserve">T transportu + 3T × (N − 1) budowy; N = nowy poziom. Łącznie: 4T, 7T, 10T…</t>
  </si>
  <si>
    <t xml:space="preserve">ZAWSZE: ukończenie budowy. Wcześniej także zlecenie/start/dostawa. Uruchomienie premii i ręczne błogosławieństwo.</t>
  </si>
  <si>
    <t xml:space="preserve">Płatne błogosławieństwo: 100 × poziom kaplicy monet, maksymalnie jedno na 4 h. Efekt jak dotychczas: +50 każdego zasobu, +20 szczęścia wszystkim na 1 h. Zakaz nakładania aktywnych błogosławieństw pozostaje; cena dotyczy użycia, nie rozbudowy.</t>
  </si>
  <si>
    <t xml:space="preserve">Budynki!wiersz 16; potwierdzenia w Odpowiedzi i zmiany</t>
  </si>
  <si>
    <t xml:space="preserve">Latarnia</t>
  </si>
  <si>
    <t xml:space="preserve">Daje premie szczęścia i produkcji po ukończeniu poziomu.</t>
  </si>
  <si>
    <t xml:space="preserve">Rozbudowa: 100% szczęścia i produkcja ×2 przez 24 h × nowy poziom. Zwiedzanie: pobyt 4 h, do 2 × poziom latarni wolnych osób z domu; osobiste 100% przez 24 h i premia populacji +10 przez 6 h (jednostka 6 h jest interpretacją wpisu).</t>
  </si>
  <si>
    <t xml:space="preserve">500×max(1, L) KAŻDEGO z 6 zasobów. Pierwsza budowa 0→1:500 każdego.</t>
  </si>
  <si>
    <t xml:space="preserve">5T = T transportu + 4T budowy</t>
  </si>
  <si>
    <t xml:space="preserve">ZAWSZE: ukończenie budowy. Wcześniej także zlecenie/start/dostawa. Uruchomienie premii latarni.</t>
  </si>
  <si>
    <t xml:space="preserve">Po zakończeniu premii latarni przywracamy stan szczęścia sprzed premii. Zwiedzający nie produkują i nie płacą podatku, jedzą normalnie. Początek i kumulacja premii wizyt pozostają do doprecyzowania. Osobne zadania latarni zachowują reguły V3 i niezależne 6 h terminy.</t>
  </si>
  <si>
    <t xml:space="preserve">Nowe błogosławieństwo: kasa/challenge/udostępnienie/reklama. Zgodnie z decyzją użytkownika szczegóły ODŁOŻONE. Brak cen ani zatwierdzonej integracji.</t>
  </si>
  <si>
    <t xml:space="preserve">Budynki!wiersz 17; potwierdzenia w Odpowiedzi i zmiany</t>
  </si>
  <si>
    <t xml:space="preserve">CZŁOWIEK — ASSET</t>
  </si>
  <si>
    <t xml:space="preserve">Je, pracuje, produkuje/nosi, płaci podatki; własna historia szczęścia.</t>
  </si>
  <si>
    <t xml:space="preserve">12 na starcie w domu; min. 6, max. 24 × Ratusz; jedno zatrudnienie, limit 12 × własny poziom budynku.</t>
  </si>
  <si>
    <t xml:space="preserve">Nie ulepsza się osoby poziomem; zmieniają się warunki życia i pracy.</t>
  </si>
  <si>
    <t xml:space="preserve">Utrzymanie: 1 Food/os./h; kupowania ludzi nie ustalono.</t>
  </si>
  <si>
    <t xml:space="preserve">Demografia zależy od średniego H, liczona zegarowo także offline.</t>
  </si>
  <si>
    <t xml:space="preserve">Karta Czlowiek zaktualizowana.</t>
  </si>
  <si>
    <t xml:space="preserve">Odejście, nigdy śmierć; nowy mieszkaniec zawsze w domu.</t>
  </si>
  <si>
    <t xml:space="preserve">+1 za jedzenie, +1 za pracę; po 12 h braku danego warunku −5; oba braki −10/h. Przeludnienie i osobne kary pełnego bufora. Podatki 1/h; wizyty po zdefiniowaniu.</t>
  </si>
  <si>
    <t xml:space="preserve">Brak oferty sprzedaży osób.</t>
  </si>
  <si>
    <t xml:space="preserve">Odejścia:najpierwDom,potemnajwiększazałoga;remisywgpriorytetów;patrzCzlowiek.</t>
  </si>
  <si>
    <t xml:space="preserve">Czlowiek/Ustalenia/Populacja; potwierdzeniaoffline.</t>
  </si>
  <si>
    <t xml:space="preserve">Nie dotyczy.</t>
  </si>
  <si>
    <t xml:space="preserve">CZŁOWIEK • zaktualizowany asset</t>
  </si>
  <si>
    <t xml:space="preserve">Wersja 5: nowe notatki z pliku 4, własny limit budynku 12 × L, gospodarka offline, podatek od dojścia i podczas postoju, jedna kara przestoju, ochrona transportu Food, płatna kaplica, czterogodzinne zwiedzanie i ranking co pełną godzinę. Pozostałe szczegóły są oznaczone osobno.</t>
  </si>
  <si>
    <t xml:space="preserve">Stan / obszar</t>
  </si>
  <si>
    <t xml:space="preserve">Zasada</t>
  </si>
  <si>
    <t xml:space="preserve">Wzór / liczby</t>
  </si>
  <si>
    <t xml:space="preserve">Konsekwencje</t>
  </si>
  <si>
    <t xml:space="preserve">Status</t>
  </si>
  <si>
    <t xml:space="preserve">Rola assetu</t>
  </si>
  <si>
    <t xml:space="preserve">Każda osoba ma trwałe ID, własne szczęście, stan pracy/pobytu i niezależne liczniki głodu oraz bezrobocia.</t>
  </si>
  <si>
    <t xml:space="preserve">12 na starcie; minimum 6; maksimum 24 × poziom ratusza.</t>
  </si>
  <si>
    <t xml:space="preserve">Nowe osoby trafiają do domu. Ubytek oznacza odejście, nie śmierć.</t>
  </si>
  <si>
    <t xml:space="preserve">UZGODNIONE; NOWE DOPRECYZOWANIA</t>
  </si>
  <si>
    <t xml:space="preserve">Start i dom</t>
  </si>
  <si>
    <t xml:space="preserve">Na starcie wszyscy ludzie są w domu, bez przypisania do gospodarki. Z domu widać ich przydziały; można kierować do kaplicy i latarni.</t>
  </si>
  <si>
    <t xml:space="preserve">12 w domu, 0 pracowników we wszystkich budynkach; każdy zasób na starcie 100.</t>
  </si>
  <si>
    <t xml:space="preserve">Przed pierwszym przydziałem nie ma produkcji ani podatków, ale ludzie jedzą.</t>
  </si>
  <si>
    <t xml:space="preserve">UZGODNIONE / NOWE</t>
  </si>
  <si>
    <t xml:space="preserve">Limit miejsca pracy</t>
  </si>
  <si>
    <t xml:space="preserve">Limit zależy od poziomu konkretnego miejsca pracy, nie samego ratusza. Jedna wspólna pula wolnych ludzi.</t>
  </si>
  <si>
    <t xml:space="preserve">0…12 × poziom budynku; nowy przydział ograniczony faktycznie wolnymi osobami w domu.</t>
  </si>
  <si>
    <t xml:space="preserve">Ratusz 2 i drwale 1: limit drwali nadal 12. Drwale 2: limit 24, jeżeli tylu wolnych istnieje. Nie wolno ulepszyć ponad ratusz.</t>
  </si>
  <si>
    <t xml:space="preserve">ZMIENIONE I WYJAŚNIONE</t>
  </si>
  <si>
    <t xml:space="preserve">Jedzenie</t>
  </si>
  <si>
    <t xml:space="preserve">Każdy je automatycznie wyłącznie z magazynu centralnego, niezależnie od pracy lub drogi.</t>
  </si>
  <si>
    <t xml:space="preserve">1 Food/os./h zegarowej.</t>
  </si>
  <si>
    <t xml:space="preserve">Lokalny młyn, targ i port nie karmią bez przewiezienia do centrali. Rezerwę można zjadać.</t>
  </si>
  <si>
    <t xml:space="preserve">UZGODNIONE; CZAS ZEGAROWY</t>
  </si>
  <si>
    <t xml:space="preserve">Rezerwa jedzenia</t>
  </si>
  <si>
    <t xml:space="preserve">Rezerwa na żywienie rośnie z poziomem magazynu. Operacje nieżywieniowe mają ją zachować.</t>
  </si>
  <si>
    <t xml:space="preserve">Minimum Food = 50 × poziom magazynu.</t>
  </si>
  <si>
    <t xml:space="preserve">Potwierdzone minimum i próg ratunkowego transportu:50 × poziom magazynu. Przy gotowym Food w młynie nie można ręcznie wycofać wszystkich magazynierów, gdy centrala jest poniżej minimum.</t>
  </si>
  <si>
    <t xml:space="preserve">ROZSTRZYGNIĘTE V5</t>
  </si>
  <si>
    <t xml:space="preserve">Praca producenta</t>
  </si>
  <si>
    <t xml:space="preserve">Wydajność na osobę wynika z własnego poziomu producenta.</t>
  </si>
  <si>
    <t xml:space="preserve">Poziomy 1,2,3,4: dokładnie 10,12,13,14 szt./h; dalej +1 szt./h na poziom.</t>
  </si>
  <si>
    <t xml:space="preserve">Wybrany dosłowny ciąg zastępuje sprzeczny ogólny zapis +10%. Głód ×0,5, premia latarni ×2.</t>
  </si>
  <si>
    <t xml:space="preserve">POTWIERDZONE W ODPOWIEDZI</t>
  </si>
  <si>
    <t xml:space="preserve">Całe sztuki</t>
  </si>
  <si>
    <t xml:space="preserve">Każdy pracownik nalicza własny postęp; niedokończone części różnych osób nie łączą się. Zwolnienie odrzuca jego niedokończoną sztukę.</t>
  </si>
  <si>
    <t xml:space="preserve">Na poziomie 1: jedna sztuka/6 min; po 7 min 1, po 13 min 2. Na wyższych poziomach odstęp = 3600 / wydajność sekund.</t>
  </si>
  <si>
    <t xml:space="preserve">Gotowy produkt zostaje w lokalnym buforze i wymaga transportu.</t>
  </si>
  <si>
    <t xml:space="preserve">UZGODNIONE; DOSTOSOWANE DO WYDAJNOŚCI</t>
  </si>
  <si>
    <t xml:space="preserve">Przeróbka</t>
  </si>
  <si>
    <t xml:space="preserve">Młyn i tartak zużywają surowce centralne; zboże i drewno idą przez magazyn.</t>
  </si>
  <si>
    <t xml:space="preserve">2 zboża → 1 Food; 2 drewna → 1 deska.</t>
  </si>
  <si>
    <t xml:space="preserve">Brak wejścia lub miejsca powoduje przestój i karę według reguły przestoju; przypisani pracownicy nadal płacą podatek. Nie dokładamy drugiej kary bezrobocia za tę samą blokadę.</t>
  </si>
  <si>
    <t xml:space="preserve">DOPRECYZOWANE V5</t>
  </si>
  <si>
    <t xml:space="preserve">Tragarz wiezie jeden rodzaj towaru, nie czeka na pełne obłożenie. Pojemność to ładunek na kurs, nie sztuki na godzinę.</t>
  </si>
  <si>
    <t xml:space="preserve">Poziom 1: 60 szt./kurs; pełny kurs z powrotem 5 min; pojemność rośnie o 10% na poziom miejsca pracy.</t>
  </si>
  <si>
    <t xml:space="preserve">100 jednego towaru wymaga dwóch kursów: 60 i 40. Magazyn, targ i port stosują takie same bazowe zasady; własne załogi.</t>
  </si>
  <si>
    <t xml:space="preserve">POTWIERDZONE; ZAOKRĄGLENIE POJEMNOŚCI DO DECYZJI</t>
  </si>
  <si>
    <t xml:space="preserve">Podatek przy pracy</t>
  </si>
  <si>
    <t xml:space="preserve">Podatek zaczyna się po dojściu do zakładu i płynie także podczas przestoju, dopóki osoba pozostaje przypisana. Bezrobotny, idący do pracy, wracający i zwiedzający nie płaci.</t>
  </si>
  <si>
    <t xml:space="preserve">1 moneta/os./h zegarowej; podczas premii kaplicy 2.</t>
  </si>
  <si>
    <t xml:space="preserve">Brak surowca lub miejsca nie zatrzymuje podatku. Kara przestoju obniża szczęście przypisanych osób. Premia kaplicy nadal podwaja podatek.</t>
  </si>
  <si>
    <t xml:space="preserve">POTWIERDZONE V5</t>
  </si>
  <si>
    <t xml:space="preserve">Je i pracuje</t>
  </si>
  <si>
    <t xml:space="preserve">Sumują się bonus jedzenia i bonus pracy.</t>
  </si>
  <si>
    <t xml:space="preserve">+1 pp/h za jedzenie +1 pp/h za pracę = +2 pp/h.</t>
  </si>
  <si>
    <t xml:space="preserve">Od osobistego 0% po 10 h takiego stanu ma 20%.</t>
  </si>
  <si>
    <t xml:space="preserve">UZGODNIONE</t>
  </si>
  <si>
    <t xml:space="preserve">Je, bez pracy do 12 h</t>
  </si>
  <si>
    <t xml:space="preserve">Jedzenie daje bonus; pierwszy ciągły okres bezrobocia nie jest jeszcze karany.</t>
  </si>
  <si>
    <t xml:space="preserve">+1 pp/h.</t>
  </si>
  <si>
    <t xml:space="preserve">Po 10 h pracy i jedzenia ma 20%; następne 12 h jedzenia bez pracy daje 32%.</t>
  </si>
  <si>
    <t xml:space="preserve">Je, bez pracy ponad 12 h</t>
  </si>
  <si>
    <t xml:space="preserve">Po okresie bez kary dochodzi kara bezrobocia.</t>
  </si>
  <si>
    <t xml:space="preserve">+1 za jedzenie −5 za bezrobocie = −4 pp/h.</t>
  </si>
  <si>
    <t xml:space="preserve">Po powyższym 32% następna godzina bezrobocia daje 28%.</t>
  </si>
  <si>
    <t xml:space="preserve">Nie je do 12 h, pracuje</t>
  </si>
  <si>
    <t xml:space="preserve">Nie dostaje bonusu jedzenia, dostaje bonus pracy; jeszcze bez kary głodu.</t>
  </si>
  <si>
    <t xml:space="preserve">+1 pp/h; wydajność pracy 50% od początku głodu.</t>
  </si>
  <si>
    <t xml:space="preserve">Podatek pracującego nie zmniejsza się z powodu głodu.</t>
  </si>
  <si>
    <t xml:space="preserve">Nie je ponad 12 h, pracuje</t>
  </si>
  <si>
    <t xml:space="preserve">Po okresie bez kary dochodzi kara głodu.</t>
  </si>
  <si>
    <t xml:space="preserve">+1 za pracę −5 za głód = −4 pp/h.</t>
  </si>
  <si>
    <t xml:space="preserve">Wydajność 50%; podatek pracującego nadal 1 moneta/h przed premią kaplicy.</t>
  </si>
  <si>
    <t xml:space="preserve">Nie je i nie pracuje</t>
  </si>
  <si>
    <t xml:space="preserve">Głód i bezrobocie liczą się niezależnie i sumują.</t>
  </si>
  <si>
    <t xml:space="preserve">0 pp/h, gdy oba braki &lt;12 h; −5 pp/h, gdy tylko jeden przekroczył próg; −10 pp/h, gdy oba.</t>
  </si>
  <si>
    <t xml:space="preserve">Brak produkcji i podatku. Progi nie muszą wystąpić jednocześnie.</t>
  </si>
  <si>
    <t xml:space="preserve">Resety</t>
  </si>
  <si>
    <t xml:space="preserve">Jedzenie resetuje tylko głód, a podjęcie pracy tylko bezrobocie. Brak naliczania kary wstecz.</t>
  </si>
  <si>
    <t xml:space="preserve">Każdy brak ma osobne 12 ciągłych godzin bez kary.</t>
  </si>
  <si>
    <t xml:space="preserve">Reset licznika braku nie zwraca utraconego szczęścia. Oddzielny licznik przestoju resetuje się w drodze do domu. Nie oznacza to resetu osobistego szczęścia do 0%.</t>
  </si>
  <si>
    <t xml:space="preserve">UZUPEŁNIONE V5</t>
  </si>
  <si>
    <t xml:space="preserve">Droga do pracy</t>
  </si>
  <si>
    <t xml:space="preserve">Po wysłaniu do nowego miejsca pracy osoba idzie przez ustalony czas.</t>
  </si>
  <si>
    <t xml:space="preserve">5 min do pracy.</t>
  </si>
  <si>
    <t xml:space="preserve">Praca i podatek zaczynają się dopiero po dotarciu do zakładu. W drodze osoba nie produkuje ani nie płaci podatku.</t>
  </si>
  <si>
    <t xml:space="preserve">Powrót do domu</t>
  </si>
  <si>
    <t xml:space="preserve">Zwolniony zawsze wraca do domu; dopiero po powrocie może być ponownie przydzielony.</t>
  </si>
  <si>
    <t xml:space="preserve">5 min do domu.</t>
  </si>
  <si>
    <t xml:space="preserve">Nie pracuje, nie płaci podatku; je i jest liczony jako bezrobotny od zwolnienia. Zachowuje ID oraz szczęście.</t>
  </si>
  <si>
    <t xml:space="preserve">Przestój gospodarczy</t>
  </si>
  <si>
    <t xml:space="preserve">Brak surowca lub miejsca zatrzymuje produkcję. Przypisane osoby płacą podatek i otrzymują jedną karę przestoju według reguły poniżej.</t>
  </si>
  <si>
    <t xml:space="preserve">−10 od początku blokady; kolejne−10 co 24 h; granica−50 z tego tytułu.</t>
  </si>
  <si>
    <t xml:space="preserve">Bez dodatkowej kary bezrobocia−5/h za tę samą blokadę. Nadal nie ustalono bonusu+1 za pracę podczas postoju ani relacji limitu −50 do innych modyfikatorów.</t>
  </si>
  <si>
    <t xml:space="preserve">REGUŁA V5; POZOSTAŁY BONUS PRACY DO DECYZJI</t>
  </si>
  <si>
    <t xml:space="preserve">Blokada lokalnego magazynu</t>
  </si>
  <si>
    <t xml:space="preserve">Kara dotyczy tylko przypisanych ludzi w przedsiębiorstwie i tylko okresu, gdy lokalny bufor faktycznie blokuje produkcję.</t>
  </si>
  <si>
    <t xml:space="preserve">−10 od razu; po 24 h −20, 48 h −30, 72 h −40, 96 h i dalej −50.</t>
  </si>
  <si>
    <t xml:space="preserve">Powrót do domu resetuje licznik przestoju do 0. Usuwamy automatyzm „sam stan poniżej limitu usuwa karę”: decyduje rzeczywista blokada. Limit −50 traktujemy jako limit tej kary; zakres osobistego minimum zapisano do późniejszej decyzji.</t>
  </si>
  <si>
    <t xml:space="preserve">Przeludnienie</t>
  </si>
  <si>
    <t xml:space="preserve">Brak miejsca w domu zmniejsza szczęście każdej osoby; limit populacji nadal wyznacza ratusz.</t>
  </si>
  <si>
    <t xml:space="preserve">U = max(0, populacja − 24 × poziom domu); każdemu −U pp/h.</t>
  </si>
  <si>
    <t xml:space="preserve">78 osób i 72 miejsca → −6 pp/h każdej osobie. Zapewnienie miejsc zatrzymuje przyszłą karę, bez zwrotu utraconych punktów.</t>
  </si>
  <si>
    <t xml:space="preserve">Kaplica: premia poziomu</t>
  </si>
  <si>
    <t xml:space="preserve">Rozbudowa do N daje bonus szczęścia i podatków; poziom 1 bez pasywnej premii.</t>
  </si>
  <si>
    <t xml:space="preserve">+10 × N szczęścia wszystkim i podatki ×2 przez 10 h zegarowych.</t>
  </si>
  <si>
    <t xml:space="preserve">Premia czasowa, nie +10 × N pp co godzinę. Kolejna rozbudowa odświeża okres, nie robi podatków ×4.</t>
  </si>
  <si>
    <t xml:space="preserve">Kaplica: błogosławieństwo</t>
  </si>
  <si>
    <t xml:space="preserve">Ręczne błogosławieństwo należy do kaplicy; latarnia oferuje zwiedzanie.</t>
  </si>
  <si>
    <t xml:space="preserve">Płatne:100 × poziom kaplicy monet; maksymalnie 1 użycie na 4 h. Efekt: +50 każdego zasobu i +20 szczęścia wszystkim na 1 h.</t>
  </si>
  <si>
    <t xml:space="preserve">Bezpłatne użycia zależne od poziomu pozostają. Nie nakładamy drugiego aktywnego błogosławieństwa. Początek okna 4 h, reklamy i challenge pozostają do opisania.</t>
  </si>
  <si>
    <t xml:space="preserve">CENA I LIMIT PŁATNEGO UŻYCIA POTWIERDZONE V5</t>
  </si>
  <si>
    <t xml:space="preserve">Latarnia: premia poziomu</t>
  </si>
  <si>
    <t xml:space="preserve">W czasie premii wszyscy mają maksymalne szczęście, a produkcja materiałów jest podwojona.</t>
  </si>
  <si>
    <t xml:space="preserve">Szczęście USTAWIONE NA100%, nie +100; produkcja ×2. Obie premie 24 h × N.</t>
  </si>
  <si>
    <t xml:space="preserve">Po zakończeniu premii wracamy do osobistego stanu sprzed premii, a nie bieżącego stanu naliczanego pod wymuszonym100%. Zasady nowych osób i nakładania efektów pozostają do opisania.</t>
  </si>
  <si>
    <t xml:space="preserve">POWRÓT DO STANU SPRZED PREMII POTWIERDZONY V5</t>
  </si>
  <si>
    <t xml:space="preserve">Latarnia: zwiedzanie</t>
  </si>
  <si>
    <t xml:space="preserve">Do latarni można wysłać wyłącznie wolne osoby z domu. Pobyt trwa 4 h; zwiedzający nie produkuje, nie płaci podatku i je normalnie z centrali.</t>
  </si>
  <si>
    <t xml:space="preserve">Do2 × poziom latarni osób; osobiste szczęście 100% przez 24 h; populacja +10 przez 6 h.</t>
  </si>
  <si>
    <t xml:space="preserve">Limit jako jednoczesna obsada i „na6” jako 6 h/+10pp są jawnymi interpretacjami. Początek premii oraz kumulacja nie są ustalone; nie mnożymy globalnej premii przez liczbę osób.</t>
  </si>
  <si>
    <t xml:space="preserve">WIZYTA OPISANA V5; SZCZEGÓŁY PREMII OZNACZONE</t>
  </si>
  <si>
    <t xml:space="preserve">Średnia i prezentacja</t>
  </si>
  <si>
    <t xml:space="preserve">Osobiste wartości ograniczamy do −100…+100%, następnie liczymy średnią populacji.</t>
  </si>
  <si>
    <t xml:space="preserve">H wyspy = suma H osób / populacja.</t>
  </si>
  <si>
    <t xml:space="preserve">Prezentacja zaokrąglona w górę, rachunek na dokładnych wartościach. Po wymuszonej premii latarni wracamy do stanu sprzed niej.</t>
  </si>
  <si>
    <t xml:space="preserve">Tempo demografii</t>
  </si>
  <si>
    <t xml:space="preserve">Dodatnia dokładna średnia daje przyrost, ujemna odejścia, 0% brak zmiany.</t>
  </si>
  <si>
    <t xml:space="preserve">±25%: 1/12 h; ±50%: 1/6 h; ±75%: około 1/1 h 43 min; ±100%: 1/h.</t>
  </si>
  <si>
    <t xml:space="preserve">Odejścia mają symetryczne tempo do przyrostu. Minimum 6; maksimum 24 × ratusz, nie pojemność domu.</t>
  </si>
  <si>
    <t xml:space="preserve">UZGODNIONE I POTWIERDZONE</t>
  </si>
  <si>
    <t xml:space="preserve">Nowy mieszkaniec</t>
  </si>
  <si>
    <t xml:space="preserve">Nowa osoba zawsze trafia do domu i jest dostępna z domowej puli.</t>
  </si>
  <si>
    <t xml:space="preserve">Wcześniejszy model: własne szczęście 0% przed aktualnymi premiami wyspy.</t>
  </si>
  <si>
    <t xml:space="preserve">Nie przydziela się automatycznie do produkcji. Brak mieszkań może uruchomić karę przeludnienia.</t>
  </si>
  <si>
    <t xml:space="preserve">NOWE MIEJSCE; SZCZĘŚCIE 0 PRZYJĘTE WCZEŚNIEJ W MODELU</t>
  </si>
  <si>
    <t xml:space="preserve">Odejście mieszkańca</t>
  </si>
  <si>
    <t xml:space="preserve">Najpierw odchodzą osoby z domu. Jeśli ich brak, z gospodarstwa o największej obsadzie.</t>
  </si>
  <si>
    <t xml:space="preserve">Przy remisie:port → kamieniołom → tartak → drwale → farma → młyn/wiatrak → magazyn/transport.</t>
  </si>
  <si>
    <t xml:space="preserve">Najpierw dom, potem największa załoga. Targ, osoby w drodze i zwiedzający nadal nie mają ustalonego miejsca w remisie. Minimum 6.</t>
  </si>
  <si>
    <t xml:space="preserve">KOLEJNOŚĆ ZMIENIONA V5; BRAKUJĄCE PRZYPADKI OZNACZONE</t>
  </si>
  <si>
    <t xml:space="preserve">Czas świata</t>
  </si>
  <si>
    <t xml:space="preserve">Wszystkie procesy działają w czasie rzeczywistym zegarowym także po zamknięciu karty i wylogowaniu.</t>
  </si>
  <si>
    <t xml:space="preserve">Produkcja, jedzenie, szczęście, podatki, budowy i zegary także offline.</t>
  </si>
  <si>
    <t xml:space="preserve">Wymaganie interfejsu: usunąć ikony stop/play/przewijania z prawego górnego rogu. To wpis projektowy w Excelu; kod gry pozostaje bez zmian.</t>
  </si>
  <si>
    <t xml:space="preserve">Ranking</t>
  </si>
  <si>
    <t xml:space="preserve">Ranking w ustawieniach według poziomu i posiadanych monet.</t>
  </si>
  <si>
    <t xml:space="preserve">Wynik = poziom ratusza × ilość złota.</t>
  </si>
  <si>
    <t xml:space="preserve">Aktualizacja o każdej pełnej godzinie zegarowej według zastanego stanu. Remisy nie są opisane.</t>
  </si>
  <si>
    <t xml:space="preserve">CZĘSTOTLIWOŚĆ POTWIERDZONA V5</t>
  </si>
  <si>
    <t xml:space="preserve">PREMIUM V3 • ceny i warunki</t>
  </si>
  <si>
    <t xml:space="preserve">1 PLN = 10 monet. Nowe stawki zastępują brak cennika z wersji 2. Kalkulatory rozdzielają uzgodnione ceny od roboczych interpretacji. Nie dodano sprzedaży ani płatności do gry.</t>
  </si>
  <si>
    <t xml:space="preserve">Akcja</t>
  </si>
  <si>
    <t xml:space="preserve">Wzór / stawka</t>
  </si>
  <si>
    <t xml:space="preserve">Uwagi</t>
  </si>
  <si>
    <t xml:space="preserve">Przelicznik płatności</t>
  </si>
  <si>
    <t xml:space="preserve">1 PLN = 10 monet.</t>
  </si>
  <si>
    <t xml:space="preserve">Cena w PLN = cena w monetach / 10.</t>
  </si>
  <si>
    <t xml:space="preserve">Ustalono przelicznik; nie zdefiniowano wypłaty monet na PLN.</t>
  </si>
  <si>
    <t xml:space="preserve">POTWIERDZONE</t>
  </si>
  <si>
    <t xml:space="preserve">Waluta</t>
  </si>
  <si>
    <t xml:space="preserve">Monety służą do Premium; użytkownik używa także nazwy złoto.</t>
  </si>
  <si>
    <t xml:space="preserve">W gospodarce istnieją już monety z podatków i portu.</t>
  </si>
  <si>
    <t xml:space="preserve">Nie określono, czy złoto, monety zarobione i monety kupione to ta sama pula. Kalkulator roboczo pokazuje jedną monetę, bez nowego tokena.</t>
  </si>
  <si>
    <t xml:space="preserve">DO DOPRECYZOWANIA</t>
  </si>
  <si>
    <t xml:space="preserve">Przyspieszenie 25%</t>
  </si>
  <si>
    <t xml:space="preserve">Skrócenie o 25% pozostałego czasu budowy.</t>
  </si>
  <si>
    <t xml:space="preserve">Cena = pełne minuty zaoszczędzonego czasu × 1 moneta.</t>
  </si>
  <si>
    <t xml:space="preserve">Roboczo FLOOR(pozostałe sekundy × 0,25 / 60). Wybranie pozostałego czasu zamiast czasu początkowego jest interpretacją.</t>
  </si>
  <si>
    <t xml:space="preserve">STAWKA POTWIERDZONA; PODSTAWA DO DOPRECYZOWANIA</t>
  </si>
  <si>
    <t xml:space="preserve">Przyspieszenie 50%</t>
  </si>
  <si>
    <t xml:space="preserve">Skrócenie o 50% pozostałego czasu budowy.</t>
  </si>
  <si>
    <t xml:space="preserve">Cena = FLOOR(pozostałe sekundy × 0,50 / 60) monet.</t>
  </si>
  <si>
    <t xml:space="preserve">Należy wyświetlać czas skrócenia i cenę przed zatwierdzeniem.</t>
  </si>
  <si>
    <t xml:space="preserve">STAWKA POTWIERDZONA; WZÓR MODELOWY</t>
  </si>
  <si>
    <t xml:space="preserve">Przyspieszenie 75%</t>
  </si>
  <si>
    <t xml:space="preserve">Skrócenie o 75% pozostałego czasu budowy.</t>
  </si>
  <si>
    <t xml:space="preserve">Cena = FLOOR(pozostałe sekundy × 0,75 / 60) monet.</t>
  </si>
  <si>
    <t xml:space="preserve">Nie ustalono limitu kolejnych przyspieszeń ani minimalnej ceny.</t>
  </si>
  <si>
    <t xml:space="preserve">Budowa natychmiast z zasobami</t>
  </si>
  <si>
    <t xml:space="preserve">Dotychczasowa oferta została zachowana; nowy cennik podaje tylko skrócenia 25%, 50%, 75%.</t>
  </si>
  <si>
    <t xml:space="preserve">Cena skrócenia 100% nie została potwierdzona.</t>
  </si>
  <si>
    <t xml:space="preserve">Nie oznaczać automatycznie ceny 100% jako ustalonej. Nie wiadomo także, czy można przyspieszać transport i budowanie łącznie.</t>
  </si>
  <si>
    <t xml:space="preserve">Transport całego bufora producenta</t>
  </si>
  <si>
    <t xml:space="preserve">Natychmiastowe wysłanie całego gotowego lokalnego zapasu do centrali.</t>
  </si>
  <si>
    <t xml:space="preserve">10 monet × liczba kursów potrzebnych do przewozu.</t>
  </si>
  <si>
    <t xml:space="preserve">Potwierdzone: kursy = ROUNDUP(ilość / ładunek, 0). Ostatni niepełny kurs jest płatny. Dla 100 sztuk i ładunku 60 potrzeba 2 kursów, więc cena wynosi 20 monet.</t>
  </si>
  <si>
    <t xml:space="preserve">Magazyn → budowa</t>
  </si>
  <si>
    <t xml:space="preserve">Natychmiastowy przewóz materiałów centralnych na konkretną budowę.</t>
  </si>
  <si>
    <t xml:space="preserve">10 monet × SUMA CEILING(ilość każdego materiału / ładunek).</t>
  </si>
  <si>
    <t xml:space="preserve">Każdy materiał liczy się osobno. Monety nie wymagają transportu. Nie ustalono, czy jedno kliknięcie obejmuje wszystkie brakujące materiały.</t>
  </si>
  <si>
    <t xml:space="preserve">POTWIERDZONE; ZAKRES KLIKNIĘCIA DO DOPRECYZOWANIA</t>
  </si>
  <si>
    <t xml:space="preserve">Magazyn ↔ targ</t>
  </si>
  <si>
    <t xml:space="preserve">Takie samo rozliczenie transportu towarów w obu kierunkach.</t>
  </si>
  <si>
    <t xml:space="preserve">10 monet za potrzebny kurs właściwej załogi, osobno dla każdego materiału.</t>
  </si>
  <si>
    <t xml:space="preserve">Premium nie tworzy towaru ani wolnej pojemności. Wpływ na blokadę 1 h i termin wygaśnięcia 24 h nadal nieustalony.</t>
  </si>
  <si>
    <t xml:space="preserve">STAWKA POTWIERDZONA</t>
  </si>
  <si>
    <t xml:space="preserve">Magazyn ↔ port</t>
  </si>
  <si>
    <t xml:space="preserve">Nie ustalono, czy opłata obejmuje również osobny etap port ↔ statek. Zachować rozróżnienie dwóch etapów portowych.</t>
  </si>
  <si>
    <t xml:space="preserve">STAWKA POTWIERDZONA; ETAP STATKU DO DOPRECYZOWANIA</t>
  </si>
  <si>
    <t xml:space="preserve">Kup budynek bez surowców</t>
  </si>
  <si>
    <t xml:space="preserve">Proporcjonalna bazowa cena zakupu materiałów w porcie ×1,25, plus nominalny koszt monet budynku oraz opłata za skrócenie czasu.</t>
  </si>
  <si>
    <t xml:space="preserve">Cena = 1,25 × bazowa portowa wartość materiałów + monety wymagane przez budynek + opłata czasowa.</t>
  </si>
  <si>
    <t xml:space="preserve">Potwierdzone: bez zaokrąglania materiałów do paczek po 100; używamy bazowych cen zakupu, a dopłata 25% obejmuje tylko materiały. Do ustalenia pozostaje pełny koszt czy tylko brakujące materiały oraz końcowe zaokrąglenie ceny.</t>
  </si>
  <si>
    <t xml:space="preserve">WYCENA POTWIERDZONA; ZAKRES MATERIAŁÓW DO USTALENIA</t>
  </si>
  <si>
    <t xml:space="preserve">Monety w koszcie kupowanego budynku</t>
  </si>
  <si>
    <t xml:space="preserve">Monety zapisane w koszcie budynku doliczamy osobno w wymaganej wysokości.</t>
  </si>
  <si>
    <t xml:space="preserve">Wymagane monety + 1,25 × portowa wartość pięciu materiałów; opłata czasowa osobno.</t>
  </si>
  <si>
    <t xml:space="preserve">Potwierdzone: monety nie są materiałem kupowanym w porcie i nie podlegają dopłacie 25%.</t>
  </si>
  <si>
    <t xml:space="preserve">Pakiet budowlany</t>
  </si>
  <si>
    <t xml:space="preserve">Dotychczas +4 aktywne budowy, dowolnie długa kolejka i planowanie z prognoz dostaw.</t>
  </si>
  <si>
    <t xml:space="preserve">Nowa stawka nie ustala ceny ani czasu trwania pakietu.</t>
  </si>
  <si>
    <t xml:space="preserve">Nie zakładać, że mikropłatności zastępują pakiet lub znoszą dopłatę kolejki +10%.</t>
  </si>
  <si>
    <t xml:space="preserve">ZACHOWANO; CENA PAKIETU NIEUSTALONA</t>
  </si>
  <si>
    <t xml:space="preserve">Błogosławieństwa Premium</t>
  </si>
  <si>
    <t xml:space="preserve">Dodatkowe płatne błogosławieństwo kaplicy, z takim samym efektem jak zwykłe.</t>
  </si>
  <si>
    <t xml:space="preserve">100 × poziom kaplicy monet; maksymalnie 1 płatne użycie na 4 h.</t>
  </si>
  <si>
    <t xml:space="preserve">+50 każdego zasobu i +20 szczęścia wszystkim na 1 h; bez nakładania drugiego aktywnego błogosławieństwa. Początek okna 4 h pozostaje do opisania.</t>
  </si>
  <si>
    <t xml:space="preserve">CENA I LIMIT POTWIERDZONE V5</t>
  </si>
  <si>
    <t xml:space="preserve">Pakiet +4 aktywne budowy</t>
  </si>
  <si>
    <t xml:space="preserve">W czasie pakietu limit aktywnych budów = poziom ratusza +4.</t>
  </si>
  <si>
    <t xml:space="preserve">Cena i warianty długości pakietu nieustalone.</t>
  </si>
  <si>
    <t xml:space="preserve">Zwykłe opłacone budowy wymagają materiałów; zakupy bez surowców to osobna nowa oferta. Dodatkowe sloty nie produkują materiałów ani nie tworzą transportu.</t>
  </si>
  <si>
    <t xml:space="preserve">WCZEŚNIEJ UZGODNIONY ZAKRES</t>
  </si>
  <si>
    <t xml:space="preserve">Dowolnie długa kolejka</t>
  </si>
  <si>
    <t xml:space="preserve">Podczas pakietu brak zwykłego limitu długości kolejki.</t>
  </si>
  <si>
    <t xml:space="preserve">Oferta i ewentualne zwolnienie z dopłaty nieustalone.</t>
  </si>
  <si>
    <t xml:space="preserve">Pełny koszt dla opłaconej kolejki; plan z prognozy jest odrębny. Nowa dopłata kolejki +10%: nie określono, czy premium ją znosi.</t>
  </si>
  <si>
    <t xml:space="preserve">WCZEŚNIEJ UZGODNIONE + NOWA DOPŁATA</t>
  </si>
  <si>
    <t xml:space="preserve">Planowanie z estymaty dostaw</t>
  </si>
  <si>
    <t xml:space="preserve">Możliwość zlecenia przyszłej budowy według prognozowanych dostaw.</t>
  </si>
  <si>
    <t xml:space="preserve">Cena i długość uprawnienia w ramach pakietu nieustalone.</t>
  </si>
  <si>
    <t xml:space="preserve">Można zaplanować bez pełnych zapasów; plan nie tworzy surowców. Start/rezerwacja po rzeczywistym uzyskaniu kosztu, chyba że użyto osobno oferty kupna bez surowców.</t>
  </si>
  <si>
    <t xml:space="preserve">Płatne błogosławieństwo</t>
  </si>
  <si>
    <t xml:space="preserve">Błogosławieństwo za challenge</t>
  </si>
  <si>
    <t xml:space="preserve">Dodatkowe użycie po wyzwaniu.</t>
  </si>
  <si>
    <t xml:space="preserve">Limity i nagrody nieustalone.</t>
  </si>
  <si>
    <t xml:space="preserve">Treść i warunki challenge nieustalone. Wpływ na aktywny efekt i cooldown nieustalony.</t>
  </si>
  <si>
    <t xml:space="preserve">ODŁOŻONE</t>
  </si>
  <si>
    <t xml:space="preserve">Błogosławieństwo za social</t>
  </si>
  <si>
    <t xml:space="preserve">Dodatkowe użycie za udostępnienie, np. FB/Instagram.</t>
  </si>
  <si>
    <t xml:space="preserve">Limity nieustalone.</t>
  </si>
  <si>
    <t xml:space="preserve">Sposób weryfikacji nieustalony. Wpływ na aktywny efekt i cooldown nieustalony.</t>
  </si>
  <si>
    <t xml:space="preserve">Reklama i oczekiwanie</t>
  </si>
  <si>
    <t xml:space="preserve">Notatka: reklama 60 s skraca pozostałe czekanie o połowę; do 2 reklam na godzinę gry.</t>
  </si>
  <si>
    <t xml:space="preserve">2/h w źródle; pełne warunki odłożone.</t>
  </si>
  <si>
    <t xml:space="preserve">Nagroda po reklamie — szczegóły nieustalone. Zgodność z aktywnym efektem, rodzaj godziny i reset nieustalone.</t>
  </si>
  <si>
    <t xml:space="preserve">Premia za zwiedzanie</t>
  </si>
  <si>
    <t xml:space="preserve">Wizyta4 h dla do 2 × poziom latarni osób z domu; nie ustalono opłaty za samą wizytę.</t>
  </si>
  <si>
    <t xml:space="preserve">Osobiste100% przez 24 h; populacja +10 przez 6 h (jednostki jako interpretacja).</t>
  </si>
  <si>
    <t xml:space="preserve">Zwiedzający nie płacą podatku, jedzą normalnie. Nie utożsamiamy wizyty z premią rozbudowy latarni.</t>
  </si>
  <si>
    <t xml:space="preserve">WIZYTA OPISANA V5; CENA NIEOKREŚLONA</t>
  </si>
  <si>
    <t xml:space="preserve">PRZYSPIESZENIA • kalkulator ceny</t>
  </si>
  <si>
    <t xml:space="preserve">Model: procent od POZOSTAŁEJ FAZY BUDOWANIA, bez transportu; opłata za pełne zaoszczędzone minuty, zaokrąglenie w dół. Te interpretacje i ewentualna cena minimalna nie są jeszcze rozstrzygnięte. Niebieskie pola są edytowalne.</t>
  </si>
  <si>
    <t xml:space="preserve">Pozostała budowa [min]</t>
  </si>
  <si>
    <t xml:space="preserve">Skrócenie</t>
  </si>
  <si>
    <t xml:space="preserve">Zaoszczędzony czas [min]</t>
  </si>
  <si>
    <t xml:space="preserve">Pozostało [min]</t>
  </si>
  <si>
    <t xml:space="preserve">Cena [monety]</t>
  </si>
  <si>
    <t xml:space="preserve">Cena zakupu monet [PLN]</t>
  </si>
  <si>
    <t xml:space="preserve">Jeśli cena wynosi 0, obliczenie ujawnia lukę przy niepełnej minucie. Brak zatwierdzonej minimalnej ceny; przykład nie ustanawia darmowych skróceń jako gotowej oferty.</t>
  </si>
  <si>
    <t xml:space="preserve">TRANSPORT PREMIUM • kursy i cena</t>
  </si>
  <si>
    <t xml:space="preserve">Potwierdzone: każdy potrzebny kurs jest płatny, również ostatni niepełny. Cena = SUMA(ROUNDUP(ilość rodzaju / ładunek)) × liczba odcinków × 10 monet. Dwa rodzaje nie dzielą kursu. Liczba pracowników zmienia czas, a nie liczbę płatnych kursów. Zakres jednego kliknięcia i etapu port–statek pozostaje otwarty.</t>
  </si>
  <si>
    <t xml:space="preserve">Trasa / przykład</t>
  </si>
  <si>
    <t xml:space="preserve">Towar A [szt.]</t>
  </si>
  <si>
    <t xml:space="preserve">Towar B [szt.]</t>
  </si>
  <si>
    <t xml:space="preserve">Ładunek/kurs</t>
  </si>
  <si>
    <t xml:space="preserve">Liczba odcinków</t>
  </si>
  <si>
    <t xml:space="preserve">Kursy A</t>
  </si>
  <si>
    <t xml:space="preserve">Kursy B</t>
  </si>
  <si>
    <t xml:space="preserve">Kursy razem</t>
  </si>
  <si>
    <t xml:space="preserve">Monety</t>
  </si>
  <si>
    <t xml:space="preserve">Produkcja → magazyn: 40</t>
  </si>
  <si>
    <t xml:space="preserve">Cena zależy od potrzebnych kursów. Przykład 2 odcinków nie przesądza zakresu jednego kliknięcia portowego; doprecyzować załadunek i rozładunek.</t>
  </si>
  <si>
    <t xml:space="preserve">Produkcja → magazyn: 60</t>
  </si>
  <si>
    <t xml:space="preserve">Produkcja → magazyn: 100</t>
  </si>
  <si>
    <t xml:space="preserve">Magazyn → budowa: 180</t>
  </si>
  <si>
    <t xml:space="preserve">Magazyn → budowa: 181</t>
  </si>
  <si>
    <t xml:space="preserve">Dwa rodzaje po 100</t>
  </si>
  <si>
    <t xml:space="preserve">Magazyn → targ</t>
  </si>
  <si>
    <t xml:space="preserve">Targ → magazyn</t>
  </si>
  <si>
    <t xml:space="preserve">Magazyn → port</t>
  </si>
  <si>
    <t xml:space="preserve">Port → magazyn</t>
  </si>
  <si>
    <t xml:space="preserve">Dwa odcinki portowe — model</t>
  </si>
  <si>
    <t xml:space="preserve">Ładunek wyższego poziomu</t>
  </si>
  <si>
    <t xml:space="preserve">Brak towaru</t>
  </si>
  <si>
    <t xml:space="preserve">BUDYNEK PREMIUM • potwierdzona wycena materiałów</t>
  </si>
  <si>
    <t xml:space="preserve">Potwierdzone: bazowe ceny zakupu portowego liczymy proporcjonalnie do ilości, bez paczek po 100. Materiały ×1,25; wymagane monety nominalnie osobno; opłata czasowa osobno. N/P to aktualny wariant. I/O zachowano jako odrzucone porównanie. Zaokrąglenie końcowej ceny w górę i zakres skracanego czasu pozostają założeniami kalkulatora.</t>
  </si>
  <si>
    <t xml:space="preserve">Przykład</t>
  </si>
  <si>
    <t xml:space="preserve">Monety w koszcie</t>
  </si>
  <si>
    <t xml:space="preserve">Drewno</t>
  </si>
  <si>
    <t xml:space="preserve">Kamień</t>
  </si>
  <si>
    <t xml:space="preserve">Zboże</t>
  </si>
  <si>
    <t xml:space="preserve">Food</t>
  </si>
  <si>
    <t xml:space="preserve">Deski</t>
  </si>
  <si>
    <t xml:space="preserve">Port: wycena proporcjonalna — aktualna</t>
  </si>
  <si>
    <t xml:space="preserve">Paczki 100 — wariant odrzucony</t>
  </si>
  <si>
    <t xml:space="preserve">Materiały +25% — zatwierdzone</t>
  </si>
  <si>
    <t xml:space="preserve">Cena czasu</t>
  </si>
  <si>
    <t xml:space="preserve">Razem — aktualna wycena</t>
  </si>
  <si>
    <t xml:space="preserve">Razem — odrzucone paczki 100</t>
  </si>
  <si>
    <t xml:space="preserve">PLN — aktualna wycena</t>
  </si>
  <si>
    <t xml:space="preserve">100 drewna +100 Food</t>
  </si>
  <si>
    <t xml:space="preserve">Potwierdzona wycena: 100 drewna = 50 monet, 100 Food = 150; materiały z dopłatą = 250. Przykładowe skrócenie 120 min o 50% kosztuje 60 monet, razem 310. Zakres czasu i końcowe zaokrąglenie nie zostały osobno zatwierdzone.</t>
  </si>
  <si>
    <t xml:space="preserve">Farma 1→2</t>
  </si>
  <si>
    <t xml:space="preserve">Farma 1→2: materiały według cen proporcjonalnych z dopłatą kosztują 165 monet. Przykładowa faza budowy 5 min skrócona o 50% daje opłatę 2 monet za pełne minuty, razem 167. Odrzucone paczki po 100 dałyby 252. Zakres czasu i zaokrąglenia pozostają założeniami.</t>
  </si>
  <si>
    <t xml:space="preserve">Ratusz 1→2</t>
  </si>
  <si>
    <t xml:space="preserve">Ratusz 1→2: portowa wartość materiałów 2250 ×1,25 = 2812,5; doliczamy osobno 500 monet. Przykładowa opłata czasowa 20 daje 3332,5; kalkulator roboczo zaokrągla do 3333. Samo końcowe zaokrąglenie nie jest jeszcze uzgodnione.</t>
  </si>
  <si>
    <t xml:space="preserve">NAGRODY SPOŁECZNOŚCIOWE • kwoty i warunki</t>
  </si>
  <si>
    <t xml:space="preserve">Kwoty zapisane według użytkownika. Limity, potwierdzanie publikacji i nakładanie nagród nie są zdefiniowane. Przeliczenie na PLN pokazuje cenę zakupu takiej liczby monet, nie możliwość ich wypłaty. Platformy mają osobną zakładkę.</t>
  </si>
  <si>
    <t xml:space="preserve">Nagroda</t>
  </si>
  <si>
    <t xml:space="preserve">Warunek</t>
  </si>
  <si>
    <t xml:space="preserve">Otwarte szczegóły</t>
  </si>
  <si>
    <t xml:space="preserve">Wartość zakupu monet [PLN]</t>
  </si>
  <si>
    <t xml:space="preserve">Pochwalenie się, że gram</t>
  </si>
  <si>
    <t xml:space="preserve">Publikacja informująca o grze.</t>
  </si>
  <si>
    <t xml:space="preserve">Nie ustalono kanałów, limitu na konto, powtórzeń ani sposobu potwierdzania publikacji.</t>
  </si>
  <si>
    <t xml:space="preserve">Informacja o następnym poziomie</t>
  </si>
  <si>
    <t xml:space="preserve">Publikacja po rzeczywistym osiągnięciu kolejnego poziomu ratusza.</t>
  </si>
  <si>
    <t xml:space="preserve">Jedna nagroda na osiągnięty poziom jest propozycją; zasady wielu platform i usuwania postów są nieustalone.</t>
  </si>
  <si>
    <t xml:space="preserve">Polecenie: nowe logowanie</t>
  </si>
  <si>
    <t xml:space="preserve">Polecona osoba rzeczywiście się zaloguje.</t>
  </si>
  <si>
    <t xml:space="preserve">Nie określono, czy nagrodę dostaje tylko polecający czy także polecony; źródłowo roboczo zapisano nagrodę polecającego. Kryterium nowego konta i limit poleceń nieustalone.</t>
  </si>
  <si>
    <t xml:space="preserve">Polecenie: trzeci aktywny dzień</t>
  </si>
  <si>
    <t xml:space="preserve">500 każdego zasobu</t>
  </si>
  <si>
    <t xml:space="preserve">Polecona osoba jest aktywna w trzecim dniu.</t>
  </si>
  <si>
    <t xml:space="preserve">Do ustalenia: trzeci dzień od rejestracji czy trzy dni aktywności, minimalna aktywność, odbiorca premii, czy „każdy zasób” obejmuje monety oraz jak przyjąć materiały przy pełnej centrali.</t>
  </si>
  <si>
    <t xml:space="preserve">Zależne od zakresu „wszystkiego”</t>
  </si>
  <si>
    <t xml:space="preserve">Każdy trzeci post na Facebooku</t>
  </si>
  <si>
    <t xml:space="preserve">Nagroda za trzeci, szósty, dziewiąty itd. kwalifikowany post.</t>
  </si>
  <si>
    <t xml:space="preserve">Nie określono okresu, limitu, wymagań treści ani tego, czy posty „gram” i „kolejny poziom” liczą się do tej samej serii. Zgodność konkretnej akcji z regulaminem platformy wymaga weryfikacji.</t>
  </si>
  <si>
    <t xml:space="preserve">PLATFORMY • kandydaci do publikacji graczy</t>
  </si>
  <si>
    <t xml:space="preserve">Lista serwisów podobnych lub uzupełniających Facebooka. Nie potwierdzono aktualnego brzmienia ich zasad: dostęp do próbowanych oficjalnych źródeł blokowało HTTP 403. Adresy służą do późniejszej weryfikacji programu nagród, nie stanowią potwierdzenia jego dopuszczalności.</t>
  </si>
  <si>
    <t xml:space="preserve">Platforma</t>
  </si>
  <si>
    <t xml:space="preserve">Pasujący format</t>
  </si>
  <si>
    <t xml:space="preserve">Zastosowanie</t>
  </si>
  <si>
    <t xml:space="preserve">Istotna zasada / kwestia do sprawdzenia</t>
  </si>
  <si>
    <t xml:space="preserve">Oficjalne adresy</t>
  </si>
  <si>
    <t xml:space="preserve">Status źródła</t>
  </si>
  <si>
    <t xml:space="preserve">Uwagi o nagrodach</t>
  </si>
  <si>
    <t xml:space="preserve">Facebook</t>
  </si>
  <si>
    <t xml:space="preserve">Post, informacja o poziomie, polecenie z linkiem.</t>
  </si>
  <si>
    <t xml:space="preserve">Nie dopisujemy automatycznych masowych publikacji ani publikacji do cudzych grup.</t>
  </si>
  <si>
    <t xml:space="preserve">Reguły promocji Facebooka znane z dotychczasowej dokumentacji ograniczają użycie prywatnych osi czasu i znajomych do udziału w promocjach, np. „udostępnij, aby dostać nagrodę”. Wymaga sprawdzenia aktualnych warunków przed wdrożeniem nagrody za post.</t>
  </si>
  <si>
    <t xml:space="preserve">https://www.facebook.com/policies_center/pages_groups_events</t>
  </si>
  <si>
    <t xml:space="preserve">Aktualne warunki niepotwierdzone online. Dostęp do próbowanych źródeł blokowało HTTP 403; nie wszystkie adresy odpytywano oddzielnie.</t>
  </si>
  <si>
    <t xml:space="preserve">Kwoty 1000 / 500 / 1000 za każdy 3. post są propozycją ekonomii gry; wykonalność programu promocyjnego nie została potwierdzona.</t>
  </si>
  <si>
    <t xml:space="preserve">Instagram</t>
  </si>
  <si>
    <t xml:space="preserve">Grafika wyspy, post, relacja lub krótki film Reels.</t>
  </si>
  <si>
    <t xml:space="preserve">Kandydat do ręcznego udostępnienia przez gracza.</t>
  </si>
  <si>
    <t xml:space="preserve">Sprawdzić wytyczne promocji, prawidłowe oznaczanie i zasady przeciw sztucznemu pozyskiwaniu aktywności. Nie zakładać, że polubienia lub obserwacje mogą być obowiązkowym warunkiem.</t>
  </si>
  <si>
    <t xml:space="preserve">https://help.instagram.com/179379842258600</t>
  </si>
  <si>
    <t xml:space="preserve">Nagrody dla tej platformy i sposób weryfikacji do ustalenia.</t>
  </si>
  <si>
    <t xml:space="preserve">Threads</t>
  </si>
  <si>
    <t xml:space="preserve">Krótki wpis i zrzut wyspy; link polecający.</t>
  </si>
  <si>
    <t xml:space="preserve">Kandydat do dobrowolnej publikacji.</t>
  </si>
  <si>
    <t xml:space="preserve">Obowiązują zasady Meta przeciw spamowi; sprawdzić aktualną możliwość i zasady nagradzania publikacji.</t>
  </si>
  <si>
    <t xml:space="preserve">https://transparency.meta.com/policies/community-standards/spam/</t>
  </si>
  <si>
    <t xml:space="preserve">Nagrody nie zostały automatycznie skopiowane z Facebooka.</t>
  </si>
  <si>
    <t xml:space="preserve">TikTok</t>
  </si>
  <si>
    <t xml:space="preserve">Krótki film z wyspą, budową albo ekspedycją.</t>
  </si>
  <si>
    <t xml:space="preserve">Kandydat do treści tworzonych przez graczy.</t>
  </si>
  <si>
    <t xml:space="preserve">Wytyczne integralności i autentyczności obejmują sztuczną aktywność. Zasady nagradzanych filmów oraz oznaczania zachęt wymagają weryfikacji.</t>
  </si>
  <si>
    <t xml:space="preserve">https://www.tiktok.com/community-guidelines/en/integrity-authenticity/</t>
  </si>
  <si>
    <t xml:space="preserve">Nie uzależniać nagrody od liczby sztucznych wyświetleń, komentarzy czy obserwujących.</t>
  </si>
  <si>
    <t xml:space="preserve">YouTube / Shorts</t>
  </si>
  <si>
    <t xml:space="preserve">Krótki film lub dłuższy pokaz gry.</t>
  </si>
  <si>
    <t xml:space="preserve">Kandydat do materiałów graczy.</t>
  </si>
  <si>
    <t xml:space="preserve">YouTube ma odrębne zasady fake engagement oraz konkursów. Wynagradzanie za manipulowanie wyświetleniami, polubieniami lub innymi wskaźnikami jest ryzykowne; sprawdzić aktualne warunki konkretnego programu.</t>
  </si>
  <si>
    <t xml:space="preserve">https://support.google.com/youtube/answer/3399767?hl=en
https://support.google.com/youtube/answer/1620498?hl=en</t>
  </si>
  <si>
    <t xml:space="preserve">Treść i dobrowolne polecenie odróżnić od kupowania aktywności.</t>
  </si>
  <si>
    <t xml:space="preserve">Discord</t>
  </si>
  <si>
    <t xml:space="preserve">Własny serwer gry i kanał do pokazywania wysp.</t>
  </si>
  <si>
    <t xml:space="preserve">Dobry kandydat do społeczności gry.</t>
  </si>
  <si>
    <t xml:space="preserve">Zasady Discorda zabraniają spamu i manipulowania platformą. Publikacja tylko w przeznaczonych do tego kanałach oraz zgodnie z zasadami konkretnego serwera.</t>
  </si>
  <si>
    <t xml:space="preserve">https://discord.com/guidelines</t>
  </si>
  <si>
    <t xml:space="preserve">Bez masowych wiadomości prywatnych lub botów rozsyłających polecenia.</t>
  </si>
  <si>
    <t xml:space="preserve">Reddit</t>
  </si>
  <si>
    <t xml:space="preserve">Wpisy o postępach gry, grafice i dziennik rozwoju.</t>
  </si>
  <si>
    <t xml:space="preserve">Kandydat warunkowy: właściwy subreddit i zgoda moderatorów.</t>
  </si>
  <si>
    <t xml:space="preserve">Reddit i poszczególne subreddity mają zasady dotyczące spamu, autopromocji oraz manipulacji głosami. Nagroda za powielane wpisy promocyjne wymaga szczególnej weryfikacji.</t>
  </si>
  <si>
    <t xml:space="preserve">https://support.reddithelp.com/hc/en-us/articles/360043504051-Spam</t>
  </si>
  <si>
    <t xml:space="preserve">Nie zakładać prawa do reklamowania gry w dowolnej społeczności.</t>
  </si>
  <si>
    <t xml:space="preserve">X</t>
  </si>
  <si>
    <t xml:space="preserve">Krótki post, obraz wyspy i link polecający.</t>
  </si>
  <si>
    <t xml:space="preserve">Kandydat do dobrowolnego udostępniania.</t>
  </si>
  <si>
    <t xml:space="preserve">Sprawdzić zasady promocji i manipulacji platformą; powtarzane identyczne wpisy oraz zduplikowane konta nie powinny generować nagród.</t>
  </si>
  <si>
    <t xml:space="preserve">https://help.x.com/en/rules-and-policies/platform-manipulation
https://help.x.com/en/rules-and-policies/x-contest-rules</t>
  </si>
  <si>
    <t xml:space="preserve">Próg i ewentualny limit nagrody do ustalenia.</t>
  </si>
  <si>
    <t xml:space="preserve">Bluesky</t>
  </si>
  <si>
    <t xml:space="preserve">Post z obrazem wyspy i linkiem.</t>
  </si>
  <si>
    <t xml:space="preserve">Wytyczne społeczności obejmują spam i zakłócanie działania. Sprawdzić zasady promocji przed uruchomieniem programu nagród.</t>
  </si>
  <si>
    <t xml:space="preserve">https://bsky.social/about/support/community-guidelines</t>
  </si>
  <si>
    <t xml:space="preserve">Nie zakładać automatycznej weryfikacji publikacji bez osobnego projektu.</t>
  </si>
  <si>
    <t xml:space="preserve">Mastodon</t>
  </si>
  <si>
    <t xml:space="preserve">Post z wyspą na wybranym serwerze.</t>
  </si>
  <si>
    <t xml:space="preserve">Kandydat warunkowy: reguły wybranego serwera.</t>
  </si>
  <si>
    <t xml:space="preserve">Mastodon jest siecią wielu serwerów. Zasady reklamy, promocji i spamu zależą od instancji; nie ma jednego zezwolenia obejmującego całą sieć.</t>
  </si>
  <si>
    <t xml:space="preserve">https://joinmastodon.org/
https://joinmastodon.org/covenant</t>
  </si>
  <si>
    <t xml:space="preserve">Nagrody i dopuszczalne serwery do ustalenia.</t>
  </si>
  <si>
    <t xml:space="preserve">Snapchat</t>
  </si>
  <si>
    <t xml:space="preserve">Dobrowolna relacja lub krótki film o grze.</t>
  </si>
  <si>
    <t xml:space="preserve">Kandydat do wizualnej prezentacji postępu.</t>
  </si>
  <si>
    <t xml:space="preserve">Sprawdzić wytyczne społeczności, zasady promocji i treści sponsorowanych; nie zakładać, że masowe rozsyłanie zaproszeń będzie dozwolone.</t>
  </si>
  <si>
    <t xml:space="preserve">https://values.snap.com/policy/policy-community-guidelines</t>
  </si>
  <si>
    <t xml:space="preserve">Kwoty oraz sposób weryfikacji relacji do ustalenia.</t>
  </si>
  <si>
    <t xml:space="preserve">LATARNIA • zasady zadań</t>
  </si>
  <si>
    <t xml:space="preserve">Zadania to dostawy dla latarni, odrębne od rozbudowy i zwiedzania. Zachowano Twoje reguły, a brakujące szczegóły wyraźnie oznaczono. W przykładach losowanie jest zamrożone; ponowne otwarcie pliku nie zmienia nagród ani kosztów.</t>
  </si>
  <si>
    <t xml:space="preserve">Panel</t>
  </si>
  <si>
    <t xml:space="preserve">W prawym górnym rogu wyświetlamy trzy aktualne zadania latarni: małe, średnie i duże.</t>
  </si>
  <si>
    <t xml:space="preserve">3 miejsca, po jednym na rozmiar</t>
  </si>
  <si>
    <t xml:space="preserve">Nagrody są widoczne zawsze, przed rozpoczęciem i wpłatami.</t>
  </si>
  <si>
    <t xml:space="preserve">Losowanie</t>
  </si>
  <si>
    <t xml:space="preserve">Koszty, wymagane produkty i nagrody losujemy przy pojawieniu się zadania.</t>
  </si>
  <si>
    <t xml:space="preserve">Małe: 2 produkty; średnie: 2–3; duże: 4</t>
  </si>
  <si>
    <t xml:space="preserve">W przykładach losujemy różne rodzaje spośród drewna, kamienia, zboża, żywności i desek. Rodzaje nagród i koszty powinny być stałe przez życie zadania.</t>
  </si>
  <si>
    <t xml:space="preserve">Norma produkcyjna</t>
  </si>
  <si>
    <t xml:space="preserve">MODEL DO POTWIERDZENIA</t>
  </si>
  <si>
    <t xml:space="preserve">Koszt rodzaju i liczymy z maksymalnej obsady obecnego poziomu jego producenta, niezależnie od faktycznej obsady.</t>
  </si>
  <si>
    <t xml:space="preserve">R_i = 12 × L_i × p(L_i); p(1)=10, p(L≥2)=L+10; koszt_i = R_i × h</t>
  </si>
  <si>
    <t xml:space="preserve">Nie doliczamy bonusu latarni ×2 ani głodu: to trwała norma poziomu, nie chwilowa wydajność. Użytkownik nie wskazał wprost, czy brać własny poziom producenta, czy najwyższy wspólny poziom; wymaga zatwierdzenia.</t>
  </si>
  <si>
    <t xml:space="preserve">Małe</t>
  </si>
  <si>
    <t xml:space="preserve">Wymagane są dwa produkty, w ilości odpowiadającej 2–6 h maksymalnej produkcji.</t>
  </si>
  <si>
    <t xml:space="preserve">2 rodzaje; h∈[2,6]</t>
  </si>
  <si>
    <t xml:space="preserve">L1: 12 osób × 10 szt./h = 120 szt./h, więc 240–720 każdego rodzaju.</t>
  </si>
  <si>
    <t xml:space="preserve">Średnie</t>
  </si>
  <si>
    <t xml:space="preserve">Wymagane są dwa lub trzy produkty, w ilości odpowiadającej 3–8 h maksymalnej produkcji, nie mniej niż bieżące małe.</t>
  </si>
  <si>
    <t xml:space="preserve">2–3 rodzaje; h∈[3,8]</t>
  </si>
  <si>
    <t xml:space="preserve">Sposób porównania z małym nie jest zdefiniowany; przykład używa h_średnie ≥ h_małe oraz nie mniejszej sumy godzin znormalizowanych.</t>
  </si>
  <si>
    <t xml:space="preserve">Duże</t>
  </si>
  <si>
    <t xml:space="preserve">Wymagane są cztery produkty, w ilości odpowiadającej 4–10 h maksymalnej produkcji, nie mniej niż bieżące średnie.</t>
  </si>
  <si>
    <t xml:space="preserve">4 rodzaje; h∈[4,10]</t>
  </si>
  <si>
    <t xml:space="preserve">W przykładzie h_duże ≥ h_średnie. Duże może wymagać więcej niż 6 h produkcji mimo terminu 6 h: zakłada wcześniejsze zapasy lub jest trudno osiągalne od zera.</t>
  </si>
  <si>
    <t xml:space="preserve">Ramy losowania</t>
  </si>
  <si>
    <t xml:space="preserve">MODEL PRZYKŁADU</t>
  </si>
  <si>
    <t xml:space="preserve">W przykładach jedna liczba pełnych godzin h obowiązuje wszystkie wymagane rodzaje danego zadania.</t>
  </si>
  <si>
    <t xml:space="preserve">h_małe ≤ h_średnie ≤ h_duże; H = Σ(koszt_i/R_i)</t>
  </si>
  <si>
    <t xml:space="preserve">Jest to czytelna interpretacja „nie mniejsze”, a nie dodatkowa zatwierdzona reguła. Użytkownik nie określił, czy godziny mają być całkowite ani wspólne dla wszystkich składników.</t>
  </si>
  <si>
    <t xml:space="preserve">Nagroda w monetach</t>
  </si>
  <si>
    <t xml:space="preserve">UZGODNIONE / DOLNY PRÓG CZĘŚCIOWO MODELOWY</t>
  </si>
  <si>
    <t xml:space="preserve">Małe losuje 100–200 monet; średnie do 400; duże do 600.</t>
  </si>
  <si>
    <t xml:space="preserve">Przykłady: 100–200, 100–400 i 100–600 monet</t>
  </si>
  <si>
    <t xml:space="preserve">Dolny próg 100 dla średniego i dużego jest interpretacją; użytkownik podał dla nich tylko górną granicę.</t>
  </si>
  <si>
    <t xml:space="preserve">Nagroda towarowa</t>
  </si>
  <si>
    <t xml:space="preserve">UZGODNIONE / LICZBA RODZAJÓW OTWARTA</t>
  </si>
  <si>
    <t xml:space="preserve">Każde zadanie daje także losowy towar lub towary w ilości 50–1000.</t>
  </si>
  <si>
    <t xml:space="preserve">Przykłady: 1 losowy rodzaj, 50–1000 szt.</t>
  </si>
  <si>
    <t xml:space="preserve">Do decyzji: liczba rodzajów nagród; limit na każdy rodzaj czy łącznie; obsługa braku miejsca w magazynie.</t>
  </si>
  <si>
    <t xml:space="preserve">Premia szybkiej reakcji</t>
  </si>
  <si>
    <t xml:space="preserve">Kliknięcie zadania w pierwszych 15 sekundach daje nagrodę ×3; później do 5 minut daje ×2; następnie ×1.</t>
  </si>
  <si>
    <t xml:space="preserve">Wiek przy pierwszym kliknięciu: &lt;15 s → ×3; 15 s ≤ wiek &lt;300 s → ×2; od 300 s → ×1.</t>
  </si>
  <si>
    <t xml:space="preserve">Potwierdzone: ×3 ma pierwszeństwo, nie mnoży się przez ×2. Mnożnik zapisuje pierwsze kliknięcie zadania.</t>
  </si>
  <si>
    <t xml:space="preserve">Utrwalenie premii</t>
  </si>
  <si>
    <t xml:space="preserve">Pierwsze kliknięcie konkretnego zadania zapisuje mnożnik aż do jego ukończenia; późniejszy upływ czasu nie zmniejsza zapisanego mnożnika.</t>
  </si>
  <si>
    <t xml:space="preserve">Nagroda końcowa = bazowa nagroda × utrwalony mnożnik</t>
  </si>
  <si>
    <t xml:space="preserve">Nagroda dopiero po wpłaceniu całości przed upływem 6 h od pojawienia się zadania. Samo kliknięcie nie wypłaca nagrody. Nieukończenie w terminie oznacza utratę wpłat.</t>
  </si>
  <si>
    <t xml:space="preserve">Termin</t>
  </si>
  <si>
    <t xml:space="preserve">Każde zadanie ma własny 6-godzinny licznik od pojawienia się.</t>
  </si>
  <si>
    <t xml:space="preserve">Termin = pojawienie +6 h zegarowych</t>
  </si>
  <si>
    <t xml:space="preserve">Zgodnie z wcześniejszą zasadą świata licznik działa również offline. Zadania nie powinny być przemieszane jednym wspólnym resetem wszystkich trzech.</t>
  </si>
  <si>
    <t xml:space="preserve">Zastępowanie zadań</t>
  </si>
  <si>
    <t xml:space="preserve">UZGODNIONE / WCZEŚNIEJSZE UKOŃCZENIE OTWARTE</t>
  </si>
  <si>
    <t xml:space="preserve">Po upływie terminu pojawia się nowe zadanie danego rozmiaru.</t>
  </si>
  <si>
    <t xml:space="preserve">Każde miejsce ma własny cykl</t>
  </si>
  <si>
    <t xml:space="preserve">Aby stale były trzy, proponujemy natychmiastowe uzupełnienie po ukończeniu; użytkownik nie określił wprost momentu odnowienia po wcześniejszym ukończeniu.</t>
  </si>
  <si>
    <t xml:space="preserve">Porównanie rozmiarów po odnowieniu</t>
  </si>
  <si>
    <t xml:space="preserve">DO DECYZJI</t>
  </si>
  <si>
    <t xml:space="preserve">Przy niezależnych terminach nowy mały może stać się droższy od starego średniego, a nowy średni od starego dużego.</t>
  </si>
  <si>
    <t xml:space="preserve">Jednoczesne wymogi: niezależne zegary + zawsze małe ≤ średnie ≤ duże</t>
  </si>
  <si>
    <t xml:space="preserve">Należy ograniczać losowanie do istniejących sąsiadów albo porównywać tylko w momencie tworzenia. Przykłady w arkuszu są spójnymi zestawami demonstracyjnymi, nie definicją pełnego generatora.</t>
  </si>
  <si>
    <t xml:space="preserve">Wpłaty</t>
  </si>
  <si>
    <t xml:space="preserve">Można wpłacać wymagane towary partiami. Towar trafia bezpośrednio z magazynu centralnego do zadania, bez tragarza.</t>
  </si>
  <si>
    <t xml:space="preserve">Każdy składnik ma licznik dostarczono/wymagane, np. 100/200</t>
  </si>
  <si>
    <t xml:space="preserve">Wpłata nie jest pożyczką ani tymczasową rezerwacją: jest nieodwracalna. W przykładzie nie wpłacamy powyżej pozostałego wymagania.</t>
  </si>
  <si>
    <t xml:space="preserve">Przedawnienie</t>
  </si>
  <si>
    <t xml:space="preserve">Po upływie terminu niewykonane zadanie przepada wraz ze wszystkimi dotychczasowymi wpłatami.</t>
  </si>
  <si>
    <t xml:space="preserve">Zwrot wpłat = 0</t>
  </si>
  <si>
    <t xml:space="preserve">Wymagane wyraźne ostrzeżenie i pokazanie czasu pozostałego przed potwierdzeniem wpłaty; powiadomienia to projekt interfejsu.</t>
  </si>
  <si>
    <t xml:space="preserve">Żywność na zadania</t>
  </si>
  <si>
    <t xml:space="preserve">Natychmiastowa wpłata Food może kolidować z rezerwą jedzenia 50 × poziom magazynu.</t>
  </si>
  <si>
    <t xml:space="preserve">Poprzednia zasada chroni rezerwę przed operacjami nieżywieniowymi</t>
  </si>
  <si>
    <t xml:space="preserve">Propozycja: zadanie można zasilać tylko nadwyżką ponad chronioną rezerwę; to nie jest nowo zatwierdzony wyjątek.</t>
  </si>
  <si>
    <t xml:space="preserve">Nagroda i pojemność</t>
  </si>
  <si>
    <t xml:space="preserve">Nie zdefiniowano obsługi nagrody, która nie mieści się w magazynie. Moment wypłaty jest ustalony: pełna wpłata przed upływem6h.</t>
  </si>
  <si>
    <t xml:space="preserve">Maksimum przy ×3: 1800 monet i do 3000 szt. jednego towaru w przykładzie</t>
  </si>
  <si>
    <t xml:space="preserve">Propozycje do wyboru później: skrzynka do odebrania, odbiór częściowy lub rezerwacja miejsca; nic nie może znikać bez jawnej reguły.</t>
  </si>
  <si>
    <t xml:space="preserve">PROJEKT INTERFEJSU</t>
  </si>
  <si>
    <t xml:space="preserve">Pojawienie się zadania, utrwalenie premii, wpłata, ukończenie i wygaśnięcie mogą mieć wpis w panelu powiadomień.</t>
  </si>
  <si>
    <t xml:space="preserve">Zawsze widoczne: tytuł, rozmiar, nagroda, mnożnik, czas i postęp</t>
  </si>
  <si>
    <t xml:space="preserve">Nie dodajemy wymyślonego czasu przypomnienia ani automatycznych wpłat.</t>
  </si>
  <si>
    <t xml:space="preserve">Skalowanie</t>
  </si>
  <si>
    <t xml:space="preserve">OSTRZEŻENIE BALANSU</t>
  </si>
  <si>
    <t xml:space="preserve">Wymagania rosną jak 12 × L × p(L), natomiast zakresy nagród są stałe.</t>
  </si>
  <si>
    <t xml:space="preserve">L1: 120/h; L2: 288/h; L3: 468/h; L4: 672/h</t>
  </si>
  <si>
    <t xml:space="preserve">Na wysokim poziomie stosunek nagrody do wpłat może być słaby. Losowa nagroda nie gwarantuje zwrotu wartości portowej wkładu.</t>
  </si>
  <si>
    <t xml:space="preserve">Produkcja maksymalna a realny czas</t>
  </si>
  <si>
    <t xml:space="preserve">Pełna załoga 12 × L w każdym z 2–4 zakładów nie może być założona jednocześnie przy jednej wspólnej populacji.</t>
  </si>
  <si>
    <t xml:space="preserve">L1: 12 osób na start, maks. 24; duże: 4 zakłady × 12 = 48 stanowisk</t>
  </si>
  <si>
    <t xml:space="preserve">Norma ma określać koszt zadania. Nie jest estymatą możliwego zebrania całości w 2–10 h; dodatkowo młyn i tartak zużywają po 2 surowce na produkt.</t>
  </si>
  <si>
    <t xml:space="preserve">LATARNIA • 12 wylosowanych przykładów</t>
  </si>
  <si>
    <t xml:space="preserve">4 zestawy dla poziomów 1–4, seed 20261022. Jedna norma h na rodzaj; w zestawie h małe ≤ h średnie ≤ h duże. Przykłady mają 1 rodzaj nagrody towarowej; 100 to modelowy dolny próg monet średniego/dużego. To wariant generatora do decyzji, nie wdrożona funkcja.</t>
  </si>
  <si>
    <t xml:space="preserve">Zestaw</t>
  </si>
  <si>
    <t xml:space="preserve">Rozmiar</t>
  </si>
  <si>
    <t xml:space="preserve">Nazwa / narracja</t>
  </si>
  <si>
    <t xml:space="preserve">Poziom producentów</t>
  </si>
  <si>
    <t xml:space="preserve">Maks. ludzi/producent</t>
  </si>
  <si>
    <t xml:space="preserve">Szt./os./h</t>
  </si>
  <si>
    <t xml:space="preserve">Maks. szt./h</t>
  </si>
  <si>
    <t xml:space="preserve">Norma godzin/rodzaj</t>
  </si>
  <si>
    <t xml:space="preserve">Liczba rodzajów</t>
  </si>
  <si>
    <t xml:space="preserve">Wpłaty: format</t>
  </si>
  <si>
    <t xml:space="preserve">Złoto bazowe</t>
  </si>
  <si>
    <t xml:space="preserve">Towar nagrody</t>
  </si>
  <si>
    <t xml:space="preserve">Ilość bazowa</t>
  </si>
  <si>
    <t xml:space="preserve">Złoto ×2</t>
  </si>
  <si>
    <t xml:space="preserve">Złoto ×3</t>
  </si>
  <si>
    <t xml:space="preserve">Towar ×2</t>
  </si>
  <si>
    <t xml:space="preserve">Towar ×3</t>
  </si>
  <si>
    <t xml:space="preserve">Termin [h]</t>
  </si>
  <si>
    <t xml:space="preserve">Naprawa poręczy na schodach</t>
  </si>
  <si>
    <t xml:space="preserve">0/480 drewno; 0/480 kamień</t>
  </si>
  <si>
    <t xml:space="preserve">kamień</t>
  </si>
  <si>
    <t xml:space="preserve">Materiały służą remontowi i zabezpieczeniu obiektu, a żywność lub zboże — zaopatrzeniu ekipy latarników. Dobór rodzaju jest przykładowy i losowy. Mnożnik obejmuje monety i towary; limit 1000 dotyczy nagrody bazowej w tym modelu.</t>
  </si>
  <si>
    <t xml:space="preserve">Remont barierek dla zwiedzających</t>
  </si>
  <si>
    <t xml:space="preserve">0/960 deski; 0/960 kamień</t>
  </si>
  <si>
    <t xml:space="preserve">drewno</t>
  </si>
  <si>
    <t xml:space="preserve">Generalny remont galerii widokowej</t>
  </si>
  <si>
    <t xml:space="preserve">0/1080 zboże; 0/1080 drewno; 0/1080 deski; 0/1080 żywność</t>
  </si>
  <si>
    <t xml:space="preserve">Łatanie podestu wejściowego</t>
  </si>
  <si>
    <t xml:space="preserve">0/864 deski; 0/864 drewno</t>
  </si>
  <si>
    <t xml:space="preserve">zboże</t>
  </si>
  <si>
    <t xml:space="preserve">Wymiana osłon lampy</t>
  </si>
  <si>
    <t xml:space="preserve">0/2016 zboże; 0/2016 żywność</t>
  </si>
  <si>
    <t xml:space="preserve">Odbudowa zaplecza latarników</t>
  </si>
  <si>
    <t xml:space="preserve">0/2880 kamień; 0/2880 deski; 0/2880 żywność; 0/2880 drewno</t>
  </si>
  <si>
    <t xml:space="preserve">Zabezpieczenie ścieżki do latarni</t>
  </si>
  <si>
    <t xml:space="preserve">0/2808 kamień; 0/2808 żywność</t>
  </si>
  <si>
    <t xml:space="preserve">deski</t>
  </si>
  <si>
    <t xml:space="preserve">Naprawa schodów na galerię</t>
  </si>
  <si>
    <t xml:space="preserve">0/3744 drewno; 0/3744 żywność</t>
  </si>
  <si>
    <t xml:space="preserve">żywność</t>
  </si>
  <si>
    <t xml:space="preserve">Renowacja wieży po sztormie</t>
  </si>
  <si>
    <t xml:space="preserve">0/4212 żywność; 0/4212 kamień; 0/4212 drewno; 0/4212 zboże</t>
  </si>
  <si>
    <t xml:space="preserve">Zaopatrzenie ekipy przeglądowej</t>
  </si>
  <si>
    <t xml:space="preserve">0/4032 drewno; 0/4032 żywność</t>
  </si>
  <si>
    <t xml:space="preserve">Odtworzenie pomostu widokowego</t>
  </si>
  <si>
    <t xml:space="preserve">0/4032 żywność; 0/4032 drewno</t>
  </si>
  <si>
    <t xml:space="preserve">Przygotowanie latarni do sezonu</t>
  </si>
  <si>
    <t xml:space="preserve">0/4032 drewno; 0/4032 żywność; 0/4032 deski; 0/4032 kamień</t>
  </si>
  <si>
    <t xml:space="preserve">LATARNIA • niezależne zegary i raty</t>
  </si>
  <si>
    <t xml:space="preserve">Statyczne przykłady w chwili pierwszego kliknięcia. Kolumna B to wiek w tej chwili, C — czas pozostały w chwili kliknięcia, D — utrwalony mnożnik: &lt;15 s ×3; 15–&lt;300 s ×2; od 300 s ×1. Późniejszy upływ czasu nie przelicza D. Nagroda wymaga pełnej wpłaty przed upływem 6 h. Wszystkie te reguły potwierdzono.</t>
  </si>
  <si>
    <t xml:space="preserve">Wiek przy pierwszym kliknięciu [s]</t>
  </si>
  <si>
    <t xml:space="preserve">Pozostało w chwili kliknięcia [min]</t>
  </si>
  <si>
    <t xml:space="preserve">Utrwalony mnożnik</t>
  </si>
  <si>
    <t xml:space="preserve">Wymagane</t>
  </si>
  <si>
    <t xml:space="preserve">Wpłacono</t>
  </si>
  <si>
    <t xml:space="preserve">Brakuje</t>
  </si>
  <si>
    <t xml:space="preserve">Następna rata</t>
  </si>
  <si>
    <t xml:space="preserve">Stan po racie</t>
  </si>
  <si>
    <t xml:space="preserve">Zwrot po terminie</t>
  </si>
  <si>
    <t xml:space="preserve">Małe — szybkie przyjęcie</t>
  </si>
  <si>
    <t xml:space="preserve">Rata pobierana z centrali bez transportu; po terminie wpłaty przepadają. Zerowy stan po przedawnieniu oznacza utratę wpłat, nie wypłatę graczowi.</t>
  </si>
  <si>
    <t xml:space="preserve">Średnie — szybkie przyjęcie</t>
  </si>
  <si>
    <t xml:space="preserve">Duże — zwykłe przyjęcie</t>
  </si>
  <si>
    <t xml:space="preserve">Granica 15 sekund</t>
  </si>
  <si>
    <t xml:space="preserve">Granica 5 minut</t>
  </si>
  <si>
    <t xml:space="preserve">Zadanie przedawnione</t>
  </si>
  <si>
    <t xml:space="preserve">EKSPEDYCJE • przebieg i nagrody</t>
  </si>
  <si>
    <t xml:space="preserve">Panel poniżej zadań po prawej. Nagrody wyłącznie w monetach. Plansze, sterowanie, trudność, koszty dodatkowego czasu/ruchów i zasady jednosekundowego kodu pozostają do późniejszego opisania.</t>
  </si>
  <si>
    <t xml:space="preserve">Umiejscowienie</t>
  </si>
  <si>
    <t xml:space="preserve">Po prawej stronie, pod bieżącymi zadaniami latarni.</t>
  </si>
  <si>
    <t xml:space="preserve">Zawsze dostępnych kilka ekspedycji. Konkretna liczba i rotacja nieustalone.</t>
  </si>
  <si>
    <t xml:space="preserve">POTWIERDZONE; LICZBA OTWARTA</t>
  </si>
  <si>
    <t xml:space="preserve">Rodzaje gry</t>
  </si>
  <si>
    <t xml:space="preserve">Plansza z labiryntem i piłeczką do przeprowadzenia do środka albo dobieranie takich samych puzzli.</t>
  </si>
  <si>
    <t xml:space="preserve">Dokładne sterowanie, plansze i zasady użytkownik opisze później.</t>
  </si>
  <si>
    <t xml:space="preserve">POTWIERDZONE; SZCZEGÓŁY PÓŹNIEJ</t>
  </si>
  <si>
    <t xml:space="preserve">Wyłącznie złoto / monety.</t>
  </si>
  <si>
    <t xml:space="preserve">Ekspedycja nie przyznaje materiałów ani szczęścia. Nazwa waluty do ujednolicenia.</t>
  </si>
  <si>
    <t xml:space="preserve">Pierwszy wygrany poziom</t>
  </si>
  <si>
    <t xml:space="preserve">50 monet w nieodebranej puli.</t>
  </si>
  <si>
    <t xml:space="preserve">Można wypłacić pulę na wyspę albo postawić ją na dalszą grę.</t>
  </si>
  <si>
    <t xml:space="preserve">Każda kolejna wygrana</t>
  </si>
  <si>
    <t xml:space="preserve">Podwaja całą dotychczasową pulę.</t>
  </si>
  <si>
    <t xml:space="preserve">Poziom n: 50 × 2^(n−1) monet. To nowa łączna pula, nie dodatkowa nagroda dodawana do poprzedniej.</t>
  </si>
  <si>
    <t xml:space="preserve">Wypłata</t>
  </si>
  <si>
    <t xml:space="preserve">Przeniesienie aktualnej puli do gry na wyspie.</t>
  </si>
  <si>
    <t xml:space="preserve">Po wypłacie ekspedycja powinna zamknąć serię; to logiczna propozycja, nie zatwierdzony osobny szczegół. Nie określono restartów i opłaty wejściowej.</t>
  </si>
  <si>
    <t xml:space="preserve">WYBÓR WYPŁATY POTWIERDZONY</t>
  </si>
  <si>
    <t xml:space="preserve">Przegrana</t>
  </si>
  <si>
    <t xml:space="preserve">Utrata całej niewypłaconej puli danej serii.</t>
  </si>
  <si>
    <t xml:space="preserve">Nie ma podstaw do odbierania istniejących wcześniej monet z wyspy. Płatności za dodatkowe ruchy/czas nie są nagrodą i zasady ich zwrotu nie zostały określone.</t>
  </si>
  <si>
    <t xml:space="preserve">POTWIERDZONE; WYDATKI DO DOPRECYZOWANIA</t>
  </si>
  <si>
    <t xml:space="preserve">Ograniczenie poziomu</t>
  </si>
  <si>
    <t xml:space="preserve">Limit czasu albo liczby ruchów.</t>
  </si>
  <si>
    <t xml:space="preserve">Ilości i trudność poszczególnych poziomów nieustalone. Zatrzymywanie podczas reklam i po zamknięciu karty wymaga osobnej reguły.</t>
  </si>
  <si>
    <t xml:space="preserve">POTWIERDZONE; LIMITY OTWARTE</t>
  </si>
  <si>
    <t xml:space="preserve">Dodatkowy czas lub ruchy</t>
  </si>
  <si>
    <t xml:space="preserve">Zakup monetami albo obejrzenie reklamy.</t>
  </si>
  <si>
    <t xml:space="preserve">Nie ustalono ceny, przyrostu czasu/ruchów, liczby zakupów, momentu zakupu ani czy można uratować już przegraną próbę.</t>
  </si>
  <si>
    <t xml:space="preserve">POTWIERDZONE; CENNIK OTWARTY</t>
  </si>
  <si>
    <t xml:space="preserve">Reklama ekspedycji</t>
  </si>
  <si>
    <t xml:space="preserve">Najpierw materiał o własnej grze, później reklamy zewnętrzne; maksymalnie 30 sekund.</t>
  </si>
  <si>
    <t xml:space="preserve">To reguła reklam ekspedycyjnych. Wcześniejsze odłożone reklamy kaplicy miały 60 s; nie zastępować ich bez decyzji.</t>
  </si>
  <si>
    <t xml:space="preserve">Jednosekundowy przekaz</t>
  </si>
  <si>
    <t xml:space="preserve">Reklama ma zawierać przez 1 sekundę przekaz do późniejszego wpisania.</t>
  </si>
  <si>
    <t xml:space="preserve">Przekaz pokazywany przez 1 sekundę; treść, miejsce wpisania, warunek uznania reklamy i ewentualna nagroda zostaną opisane później.</t>
  </si>
  <si>
    <t xml:space="preserve">POMYSŁ ZACHOWANY; DZIAŁANIE PÓŹNIEJ</t>
  </si>
  <si>
    <t xml:space="preserve">Brak limitu poziomów</t>
  </si>
  <si>
    <t xml:space="preserve">Obecny opis nie wyznacza końca serii.</t>
  </si>
  <si>
    <t xml:space="preserve">Podwajanie jest wykładnicze: poziom 10 = 25 600, poziom 20 = 26 214 400 monet. Limit, trudność i koszt ratowania mogą być potrzebne do balansu.</t>
  </si>
  <si>
    <t xml:space="preserve">UWAGA BALANSOWA, NIE NOWA REGUŁA</t>
  </si>
  <si>
    <t xml:space="preserve">EKSPEDYCJE • podwajanie puli</t>
  </si>
  <si>
    <t xml:space="preserve">Pula = 50 × 2^(n−1). Każda wygrana podwaja aktualną pulę; nie dodajemy wszystkich poprzednich pul. Wypłata trafia na wyspę. Przegrana odbiera niewypłaconą pulę serii. Maksymalna liczba poziomów nie została ustalona.</t>
  </si>
  <si>
    <t xml:space="preserve">Wygrany poziom</t>
  </si>
  <si>
    <t xml:space="preserve">Pula do wypłaty [monety]</t>
  </si>
  <si>
    <t xml:space="preserve">Przyrost względem poprzedniego</t>
  </si>
  <si>
    <t xml:space="preserve">Po przegranej kolejnego</t>
  </si>
  <si>
    <t xml:space="preserve">Cena zakupu takiej liczby monet [PLN]</t>
  </si>
  <si>
    <t xml:space="preserve">Dodatkowy czas/ruchy</t>
  </si>
  <si>
    <t xml:space="preserve">Monety lub reklama ≤30 s; cena i ilość do ustalenia.</t>
  </si>
  <si>
    <t xml:space="preserve">Przeliczenie PLN opisuje cenę zakupu monet, nie wypłatę pieniędzy. Nagroda poziomu 20 pokazuje ryzyko wykładniczego wzrostu.</t>
  </si>
  <si>
    <t xml:space="preserve">BILANS • miejsca wymagające decyzji</t>
  </si>
  <si>
    <t xml:space="preserve">Nie zmieniamy uzgodnionych wartości. Wskazujemy skutki, które mogą utrudnić grę albo generować nadmierne nagrody. Ukończenie zadania latarni wymaga zapasów i nie musi oznaczać zebrania wszystkiego od zera w jego 6 h.</t>
  </si>
  <si>
    <t xml:space="preserve">Temat</t>
  </si>
  <si>
    <t xml:space="preserve">Liczby / konsekwencje</t>
  </si>
  <si>
    <t xml:space="preserve">Status / uwaga</t>
  </si>
  <si>
    <t xml:space="preserve">Społecznościowe 1000 monet</t>
  </si>
  <si>
    <t xml:space="preserve">Przy 1 PLN = 10 monet nagroda odpowiada cenie zakupu 100 PLN. Przy 12 pracujących to 83 h 20 min podatków; nagrodę można wydać na 1000 min skrócenia budowy.</t>
  </si>
  <si>
    <t xml:space="preserve">To porównanie siły nabywczej, nie wypłata prawdziwych pieniędzy.</t>
  </si>
  <si>
    <t xml:space="preserve">Społecznościowe 500 monet</t>
  </si>
  <si>
    <t xml:space="preserve">Równowartość ceny zakupu 50 PLN; przy 12 pracujących: 41 h 40 min podatków.</t>
  </si>
  <si>
    <t xml:space="preserve">Do ustalenia częstotliwość i kumulacja.</t>
  </si>
  <si>
    <t xml:space="preserve">Transport a opłacalność</t>
  </si>
  <si>
    <t xml:space="preserve">200 Food przy ładunku 60 to 4 kursy = 40 monet; bazowa wartość zakupu to 300 monet. Przewóz 200 drewna również kosztuje 40 monet, ale zakup tylko 100.</t>
  </si>
  <si>
    <t xml:space="preserve">Cena przewozu zależy od objętości, nie wartości produktu; to spójne z cennikiem użytkownika.</t>
  </si>
  <si>
    <t xml:space="preserve">Ekspedycja poziom 10</t>
  </si>
  <si>
    <t xml:space="preserve">25 600 monet; przy 12 pracujących: 2133 h 20 min podatków.</t>
  </si>
  <si>
    <t xml:space="preserve">Jeżeli seria powtarzalna i łatwa, nagrody mogą dominować nad ekonomią wyspy.</t>
  </si>
  <si>
    <t xml:space="preserve">Minimalna szansa dalszej wygranej</t>
  </si>
  <si>
    <t xml:space="preserve">Ryzykując pulę B o podwojenie, oczekiwana pula po próbie to 2pB. Arytmetyczny próg rentowności p = 50%, przed kosztami ratunku.</t>
  </si>
  <si>
    <t xml:space="preserve">To analiza balansu; nie zakładamy losowości ani stawki prawdopodobieństwa w zręcznościowej minigrze.</t>
  </si>
  <si>
    <t xml:space="preserve">L1: małe: 6 h = 720 na rodzaj, nie 1440; 1440 to suma dwóch rodzajów. Duże: 10 h = 1200 na rodzaj &gt; 1000 pojemności typu w magazynie L1; raty umożliwiają wykonanie bez jednoczesnego zapasu całego kosztu.</t>
  </si>
  <si>
    <t xml:space="preserve">UWAGA DO BALANSU</t>
  </si>
  <si>
    <t xml:space="preserve">L2: małe: 6 h = 1728 na rodzaj &gt; 1500 pojemności typu magazynu L2; wymagane raty nie są błędem, lecz muszą być czytelne.</t>
  </si>
  <si>
    <t xml:space="preserve">Zadanie z normą 8–10 h może być niewykonalne od zera w 6 h. Jedna wspólna populacja, wejścia 2:1 i żywienie dodatkowo wydłużają realne zbieranie.</t>
  </si>
  <si>
    <t xml:space="preserve">Losowe nagrody stałych zakresów nie muszą pokrywać wartości wpłat. To świadomy element balansu do oceny, nie błąd wzoru.</t>
  </si>
  <si>
    <t xml:space="preserve">Duże zadanie L1 od zera</t>
  </si>
  <si>
    <t xml:space="preserve">Minimum: 4 rodzaje × 4 h × 12 osób × 10/h = 1920 produktów. Przy 12 osobach to co najmniej 16 h sumarycznej pracy producentów, przed jedzeniem, zużyciem wejściowym 2:1 i transportem. Termin zadania wynosi 6 h.</t>
  </si>
  <si>
    <t xml:space="preserve">Zadanie jest celem na wcześniejsze zapasy lub wymaga oceny kosztów.</t>
  </si>
  <si>
    <t xml:space="preserve">Nagroda towarowa ×3</t>
  </si>
  <si>
    <t xml:space="preserve">Bazowe 1000 ×3 = 3000 sztuk jednego towaru; magazyn poziomu 1 mieści 1000 każdego rodzaju i 4000 łącznie.</t>
  </si>
  <si>
    <t xml:space="preserve">Potrzebna reguła odbioru nadmiaru; nie kasujemy nagrody bez decyzji.</t>
  </si>
  <si>
    <t xml:space="preserve">Niezależne odnowienia a trudność</t>
  </si>
  <si>
    <t xml:space="preserve">Nowe małe może stać się droższe od istniejącego średniego; niezależne losowania bez ograniczeń nie zachowają małe ≤ średnie ≤ duże.</t>
  </si>
  <si>
    <t xml:space="preserve">Generator musi porównywać sąsiadów; dokładna miara trudności do ustalenia.</t>
  </si>
  <si>
    <t xml:space="preserve">Niepełna minuta</t>
  </si>
  <si>
    <t xml:space="preserve">Przy 1,5 min pozostałej budowy skrócenie o 50% oszczędza 45 s i kosztuje 0 przy dosłownej opłacie za pełne minuty.</t>
  </si>
  <si>
    <t xml:space="preserve">Potrzebna decyzja o minimum ceny lub minimalnym skróceniu.</t>
  </si>
  <si>
    <t xml:space="preserve">Serie publikacji</t>
  </si>
  <si>
    <t xml:space="preserve">Bez limitu powtarzania i definicji kwalifikowanego posta kwoty za każdy 3. post tworzą nieograniczony przychód.</t>
  </si>
  <si>
    <t xml:space="preserve">Zasady nagradzania oraz weryfikacja platform pozostają otwarte.</t>
  </si>
  <si>
    <t xml:space="preserve">PRODUKCJA I ŁADUNEK • korzyść własnego poziomu</t>
  </si>
  <si>
    <t xml:space="preserve">Użytkownik potwierdził dokładnie 10, 12, 13, 14… zamiast ogólnego +10%. Poziom producenta wpływa na wydajność i limit 12 × L; Ratusz jest warunkiem rozbudowy. Ładunek dotyczy własnego poziomu budynku transportowego; głód obniża efektywną wydajność transportu o połowę.</t>
  </si>
  <si>
    <t xml:space="preserve">Poziom budynku</t>
  </si>
  <si>
    <t xml:space="preserve">Wydajność/os./h</t>
  </si>
  <si>
    <t xml:space="preserve">Wydajność głodnego/os./h</t>
  </si>
  <si>
    <t xml:space="preserve">Limit załogi</t>
  </si>
  <si>
    <t xml:space="preserve">Ładunek magazyn/targ/port</t>
  </si>
  <si>
    <t xml:space="preserve">Każda osoba osobno; całe sztuki i własna faza pracy. Młyn/tartak nadal 2:1. Bufor lokalny nadal 200×Ratusz.</t>
  </si>
  <si>
    <t xml:space="preserve">NOWE CZASY • liczymy kursy, nie sztuki na godzinę</t>
  </si>
  <si>
    <t xml:space="preserve">74 warianty transportu i budowy. W V5 podwojono koszt młyna, drwali, tartaku i kamieniołomu zgodnie z wpisem2L; farma pozostaje bez zmian. Kolejka +10% od nowego kosztu. Pełny kurs5min;6 dostępnych, nakarmionych tragarzy; bez zbierania i oczekiwania.</t>
  </si>
  <si>
    <t xml:space="preserve">Budynek</t>
  </si>
  <si>
    <t xml:space="preserve">Etap</t>
  </si>
  <si>
    <t xml:space="preserve">Tryb kosztu</t>
  </si>
  <si>
    <t xml:space="preserve">Obecny L</t>
  </si>
  <si>
    <t xml:space="preserve">Nowy N</t>
  </si>
  <si>
    <t xml:space="preserve">Poziom magazynu</t>
  </si>
  <si>
    <t xml:space="preserve">Dostępni tragarze</t>
  </si>
  <si>
    <t xml:space="preserve">Ładunek/os./kurs</t>
  </si>
  <si>
    <t xml:space="preserve">Kursy drewno</t>
  </si>
  <si>
    <t xml:space="preserve">Kursy kamień</t>
  </si>
  <si>
    <t xml:space="preserve">Kursy zboże</t>
  </si>
  <si>
    <t xml:space="preserve">Kursy Food</t>
  </si>
  <si>
    <t xml:space="preserve">Kursy deski</t>
  </si>
  <si>
    <t xml:space="preserve">Fale</t>
  </si>
  <si>
    <t xml:space="preserve">Transport T [min]</t>
  </si>
  <si>
    <t xml:space="preserve">Łącznie ×T</t>
  </si>
  <si>
    <t xml:space="preserve">Sama budowa [min]</t>
  </si>
  <si>
    <t xml:space="preserve">Razem [min]</t>
  </si>
  <si>
    <t xml:space="preserve">Materiały razem</t>
  </si>
  <si>
    <t xml:space="preserve">Założenia</t>
  </si>
  <si>
    <t xml:space="preserve">1→2</t>
  </si>
  <si>
    <t xml:space="preserve">Bez kolejki</t>
  </si>
  <si>
    <t xml:space="preserve">Tylko ta budowa; 6 dostępnych po uwzględnieniu priorytetów; poziom magazynu=scenariusz L. Jeśli priorytety blokują dostawy, rzeczywiste ETA rośnie.</t>
  </si>
  <si>
    <t xml:space="preserve">Kolejka +10%</t>
  </si>
  <si>
    <t xml:space="preserve">2→3</t>
  </si>
  <si>
    <t xml:space="preserve">3→4</t>
  </si>
  <si>
    <t xml:space="preserve">0→1</t>
  </si>
  <si>
    <t xml:space="preserve">LOGISTYKA • ujednolicone nowe zasady</t>
  </si>
  <si>
    <t xml:space="preserve">Źródło: Twoje wpisy w K13/K14/K15 oraz odpowiedzi. Nie wdrażamy niczego w grze. Czas offline i paczki transportowe zastępują dawny model godzinowy i zatrzymywanie po wylogowaniu.</t>
  </si>
  <si>
    <t xml:space="preserve">Uwaga</t>
  </si>
  <si>
    <t xml:space="preserve">Kurs</t>
  </si>
  <si>
    <t xml:space="preserve">Pełny kurs z powrotem 5 min. Każdy tragarz niesie tylko 1 rodzaj. Ładunek bazowo 60, rośnie z poziomem własnego magazynu/targu/portu.</t>
  </si>
  <si>
    <t xml:space="preserve">Nie wolno liczyć ceil(sumy materiałów/C); liczymy SUMĘ ceil(każdy rodzaj/C).</t>
  </si>
  <si>
    <t xml:space="preserve">Niepełny ładunek</t>
  </si>
  <si>
    <t xml:space="preserve">Towar pobiera od razu; nie czeka, aż uzbiera pełny ładunek C. 100 szt. przy C=60 wymaga 2 kursów: 60+40.</t>
  </si>
  <si>
    <t xml:space="preserve">Gotowe zasoby w estymacie; przy rzeczywistej produkcji częściowe kursy mogą zwiększyć ich liczbę.</t>
  </si>
  <si>
    <t xml:space="preserve">Droga przetwórstwa</t>
  </si>
  <si>
    <t xml:space="preserve">Zboże i drewno zawsze przez magazyn centralny przed zużyciem przez młyn/tartak.</t>
  </si>
  <si>
    <t xml:space="preserve">Nie ma darmowego bezpośredniego bufora farma→młyn lub drwale→tartak.</t>
  </si>
  <si>
    <t xml:space="preserve">Rezerwa żywności</t>
  </si>
  <si>
    <t xml:space="preserve">50 × poziom magazynu na potrzeby ludzi. Wysyłka/rezerwacja nieżywieniowa chroni to minimum; ludzie mogą je zjadać.</t>
  </si>
  <si>
    <t xml:space="preserve">Sam bufor nie gwarantuje braku głodu; estymaty zakładają nakarmioną obsadę.</t>
  </si>
  <si>
    <t xml:space="preserve">NOWE</t>
  </si>
  <si>
    <t xml:space="preserve">Ratunkowy tragarz Food</t>
  </si>
  <si>
    <t xml:space="preserve">Jeden dostępny magazynier ma nosić Food, gdy jest gotowy w młynie, a centrala ma mniej niż 50 × poziom magazynu.</t>
  </si>
  <si>
    <t xml:space="preserve">W tym stanie gracz nie może ręcznie wycofać całej obsady transportu. Nie tworzymy nowej osoby przy obsadzie 0. Wyjątki demograficzne nie są opisane.</t>
  </si>
  <si>
    <t xml:space="preserve">Domyślne priorytety</t>
  </si>
  <si>
    <t xml:space="preserve">Najpierw zaopatrzenie centralnego magazynu, potem dostawy na budowy.</t>
  </si>
  <si>
    <t xml:space="preserve">Gracz może zmienić kolejność i nadać priorytet konkretnemu gospodarstwu lub budowie.</t>
  </si>
  <si>
    <t xml:space="preserve">ETA budowy</t>
  </si>
  <si>
    <t xml:space="preserve">Pokazuje wymagane/dostarczone materiały, np. 60/100, oraz estymatę transportu i budowy przy aktualnych priorytetach.</t>
  </si>
  <si>
    <t xml:space="preserve">ETA = pozostały transport + budowa; po zmianie priorytetów przeliczamy je ponownie. 6 tragarzy w kalkulatorze oznacza 6 faktycznie dostępnych dla tej budowy.</t>
  </si>
  <si>
    <t xml:space="preserve">Tylko własna załoga nosi w obie strony: centrala → targ i targ → centrala.</t>
  </si>
  <si>
    <t xml:space="preserve">Każda dostawa zablokowana 1 h; zapas wygasa 24 h po przyniesieniu, wynik wymiany ma nowe 24 h.</t>
  </si>
  <si>
    <t xml:space="preserve">NOWE / UJEDNOLICONE</t>
  </si>
  <si>
    <t xml:space="preserve">Port-sprzedaż</t>
  </si>
  <si>
    <t xml:space="preserve">Centrala → port: pierwszy cykl; port → statek: drugi taki sam. Własna załoga, według zasad magazynu.</t>
  </si>
  <si>
    <t xml:space="preserve">Pojemność statku=pojemność portu. Przy wypłynięciu notyfikacja i zapłata do skarbca.</t>
  </si>
  <si>
    <t xml:space="preserve">Port-zakup</t>
  </si>
  <si>
    <t xml:space="preserve">Rejs zawsze 5 min. Monety schodzą z konta w momencie transakcji, potem towar wymaga rozładunku i przewozu do centrali.</t>
  </si>
  <si>
    <t xml:space="preserve">Przyjęcie zatwierdzenia zakupu za moment transakcji jest interpretacją; źródło nie precyzuje tego zdarzenia. Towar portowy nie jest jeszcze dostępny do jedzenia ani budowy.</t>
  </si>
  <si>
    <t xml:space="preserve">REJS I TRANSAKCJA POTWIERDZONE V5</t>
  </si>
  <si>
    <t xml:space="preserve">Port-wygaśnięcie</t>
  </si>
  <si>
    <t xml:space="preserve">Towar nieodebrany po 24 h przepada. To zastępuje poprzednie 10 monet za składowanie.</t>
  </si>
  <si>
    <t xml:space="preserve">Śledzić czas oddzielnych partii; terminy zegarowe działają offline.</t>
  </si>
  <si>
    <t xml:space="preserve">Zatrzymanie produkcji</t>
  </si>
  <si>
    <t xml:space="preserve">Przestój z braku wejścia lub miejsca: produkcja stoi, podatek płynie, jedna kara przestoju −10…−50.</t>
  </si>
  <si>
    <t xml:space="preserve">Nie dokładamy kary bezrobocia za tę samą blokadę. Reset licznika podczas powrotu do domu. Bonus+1 za pracę podczas postoju i zakres limitu osobistego pozostają do doprecyzowania.</t>
  </si>
  <si>
    <t xml:space="preserve">Wizyty</t>
  </si>
  <si>
    <t xml:space="preserve">Z panelu domu widać wszystkich ludzi i ich przydziały; można ich wysyłać do kaplicy na błogosławieństwo oraz do latarni na zwiedzanie.</t>
  </si>
  <si>
    <t xml:space="preserve">Latarnia: pobyt 4 h, do 2 × poziom latarni osób z domu; brak podatku, normalne jedzenie; osobiste 100% przez 24 h i premia populacji +10 przez 6 h (jednostki i kumulację opisano jako model). Kaplica: płatne błogosławieństwo 100 × poziom kaplicy, maksymalnie 1 użycie na 4 h.</t>
  </si>
  <si>
    <t xml:space="preserve">ZASADY WIZYT I CENA UZUPEŁNIONE V5</t>
  </si>
  <si>
    <t xml:space="preserve">Wszystkie mechaniki działają według czasu zegarowego również po zamknięciu karty.</t>
  </si>
  <si>
    <t xml:space="preserve">Produkcja, transport, jedzenie, podatki, szczęście, populacja, budowa, port/targ i premie. Nie używamy już zasady ukryta karta=stop.</t>
  </si>
  <si>
    <t xml:space="preserve">POTWIERDZONE W ROZMOWIE</t>
  </si>
  <si>
    <t xml:space="preserve">PARAMETRY V2 • aktualne liczby i jednostki</t>
  </si>
  <si>
    <t xml:space="preserve">Niebieskie wartości edytowalne. Wszystkie zegary gospodarki działają również offline. +10% ładunku roboczo składane i zaokrąglone w dół do całych sztuk; koszt kolejki osobno w górę. Estymaty tylko transport+budowa.</t>
  </si>
  <si>
    <t xml:space="preserve">ID</t>
  </si>
  <si>
    <t xml:space="preserve">Parametr</t>
  </si>
  <si>
    <t xml:space="preserve">Wartość</t>
  </si>
  <si>
    <t xml:space="preserve">Jednostka</t>
  </si>
  <si>
    <t xml:space="preserve">people_start</t>
  </si>
  <si>
    <t xml:space="preserve">Ludzie na starcie</t>
  </si>
  <si>
    <t xml:space="preserve">osób</t>
  </si>
  <si>
    <t xml:space="preserve">AKTUALNE</t>
  </si>
  <si>
    <t xml:space="preserve">W domu, wolni; wszystkie 6 zasobów po 100.</t>
  </si>
  <si>
    <t xml:space="preserve">town_cap</t>
  </si>
  <si>
    <t xml:space="preserve">Populacja / poziom ratusza</t>
  </si>
  <si>
    <t xml:space="preserve">Dom osobno daje 24 miejsc/poziom.</t>
  </si>
  <si>
    <t xml:space="preserve">job_cap</t>
  </si>
  <si>
    <t xml:space="preserve">Limit pracy / poziom własnego budynku</t>
  </si>
  <si>
    <t xml:space="preserve">POTWIERDZONE W V1</t>
  </si>
  <si>
    <t xml:space="preserve">Limit 12×poziom miejsca pracy, z jednej puli faktycznie wolnych ludzi.</t>
  </si>
  <si>
    <t xml:space="preserve">capacity</t>
  </si>
  <si>
    <t xml:space="preserve">Ładunek tragarza na poziomie 1</t>
  </si>
  <si>
    <t xml:space="preserve">szt./kurs</t>
  </si>
  <si>
    <t xml:space="preserve">Jeden rodzaj towaru; nie 60 szt./h.</t>
  </si>
  <si>
    <t xml:space="preserve">capacity_growth</t>
  </si>
  <si>
    <t xml:space="preserve">Mnożnik ładunku na kolejny poziom</t>
  </si>
  <si>
    <t xml:space="preserve">mnożnik</t>
  </si>
  <si>
    <t xml:space="preserve">WZROST POTWIERDZONY</t>
  </si>
  <si>
    <t xml:space="preserve">Roboczo wzrost składany, pojemność całkowita FLOOR; 60,66,72…</t>
  </si>
  <si>
    <t xml:space="preserve">trip</t>
  </si>
  <si>
    <t xml:space="preserve">Pełny kurs, z powrotem</t>
  </si>
  <si>
    <t xml:space="preserve">min</t>
  </si>
  <si>
    <t xml:space="preserve">Wszystkie odległości; częściowy ładunek dopuszczalny, bez czekania na pełny.</t>
  </si>
  <si>
    <t xml:space="preserve">crew</t>
  </si>
  <si>
    <t xml:space="preserve">Dostępni dla danej budowy tragarze</t>
  </si>
  <si>
    <t xml:space="preserve">ZAŁOŻENIE ESTYMATY</t>
  </si>
  <si>
    <t xml:space="preserve">Po odjęciu pilniejszych zadań i ratunkowych dostaw Food; edytowalne.</t>
  </si>
  <si>
    <t xml:space="preserve">reserve</t>
  </si>
  <si>
    <t xml:space="preserve">Rezerwa Food / poziom magazynu</t>
  </si>
  <si>
    <t xml:space="preserve">Food/poziom</t>
  </si>
  <si>
    <t xml:space="preserve">NOWE POTWIERDZONE</t>
  </si>
  <si>
    <t xml:space="preserve">Rezerwa 50 × poziom magazynu. Ludzie mogą ją zjadać.</t>
  </si>
  <si>
    <t xml:space="preserve">travel</t>
  </si>
  <si>
    <t xml:space="preserve">Droga człowieka do pracy / do domu</t>
  </si>
  <si>
    <t xml:space="preserve">min/odcinek</t>
  </si>
  <si>
    <t xml:space="preserve">5 min do pracy i 5 min do domu. Praca i podatek zaczynają się dopiero po dotarciu do zakładu.</t>
  </si>
  <si>
    <t xml:space="preserve">queue</t>
  </si>
  <si>
    <t xml:space="preserve">Dopłata do zlecenia w kolejce</t>
  </si>
  <si>
    <t xml:space="preserve">mnożnik kosztu</t>
  </si>
  <si>
    <t xml:space="preserve">Obejmuje całą cenę; każdy składnik zaokrąglony w górę — interpretacja dla całych zasobów.</t>
  </si>
  <si>
    <t xml:space="preserve">norm</t>
  </si>
  <si>
    <t xml:space="preserve">Norma kosztu producenta</t>
  </si>
  <si>
    <t xml:space="preserve">szt./dobę×L</t>
  </si>
  <si>
    <t xml:space="preserve">Norma 240 × L; koszt 30% drewna + 30% kamienia + 50% produktu. Młyn, drwale, tartak i kamieniołom: cały koszt ×2 według V4. Farma bez mnożnika. To norma kosztowa, nie rzeczywista produkcja.</t>
  </si>
  <si>
    <t xml:space="preserve">wood_share</t>
  </si>
  <si>
    <t xml:space="preserve">Drewno: udział normy</t>
  </si>
  <si>
    <t xml:space="preserve">udział</t>
  </si>
  <si>
    <t xml:space="preserve">Sumuje się z własnym produktem drwali.</t>
  </si>
  <si>
    <t xml:space="preserve">stone_share</t>
  </si>
  <si>
    <t xml:space="preserve">Kamień: udział normy</t>
  </si>
  <si>
    <t xml:space="preserve">Sumuje się z własnym produktem kamieniołomu.</t>
  </si>
  <si>
    <t xml:space="preserve">own_share</t>
  </si>
  <si>
    <t xml:space="preserve">Własny produkt: udział normy</t>
  </si>
  <si>
    <t xml:space="preserve">Farm zboże, młyn Food, drwale wood, tartak planks, quarry stone.</t>
  </si>
  <si>
    <t xml:space="preserve">town_cost</t>
  </si>
  <si>
    <t xml:space="preserve">Ratusz/Dom — każdy zasób</t>
  </si>
  <si>
    <t xml:space="preserve">szt.×L</t>
  </si>
  <si>
    <t xml:space="preserve">W tym monety; monety bez transportu.</t>
  </si>
  <si>
    <t xml:space="preserve">store_cost</t>
  </si>
  <si>
    <t xml:space="preserve">Magazyn/Targ — każdy zasób</t>
  </si>
  <si>
    <t xml:space="preserve">NOWE W V1</t>
  </si>
  <si>
    <t xml:space="preserve">Zastępuje500.</t>
  </si>
  <si>
    <t xml:space="preserve">port_cost</t>
  </si>
  <si>
    <t xml:space="preserve">Przystań — każdy zasób</t>
  </si>
  <si>
    <t xml:space="preserve">light_cost</t>
  </si>
  <si>
    <t xml:space="preserve">Latarnia — każdy zasób</t>
  </si>
  <si>
    <t xml:space="preserve">szt.×max(1,L)</t>
  </si>
  <si>
    <t xml:space="preserve">Pierwsza budowa 0→1 również 500 każdego.</t>
  </si>
  <si>
    <t xml:space="preserve">per</t>
  </si>
  <si>
    <t xml:space="preserve">Pojemność magazynu/portu poziom 1: na materiał</t>
  </si>
  <si>
    <t xml:space="preserve">szt.</t>
  </si>
  <si>
    <t xml:space="preserve">Monety osobno.</t>
  </si>
  <si>
    <t xml:space="preserve">total</t>
  </si>
  <si>
    <t xml:space="preserve">Pojemność magazynu/portu poziom 1: łącznie</t>
  </si>
  <si>
    <t xml:space="preserve">5 rodzajów materiałów.</t>
  </si>
  <si>
    <t xml:space="preserve">store_growth</t>
  </si>
  <si>
    <t xml:space="preserve">Wzrost pojemności magazynu/targu/portu</t>
  </si>
  <si>
    <t xml:space="preserve">mnożnik/poziom</t>
  </si>
  <si>
    <t xml:space="preserve">Magazyn/port oba limity; targ łączny 1000 na 1.</t>
  </si>
  <si>
    <t xml:space="preserve">tax</t>
  </si>
  <si>
    <t xml:space="preserve">Podatek pracującego</t>
  </si>
  <si>
    <t xml:space="preserve">moneta/os./h</t>
  </si>
  <si>
    <t xml:space="preserve">1 moneta/os./h od dotarcia do zakładu, również podczas przestoju przypisanego pracownika. Kaplica czasowo ×2. Bez podatku w drodze, bezrobociu i podczas zwiedzania.</t>
  </si>
  <si>
    <t xml:space="preserve">food</t>
  </si>
  <si>
    <t xml:space="preserve">Spożycie osoby</t>
  </si>
  <si>
    <t xml:space="preserve">Food/os./h</t>
  </si>
  <si>
    <t xml:space="preserve">Automatycznie z centrali, także offline.</t>
  </si>
  <si>
    <t xml:space="preserve">grace</t>
  </si>
  <si>
    <t xml:space="preserve">Okres bez kary głodu/bezrobocia</t>
  </si>
  <si>
    <t xml:space="preserve">h zegarowych</t>
  </si>
  <si>
    <t xml:space="preserve">Oddzielne liczniki.</t>
  </si>
  <si>
    <t xml:space="preserve">lack</t>
  </si>
  <si>
    <t xml:space="preserve">Kara po progu danego braku</t>
  </si>
  <si>
    <t xml:space="preserve">pp/os./h</t>
  </si>
  <si>
    <t xml:space="preserve">Każdy brak osobno−5.</t>
  </si>
  <si>
    <t xml:space="preserve">raw_sell</t>
  </si>
  <si>
    <t xml:space="preserve">Port — sprzedaż 100 podstawowych</t>
  </si>
  <si>
    <t xml:space="preserve">monet</t>
  </si>
  <si>
    <t xml:space="preserve">Drewno, kamień, zboże.</t>
  </si>
  <si>
    <t xml:space="preserve">raw_buy</t>
  </si>
  <si>
    <t xml:space="preserve">Port — zakup 100 podstawowych</t>
  </si>
  <si>
    <t xml:space="preserve">Przed liniową podwyżką.</t>
  </si>
  <si>
    <t xml:space="preserve">proc_sell</t>
  </si>
  <si>
    <t xml:space="preserve">Port — sprzedaż 100 przetworzonych</t>
  </si>
  <si>
    <t xml:space="preserve">OSTATNIA KOREKTA UŻYTKOWNIKA</t>
  </si>
  <si>
    <t xml:space="preserve">Deski, Food. NIE targ; zastępuje 70.</t>
  </si>
  <si>
    <t xml:space="preserve">proc_buy</t>
  </si>
  <si>
    <t xml:space="preserve">Port — zakup 100 przetworzonych</t>
  </si>
  <si>
    <t xml:space="preserve">Zastępuje 80; przed liniową podwyżką.</t>
  </si>
  <si>
    <t xml:space="preserve">price_extra</t>
  </si>
  <si>
    <t xml:space="preserve">Podwyżka kolejnej paczki zakupu</t>
  </si>
  <si>
    <t xml:space="preserve">udział ceny bazowej</t>
  </si>
  <si>
    <t xml:space="preserve">POTWIERDZONE LINIOWO</t>
  </si>
  <si>
    <t xml:space="preserve">W ruchomych 3 h; zakres licznika per towar/globalnie jeszcze do określenia.</t>
  </si>
  <si>
    <t xml:space="preserve">price_window</t>
  </si>
  <si>
    <t xml:space="preserve">Port — okno zakupów</t>
  </si>
  <si>
    <t xml:space="preserve">Nie czas aktywnej karty.</t>
  </si>
  <si>
    <t xml:space="preserve">expire</t>
  </si>
  <si>
    <t xml:space="preserve">Towar na targu/w porcie wygasa</t>
  </si>
  <si>
    <t xml:space="preserve">Zastępuje portową opłatę 10 monet. Nowy wynik wymiany ma nowe 24 h.</t>
  </si>
  <si>
    <t xml:space="preserve">market_fee</t>
  </si>
  <si>
    <t xml:space="preserve">Marża targu</t>
  </si>
  <si>
    <t xml:space="preserve">Wymiana w dwóch grupach; bez monet.</t>
  </si>
  <si>
    <t xml:space="preserve">market_lock</t>
  </si>
  <si>
    <t xml:space="preserve">Blokada dostawy targowej</t>
  </si>
  <si>
    <t xml:space="preserve">WCZEŚNIEJ UZGODNIONE</t>
  </si>
  <si>
    <t xml:space="preserve">Nowy plik nie usuwa blokady; wygasanie 24 h jest osobne.</t>
  </si>
  <si>
    <t xml:space="preserve">min_people</t>
  </si>
  <si>
    <t xml:space="preserve">Minimalna populacja</t>
  </si>
  <si>
    <t xml:space="preserve">Ubytek=odejście, nie śmierć.</t>
  </si>
  <si>
    <t xml:space="preserve">pln_coins</t>
  </si>
  <si>
    <t xml:space="preserve">Monety za 1 PLN</t>
  </si>
  <si>
    <t xml:space="preserve">monet/PLN</t>
  </si>
  <si>
    <t xml:space="preserve">Cena zakupu waluty; nie kurs wypłaty na PLN.</t>
  </si>
  <si>
    <t xml:space="preserve">speed_coin</t>
  </si>
  <si>
    <t xml:space="preserve">Przyspieszenie: pełna minuta</t>
  </si>
  <si>
    <t xml:space="preserve">moneta/min</t>
  </si>
  <si>
    <t xml:space="preserve">Opcje 25%, 50%, 75%; pozostała faza i FLOOR są modelem kalkulatora.</t>
  </si>
  <si>
    <t xml:space="preserve">haul_coin</t>
  </si>
  <si>
    <t xml:space="preserve">Premium: kurs tragarza</t>
  </si>
  <si>
    <t xml:space="preserve">monet/kurs</t>
  </si>
  <si>
    <t xml:space="preserve">Potwierdzone: 10 monet za każdy potrzebny kurs, również ostatni niepełny; 100 przy ładunku 60 kosztuje 20 monet.</t>
  </si>
  <si>
    <t xml:space="preserve">building_markup</t>
  </si>
  <si>
    <t xml:space="preserve">Mnożnik portowej ceny materiałów</t>
  </si>
  <si>
    <t xml:space="preserve">Potwierdzone: proporcjonalne bazowe ceny zakupu portowego; +25% wyłącznie materiałów. Koszt monet budynku doliczany osobno. Bez paczek po 100 w tej wycenie.</t>
  </si>
  <si>
    <t xml:space="preserve">quest_hours</t>
  </si>
  <si>
    <t xml:space="preserve">Termin zadania latarni</t>
  </si>
  <si>
    <t xml:space="preserve">Każdy licznik niezależny.</t>
  </si>
  <si>
    <t xml:space="preserve">quest_fast_s</t>
  </si>
  <si>
    <t xml:space="preserve">Szybka reakcja ×3</t>
  </si>
  <si>
    <t xml:space="preserve">sekund</t>
  </si>
  <si>
    <t xml:space="preserve">Pierwsze kliknięcie konkretnego zadania utrwala ×3 przed upływem 15 s; nagroda po pełnej wpłacie przed końcem 6 h. Potwierdzone.</t>
  </si>
  <si>
    <t xml:space="preserve">quest_fast_m</t>
  </si>
  <si>
    <t xml:space="preserve">Szybka reakcja ×2</t>
  </si>
  <si>
    <t xml:space="preserve">minut</t>
  </si>
  <si>
    <t xml:space="preserve">Od 15 s do przed upływem 5 min pierwsze kliknięcie utrwala ×2; od 5 min ×1. Mnożniki nie sumują się. Potwierdzone.</t>
  </si>
  <si>
    <t xml:space="preserve">exp_base</t>
  </si>
  <si>
    <t xml:space="preserve">Ekspedycja: poziom 1</t>
  </si>
  <si>
    <t xml:space="preserve">Nieodebrana pula, możliwa wypłata na wyspę.</t>
  </si>
  <si>
    <t xml:space="preserve">exp_growth</t>
  </si>
  <si>
    <t xml:space="preserve">Kolejna wygrana: pula ×</t>
  </si>
  <si>
    <t xml:space="preserve">50,100,200,400…</t>
  </si>
  <si>
    <t xml:space="preserve">exp_ad_max</t>
  </si>
  <si>
    <t xml:space="preserve">Reklama ekspedycyjna: maksimum</t>
  </si>
  <si>
    <t xml:space="preserve">Dotyczy nowo opisanej ekspedycji. Dawne reklamy kaplicy są odłożone.</t>
  </si>
  <si>
    <t xml:space="preserve">ad_code</t>
  </si>
  <si>
    <t xml:space="preserve">Czas pokazania przekazu</t>
  </si>
  <si>
    <t xml:space="preserve">sekunda</t>
  </si>
  <si>
    <t xml:space="preserve">Sposób wpisania i jego wpływ na nagrodę do opisania później.</t>
  </si>
  <si>
    <t xml:space="preserve">DECYZJE V2 • co ustalone, co nadal otwarte</t>
  </si>
  <si>
    <t xml:space="preserve">Wszystkie odpowiedzi uwzględniono. Zamknięte pytania nie wracają jako alarmy. Niejednoznaczne szczegóły zostały jawnie oznaczone, bez wybierania za gracza. Dane z pliku 1 są archiwizowane.</t>
  </si>
  <si>
    <t xml:space="preserve">Wynik / zasada</t>
  </si>
  <si>
    <t xml:space="preserve">Uwagi / pytanie</t>
  </si>
  <si>
    <t xml:space="preserve">Q01</t>
  </si>
  <si>
    <t xml:space="preserve">ROZSTRZYGNIĘTE</t>
  </si>
  <si>
    <t xml:space="preserve">Wydajność</t>
  </si>
  <si>
    <t xml:space="preserve">Dokładnie 10, 12, 13, 14…</t>
  </si>
  <si>
    <t xml:space="preserve">Potwierdzenie w rozmowie; nie +10% produkcji.</t>
  </si>
  <si>
    <t xml:space="preserve">Q02</t>
  </si>
  <si>
    <t xml:space="preserve">5T=T+4T</t>
  </si>
  <si>
    <t xml:space="preserve">Potwierdzenie w rozmowie.</t>
  </si>
  <si>
    <t xml:space="preserve">Q03</t>
  </si>
  <si>
    <t xml:space="preserve">T + 3T × (N−1), N = nowy poziom: 4T, 7T, 10T</t>
  </si>
  <si>
    <t xml:space="preserve">Q04</t>
  </si>
  <si>
    <t xml:space="preserve">5 min — pełny kurs z powrotem</t>
  </si>
  <si>
    <t xml:space="preserve">Nie ma dodatkowego powrotu; 5 min jest całym cyklem.</t>
  </si>
  <si>
    <t xml:space="preserve">Q05</t>
  </si>
  <si>
    <t xml:space="preserve">140/150 w PORCIE; TARG bez monet</t>
  </si>
  <si>
    <t xml:space="preserve">Ostatnia korekta zastępuje pierwszą odpowiedź.</t>
  </si>
  <si>
    <t xml:space="preserve">Q06</t>
  </si>
  <si>
    <t xml:space="preserve">Cała gospodarka działa zegarowo również offline</t>
  </si>
  <si>
    <t xml:space="preserve">Także jedzenie, podatki, szczęście i demografia.</t>
  </si>
  <si>
    <t xml:space="preserve">Q07</t>
  </si>
  <si>
    <t xml:space="preserve">CZĘŚCIOWO ROZSTRZYGNIĘTE V5</t>
  </si>
  <si>
    <t xml:space="preserve">Zablokowany producent</t>
  </si>
  <si>
    <t xml:space="preserve">Podatek podczas postoju jest pobierany; jedna kara przestoju −10…−50; reset w drodze do domu.</t>
  </si>
  <si>
    <t xml:space="preserve">Nadal do opisania:bonus+1 pracy podczas postoju i zakres osobistego limitu −50 wobec innych modyfikatorów.</t>
  </si>
  <si>
    <t xml:space="preserve">Q08</t>
  </si>
  <si>
    <t xml:space="preserve">Ratunkowy transport Food</t>
  </si>
  <si>
    <t xml:space="preserve">Próg ratunkowego Food oraz rezerwa=50×poziom magazynu.</t>
  </si>
  <si>
    <t xml:space="preserve">Nie wolno ręcznie zabrać całej obsady, gdy centrala poniżej minimum, a Food czeka w młynie.</t>
  </si>
  <si>
    <t xml:space="preserve">Q09</t>
  </si>
  <si>
    <t xml:space="preserve">Odejścia</t>
  </si>
  <si>
    <t xml:space="preserve">Dom→największa załoga; remis:port,kamieniołom,tartak,drwale,farma,młyn,magazyn.</t>
  </si>
  <si>
    <t xml:space="preserve">Targ oraz ludzie w drodze/zwiedzający nadal poza określoną listą.</t>
  </si>
  <si>
    <t xml:space="preserve">Q10</t>
  </si>
  <si>
    <t xml:space="preserve">Licznik zakupów w oknie 3 h</t>
  </si>
  <si>
    <t xml:space="preserve">Wzrost liniowy potwierdzony</t>
  </si>
  <si>
    <t xml:space="preserve">Osobno na produkt czy globalnie? Czy zamówienie zamraża cenę zakupu, czy cena jest liczona przy przypłynięciu?</t>
  </si>
  <si>
    <t xml:space="preserve">Q11</t>
  </si>
  <si>
    <t xml:space="preserve">WYMAGANIE UI ROZSTRZYGNIĘTE V5</t>
  </si>
  <si>
    <t xml:space="preserve">Przyspieszenia</t>
  </si>
  <si>
    <t xml:space="preserve">Usunąć ikony stop/play/przewijania. Premium posiada osobny cennik.</t>
  </si>
  <si>
    <t xml:space="preserve">Kod bez zmian. Podstawa czasu skracanego przez Premium pozostaje osobnym pytaniem V3-E02.</t>
  </si>
  <si>
    <t xml:space="preserve">Q12</t>
  </si>
  <si>
    <t xml:space="preserve">Zaokrąglenia</t>
  </si>
  <si>
    <t xml:space="preserve">Ładunek: zaokrąglenie w dół; kolejka: ROUNDUP każdego materiału</t>
  </si>
  <si>
    <t xml:space="preserve">Zasoby są całkowite. Składany wzrost ładunku ×1.1/poziom jest interpretacją zapisu +10%.</t>
  </si>
  <si>
    <t xml:space="preserve">Q13</t>
  </si>
  <si>
    <t xml:space="preserve">WYJAŚNIENIE „NIEROZUMIEM”</t>
  </si>
  <si>
    <t xml:space="preserve">D09 starego arkusza</t>
  </si>
  <si>
    <t xml:space="preserve">Chodziło o to, czy odstęp między użyciami błogosławieństwa liczyć od startu czy od końca efektu trwającego 1 h.</t>
  </si>
  <si>
    <t xml:space="preserve">ODŁOŻONE; nie rozstrzygamy teraz harmonogramu.</t>
  </si>
  <si>
    <t xml:space="preserve">Q14</t>
  </si>
  <si>
    <t xml:space="preserve">D16 starego arkusza</t>
  </si>
  <si>
    <t xml:space="preserve">Cennik kaplicy był zachowanym tymczasowym cennikiem: N × (180 monet +20 drewna +60 kamienia +10 desek).</t>
  </si>
  <si>
    <t xml:space="preserve">Nie ustaliliśmy nowej ceny. W arkuszu pozostawiono go jako jawnie tymczasowy.</t>
  </si>
  <si>
    <t xml:space="preserve">V3-E01</t>
  </si>
  <si>
    <t xml:space="preserve">DO USTALENIA — WYSOKI</t>
  </si>
  <si>
    <t xml:space="preserve">Jedna waluta czy osobna Premium</t>
  </si>
  <si>
    <t xml:space="preserve">Czy złoto z wypraw, podatków i portu można bezpośrednio wydawać na Premium tak samo jak kupione monety?</t>
  </si>
  <si>
    <t xml:space="preserve">Przelicznik PLN jest ceną zakupu; nie oznacza prawa do wypłaty na PLN.</t>
  </si>
  <si>
    <t xml:space="preserve">V3-E02</t>
  </si>
  <si>
    <t xml:space="preserve">Skracany odcinek czasu</t>
  </si>
  <si>
    <t xml:space="preserve">Czy 25/50/75% liczymy od pozostałej fazy budowy, czy od transportu i budowy łącznie?</t>
  </si>
  <si>
    <t xml:space="preserve">Roboczy kalkulator: pozostała faza; zachować opis warunkowy.</t>
  </si>
  <si>
    <t xml:space="preserve">V3-E03</t>
  </si>
  <si>
    <t xml:space="preserve">DO USTALENIA — ŚREDNI</t>
  </si>
  <si>
    <t xml:space="preserve">Pełne minuty i wielokrotne kliknięcia</t>
  </si>
  <si>
    <t xml:space="preserve">Zaoszczędzone sekundy poniżej minuty dają cenę 0 przy literalnym FLOOR. Czy ma być minimalna cena 1 monety lub minimalna skracana minuta?</t>
  </si>
  <si>
    <t xml:space="preserve">Nie wprowadzać minimum bez decyzji. Seria małych skróceń może wykorzystywać zaokrąglenie.</t>
  </si>
  <si>
    <t xml:space="preserve">V3-E04</t>
  </si>
  <si>
    <t xml:space="preserve">Pełny kurs a częściowy ładunek</t>
  </si>
  <si>
    <t xml:space="preserve">Liczymy każdy potrzebny kurs, również ostatni niepełny. 100 sztuk / 60 na kurs = 2 kursy = 20 monet.</t>
  </si>
  <si>
    <t xml:space="preserve">Potwierdzenie użytkownika: „Tak, również ostatni niepełny kurs”.</t>
  </si>
  <si>
    <t xml:space="preserve">V3-E05</t>
  </si>
  <si>
    <t xml:space="preserve">CZĘŚCIOWO ROZSTRZYGNIĘTE</t>
  </si>
  <si>
    <t xml:space="preserve">Portowy koszt kupna budynku</t>
  </si>
  <si>
    <t xml:space="preserve">Proporcjonalne bazowe ceny zakupu portowego, bez paczek po 100; materiały +25%, monety osobno.</t>
  </si>
  <si>
    <t xml:space="preserve">Potwierdzone. Do decyzji nadal: cały koszt czy tylko brakujące materiały oraz zaokrąglenie końcowej ceny. Zwykły handel portowy nadal działa w paczkach po 100.</t>
  </si>
  <si>
    <t xml:space="preserve">V3-E06</t>
  </si>
  <si>
    <t xml:space="preserve">Monety w koszcie budynku</t>
  </si>
  <si>
    <t xml:space="preserve">Wymagane monety budynku doliczamy nominalnie, osobno od materiałów i poza dopłatą 25%.</t>
  </si>
  <si>
    <t xml:space="preserve">Potwierdzenie użytkownika: „Tak, cena proporcjonalna materiałów +25%, monety osobno”.</t>
  </si>
  <si>
    <t xml:space="preserve">V3-E07</t>
  </si>
  <si>
    <t xml:space="preserve">Społecznościowe limity i potwierdzanie</t>
  </si>
  <si>
    <t xml:space="preserve">Ile razy można odebrać premię i czy jedna publikacja może aktywować kilka nagród?</t>
  </si>
  <si>
    <t xml:space="preserve">Bez limitu i potwierdzenia można generować nieograniczone monety; użytkownik nie ustalił zasad kwalifikacji.</t>
  </si>
  <si>
    <t xml:space="preserve">V3-E08</t>
  </si>
  <si>
    <t xml:space="preserve">Polecenie i dzień 3</t>
  </si>
  <si>
    <t xml:space="preserve">Kto dostaje premię, co oznacza aktywny dzień i co mieści się w „500 wszystkiego”?</t>
  </si>
  <si>
    <t xml:space="preserve">Nagrody materiałowe wymagają reguły dostarczenia i pojemności.</t>
  </si>
  <si>
    <t xml:space="preserve">V3-E09</t>
  </si>
  <si>
    <t xml:space="preserve">Ekspedycja: wzrost i dokupowanie ratunku</t>
  </si>
  <si>
    <t xml:space="preserve">Jaka jest długość serii, cena dodatkowego czasu/ruchów i liczba reklam?</t>
  </si>
  <si>
    <t xml:space="preserve">Podwajanie bez końca i ratowanie bez limitu może zdominować wszystkie przychody gospodarcze.</t>
  </si>
  <si>
    <t xml:space="preserve">V3-E10</t>
  </si>
  <si>
    <t xml:space="preserve">Ekspedycja: zegar</t>
  </si>
  <si>
    <t xml:space="preserve">Czy zegar stoi podczas reklamy, braku aktywnej karty i rozłączenia?</t>
  </si>
  <si>
    <t xml:space="preserve">Świat wyspy działa offline, ale nie przesądza to uczciwego pomiaru aktywnej minigry.</t>
  </si>
  <si>
    <t xml:space="preserve">V3-E11</t>
  </si>
  <si>
    <t xml:space="preserve">Ekspedycja: nagroda z reklamy</t>
  </si>
  <si>
    <t xml:space="preserve">Czy wystarcza obejrzenie, czy potrzebne jest wpisanie jednosekundowego hasła?</t>
  </si>
  <si>
    <t xml:space="preserve">Nie ustalono momentu sprawdzania, liczby prób ani nagrody za sam kod.</t>
  </si>
  <si>
    <t xml:space="preserve">V3-L01</t>
  </si>
  <si>
    <t xml:space="preserve">DO USTALENIA</t>
  </si>
  <si>
    <t xml:space="preserve">Podstawa poziomu</t>
  </si>
  <si>
    <t xml:space="preserve">Czy koszt każdego towaru używa własnego aktualnego poziomu producenta, najwyższego z producentów, czy poziomu ratusza?</t>
  </si>
  <si>
    <t xml:space="preserve">Przykłady zakładają wspólny znany poziom producentów.</t>
  </si>
  <si>
    <t xml:space="preserve">V3-L02</t>
  </si>
  <si>
    <t xml:space="preserve">Definicja „nie mniejsze”</t>
  </si>
  <si>
    <t xml:space="preserve">Czy porównujemy godziny na rodzaj, sumę godzin znormalizowanych, liczbę sztuk czy wartość portową?</t>
  </si>
  <si>
    <t xml:space="preserve">Proponowany przykład spełnia oba porównania godzinowe; nie nadaje rangi surowcom i produktom.</t>
  </si>
  <si>
    <t xml:space="preserve">V3-L03</t>
  </si>
  <si>
    <t xml:space="preserve">Niezależne odnowienia</t>
  </si>
  <si>
    <t xml:space="preserve">Jak utrzymać kolejność małe≤średnie≤duże, gdy każde odnawia się osobno?</t>
  </si>
  <si>
    <t xml:space="preserve">Wybór ma wpływ na losowanie i trudność.</t>
  </si>
  <si>
    <t xml:space="preserve">V3-L04</t>
  </si>
  <si>
    <t xml:space="preserve">Szybki bonus</t>
  </si>
  <si>
    <t xml:space="preserve">Pierwsze kliknięcie zadania utrwala ×3 przed 15 s, następnie ×2 przed 5 min; od 5 min ×1.</t>
  </si>
  <si>
    <t xml:space="preserve">Potwierdzone: nagroda po pełnej wpłacie przed upływem 6 h. Późniejsze kliknięcia nie podwyższają ani nie obniżają zapisanego mnożnika.</t>
  </si>
  <si>
    <t xml:space="preserve">V3-L05</t>
  </si>
  <si>
    <t xml:space="preserve">Odnowienie po sukcesie</t>
  </si>
  <si>
    <t xml:space="preserve">Nowe zadanie natychmiast po ukończeniu czy dopiero po końcu poprzedniego terminu 6 h?</t>
  </si>
  <si>
    <t xml:space="preserve">Wymóg stale trzech sugeruje natychmiastowe uzupełnienie, ale brak jednoznacznego zapisu.</t>
  </si>
  <si>
    <t xml:space="preserve">V3-L06</t>
  </si>
  <si>
    <t xml:space="preserve">Zakres nagrody</t>
  </si>
  <si>
    <t xml:space="preserve">Ile rodzajów towaru losujemy? Czy 50–1000 dotyczy każdego czy sumy?</t>
  </si>
  <si>
    <t xml:space="preserve">W przykładzie tylko 1 rodzaj towaru; dla średniego i dużego dolny próg 100 monet jest modelowy.</t>
  </si>
  <si>
    <t xml:space="preserve">V3-L07</t>
  </si>
  <si>
    <t xml:space="preserve">Nagroda a pojemność</t>
  </si>
  <si>
    <t xml:space="preserve">Gdzie czeka nagroda, która nie mieści się w magazynie?</t>
  </si>
  <si>
    <t xml:space="preserve">×3 może dać 3000 jednego towaru przy limicie 1000 na L1.</t>
  </si>
  <si>
    <t xml:space="preserve">V3-L08</t>
  </si>
  <si>
    <t xml:space="preserve">Food i rezerwa</t>
  </si>
  <si>
    <t xml:space="preserve">Czy do wpłat można używać chronionej rezerwy jedzenia?</t>
  </si>
  <si>
    <t xml:space="preserve">Poprzednia reguła zakazuje wywożenia rezerwy do innych celów niż karmienie; zadanie nie powinno omijać jej niejawnie.</t>
  </si>
  <si>
    <t xml:space="preserve">V5-P01</t>
  </si>
  <si>
    <t xml:space="preserve">SZCZEGÓŁ NA PÓŹNIEJ</t>
  </si>
  <si>
    <t xml:space="preserve">Przestój i bonus pracy</t>
  </si>
  <si>
    <t xml:space="preserve">Podatek podczas postoju jest rozstrzygnięty. Nie określono osobno, czy podczas postoju nadal działa +1 pp/h za pracę ani jak osobisty limit −50 z notatki łączy się z pozostałymi modyfikatorami.</t>
  </si>
  <si>
    <t xml:space="preserve">Stosować jedną karę przestoju; nie dopisywać automatycznie drugiej kary bezrobocia.</t>
  </si>
  <si>
    <t xml:space="preserve">V5-P02</t>
  </si>
  <si>
    <t xml:space="preserve">Niepełna lista odejść</t>
  </si>
  <si>
    <t xml:space="preserve">Targ oraz osoby w drodze lub na zwiedzaniu nadal nie mają pozycji w kolejności remisów.</t>
  </si>
  <si>
    <t xml:space="preserve">Aktualna podana lista ma pierwszeństwo: port, kamieniołom, tartak, drwale, farma, młyn, magazyn.</t>
  </si>
  <si>
    <t xml:space="preserve">V5-P03</t>
  </si>
  <si>
    <t xml:space="preserve">Zwiedzanie: początek i kumulacja</t>
  </si>
  <si>
    <t xml:space="preserve">Nie określono, kiedy zaczyna się 24 h osobistej i 6 h zbiorowej premii, czy limit 2 × poziom jest jednoczesny ani jak łączą się kolejne wizyty.</t>
  </si>
  <si>
    <t xml:space="preserve">Nie wymyślać kumulacji bonusu za każdego zwiedzającego. „Na6” odczytano roboczo jako6 h.</t>
  </si>
  <si>
    <t xml:space="preserve">V5-P04</t>
  </si>
  <si>
    <t xml:space="preserve">Stan sprzed premii</t>
  </si>
  <si>
    <t xml:space="preserve">Po premii latarni wracamy do stanu sprzed niej; brak reguły dla osób urodzonych w trakcie i innych premii działających równolegle.</t>
  </si>
  <si>
    <t xml:space="preserve">Nie zastępować zatwierdzonego przywrócenia snapshotu wcześniejszym modelem bieżącej wartości.</t>
  </si>
  <si>
    <t xml:space="preserve">V5-P05</t>
  </si>
  <si>
    <t xml:space="preserve">Moment transakcji portowej</t>
  </si>
  <si>
    <t xml:space="preserve">Użytkownik wskazuje pobranie monet w momencie transakcji; konkretny moment zatwierdzenia/rezerwacji nie został nazwany.</t>
  </si>
  <si>
    <t xml:space="preserve">Czas rejsu5 min jest już jednoznacznie rozstrzygnięty.</t>
  </si>
  <si>
    <t xml:space="preserve">V5-P06</t>
  </si>
  <si>
    <t xml:space="preserve">Płatne błogosławieństwo: okno 4 h</t>
  </si>
  <si>
    <t xml:space="preserve">Cena 100 × poziom i maksymalnie 1 płatne użycie na 4 h są ustalone. Nie wskazano punktu startu okna ani ewentualnego okna ruchomego.</t>
  </si>
  <si>
    <t xml:space="preserve">Zakaz nakładania aktywnych błogosławieństw pozostaje.</t>
  </si>
  <si>
    <t xml:space="preserve">V5-P07</t>
  </si>
  <si>
    <t xml:space="preserve">Ochrona transportu a demografia</t>
  </si>
  <si>
    <t xml:space="preserve">Nie wolno ręcznie zabrać całej obsady, gdy brakuje Food w centrali i Food czeka w młynie. Nie określono odrębnego zachowania przy przymusowym odejściu mieszkańca.</t>
  </si>
  <si>
    <t xml:space="preserve">Nie stosować zakazu ręcznego zwalniania jako nowego zakazu demograficznego bez decyzji.</t>
  </si>
  <si>
    <t xml:space="preserve">USTALENIA V2 • starsze wartości zastąpione jawnie</t>
  </si>
  <si>
    <t xml:space="preserve">Pełny rejestr dotychczasowych ustaleń z aktualizacją po pliku 1 i odpowiedziach. ZASTĄPIONE oznacza historię, nie obecną zasadę. Nowe komentarze źródłowe zachowano osobno. Bez implementacji w grze.</t>
  </si>
  <si>
    <t xml:space="preserve">Assety</t>
  </si>
  <si>
    <t xml:space="preserve">Uwagi / źródło</t>
  </si>
  <si>
    <t xml:space="preserve">U001</t>
  </si>
  <si>
    <t xml:space="preserve">Start</t>
  </si>
  <si>
    <t xml:space="preserve">Wszystkie</t>
  </si>
  <si>
    <t xml:space="preserve">Nowa wyspa: Ratusz 1, Dom 1,12 mieszkańców, szczęście 0; 100 każdego zasobu.</t>
  </si>
  <si>
    <t xml:space="preserve">Zasoby: monety, drewno, kamień, zboże, Food, deski.</t>
  </si>
  <si>
    <t xml:space="preserve">U002</t>
  </si>
  <si>
    <t xml:space="preserve">Człowiek</t>
  </si>
  <si>
    <t xml:space="preserve">NOWSZE USTALENIE</t>
  </si>
  <si>
    <t xml:space="preserve">W gospodarce 0 pracowników na starcie; 12 wolnych ludzi do ręcznego przydziału.</t>
  </si>
  <si>
    <t xml:space="preserve">Zastępuje wcześniejsze 6 startowych przydziałów.</t>
  </si>
  <si>
    <t xml:space="preserve">U003</t>
  </si>
  <si>
    <t xml:space="preserve">Odświeżenie zachowuje postęp; zestaw startowy nie jest przyznawany ponownie.</t>
  </si>
  <si>
    <t xml:space="preserve">Logowanie i serwer to przyszły zakres; plik Excel niczego nie wdraża.</t>
  </si>
  <si>
    <t xml:space="preserve">U004</t>
  </si>
  <si>
    <t xml:space="preserve">Poziom</t>
  </si>
  <si>
    <t xml:space="preserve">Poziom gracza=poziom Ratusza.</t>
  </si>
  <si>
    <t xml:space="preserve">Ratusz nie zatrudnia pracowników.</t>
  </si>
  <si>
    <t xml:space="preserve">U005</t>
  </si>
  <si>
    <t xml:space="preserve">Pozostałe budynki mogą mieć najwyżej poziom Ratusza.</t>
  </si>
  <si>
    <t xml:space="preserve">Podniesienie ratusza odblokowuje możliwość rozbudowy, nie wykonuje jej za gracza.</t>
  </si>
  <si>
    <t xml:space="preserve">U006</t>
  </si>
  <si>
    <t xml:space="preserve">Ludność</t>
  </si>
  <si>
    <t xml:space="preserve">Teoretyczny limit mieszkańców=24×poziom Ratusza.</t>
  </si>
  <si>
    <t xml:space="preserve">Przykład Ratusz 4→96; Ratusz 6→144. To limit, nie automatyczna liczba osób.</t>
  </si>
  <si>
    <t xml:space="preserve">U007</t>
  </si>
  <si>
    <t xml:space="preserve">Mieszkania</t>
  </si>
  <si>
    <t xml:space="preserve">Dom daje 24×swój poziom miejsc mieszkalnych.</t>
  </si>
  <si>
    <t xml:space="preserve">Ratusz i Dom mają niezależne limity; Ratusz 4, Dom 3→limit 96, miejsca 72.</t>
  </si>
  <si>
    <t xml:space="preserve">U008</t>
  </si>
  <si>
    <t xml:space="preserve">Dom;Człowiek</t>
  </si>
  <si>
    <t xml:space="preserve">Przeludnienie U=max(0, P−24×poziom Domu). Każdej osobie naliczamy−Upp/h.</t>
  </si>
  <si>
    <t xml:space="preserve">78 osób/72 miejsca→−6 pp/h każdemu; kara sumuje się z innymi stawkami.</t>
  </si>
  <si>
    <t xml:space="preserve">U009</t>
  </si>
  <si>
    <t xml:space="preserve">Nowe miejsca po ukończeniu Domu zatrzymują przyszłą karę w pokrytym zakresie, bez zwracania utraconego szczęścia.</t>
  </si>
  <si>
    <t xml:space="preserve">Nie ma natychmiastowego dodania ludzi po rozbudowie.</t>
  </si>
  <si>
    <t xml:space="preserve">U010</t>
  </si>
  <si>
    <t xml:space="preserve">Limit pracy</t>
  </si>
  <si>
    <t xml:space="preserve">Człowiek;Wszystkie</t>
  </si>
  <si>
    <t xml:space="preserve">POTWIERDZONE V2</t>
  </si>
  <si>
    <t xml:space="preserve">Limit każdego miejsca pracy=12×POZIOM TEGO BUDYNKU, ograniczony faktyczną pulą wolnych.</t>
  </si>
  <si>
    <t xml:space="preserve">Drwale 1:max 12; Ratusz 2 bezdrwali 2 nicniezmienia; drwale 2:max 24.</t>
  </si>
  <si>
    <t xml:space="preserve">U011</t>
  </si>
  <si>
    <t xml:space="preserve">ZASTĄPIONE</t>
  </si>
  <si>
    <t xml:space="preserve">Wcześniej limit zapisano jako połowę aktualnej populacji.</t>
  </si>
  <si>
    <t xml:space="preserve">W tym Excelu po najnowszym doprecyzowaniu obowiązuje połowa MAKSIMUM z Ratusza.</t>
  </si>
  <si>
    <t xml:space="preserve">U012</t>
  </si>
  <si>
    <t xml:space="preserve">Miejsca pracy</t>
  </si>
  <si>
    <t xml:space="preserve">Dokładnie 8:farma, młyn, drwale, tartak, kamieniołom, magazyn, przystań, targ.</t>
  </si>
  <si>
    <t xml:space="preserve">Ratusz, Dom, Kaplica, Latarnia bez własnych pracowników.</t>
  </si>
  <si>
    <t xml:space="preserve">U013</t>
  </si>
  <si>
    <t xml:space="preserve">Przydział</t>
  </si>
  <si>
    <t xml:space="preserve">Jedna osoba ma najwyżej jedno miejsce pracy; nie można zatrudnić ludzi już przypisanych lub w drodze do domu.</t>
  </si>
  <si>
    <t xml:space="preserve">Wolni=obecna populacja−przypisani−wracający.</t>
  </si>
  <si>
    <t xml:space="preserve">U014</t>
  </si>
  <si>
    <t xml:space="preserve">Powrót</t>
  </si>
  <si>
    <t xml:space="preserve">5 min do domu i 5 min z domu do nowej pracy.</t>
  </si>
  <si>
    <t xml:space="preserve">W drodze nie pracuje i nie jest dostępny do innego przydziału.</t>
  </si>
  <si>
    <t xml:space="preserve">U015</t>
  </si>
  <si>
    <t xml:space="preserve">Dojście</t>
  </si>
  <si>
    <t xml:space="preserve">Dojście do pracy jest teraz określone:5 min.</t>
  </si>
  <si>
    <t xml:space="preserve">Zastępuje wcześniejsze nieustalone/natychmiastowe dojście.</t>
  </si>
  <si>
    <t xml:space="preserve">U016</t>
  </si>
  <si>
    <t xml:space="preserve">Produkcja</t>
  </si>
  <si>
    <t xml:space="preserve">Farma; Młyn; Drwale; Tartak; Kamieniołom</t>
  </si>
  <si>
    <t xml:space="preserve">Produkcja/os./h według poziomu:10,12,13,14…; L1=10, L&gt;=2:L+10.</t>
  </si>
  <si>
    <t xml:space="preserve">Głód×0.5; latarnia×2; całeosobnesztuki.</t>
  </si>
  <si>
    <t xml:space="preserve">U017</t>
  </si>
  <si>
    <t xml:space="preserve">Człowiek; Farma; Młyn; Drwale; Tartak; Kamieniołom</t>
  </si>
  <si>
    <t xml:space="preserve">Zwolnienie odrzuca niedokończoną część sztuki tego pracownika.</t>
  </si>
  <si>
    <t xml:space="preserve">Gotowy towar pozostaje w lokalnym magazynie.</t>
  </si>
  <si>
    <t xml:space="preserve">U018</t>
  </si>
  <si>
    <t xml:space="preserve">Surowce</t>
  </si>
  <si>
    <t xml:space="preserve">Farma produkuje osobne zboże, nie gotową żywność.</t>
  </si>
  <si>
    <t xml:space="preserve">Zboże wymaga przewozu centralnie przed zużyciem przez młyn.</t>
  </si>
  <si>
    <t xml:space="preserve">U019</t>
  </si>
  <si>
    <t xml:space="preserve">2 zboża z magazynu centralnego→1 Food do lokalnego bufora młyna.</t>
  </si>
  <si>
    <t xml:space="preserve">Brak surowca lub miejsca zatrzymuje produkcję.</t>
  </si>
  <si>
    <t xml:space="preserve">U020</t>
  </si>
  <si>
    <t xml:space="preserve">2 drewna z magazynu centralnego→1 deska do lokalnego bufora tartaku.</t>
  </si>
  <si>
    <t xml:space="preserve">U021</t>
  </si>
  <si>
    <t xml:space="preserve">Drwale;Kamieniołom</t>
  </si>
  <si>
    <t xml:space="preserve">Drwale produkują drewno; kamieniołom kamień.</t>
  </si>
  <si>
    <t xml:space="preserve">Skończona produkcja trafia do bufora przy budynku.</t>
  </si>
  <si>
    <t xml:space="preserve">U022</t>
  </si>
  <si>
    <t xml:space="preserve">Bufory</t>
  </si>
  <si>
    <t xml:space="preserve">Pojemność bufora każdego producenta=200×poziom Ratusza.</t>
  </si>
  <si>
    <t xml:space="preserve">Wcześniej uzgodniono zależność od ratusza; nie zmieniono jej na własny poziom producenta.</t>
  </si>
  <si>
    <t xml:space="preserve">U023</t>
  </si>
  <si>
    <t xml:space="preserve">Pełny bufor</t>
  </si>
  <si>
    <t xml:space="preserve">Farma; Młyn; Drwale; Tartak; Kamieniołom; Człowiek</t>
  </si>
  <si>
    <t xml:space="preserve">Pełny bufor zatrzymuje produkcję i daje jego załodze−10 szczęścia od razu.</t>
  </si>
  <si>
    <t xml:space="preserve">To offset, nie−10 pp na godzinę.</t>
  </si>
  <si>
    <t xml:space="preserve">U024</t>
  </si>
  <si>
    <t xml:space="preserve">Kara przestoju−10 od blokady, następne−10 co 24 h, maksymalnie−50 z tego tytułu.</t>
  </si>
  <si>
    <t xml:space="preserve">Decyduje faktyczne blokowanie produkcji; reset licznika w drodze do domu, nie automatycznie sama ilość poniżej limitu.</t>
  </si>
  <si>
    <t xml:space="preserve">U025</t>
  </si>
  <si>
    <t xml:space="preserve">Farma; Młyn; Drwale; Tartak; Kamieniołom; Magazyn; Targ; Przystań</t>
  </si>
  <si>
    <t xml:space="preserve">AKTUALNE / NOWE DLA PORTU</t>
  </si>
  <si>
    <t xml:space="preserve">Powiadomienie przy zapełnieniu magazynu/bufora, także głównego.</t>
  </si>
  <si>
    <t xml:space="preserve">Nowy port ma mieć notyfikację pełnego magazynu; nie spam co klatkę.</t>
  </si>
  <si>
    <t xml:space="preserve">U026</t>
  </si>
  <si>
    <t xml:space="preserve">Poziom 1:1000 na każdy z 5 materiałów, nie więcej niż 4000 łącznie.</t>
  </si>
  <si>
    <t xml:space="preserve">Monety są osobno w skarbcu.</t>
  </si>
  <si>
    <t xml:space="preserve">U027</t>
  </si>
  <si>
    <t xml:space="preserve">Każdy kolejny poziom mnoży oba limity×1.5, z zaokrągleniem w dół.</t>
  </si>
  <si>
    <t xml:space="preserve">Poziom 2:1500/6000; poziom 3:2250/9000; poziom 4:3375/13500.</t>
  </si>
  <si>
    <t xml:space="preserve">U028</t>
  </si>
  <si>
    <t xml:space="preserve">Ładunek 60 szt./kurs na 1 poziomie; pełny kurs 5 min, jeden materiał.</t>
  </si>
  <si>
    <t xml:space="preserve">Nie 60 szt./h. Nie czeka na pełny ładunek.</t>
  </si>
  <si>
    <t xml:space="preserve">U029</t>
  </si>
  <si>
    <t xml:space="preserve">POTWIERDZONE / FORMUŁA MODELOWA</t>
  </si>
  <si>
    <t xml:space="preserve">Pojemność tragarza rośnie 10%/poziom własnego magazynu, targu lub portu.</t>
  </si>
  <si>
    <t xml:space="preserve">W modelu floor(60×1.1^(L−1)); 60,66,72…</t>
  </si>
  <si>
    <t xml:space="preserve">U030</t>
  </si>
  <si>
    <t xml:space="preserve">Magazyn;Przystań</t>
  </si>
  <si>
    <t xml:space="preserve">Magazynierzy noszą produkcję i budowy; targ i port mają własne załogi w obie strony.</t>
  </si>
  <si>
    <t xml:space="preserve">Przepływ przetwórstwa przez centralę.</t>
  </si>
  <si>
    <t xml:space="preserve">U031</t>
  </si>
  <si>
    <t xml:space="preserve">Człowiek; Magazyn; Młyn</t>
  </si>
  <si>
    <t xml:space="preserve">Każdy mieszkaniec automatycznie je 1 Food/h, niezależnie od zatrudnienia.</t>
  </si>
  <si>
    <t xml:space="preserve">Tylko magazyn centralny. Food lokalny, targowy lub portowy nie karmi bez dowozu.</t>
  </si>
  <si>
    <t xml:space="preserve">U032</t>
  </si>
  <si>
    <t xml:space="preserve">Rezerwa</t>
  </si>
  <si>
    <t xml:space="preserve">Magazyn; Targ; Przystań; Człowiek</t>
  </si>
  <si>
    <t xml:space="preserve">Rezerwa Food=50 × poziom magazynu; nie wynosić jej do celów innych niż żywienie.</t>
  </si>
  <si>
    <t xml:space="preserve">Ludzie mogą zjadaćrezerwę.</t>
  </si>
  <si>
    <t xml:space="preserve">U033</t>
  </si>
  <si>
    <t xml:space="preserve">Magazyn; Ratusz; Dom; Człowiek</t>
  </si>
  <si>
    <t xml:space="preserve">ZASTĄPIONY PRZYKŁAD</t>
  </si>
  <si>
    <t xml:space="preserve">Dawny przykład 6 h 57 przewozu jest nieaktualny po zmianie 60/h→60/kurs 5 min.</t>
  </si>
  <si>
    <t xml:space="preserve">Zasada ryzyka głodu pozostaje; nie doliczamy karmienia do estymaty.</t>
  </si>
  <si>
    <t xml:space="preserve">U034</t>
  </si>
  <si>
    <t xml:space="preserve">Szczęście</t>
  </si>
  <si>
    <t xml:space="preserve">Indywidualne szczęście i osobna historia każdej osoby. Najpierw ograniczenie−100…+100, potem średnia populacji.</t>
  </si>
  <si>
    <t xml:space="preserve">Nie zastępujemy indywidualnych wartości jednym wspólnym licznikiem.</t>
  </si>
  <si>
    <t xml:space="preserve">U035</t>
  </si>
  <si>
    <t xml:space="preserve">AKTUALNE; PRZESTÓJ DO DOPRECYZOWANIA</t>
  </si>
  <si>
    <t xml:space="preserve">Jedzenie daje +1 pp/h, a praca osobne +1 pp/h. Wpływ blokady producenta na bonus pracy pozostaje do rozstrzygnięcia w Q07.</t>
  </si>
  <si>
    <t xml:space="preserve">Nakarmiony pracownik od 0% ma 20% po 10 h. Nie przesądzamy bonusu za samo przypisanie podczas przestoju.</t>
  </si>
  <si>
    <t xml:space="preserve">U036</t>
  </si>
  <si>
    <t xml:space="preserve">Brak jedzenia i brak pracy mają osobne okresy 12 ciągłych godzin bez kary; potem za każdy brak−5 pp/h.</t>
  </si>
  <si>
    <t xml:space="preserve">Kara nie nalicza się wstecz za pierwsze 12 h.</t>
  </si>
  <si>
    <t xml:space="preserve">U037</t>
  </si>
  <si>
    <t xml:space="preserve">Je+pracuje:+2/h; je+bezrobotny do 12 h:+1/h; po 12 h:+1−5=−4/h.</t>
  </si>
  <si>
    <t xml:space="preserve">20%po 10 h pracy/jedzenia→32%po 12 h jedzenia bez pracy→28%po następnej godzinie.</t>
  </si>
  <si>
    <t xml:space="preserve">U038</t>
  </si>
  <si>
    <t xml:space="preserve">Głodny+pracuje do 12 h:+1/h; po 12 h:+1−5=−4/h.</t>
  </si>
  <si>
    <t xml:space="preserve">Wydajność pracy obniża się już od początku głodu.</t>
  </si>
  <si>
    <t xml:space="preserve">U039</t>
  </si>
  <si>
    <t xml:space="preserve">Nie je i nie pracuje:0/h przed oboma progami; −5/h gdy jeden brak≥12 h; −10/h gdy oba≥12 h.</t>
  </si>
  <si>
    <t xml:space="preserve">Każdy licznik biegnie od swojego początku.</t>
  </si>
  <si>
    <t xml:space="preserve">U040</t>
  </si>
  <si>
    <t xml:space="preserve">Jedzenie resetuje tylko licznik głodu, a podjęcie pracy tylko licznik bezrobocia. Żaden reset nie zwraca utraconego szczęścia. Szczegóły przestoju producenta: Q07.</t>
  </si>
  <si>
    <t xml:space="preserve">Osobiste szczęście zachowuje się przy zmianie miejsca pracy.</t>
  </si>
  <si>
    <t xml:space="preserve">U041</t>
  </si>
  <si>
    <t xml:space="preserve">Człowiek; Magazyn; Przystań; Farma; Młyn; Drwale; Tartak; Kamieniołom</t>
  </si>
  <si>
    <t xml:space="preserve">Głód od razu zmniejsza efektywną wydajność pracy i transportu o 50%.</t>
  </si>
  <si>
    <t xml:space="preserve">Estymaty zakładają nakarmionych. Techniczny wybór mniejszego ładunku/dłuższego kursu jeszcze nieustalony.</t>
  </si>
  <si>
    <t xml:space="preserve">U042</t>
  </si>
  <si>
    <t xml:space="preserve">Podatki</t>
  </si>
  <si>
    <t xml:space="preserve">Człowiek;Ratusz</t>
  </si>
  <si>
    <t xml:space="preserve">Podatek 1 moneta/h od dotarcia do zakładu; płynie także podczas przestoju przypisanej osoby.</t>
  </si>
  <si>
    <t xml:space="preserve">Bez podatku w drodze, bezrobociu i na zwiedzaniu. Bonus szczęścia za pracę podczas postoju nadal do decyzji.</t>
  </si>
  <si>
    <t xml:space="preserve">U043</t>
  </si>
  <si>
    <t xml:space="preserve">Człowiek;Kaplica</t>
  </si>
  <si>
    <t xml:space="preserve">Głód nie obniża podatku; premia kaplicy daje×2 podatku na 10 h.</t>
  </si>
  <si>
    <t xml:space="preserve">Kaplica podwaja tylko istniejący podatek pracujących.</t>
  </si>
  <si>
    <t xml:space="preserve">U044</t>
  </si>
  <si>
    <t xml:space="preserve">Prezentacja</t>
  </si>
  <si>
    <t xml:space="preserve">Szczęście wyświetlane bez ułamka, zaokrąglane w górę.</t>
  </si>
  <si>
    <t xml:space="preserve">W obliczeniach pozostają ułamki; −20.2%pokazane jako−20%, 20.2%jako 21%.</t>
  </si>
  <si>
    <t xml:space="preserve">U045</t>
  </si>
  <si>
    <t xml:space="preserve">Demografia</t>
  </si>
  <si>
    <t xml:space="preserve">Dokładna średnia 0%:brak zmian; dodatnia:przyrost; ujemna:ubytek.</t>
  </si>
  <si>
    <t xml:space="preserve">Ubytek zawsze nazywamy odejściem, nie śmiercią.</t>
  </si>
  <si>
    <t xml:space="preserve">U046</t>
  </si>
  <si>
    <t xml:space="preserve">±25%:1 osoba/12 h; ±50%:1/6 h; ±75%:1/około 1 h 43; ±100%:1/h.</t>
  </si>
  <si>
    <t xml:space="preserve">Pomiędzy punktami interpolujemy tempo, nie sam okres.</t>
  </si>
  <si>
    <t xml:space="preserve">U047</t>
  </si>
  <si>
    <t xml:space="preserve">Dla H=|szczęście| tempo=H/300 os./h do 50%; powyżej 50%:1/6+(H−50)/60; znak określa kierunek.</t>
  </si>
  <si>
    <t xml:space="preserve">Nowi ludzie pojawiają się w Domu; osobiste szczęście 0%pozostaje dotychczasowym modelem.</t>
  </si>
  <si>
    <t xml:space="preserve">U048</t>
  </si>
  <si>
    <t xml:space="preserve">Co najmniej 6 osób; maksymalnie 24×ratusz; przy minimum gra nadal grywalna.</t>
  </si>
  <si>
    <t xml:space="preserve">Rozbudowa domu/ratusza nie dodaje ludzi natychmiast.</t>
  </si>
  <si>
    <t xml:space="preserve">U049</t>
  </si>
  <si>
    <t xml:space="preserve">Czas</t>
  </si>
  <si>
    <t xml:space="preserve">Cała gospodarka liczyczas zegarowy również offline.</t>
  </si>
  <si>
    <t xml:space="preserve">Zastępuje zatrzymywanie po ukryciu/zamknięciu karty. Guziki przyspieszenia powiązane z czasowymi premiami.</t>
  </si>
  <si>
    <t xml:space="preserve">U050</t>
  </si>
  <si>
    <t xml:space="preserve">Targ dostępny od poziomu gracza 2.</t>
  </si>
  <si>
    <t xml:space="preserve">Przystań od 4; odblokowanie następuje z poziomu ratusza.</t>
  </si>
  <si>
    <t xml:space="preserve">U051</t>
  </si>
  <si>
    <t xml:space="preserve">Wymiana dowolnej ilości, ale tylko w grupach:drewno/kamień/zboże lub deski/Food.</t>
  </si>
  <si>
    <t xml:space="preserve">Brak wymiany między grupami; brak kupowania za pieniądze.</t>
  </si>
  <si>
    <t xml:space="preserve">U052</t>
  </si>
  <si>
    <t xml:space="preserve">Nominalnie 1:1; marża 10%, np.10 drewna→9 kamienia.</t>
  </si>
  <si>
    <t xml:space="preserve">Nie stosujemy wcześniejszego sprzecznego przykładu deski→kamień.</t>
  </si>
  <si>
    <t xml:space="preserve">U053</t>
  </si>
  <si>
    <t xml:space="preserve">Pojemność 1000 na 1,1500 na 2,2250 na 3…; każdy poziom×1.5.</t>
  </si>
  <si>
    <t xml:space="preserve">Jeden limit łączny własnego targu, nie 1000 każdego materiału.</t>
  </si>
  <si>
    <t xml:space="preserve">U054</t>
  </si>
  <si>
    <t xml:space="preserve">Targ;Magazyn</t>
  </si>
  <si>
    <t xml:space="preserve">Targ ma własną załogę w obie strony, z takimi samymi zasadami ładunku i wzrostu jakmagazyn.</t>
  </si>
  <si>
    <t xml:space="preserve">Dawna blokadadostaw 1 hniezostała usunięta.</t>
  </si>
  <si>
    <t xml:space="preserve">U055</t>
  </si>
  <si>
    <t xml:space="preserve">Towar z targu odnosi wyłącznie załoga targu. Zapas 24 hodprzyniesienia przepada; wynik wymiany ma nowe 24 h.</t>
  </si>
  <si>
    <t xml:space="preserve">Zastępuje odbiór magazynierami; nie otrzymujemytowaruwcentrali natychmiast.</t>
  </si>
  <si>
    <t xml:space="preserve">U056</t>
  </si>
  <si>
    <t xml:space="preserve">Na poziomie 1 bez pasywnego plusa/minusa. Po rozbudowie do N:+10×Nszczęścia wszystkim i podatek×2 przez 10 h.</t>
  </si>
  <si>
    <t xml:space="preserve">Premia za ukończenie rozbudowy; kolejna odświeża okres, bez nakładania mnożnika do ×4.</t>
  </si>
  <si>
    <t xml:space="preserve">U057</t>
  </si>
  <si>
    <t xml:space="preserve">Błogosławieństwo</t>
  </si>
  <si>
    <t xml:space="preserve">Kaplica; Latarnia; Człowiek</t>
  </si>
  <si>
    <t xml:space="preserve">WCZEŚNIEJ UZGODNIONE / NOWE SZCZEGÓŁY ODŁOŻONE</t>
  </si>
  <si>
    <t xml:space="preserve">Ręczne użycie:+50 każdego zasobu, +20 szczęścia wszystkim na 1 h.</t>
  </si>
  <si>
    <t xml:space="preserve">Przynależność wyjaśniona: Kaplica = błogosławieństwo, Latarnia = zwiedzanie. Liczba darmowych użyć błogosławieństwa = poziom kaplicy; nowe odstępy i oferty Premium są odłożone.</t>
  </si>
  <si>
    <t xml:space="preserve">U058</t>
  </si>
  <si>
    <t xml:space="preserve">Kaplica;Latarnia</t>
  </si>
  <si>
    <t xml:space="preserve">Nowe odstępy+25%, zakup/challenge/share/reklama i natychmiastowe użycie.</t>
  </si>
  <si>
    <t xml:space="preserve">Konflikt z godzinnym efektem bez nakładania zostawiony na później zgodnie z instrukcją.</t>
  </si>
  <si>
    <t xml:space="preserve">U059</t>
  </si>
  <si>
    <t xml:space="preserve">Reklamy</t>
  </si>
  <si>
    <t xml:space="preserve">Nowa notatka:60 sreklamy skraca pozostały czas o połowę, maks.2 na 1 hgry.</t>
  </si>
  <si>
    <t xml:space="preserve">Nie wybieramy resetu, czasu okna, początku cooldownu ani harmonogramu.</t>
  </si>
  <si>
    <t xml:space="preserve">U060</t>
  </si>
  <si>
    <t xml:space="preserve">Lojalność</t>
  </si>
  <si>
    <t xml:space="preserve">ZASADA UZGODNIONA / NAGRODA NIEUSTALONA</t>
  </si>
  <si>
    <t xml:space="preserve">Kolejny dzień logowania zwiększa lojalność do 10 dni; bonus lojalnościowy zostanie zdefiniowany później.</t>
  </si>
  <si>
    <t xml:space="preserve">Nie wymyślono nagród. Poprzedni model używał dni Warszawy; szczegóły konta są przyszłe.</t>
  </si>
  <si>
    <t xml:space="preserve">U061</t>
  </si>
  <si>
    <t xml:space="preserve">Koszt producenta</t>
  </si>
  <si>
    <t xml:space="preserve">ZMIENIONE V5</t>
  </si>
  <si>
    <t xml:space="preserve">Farma: norma240L i koszt72L drewna+72L kamienia+120L zboża. Młyn, drwale, tartak, kamieniołom: wcześniejszy koszt pomnożony przez2.</t>
  </si>
  <si>
    <t xml:space="preserve">Zmiana wyłącznie czterech producentów wskazanych jako2L w Budynki!E9:E12 pliku 4.</t>
  </si>
  <si>
    <t xml:space="preserve">U062</t>
  </si>
  <si>
    <t xml:space="preserve">Drwale:384L drewna+144L kamienia; kamieniołom:144L drewna+384L kamienia.</t>
  </si>
  <si>
    <t xml:space="preserve">Własny produkt nakłada się na składnik bazowy, następnie cały koszt ×2 według V4.</t>
  </si>
  <si>
    <t xml:space="preserve">U063</t>
  </si>
  <si>
    <t xml:space="preserve">Ratusz; Dom; Targ; Magazyn; Przystań</t>
  </si>
  <si>
    <t xml:space="preserve">Każdego z 6 zasobów: Ratusz/Dom 500 L; Magazyn/Targ 300 L; Przystań 400 L.</t>
  </si>
  <si>
    <t xml:space="preserve">Kolejka +10%całej ceny.</t>
  </si>
  <si>
    <t xml:space="preserve">U064</t>
  </si>
  <si>
    <t xml:space="preserve">TYMCZASOWE</t>
  </si>
  <si>
    <t xml:space="preserve">N×(180 monet+20 drewna+60 kamienia+10 desek), N nowy poziom.</t>
  </si>
  <si>
    <t xml:space="preserve">Cena nie była docelowo ustalona; do przewozu 90×N.</t>
  </si>
  <si>
    <t xml:space="preserve">U065</t>
  </si>
  <si>
    <t xml:space="preserve">500 każdego zasobu razem z monetami/złotem; dla pierwszej budowy 500, dalej 500×obecny poziom.</t>
  </si>
  <si>
    <t xml:space="preserve">Użytkownik zdecydował zachować koszt 500 pomimo długiego zbierania. Do transportu 2500×max(1, L).</t>
  </si>
  <si>
    <t xml:space="preserve">U066</t>
  </si>
  <si>
    <t xml:space="preserve">Finansowanie</t>
  </si>
  <si>
    <t xml:space="preserve">Zwykłą budowę można zamówić tylko z pełnym kosztem w magazynie centralnym i skarbcu.</t>
  </si>
  <si>
    <t xml:space="preserve">Koszt rezerwowany także dla zwykłej kolejki; nie wolno wydać tych samych materiałów drugi raz.</t>
  </si>
  <si>
    <t xml:space="preserve">U067</t>
  </si>
  <si>
    <t xml:space="preserve">Transport budowy</t>
  </si>
  <si>
    <t xml:space="preserve">Materiały na budowę noszą magazynierzy. Bez obsady transport czeka.</t>
  </si>
  <si>
    <t xml:space="preserve">Monety pobierane ze skarbca, bez fizycznego przewozu.</t>
  </si>
  <si>
    <t xml:space="preserve">U068</t>
  </si>
  <si>
    <t xml:space="preserve">Czas budowy</t>
  </si>
  <si>
    <t xml:space="preserve">T=czas transportu. Estymaty zawierają wyłącznie transport+samo budowanie.</t>
  </si>
  <si>
    <t xml:space="preserve">Wyłączono zbieranie, karmienie, wymagane wcześniejsze rozbudowy i kolejkę na wyraźną instrukcję użytkownika.</t>
  </si>
  <si>
    <t xml:space="preserve">U069</t>
  </si>
  <si>
    <t xml:space="preserve">Ratusz;Dom</t>
  </si>
  <si>
    <t xml:space="preserve">Ratusz i Dom:łącznie 2 T=Ttransportu+Tbudowy.</t>
  </si>
  <si>
    <t xml:space="preserve">Zastępuje3T.</t>
  </si>
  <si>
    <t xml:space="preserve">U070</t>
  </si>
  <si>
    <t xml:space="preserve">Łącznie 2 T=transport T+budowanie T.</t>
  </si>
  <si>
    <t xml:space="preserve">Faza budowania korzysta z rzeczywistego czasu wcześniejszego transportu.</t>
  </si>
  <si>
    <t xml:space="preserve">U071</t>
  </si>
  <si>
    <t xml:space="preserve">Kaplica:T+3 T×(N−1), N nowy poziom; 1→2:4 T, 2→3:7 T, 3→4:10 T.</t>
  </si>
  <si>
    <t xml:space="preserve">Nie używamy obecnego poziomu w członie N−1.</t>
  </si>
  <si>
    <t xml:space="preserve">U072</t>
  </si>
  <si>
    <t xml:space="preserve">Latarnia:łącznie 5 T=Ttransportu+4 Tbudowy.</t>
  </si>
  <si>
    <t xml:space="preserve">Zastępuje6T.</t>
  </si>
  <si>
    <t xml:space="preserve">U073</t>
  </si>
  <si>
    <t xml:space="preserve">Budowa</t>
  </si>
  <si>
    <t xml:space="preserve">Nowy poziom oraz premie działają dopiero po ukończeniu, nie po zamówieniu.</t>
  </si>
  <si>
    <t xml:space="preserve">Dotychczasowy poziom pracuje podczas rozbudowy.</t>
  </si>
  <si>
    <t xml:space="preserve">U074</t>
  </si>
  <si>
    <t xml:space="preserve">Ratusz;Wszystkie</t>
  </si>
  <si>
    <t xml:space="preserve">Poziom gracza L daje Lrównoległych budów i Lopłaconych pozycji oczekujących.</t>
  </si>
  <si>
    <t xml:space="preserve">Pełny koszt zarezerwowany przy zleceniu; kolejka +10%całej ceny.</t>
  </si>
  <si>
    <t xml:space="preserve">U075</t>
  </si>
  <si>
    <t xml:space="preserve">Po ukończeniu rusza kolejna opłacona pozycja; nie budujemy dwóch poziomów tego samego budynku naraz.</t>
  </si>
  <si>
    <t xml:space="preserve">Kolejne poziomy zależą od wcześniejszych i limitu Ratusza.</t>
  </si>
  <si>
    <t xml:space="preserve">U076</t>
  </si>
  <si>
    <t xml:space="preserve">Pakiet płatny</t>
  </si>
  <si>
    <t xml:space="preserve">PREMIUM — PROJEKT DO DOPRACOWANIA</t>
  </si>
  <si>
    <t xml:space="preserve">W czasie pakietu+4 równoległe budowy zawsze oraz dowolnie długa kolejka.</t>
  </si>
  <si>
    <t xml:space="preserve">Cena i długość pakietu jeszcze niezdefiniowane; arkusz nie uruchamia sprzedaży.</t>
  </si>
  <si>
    <t xml:space="preserve">U077</t>
  </si>
  <si>
    <t xml:space="preserve">UZGODNIONY ZAKRES</t>
  </si>
  <si>
    <t xml:space="preserve">Pakiet pozwala planować budowę na bazie estymaty dostaw, nie tylko obecnych zapasów.</t>
  </si>
  <si>
    <t xml:space="preserve">Plan nie tworzy surowców; rezerwacja/start gdy realnie pełny koszt trafi do centrali.</t>
  </si>
  <si>
    <t xml:space="preserve">U078</t>
  </si>
  <si>
    <t xml:space="preserve">WCZEŚNIEJSZY MODEL PREMIUM, DO DOPRACOWANIA</t>
  </si>
  <si>
    <t xml:space="preserve">Po wygaśnięciu rozpoczęte budowy kończą się; nowe starty wracają do limitu L, nieopłacone plany czekają.</t>
  </si>
  <si>
    <t xml:space="preserve">Poprzedni model wygasał czasem zegarowym także offline; docelowe warunki realnej oferty do potwierdzenia.</t>
  </si>
  <si>
    <t xml:space="preserve">U079</t>
  </si>
  <si>
    <t xml:space="preserve">Latarnia;Człowiek</t>
  </si>
  <si>
    <t xml:space="preserve">Latarnia ustawia efektywne szczęście KAŻDEGO na 100%, nie dodaje+100. Produkcja ×2.</t>
  </si>
  <si>
    <t xml:space="preserve">Obie premie 24 h×N; podatki/transport bez mnożnika.</t>
  </si>
  <si>
    <t xml:space="preserve">U080</t>
  </si>
  <si>
    <t xml:space="preserve">Kolejna rozbudowa odświeża czas, a nie mnożnik produkcji do ×4.</t>
  </si>
  <si>
    <t xml:space="preserve">Premia zaczyna się po ukończeniu; nowe błogosławieństwa ODŁOŻONE.</t>
  </si>
  <si>
    <t xml:space="preserve">U081</t>
  </si>
  <si>
    <t xml:space="preserve">Od ratusza 4 kupno i sprzedaż wszystkich 5 materiałów za monety; tylko pełne 100.</t>
  </si>
  <si>
    <t xml:space="preserve">Nie oznacza kupowania samych monet za monety.</t>
  </si>
  <si>
    <t xml:space="preserve">U082</t>
  </si>
  <si>
    <t xml:space="preserve">OSTATNIA KOREKTA ROZMOWY</t>
  </si>
  <si>
    <t xml:space="preserve">Port za 100:podstawowe 40 sprzedaż/50 kupno; przetworzone 140/150.</t>
  </si>
  <si>
    <t xml:space="preserve">Zastępuje 70/80; Targ pozostaje bez pieniędzy.</t>
  </si>
  <si>
    <t xml:space="preserve">U083</t>
  </si>
  <si>
    <t xml:space="preserve">Druga i kolejna kupiona paczka 100 w ostatnich 3 h:+10%cenybazowej za każdy kolejny stopień.</t>
  </si>
  <si>
    <t xml:space="preserve">50,55,60…; 150,165,180…; licznik globalny/osobno na produkt — nieokreślony.</t>
  </si>
  <si>
    <t xml:space="preserve">U084</t>
  </si>
  <si>
    <t xml:space="preserve">Sprzedaż:centrala→port→statek; wypłata przy wypłynięciu. Zakup:monety w momencie transakcji, rejs 5 min, rozładunek i transport do centrali.</t>
  </si>
  <si>
    <t xml:space="preserve">Dokładny moment zatwierdzenia transakcji pozostaje interpretacją. Towar przed dowozem nie jest dostępny centralnie.</t>
  </si>
  <si>
    <t xml:space="preserve">U085</t>
  </si>
  <si>
    <t xml:space="preserve">Pojemność portu jak magazynu:1000 każdego/4000 łącznie na 1, potem×1.5.</t>
  </si>
  <si>
    <t xml:space="preserve">Nie naliczono nieustalonej opłaty jako ceny budowy.</t>
  </si>
  <si>
    <t xml:space="preserve">U086</t>
  </si>
  <si>
    <t xml:space="preserve">Towar w porcie nieodebrany 24 hprzepada; opłata 10 monet nie obowiązuje.</t>
  </si>
  <si>
    <t xml:space="preserve">Termin zegarowy, nawet offline.</t>
  </si>
  <si>
    <t xml:space="preserve">U087</t>
  </si>
  <si>
    <t xml:space="preserve">ZASTĄPIONE PRZEZ NOWY CENNIK</t>
  </si>
  <si>
    <t xml:space="preserve">200 surowca daje 80 monet; 100 produktu po 2:1 daje 140.</t>
  </si>
  <si>
    <t xml:space="preserve">Nowe 140/150 usuwa dawną uwagę 80→70.</t>
  </si>
  <si>
    <t xml:space="preserve">U088</t>
  </si>
  <si>
    <t xml:space="preserve">Powiadomienia</t>
  </si>
  <si>
    <t xml:space="preserve">NOWE DOPRECYZOWANIE</t>
  </si>
  <si>
    <t xml:space="preserve">Zawsze powiadomienie o ukończeniu budowy.</t>
  </si>
  <si>
    <t xml:space="preserve">Dotychczas także zlecenie, start i dostawa; nowe alarmy opisano jako projekt, nie wdrożenie.</t>
  </si>
  <si>
    <t xml:space="preserve">U089</t>
  </si>
  <si>
    <t xml:space="preserve">Dom ma dodatkowo powiadamiać o przeludnieniu.</t>
  </si>
  <si>
    <t xml:space="preserve">Propozycja reagowania na zmianę stanu/liczby osób, nie alarm co klatkę; częstotliwość przypomnień nieustalona.</t>
  </si>
  <si>
    <t xml:space="preserve">U090</t>
  </si>
  <si>
    <t xml:space="preserve">Rozbudowa a zasoby</t>
  </si>
  <si>
    <t xml:space="preserve">Ratusz;Magazyn</t>
  </si>
  <si>
    <t xml:space="preserve">ZAAKCEPTOWANE</t>
  </si>
  <si>
    <t xml:space="preserve">Ratusz 2→Magazyn 2→Ratusz 3→Magazyn 3→Ratusz 4 ze względu na miejsce na pełny koszt.</t>
  </si>
  <si>
    <t xml:space="preserve">5000 materiałów kosztu Ratusza 3 nie mieści się w Magazynie 1(4000); 7500 Ratusza 4 nie w Magazynie 2(6000).</t>
  </si>
  <si>
    <t xml:space="preserve">U091</t>
  </si>
  <si>
    <t xml:space="preserve">Projekt</t>
  </si>
  <si>
    <t xml:space="preserve">ROZSTRZYGNIĘTE V2</t>
  </si>
  <si>
    <t xml:space="preserve">Własny poziom producenta zwiększa limit 12×L oraz wydajność 10,12,13,14…</t>
  </si>
  <si>
    <t xml:space="preserve">Ratusz nadal jest warunkiem rozbudowy; lokalny pojemnik 200×ratusz pozostaje.</t>
  </si>
  <si>
    <t xml:space="preserve">U092</t>
  </si>
  <si>
    <t xml:space="preserve">AKTUALNE POLECENIE</t>
  </si>
  <si>
    <t xml:space="preserve">Wyłącznie Excel i analiza logiczna; bez developmentu.</t>
  </si>
  <si>
    <t xml:space="preserve">Plik i instrukcja pobierania są dokumentacją; nie zmieniają kodu gry, zasad ani zapisów.</t>
  </si>
  <si>
    <t xml:space="preserve">V2-001</t>
  </si>
  <si>
    <t xml:space="preserve">Źródło</t>
  </si>
  <si>
    <t xml:space="preserve">NOWSZE ŹRÓDŁO</t>
  </si>
  <si>
    <t xml:space="preserve">Uwzględniono komórki i komentarze z HARBORLIGHT1-zasady.xlsx.</t>
  </si>
  <si>
    <t xml:space="preserve">To nowy Excel, bez zmian kodu gry.
Źródło: Plik użytkownika</t>
  </si>
  <si>
    <t xml:space="preserve">V2-002</t>
  </si>
  <si>
    <t xml:space="preserve">Obsada</t>
  </si>
  <si>
    <t xml:space="preserve">Człowiek; Farma; Młyn; Drwale; Tartak; Kamieniołom; Magazyn; Targ; Przystań</t>
  </si>
  <si>
    <t xml:space="preserve">Limit na każde miejsce pracy = 12 × poziom tego budynku, z faktycznej wolnej puli w domu.</t>
  </si>
  <si>
    <t xml:space="preserve">Ratusz jest warunkiem podniesienia poziomu, ale sam nie zwiększa limitu starego producenta.
Źródło: Czlowiek! C8; Decyzje i konflikty! E6</t>
  </si>
  <si>
    <t xml:space="preserve">V2-003</t>
  </si>
  <si>
    <t xml:space="preserve">Z panelu domu widać wszystkich ludzi i przydziały oraz można wysyłać do kaplicy lub latarni.</t>
  </si>
  <si>
    <t xml:space="preserve">Na starcie 12 osób znajduje się w domu.
Źródło: Budynki! K7; Czlowiek! C7</t>
  </si>
  <si>
    <t xml:space="preserve">V2-004</t>
  </si>
  <si>
    <t xml:space="preserve">Wydajność na osobę na poziomach 1,2,3,4: dokładnie 10,12,13,14 szt./h.</t>
  </si>
  <si>
    <t xml:space="preserve">Wybrany ciąg zastępuje ogólny sprzeczny zapis +10%; po poziomie 2 wzrost o 1 na poziom.
Źródło: Budynki! D8; Budynki! K8; odpowiedź użytkownika</t>
  </si>
  <si>
    <t xml:space="preserve">V2-005</t>
  </si>
  <si>
    <t xml:space="preserve">Przestój</t>
  </si>
  <si>
    <t xml:space="preserve">Młyn; Tartak; Człowiek</t>
  </si>
  <si>
    <t xml:space="preserve">Przestój: podatek płynie, jedna kara −10…−50; reset licznika w drodze do domu.</t>
  </si>
  <si>
    <t xml:space="preserve">Nie nakładamy automatycznie drugiej kary bezrobocia. Bonus+1 podczas postoju nadal do ustalenia.</t>
  </si>
  <si>
    <t xml:space="preserve">V2-006</t>
  </si>
  <si>
    <t xml:space="preserve">Droga</t>
  </si>
  <si>
    <t xml:space="preserve">Droga do nowej pracy 5 min; powrót 5 min. Praca i podatek od chwili dotarcia.</t>
  </si>
  <si>
    <t xml:space="preserve">W drodze nie pracuje i nie płaci podatku.</t>
  </si>
  <si>
    <t xml:space="preserve">V2-007</t>
  </si>
  <si>
    <t xml:space="preserve">Magazyn; Targ; Przystań</t>
  </si>
  <si>
    <t xml:space="preserve">Cały kurs z powrotem trwa 5 min. Bazowy ładunek na poziomie 1 to 60 sztuk jednego produktu.</t>
  </si>
  <si>
    <t xml:space="preserve">100 wymaga dwóch kursów 60 i 40. Nie czeka na pełny ładunek i nie miesza produktów. To zastępuje wcześniejsze 60 szt./h.
Źródło: Budynki! K13; Parametry! F9; Decyzje i konflikty! I12; odpowiedź użytkownika</t>
  </si>
  <si>
    <t xml:space="preserve">V2-008</t>
  </si>
  <si>
    <t xml:space="preserve">Pojemność tragarza</t>
  </si>
  <si>
    <t xml:space="preserve">POTWIERDZONE; ZAOKRĄGLENIE DO DECYZJI</t>
  </si>
  <si>
    <t xml:space="preserve">Kolejny poziom zwiększa ilość materiału, którą tragarz może zabrać, o 10%; takie same zasady w targu i porcie.</t>
  </si>
  <si>
    <t xml:space="preserve">Sposób wzrostu liniowy/składany oraz zaokrąglenie całych sztuk nie zostały dopisane jako pewne ustalenia.
Źródło: Start! E13; Parametry! F9; Budynki! K15; Decyzje i konflikty! I12</t>
  </si>
  <si>
    <t xml:space="preserve">V2-009</t>
  </si>
  <si>
    <t xml:space="preserve">Priorytety</t>
  </si>
  <si>
    <t xml:space="preserve">Domyślnie najpierw zaopatrzenie magazynu, później budowy; gracz może zmieniać priorytety kategorii, producenta i konkretnej budowy.</t>
  </si>
  <si>
    <t xml:space="preserve">ETA ma wynikać z aktualnych priorytetów i już dostarczonych partii.
Źródło: Budynki! K13</t>
  </si>
  <si>
    <t xml:space="preserve">V2-010</t>
  </si>
  <si>
    <t xml:space="preserve">Transport żywności</t>
  </si>
  <si>
    <t xml:space="preserve">Ratunkowy próg Food=50×poziom magazynu.1 dostępny magazynier odbiera gotową żywność.</t>
  </si>
  <si>
    <t xml:space="preserve">Gdy Food czeka w młynie, a centrala poniżej minimum, nie można ręcznie wycofać całego transportu.</t>
  </si>
  <si>
    <t xml:space="preserve">V2-011</t>
  </si>
  <si>
    <t xml:space="preserve">Magazyn;Człowiek</t>
  </si>
  <si>
    <t xml:space="preserve">ZMIENIONE</t>
  </si>
  <si>
    <t xml:space="preserve">Minimum pożywienia chronionego przed wynoszeniem = 50 × poziom magazynu.</t>
  </si>
  <si>
    <t xml:space="preserve">Ludzie mogą zjadać rezerwę; transport żywności nie jest akcją ręcznego karmienia.
Źródło: Start! E12</t>
  </si>
  <si>
    <t xml:space="preserve">V2-012</t>
  </si>
  <si>
    <t xml:space="preserve">Koszt</t>
  </si>
  <si>
    <t xml:space="preserve">Rozbudowa magazynu: 300 × obecny poziom każdego z 6 zasobów.</t>
  </si>
  <si>
    <t xml:space="preserve">Zastępuje 500; 5 materiałów jadą na budowę, monety ze skarbca.
Źródło: Budynki! E13</t>
  </si>
  <si>
    <t xml:space="preserve">V2-013</t>
  </si>
  <si>
    <t xml:space="preserve">Rozbudowa targu: 300 × obecny poziom każdego z 6 zasobów.</t>
  </si>
  <si>
    <t xml:space="preserve">Zastępuje 500.
Źródło: Budynki! E14</t>
  </si>
  <si>
    <t xml:space="preserve">V2-014</t>
  </si>
  <si>
    <t xml:space="preserve">Rozbudowa przystani: 400 × obecny poziom każdego z 6 zasobów.</t>
  </si>
  <si>
    <t xml:space="preserve">Zastępuje 500.
Źródło: Budynki! E15</t>
  </si>
  <si>
    <t xml:space="preserve">V2-015</t>
  </si>
  <si>
    <t xml:space="preserve">Zakolejkowany budynek kosztuje o 10% więcej niż zlecony bez kolejki.</t>
  </si>
  <si>
    <t xml:space="preserve">Pełny koszt z dopłatą musi być w chwili zamówienia i zostaje zarezerwowany; zakres dopłaty, zaokrąglenie i zwiększenie fizycznych dostaw wymagają jawnej interpretacji.
Źródło: Budynki! K6</t>
  </si>
  <si>
    <t xml:space="preserve">V2-016</t>
  </si>
  <si>
    <t xml:space="preserve">Budowy</t>
  </si>
  <si>
    <t xml:space="preserve">Ratusz L daje L aktywnych rozbudów i L pozycji kolejki; kolejka wymaga surowców już przy zlecaniu.</t>
  </si>
  <si>
    <t xml:space="preserve">Dopłata +10% jest nowa; oferty premium zebrane osobno.
Źródło: Budynki! K6</t>
  </si>
  <si>
    <t xml:space="preserve">V2-017</t>
  </si>
  <si>
    <t xml:space="preserve">Postęp budowy</t>
  </si>
  <si>
    <t xml:space="preserve">Panel pokazuje potrzebną i dostarczoną ilość każdego materiału, np. 60/100, oraz ETA transportu i budowy przy bieżących priorytetach.</t>
  </si>
  <si>
    <t xml:space="preserve">Nie utożsamiać z ilością w magazynie: to postęp dostawy na budowę.
Źródło: Budynki! K13</t>
  </si>
  <si>
    <t xml:space="preserve">V2-018</t>
  </si>
  <si>
    <t xml:space="preserve">Łączny czas ratusza i domu wraca do 2 T = przewóz T + budowa T.</t>
  </si>
  <si>
    <t xml:space="preserve">Zastępuje 3 T.
Źródło: Budynki! F6; F7</t>
  </si>
  <si>
    <t xml:space="preserve">V2-019</t>
  </si>
  <si>
    <t xml:space="preserve">Łącznie T + 3 T × (nowy poziom −1). Rozbudowy 1→2,2→3,3→4: 4 T, 7 T, 10 T.</t>
  </si>
  <si>
    <t xml:space="preserve">W mnożniku użyto nowego poziomu, nie starego.
Źródło: Budynki! F16; odpowiedź użytkownika</t>
  </si>
  <si>
    <t xml:space="preserve">V2-020</t>
  </si>
  <si>
    <t xml:space="preserve">Łącznie 5 T = transport T + budowanie 4 T.</t>
  </si>
  <si>
    <t xml:space="preserve">Zastępuje sprzeczny nagłówek 6 T.
Źródło: Budynki! F17; odpowiedź użytkownika</t>
  </si>
  <si>
    <t xml:space="preserve">V2-021</t>
  </si>
  <si>
    <t xml:space="preserve">Wszystkie mechaniki działają w realnym czasie zegarowym również offline: produkcja, jedzenie, szczęście, podatki i budowy.</t>
  </si>
  <si>
    <t xml:space="preserve">Zastępuje pauzę ekonomii po zamknięciu/ukryciu. Portowe 24 h oraz okno 3 h są zegarowe.
Źródło: Czlowiek! C29; D29; odpowiedź użytkownika</t>
  </si>
  <si>
    <t xml:space="preserve">V2-022</t>
  </si>
  <si>
    <t xml:space="preserve">ZASTĄPIONE WYMAGANIEM V5</t>
  </si>
  <si>
    <t xml:space="preserve">Wymaganie interfejsu zapisane w Excelu. Premium ma osobny zatwierdzony cennik; kod bez zmian.</t>
  </si>
  <si>
    <t xml:space="preserve">V2-023</t>
  </si>
  <si>
    <t xml:space="preserve">Targ ma własnych ludzi; tylko oni donoszą na targ i odwożą z targu do magazynu.</t>
  </si>
  <si>
    <t xml:space="preserve">Zastępuje odbiór wyniku wymiany przez magazynierów. Towar musi być na targu, aby go wymienić.
Źródło: Budynki! D14</t>
  </si>
  <si>
    <t xml:space="preserve">V2-024</t>
  </si>
  <si>
    <t xml:space="preserve">Targ: wygaśnięcie</t>
  </si>
  <si>
    <t xml:space="preserve">Towar na targu znika po 24 h od przyniesienia; wynik wymiany także znika po własnych 24 h.</t>
  </si>
  <si>
    <t xml:space="preserve">Nie określono osobno zasad dzielenia/łączenia partii ani wpływu premium na wiek.
Źródło: Budynki! D14</t>
  </si>
  <si>
    <t xml:space="preserve">V2-025</t>
  </si>
  <si>
    <t xml:space="preserve">Targ: wymiana</t>
  </si>
  <si>
    <t xml:space="preserve">POTWIERDZONE W NAJNOWSZEJ ODPOWIEDZI</t>
  </si>
  <si>
    <t xml:space="preserve">Targ pozostaje wymianą bez monet w dwóch grupach i z marżą 10%.</t>
  </si>
  <si>
    <t xml:space="preserve">140/150 to nowe portowe ceny przetworzonych, nie oferta pieniężna targu.
Źródło: Budynki! K14; ostatnie doprecyzowanie użytkownika</t>
  </si>
  <si>
    <t xml:space="preserve">V2-026</t>
  </si>
  <si>
    <t xml:space="preserve">Port: operacje</t>
  </si>
  <si>
    <t xml:space="preserve">Sprzedaż:wypłata przy wypłynięciu; zakup:monety w momencie transakcji. Rejs zawsze 5 min.</t>
  </si>
  <si>
    <t xml:space="preserve">Rozładunek i transport do centrali nadal wymagane; dokładny moment transakcji do opisania.</t>
  </si>
  <si>
    <t xml:space="preserve">V2-027</t>
  </si>
  <si>
    <t xml:space="preserve">Statek</t>
  </si>
  <si>
    <t xml:space="preserve">Statek ma pojemność magazynu portu.</t>
  </si>
  <si>
    <t xml:space="preserve">Port ma limit na każdy materiał i łączny; statek powinien respektować oba albo wymagać potwierdzenia jednego globalnego limitu.
Źródło: Decyzje i konflikty! I9</t>
  </si>
  <si>
    <t xml:space="preserve">V2-028</t>
  </si>
  <si>
    <t xml:space="preserve">Port: ceny</t>
  </si>
  <si>
    <t xml:space="preserve">ZMIENIONE I POTWIERDZONE</t>
  </si>
  <si>
    <t xml:space="preserve">Za 100 podstawowych sprzedaż 40/kupno 50; za 100 przetworzonych sprzedaż 140/kupno 150.</t>
  </si>
  <si>
    <t xml:space="preserve">Nowe 140/150 zastępuje wcześniejsze portowe 70/80; podstawowe pozostają 40/50.
Źródło: Budynki! K14; ostatnie doprecyzowanie użytkownika</t>
  </si>
  <si>
    <t xml:space="preserve">V2-029</t>
  </si>
  <si>
    <t xml:space="preserve">Port: podwyżki</t>
  </si>
  <si>
    <t xml:space="preserve">WYJAŚNIONE CZĘŚCIOWO</t>
  </si>
  <si>
    <t xml:space="preserve">Rosnące ceny zakupów w ostatnich 3 h liczyć liniowo, nie składanie.</t>
  </si>
  <si>
    <t xml:space="preserve">Druga i kolejne paczki +10% ceny bazowej; globalność/per materiał i zaokrąglenie nieustalone.
Źródło: Decyzje i konflikty! I10</t>
  </si>
  <si>
    <t xml:space="preserve">V2-030</t>
  </si>
  <si>
    <t xml:space="preserve">Port: wygaśnięcie</t>
  </si>
  <si>
    <t xml:space="preserve">Towar nieodebrany w 24 h przepada.</t>
  </si>
  <si>
    <t xml:space="preserve">Zastępuje wcześniejszą opłatę 10 monet; nie należy naliczać obu konsekwencji.
Źródło: Decyzje i konflikty! I11</t>
  </si>
  <si>
    <t xml:space="preserve">V2-031</t>
  </si>
  <si>
    <t xml:space="preserve">Kaplica i latarnia</t>
  </si>
  <si>
    <t xml:space="preserve">WYJAŚNIONE</t>
  </si>
  <si>
    <t xml:space="preserve">Błogosławieństwo należy do kaplicy; zwiedzanie do latarni. Oba prowadzą do bonusu/premii.</t>
  </si>
  <si>
    <t xml:space="preserve">Czas i efekt pojedynczej wizyty nie są tym samym co automatyczna premia rozbudowy.
Źródło: Decyzje i konflikty! I13; Budynki! K7</t>
  </si>
  <si>
    <t xml:space="preserve">V2-032</t>
  </si>
  <si>
    <t xml:space="preserve">Latarnia: szczęście</t>
  </si>
  <si>
    <t xml:space="preserve">Premia rozbudowy:100% wszystkim i produkcja ×2 przez 24 h×nowy poziom.</t>
  </si>
  <si>
    <t xml:space="preserve">Po zakończeniu przywracamy stan sprzed premii.</t>
  </si>
  <si>
    <t xml:space="preserve">V2-033</t>
  </si>
  <si>
    <t xml:space="preserve">Ranking = ratusz × monety; aktualizacja o każdej pełnej godzinie według zastanego stanu.</t>
  </si>
  <si>
    <t xml:space="preserve">Remisy nadal nieopisane.</t>
  </si>
  <si>
    <t xml:space="preserve">V2-034</t>
  </si>
  <si>
    <t xml:space="preserve">Nowi ludzie</t>
  </si>
  <si>
    <t xml:space="preserve">Przyrost populacji zawsze dodaje człowieka do domu.</t>
  </si>
  <si>
    <t xml:space="preserve">Nie przypisuje go od razu do gospodarki. Maksimum ratusza, nie domu.
Źródło: Populacja i szczescie! E11; Czlowiek! C28</t>
  </si>
  <si>
    <t xml:space="preserve">V2-035</t>
  </si>
  <si>
    <t xml:space="preserve">Ubytek populacji nazywamy odejściem, nie śmiercią; tempo jest symetryczne do przyrostu, minimum 6.</t>
  </si>
  <si>
    <t xml:space="preserve">Najpierw ludzie z domu; później z największej załogi.
Źródło: Start! E16; Decyzje i konflikty! I23; Czlowiek! D28</t>
  </si>
  <si>
    <t xml:space="preserve">V2-036</t>
  </si>
  <si>
    <t xml:space="preserve">Priorytet odejść</t>
  </si>
  <si>
    <t xml:space="preserve">Człowiek; Przystań; Tartak; Kamieniołom; Drwale; Farma; Młyn; Magazyn</t>
  </si>
  <si>
    <t xml:space="preserve">Remis największych załóg:port,kamieniołom,tartak,drwale,farma,młyn,magazyn.</t>
  </si>
  <si>
    <t xml:space="preserve">Najpierw dom, następnie największa załoga. Targ, droga i zwiedzanie nadal do doprecyzowania.</t>
  </si>
  <si>
    <t xml:space="preserve">V2-037</t>
  </si>
  <si>
    <t xml:space="preserve">UZUPEŁNIONE V3</t>
  </si>
  <si>
    <t xml:space="preserve">Oferty budowlane i transportowe otrzymały cennik V3;25/50/75% za 1 monetę/min, transport 10/kurs, budynek port×1,25 + czas.</t>
  </si>
  <si>
    <t xml:space="preserve">Patrz Premium i kalkulatory; brakujące interpretacje jawnie oznaczone.</t>
  </si>
  <si>
    <t xml:space="preserve">V2-038</t>
  </si>
  <si>
    <t xml:space="preserve">Premium i pytania</t>
  </si>
  <si>
    <t xml:space="preserve">Kaplica; Latarnia; Wszystkie</t>
  </si>
  <si>
    <t xml:space="preserve">CZĘŚCIOWO UZUPEŁNIONE V3</t>
  </si>
  <si>
    <t xml:space="preserve">Nowe oferty, reklamy, challenge i social pozostają do późniejszego opisania.</t>
  </si>
  <si>
    <t xml:space="preserve">Nowe nagrody social, zadania latarni i ekspedycje zdefiniowano wV3. Szczegóły błogosławieństw kaplicy pozostają odłożone.</t>
  </si>
  <si>
    <t xml:space="preserve">V3-001</t>
  </si>
  <si>
    <t xml:space="preserve">Budynki; transport</t>
  </si>
  <si>
    <t xml:space="preserve">1 PLN = 10 monet. Cena w PLN = cena w monetach / 10.</t>
  </si>
  <si>
    <t xml:space="preserve">Ustalono przelicznik; nie zdefiniowano wypłaty monet na PLN. Źródło: wiadomość 22.10.2026 / docs/arkusze/pomysły.</t>
  </si>
  <si>
    <t xml:space="preserve">V3-002</t>
  </si>
  <si>
    <t xml:space="preserve">Monety służą do Premium; użytkownik używa także nazwy złoto. W gospodarce istnieją już monety z podatków i portu.</t>
  </si>
  <si>
    <t xml:space="preserve">Nie określono, czy złoto, monety zarobione i monety kupione to ta sama pula. Kalkulator roboczo pokazuje jedną monetę, bez nowego tokena. Źródło: wiadomość 22.10.2026 / docs/arkusze/pomysły.</t>
  </si>
  <si>
    <t xml:space="preserve">V3-003</t>
  </si>
  <si>
    <t xml:space="preserve">Skrócenie o 25% pozostałego czasu budowy. Cena = pełne minuty zaoszczędzonego czasu × 1 moneta.</t>
  </si>
  <si>
    <t xml:space="preserve">Roboczo FLOOR(pozostałe sekundy × 0,25 / 60). Wybranie pozostałego czasu zamiast czasu początkowego jest interpretacją. Źródło: wiadomość 22.10.2026 / docs/arkusze/pomysły.</t>
  </si>
  <si>
    <t xml:space="preserve">V3-004</t>
  </si>
  <si>
    <t xml:space="preserve">Skrócenie o 50% pozostałego czasu budowy. Cena = FLOOR(pozostałe sekundy × 0,50 / 60) monet.</t>
  </si>
  <si>
    <t xml:space="preserve">Należy wyświetlać czas skrócenia i cenę przed zatwierdzeniem. Źródło: wiadomość 22.10.2026 / docs/arkusze/pomysły.</t>
  </si>
  <si>
    <t xml:space="preserve">V3-005</t>
  </si>
  <si>
    <t xml:space="preserve">Skrócenie o 75% pozostałego czasu budowy. Cena = FLOOR(pozostałe sekundy × 0,75 / 60) monet.</t>
  </si>
  <si>
    <t xml:space="preserve">Nie ustalono limitu kolejnych przyspieszeń ani minimalnej ceny. Źródło: wiadomość 22.10.2026 / docs/arkusze/pomysły.</t>
  </si>
  <si>
    <t xml:space="preserve">V3-006</t>
  </si>
  <si>
    <t xml:space="preserve">Dotychczasowa oferta została zachowana; nowy cennik podaje tylko skrócenia 25%, 50%, 75%. Cena skrócenia 100% nie została potwierdzona.</t>
  </si>
  <si>
    <t xml:space="preserve">Nie oznaczać automatycznie ceny 100% jako ustalonej. Nie wiadomo także, czy można przyspieszać transport i budowanie łącznie. Źródło: wiadomość 22.10.2026 / docs/arkusze/pomysły.</t>
  </si>
  <si>
    <t xml:space="preserve">V3-007</t>
  </si>
  <si>
    <t xml:space="preserve">Natychmiastowe wysłanie całego gotowego lokalnego zapasu do centrali. 10 monet × liczba kursów potrzebnych do przewozu.</t>
  </si>
  <si>
    <t xml:space="preserve">Potwierdzono: ROUNDUP(ilość / ładunek); każdy potrzebny kurs, również ostatni niepełny, kosztuje 10 monet. 100 / 60 wymaga 2 kursów i kosztuje 20 monet. Źródło: odpowiedź użytkownika 22.10.2026.</t>
  </si>
  <si>
    <t xml:space="preserve">V3-008</t>
  </si>
  <si>
    <t xml:space="preserve">Natychmiastowy przewóz materiałów centralnych na konkretną budowę. 10 monet × SUMA CEILING(ilość każdego materiału / ładunek).</t>
  </si>
  <si>
    <t xml:space="preserve">Każdy materiał liczy się osobno. Monety nie wymagają transportu. Nie ustalono, czy jedno kliknięcie obejmuje wszystkie brakujące materiały. Źródło: wiadomość 22.10.2026 / docs/arkusze/pomysły.</t>
  </si>
  <si>
    <t xml:space="preserve">V3-009</t>
  </si>
  <si>
    <t xml:space="preserve">Takie samo rozliczenie transportu towarów w obu kierunkach. 10 monet za potrzebny kurs właściwej załogi, osobno dla każdego materiału.</t>
  </si>
  <si>
    <t xml:space="preserve">Premium nie tworzy towaru ani wolnej pojemności. Wpływ na blokadę 1 h i termin wygaśnięcia 24 h nadal nieustalony. Źródło: wiadomość 22.10.2026 / docs/arkusze/pomysły.</t>
  </si>
  <si>
    <t xml:space="preserve">V3-010</t>
  </si>
  <si>
    <t xml:space="preserve">Nie ustalono, czy opłata obejmuje również osobny etap port ↔ statek. Zachować rozróżnienie dwóch etapów portowych. Źródło: wiadomość 22.10.2026 / docs/arkusze/pomysły.</t>
  </si>
  <si>
    <t xml:space="preserve">V3-011</t>
  </si>
  <si>
    <t xml:space="preserve">WYCENA POTWIERDZONA; ZAKRES MATERIAŁÓW OTWARTY</t>
  </si>
  <si>
    <t xml:space="preserve">Cena = 1,25 × proporcjonalna bazowa portowa wartość materiałów + wymagane monety budynku + opłata za skrócenie czasu.</t>
  </si>
  <si>
    <t xml:space="preserve">Potwierdzone: bez paczek po 100, bazowe ceny zakupu, +25% tylko od materiałów. Pełny koszt czy brakujące materiały i końcowe zaokrąglenie pozostają do decyzji. Źródło: odpowiedź użytkownika 22.10.2026.</t>
  </si>
  <si>
    <t xml:space="preserve">V3-012</t>
  </si>
  <si>
    <t xml:space="preserve">Monety zapisane w koszcie budynku doliczamy osobno w wymaganej wysokości; nie obejmuje ich dopłata 25%.</t>
  </si>
  <si>
    <t xml:space="preserve">V3-013</t>
  </si>
  <si>
    <t xml:space="preserve">Dotychczas +4 aktywne budowy, dowolnie długa kolejka i planowanie z prognoz dostaw. Nowa stawka nie ustala ceny ani czasu trwania pakietu.</t>
  </si>
  <si>
    <t xml:space="preserve">Nie zakładać, że mikropłatności zastępują pakiet lub znoszą dopłatę kolejki +10%. Źródło: wiadomość 22.10.2026 / docs/arkusze/pomysły.</t>
  </si>
  <si>
    <t xml:space="preserve">V3-014</t>
  </si>
  <si>
    <t xml:space="preserve">Dotychczasowe oferty kaplicy pozostają osobnym tematem. Brak nowej ceny błogosławieństwa.</t>
  </si>
  <si>
    <t xml:space="preserve">Nie stosować automatycznie nowych nagród za post do zakupów błogosławieństw. Źródło: wiadomość 22.10.2026 / docs/arkusze/pomysły.</t>
  </si>
  <si>
    <t xml:space="preserve">V3-015</t>
  </si>
  <si>
    <t xml:space="preserve">Social</t>
  </si>
  <si>
    <t xml:space="preserve">Gracz; polecenia</t>
  </si>
  <si>
    <t xml:space="preserve">KWOTY UZGODNIONE; LIMITY OTWARTE</t>
  </si>
  <si>
    <t xml:space="preserve">Pochwalenie się, że gram: 1000. Publikacja informująca o grze.</t>
  </si>
  <si>
    <t xml:space="preserve">Nie ustalono kanałów, limitu na konto, powtórzeń ani sposobu potwierdzania publikacji. Źródło: wiadomość 22.10.2026 / docs/arkusze/pomysły.</t>
  </si>
  <si>
    <t xml:space="preserve">V3-016</t>
  </si>
  <si>
    <t xml:space="preserve">Informacja o następnym poziomie: 500. Publikacja po rzeczywistym osiągnięciu kolejnego poziomu ratusza.</t>
  </si>
  <si>
    <t xml:space="preserve">Jedna nagroda na osiągnięty poziom jest propozycją; zasady wielu platform i usuwania postów są nieustalone. Źródło: wiadomość 22.10.2026 / docs/arkusze/pomysły.</t>
  </si>
  <si>
    <t xml:space="preserve">V3-017</t>
  </si>
  <si>
    <t xml:space="preserve">Polecenie: nowe logowanie: 1000. Polecona osoba rzeczywiście się zaloguje.</t>
  </si>
  <si>
    <t xml:space="preserve">Nie określono, czy nagrodę dostaje tylko polecający czy także polecony; źródłowo roboczo zapisano nagrodę polecającego. Kryterium nowego konta i limit poleceń nieustalone. Źródło: wiadomość 22.10.2026 / docs/arkusze/pomysły.</t>
  </si>
  <si>
    <t xml:space="preserve">V3-018</t>
  </si>
  <si>
    <t xml:space="preserve">Polecenie: trzeci aktywny dzień: 500 każdego zasobu. Polecona osoba jest aktywna w trzecim dniu.</t>
  </si>
  <si>
    <t xml:space="preserve">Do ustalenia: trzeci dzień od rejestracji czy trzy dni aktywności, minimalna aktywność, odbiorca premii, czy „każdy zasób” obejmuje monety oraz jak przyjąć materiały przy pełnej centrali. Źródło: wiadomość 22.10.2026 / docs/arkusze/pomysły.</t>
  </si>
  <si>
    <t xml:space="preserve">V3-019</t>
  </si>
  <si>
    <t xml:space="preserve">Każdy trzeci post na Facebooku: 1000. Nagroda za trzeci, szósty, dziewiąty itd. kwalifikowany post.</t>
  </si>
  <si>
    <t xml:space="preserve">Nie określono okresu, limitu, wymagań treści ani tego, czy posty „gram” i „kolejny poziom” liczą się do tej samej serii. Zgodność konkretnej akcji z regulaminem platformy wymaga weryfikacji. Źródło: wiadomość 22.10.2026 / docs/arkusze/pomysły.</t>
  </si>
  <si>
    <t xml:space="preserve">V3-020</t>
  </si>
  <si>
    <t xml:space="preserve">W prawym górnym rogu wyświetlamy trzy aktualne zadania latarni: małe, średnie i duże. 3 miejsca, po jednym na rozmiar</t>
  </si>
  <si>
    <t xml:space="preserve">Nagrody są widoczne zawsze, przed rozpoczęciem i wpłatami. Źródło: wiadomość 22.10.2026 / docs/arkusze/pomysły.</t>
  </si>
  <si>
    <t xml:space="preserve">V3-021</t>
  </si>
  <si>
    <t xml:space="preserve">Koszty, wymagane produkty i nagrody losujemy przy pojawieniu się zadania. Małe: 2 produkty; średnie: 2–3; duże: 4</t>
  </si>
  <si>
    <t xml:space="preserve">W przykładach losujemy różne rodzaje spośród drewna, kamienia, zboża, żywności i desek. Rodzaje nagród i koszty powinny być stałe przez życie zadania. Źródło: wiadomość 22.10.2026 / docs/arkusze/pomysły.</t>
  </si>
  <si>
    <t xml:space="preserve">V3-022</t>
  </si>
  <si>
    <t xml:space="preserve">Koszt rodzaju i liczymy z maksymalnej obsady obecnego poziomu jego producenta, niezależnie od faktycznej obsady. R_i = 12 × L_i × p(L_i); p(1)=10, p(L≥2)=L+10; koszt_i = R_i × h</t>
  </si>
  <si>
    <t xml:space="preserve">Nie doliczamy bonusu latarni ×2 ani głodu: to trwała norma poziomu, nie chwilowa wydajność. Użytkownik nie wskazał wprost, czy brać własny poziom producenta, czy najwyższy wspólny poziom; wymaga zatwierdzenia. Źródło: wiadomość 22.10.2026 / docs/arkusze/pomysły.</t>
  </si>
  <si>
    <t xml:space="preserve">V3-023</t>
  </si>
  <si>
    <t xml:space="preserve">Wymagane są dwa produkty, w ilości odpowiadającej 2–6 h maksymalnej produkcji. 2 rodzaje; h∈[2,6]</t>
  </si>
  <si>
    <t xml:space="preserve">L1: 12 osób × 10 szt./h = 120 szt./h, więc 240–720 każdego rodzaju. Źródło: wiadomość 22.10.2026 / docs/arkusze/pomysły.</t>
  </si>
  <si>
    <t xml:space="preserve">V3-024</t>
  </si>
  <si>
    <t xml:space="preserve">Wymagane są dwa lub trzy produkty, w ilości odpowiadającej 3–8 h maksymalnej produkcji, nie mniej niż bieżące małe. 2–3 rodzaje; h∈[3,8]</t>
  </si>
  <si>
    <t xml:space="preserve">Sposób porównania z małym nie jest zdefiniowany; przykład używa h_średnie ≥ h_małe oraz nie mniejszej sumy godzin znormalizowanych. Źródło: wiadomość 22.10.2026 / docs/arkusze/pomysły.</t>
  </si>
  <si>
    <t xml:space="preserve">V3-025</t>
  </si>
  <si>
    <t xml:space="preserve">Wymagane są cztery produkty, w ilości odpowiadającej 4–10 h maksymalnej produkcji, nie mniej niż bieżące średnie. 4 rodzaje; h∈[4,10]</t>
  </si>
  <si>
    <t xml:space="preserve">W przykładzie h_duże ≥ h_średnie. Duże może wymagać więcej niż 6 h produkcji mimo terminu 6 h: zakłada wcześniejsze zapasy lub jest trudno osiągalne od zera. Źródło: wiadomość 22.10.2026 / docs/arkusze/pomysły.</t>
  </si>
  <si>
    <t xml:space="preserve">V3-026</t>
  </si>
  <si>
    <t xml:space="preserve">W przykładach jedna liczba pełnych godzin h obowiązuje wszystkie wymagane rodzaje danego zadania. h_małe ≤ h_średnie ≤ h_duże; H = Σ(koszt_i/R_i)</t>
  </si>
  <si>
    <t xml:space="preserve">Jest to czytelna interpretacja „nie mniejsze”, a nie dodatkowa zatwierdzona reguła. Użytkownik nie określił, czy godziny mają być całkowite ani wspólne dla wszystkich składników. Źródło: wiadomość 22.10.2026 / docs/arkusze/pomysły.</t>
  </si>
  <si>
    <t xml:space="preserve">V3-027</t>
  </si>
  <si>
    <t xml:space="preserve">Małe losuje 100–200 monet; średnie do 400; duże do 600. Przykłady: 100–200, 100–400 i 100–600 monet</t>
  </si>
  <si>
    <t xml:space="preserve">Dolny próg 100 dla średniego i dużego jest interpretacją; użytkownik podał dla nich tylko górną granicę. Źródło: wiadomość 22.10.2026 / docs/arkusze/pomysły.</t>
  </si>
  <si>
    <t xml:space="preserve">V3-028</t>
  </si>
  <si>
    <t xml:space="preserve">Każde zadanie daje także losowy towar lub towary w ilości 50–1000. Przykłady: 1 losowy rodzaj, 50–1000 szt.</t>
  </si>
  <si>
    <t xml:space="preserve">Do decyzji: liczba rodzajów nagród; limit na każdy rodzaj czy łącznie; obsługa braku miejsca w magazynie. Źródło: wiadomość 22.10.2026 / docs/arkusze/pomysły.</t>
  </si>
  <si>
    <t xml:space="preserve">V3-029</t>
  </si>
  <si>
    <t xml:space="preserve">Pierwsze kliknięcie: przed upływem 15 s utrwala ×3; od 15 s do przed upływem 300 s utrwala ×2; od 300 s ×1.</t>
  </si>
  <si>
    <t xml:space="preserve">Potwierdzone granice i utrwalenie mnożnika; ×3 i ×2 nie mnożą się ze sobą. Źródło: odpowiedź użytkownika 22.10.2026.</t>
  </si>
  <si>
    <t xml:space="preserve">V3-030</t>
  </si>
  <si>
    <t xml:space="preserve">Pierwsze kliknięcie konkretnego zadania utrwala mnożnik do ukończenia. Nagroda = bazowa nagroda × utrwalony mnożnik.</t>
  </si>
  <si>
    <t xml:space="preserve">Wypłata dopiero po wpłaceniu całości przed upływem 6 h od pojawienia się; samo kliknięcie nie daje nagrody. Źródło: odpowiedź użytkownika 22.10.2026.</t>
  </si>
  <si>
    <t xml:space="preserve">V3-031</t>
  </si>
  <si>
    <t xml:space="preserve">Każde zadanie ma własny 6-godzinny licznik od pojawienia się. Termin = pojawienie +6 h zegarowych</t>
  </si>
  <si>
    <t xml:space="preserve">Zgodnie z wcześniejszą zasadą świata licznik działa również offline. Zadania nie powinny być przemieszane jednym wspólnym resetem wszystkich trzech. Źródło: wiadomość 22.10.2026 / docs/arkusze/pomysły.</t>
  </si>
  <si>
    <t xml:space="preserve">V3-032</t>
  </si>
  <si>
    <t xml:space="preserve">Po upływie terminu pojawia się nowe zadanie danego rozmiaru. Każde miejsce ma własny cykl</t>
  </si>
  <si>
    <t xml:space="preserve">Aby stale były trzy, proponujemy natychmiastowe uzupełnienie po ukończeniu; użytkownik nie określił wprost momentu odnowienia po wcześniejszym ukończeniu. Źródło: wiadomość 22.10.2026 / docs/arkusze/pomysły.</t>
  </si>
  <si>
    <t xml:space="preserve">V3-033</t>
  </si>
  <si>
    <t xml:space="preserve">Przy niezależnych terminach nowy mały może stać się droższy od starego średniego, a nowy średni od starego dużego. Jednoczesne wymogi: niezależne zegary + zawsze małe ≤ średnie ≤ duże</t>
  </si>
  <si>
    <t xml:space="preserve">Należy ograniczać losowanie do istniejących sąsiadów albo porównywać tylko w momencie tworzenia. Przykłady w arkuszu są spójnymi zestawami demonstracyjnymi, nie definicją pełnego generatora. Źródło: wiadomość 22.10.2026 / docs/arkusze/pomysły.</t>
  </si>
  <si>
    <t xml:space="preserve">V3-034</t>
  </si>
  <si>
    <t xml:space="preserve">Można wpłacać wymagane towary partiami. Towar trafia bezpośrednio z magazynu centralnego do zadania, bez tragarza. Każdy składnik ma licznik dostarczono/wymagane, np. 100/200</t>
  </si>
  <si>
    <t xml:space="preserve">Wpłata nie jest pożyczką ani tymczasową rezerwacją: jest nieodwracalna. W przykładzie nie wpłacamy powyżej pozostałego wymagania. Źródło: wiadomość 22.10.2026 / docs/arkusze/pomysły.</t>
  </si>
  <si>
    <t xml:space="preserve">V3-035</t>
  </si>
  <si>
    <t xml:space="preserve">Po upływie terminu niewykonane zadanie przepada wraz ze wszystkimi dotychczasowymi wpłatami. Zwrot wpłat = 0</t>
  </si>
  <si>
    <t xml:space="preserve">Wymagane wyraźne ostrzeżenie i pokazanie czasu pozostałego przed potwierdzeniem wpłaty; powiadomienia to projekt interfejsu. Źródło: wiadomość 22.10.2026 / docs/arkusze/pomysły.</t>
  </si>
  <si>
    <t xml:space="preserve">V3-036</t>
  </si>
  <si>
    <t xml:space="preserve">Natychmiastowa wpłata Food może kolidować z rezerwą jedzenia 50 × poziom magazynu. Poprzednia zasada chroni rezerwę przed operacjami nieżywieniowymi</t>
  </si>
  <si>
    <t xml:space="preserve">Propozycja: zadanie można zasilać tylko nadwyżką ponad chronioną rezerwę; to nie jest nowo zatwierdzony wyjątek. Źródło: wiadomość 22.10.2026 / docs/arkusze/pomysły.</t>
  </si>
  <si>
    <t xml:space="preserve">V3-037</t>
  </si>
  <si>
    <t xml:space="preserve">Wypłata po pełnej wpłacie przed upływem6h. Nie ustalono obsługi nagrody, która nie mieści się w magazynie. Maksimum przy×3:1800monet i do3000szt. jednego towaru w przykładzie.</t>
  </si>
  <si>
    <t xml:space="preserve">Propozycje do wyboru później: skrzynka do odebrania, odbiór częściowy lub rezerwacja miejsca; nic nie może znikać bez jawnej reguły. Źródło: wiadomość 22.10.2026 / docs/arkusze/pomysły.</t>
  </si>
  <si>
    <t xml:space="preserve">V3-038</t>
  </si>
  <si>
    <t xml:space="preserve">Pojawienie się zadania, utrwalenie premii, wpłata, ukończenie i wygaśnięcie mogą mieć wpis w panelu powiadomień. Zawsze widoczne: tytuł, rozmiar, nagroda, mnożnik, czas i postęp</t>
  </si>
  <si>
    <t xml:space="preserve">Nie dodajemy wymyślonego czasu przypomnienia ani automatycznych wpłat. Źródło: wiadomość 22.10.2026 / docs/arkusze/pomysły.</t>
  </si>
  <si>
    <t xml:space="preserve">V3-039</t>
  </si>
  <si>
    <t xml:space="preserve">Wymagania rosną jak 12 × L × p(L), natomiast zakresy nagród są stałe. L1: 120/h; L2: 288/h; L3: 468/h; L4: 672/h</t>
  </si>
  <si>
    <t xml:space="preserve">Na wysokim poziomie stosunek nagrody do wpłat może być słaby. Losowa nagroda nie gwarantuje zwrotu wartości portowej wkładu. Źródło: wiadomość 22.10.2026 / docs/arkusze/pomysły.</t>
  </si>
  <si>
    <t xml:space="preserve">V3-040</t>
  </si>
  <si>
    <t xml:space="preserve">Pełna załoga 12 × L w każdym z 2–4 zakładów nie może być założona jednocześnie przy jednej wspólnej populacji. L1: 12 osób na start, maks. 24; duże: 4 zakłady × 12 = 48 stanowisk</t>
  </si>
  <si>
    <t xml:space="preserve">Norma ma określać koszt zadania. Nie jest estymatą możliwego zebrania całości w 2–10 h; dodatkowo młyn i tartak zużywają po 2 surowce na produkt. Źródło: wiadomość 22.10.2026 / docs/arkusze/pomysły.</t>
  </si>
  <si>
    <t xml:space="preserve">V3-041</t>
  </si>
  <si>
    <t xml:space="preserve">Gracz; ekspedycja</t>
  </si>
  <si>
    <t xml:space="preserve">Zawsze dostępnych kilka ekspedycji. Konkretna liczba i rotacja nieustalone. Źródło: wiadomość 22.10.2026 / docs/arkusze/pomysły.</t>
  </si>
  <si>
    <t xml:space="preserve">V3-042</t>
  </si>
  <si>
    <t xml:space="preserve">Dokładne sterowanie, plansze i zasady użytkownik opisze później. Źródło: wiadomość 22.10.2026 / docs/arkusze/pomysły.</t>
  </si>
  <si>
    <t xml:space="preserve">V3-043</t>
  </si>
  <si>
    <t xml:space="preserve">Ekspedycja nie przyznaje materiałów ani szczęścia. Nazwa waluty do ujednolicenia. Źródło: wiadomość 22.10.2026 / docs/arkusze/pomysły.</t>
  </si>
  <si>
    <t xml:space="preserve">V3-044</t>
  </si>
  <si>
    <t xml:space="preserve">Można wypłacić pulę na wyspę albo postawić ją na dalszą grę. Źródło: wiadomość 22.10.2026 / docs/arkusze/pomysły.</t>
  </si>
  <si>
    <t xml:space="preserve">V3-045</t>
  </si>
  <si>
    <t xml:space="preserve">Poziom n: 50 × 2^(n−1) monet. To nowa łączna pula, nie dodatkowa nagroda dodawana do poprzedniej. Źródło: wiadomość 22.10.2026 / docs/arkusze/pomysły.</t>
  </si>
  <si>
    <t xml:space="preserve">V3-046</t>
  </si>
  <si>
    <t xml:space="preserve">Po wypłacie ekspedycja powinna zamknąć serię; to logiczna propozycja, nie zatwierdzony osobny szczegół. Nie określono restartów i opłaty wejściowej. Źródło: wiadomość 22.10.2026 / docs/arkusze/pomysły.</t>
  </si>
  <si>
    <t xml:space="preserve">V3-047</t>
  </si>
  <si>
    <t xml:space="preserve">Nie ma podstaw do odbierania istniejących wcześniej monet z wyspy. Płatności za dodatkowe ruchy/czas nie są nagrodą i zasady ich zwrotu nie zostały określone. Źródło: wiadomość 22.10.2026 / docs/arkusze/pomysły.</t>
  </si>
  <si>
    <t xml:space="preserve">V3-048</t>
  </si>
  <si>
    <t xml:space="preserve">Ilości i trudność poszczególnych poziomów nieustalone. Zatrzymywanie podczas reklam i po zamknięciu karty wymaga osobnej reguły. Źródło: wiadomość 22.10.2026 / docs/arkusze/pomysły.</t>
  </si>
  <si>
    <t xml:space="preserve">V3-049</t>
  </si>
  <si>
    <t xml:space="preserve">Nie ustalono ceny, przyrostu czasu/ruchów, liczby zakupów, momentu zakupu ani czy można uratować już przegraną próbę. Źródło: wiadomość 22.10.2026 / docs/arkusze/pomysły.</t>
  </si>
  <si>
    <t xml:space="preserve">V3-050</t>
  </si>
  <si>
    <t xml:space="preserve">To reguła reklam ekspedycyjnych. Wcześniejsze odłożone reklamy kaplicy miały 60 s; nie zastępować ich bez decyzji. Źródło: wiadomość 22.10.2026 / docs/arkusze/pomysły.</t>
  </si>
  <si>
    <t xml:space="preserve">V3-051</t>
  </si>
  <si>
    <t xml:space="preserve">Widoczny krótki kod/hasło, sposób wpisania, nagroda oraz warunek uznania reklamy zostaną opisane później. Źródło: wiadomość 22.10.2026 / docs/arkusze/pomysły.</t>
  </si>
  <si>
    <t xml:space="preserve">V3-052</t>
  </si>
  <si>
    <t xml:space="preserve">Podwajanie jest wykładnicze: poziom 10 = 25 600, poziom 20 = 26 214 400 monet. Limit, trudność i koszt ratowania mogą być potrzebne do balansu. Źródło: wiadomość 22.10.2026 / docs/arkusze/pomysły.</t>
  </si>
  <si>
    <t xml:space="preserve">V5-001</t>
  </si>
  <si>
    <t xml:space="preserve">Interfejs czasu</t>
  </si>
  <si>
    <t xml:space="preserve">Patrz opis i źródło</t>
  </si>
  <si>
    <t xml:space="preserve">ZATWIERDZONE W PLIKU 4</t>
  </si>
  <si>
    <t xml:space="preserve">Usunąć z prawego górnego rogu ikony stop, play i przewijania czasu. Świat nadal działa zegarowo również offline.</t>
  </si>
  <si>
    <t xml:space="preserve">To ustalenie interfejsu, bez zmiany działania zegara gospodarki. Nie wdrażamy go teraz w grze. Źródło: HARBORLIGHT4-zasady.xlsx — Start!D14; Czlowiek!G36</t>
  </si>
  <si>
    <t xml:space="preserve">V5-002</t>
  </si>
  <si>
    <t xml:space="preserve">POTWIERDZENIE ODESŁANIA</t>
  </si>
  <si>
    <t xml:space="preserve">Szczegóły Premium z wersji 3 pozostają aktualne. W tabeli budynków wystarczy odnośnik do zakładki Premium. 1 PLN = 10 monet; transport 10 monet/kurs; materiały +25%.</t>
  </si>
  <si>
    <t xml:space="preserve">Plik 4 powstał na bazie starszego arkusza. Brak zakładek zadań i ekspedycji nie jest poleceniem ich usunięcia; użytkownik wprost odsyła do wersji 3. Źródło: HARBORLIGHT4-zasady.xlsx — Start!D16; Budynki!J6:J17</t>
  </si>
  <si>
    <t xml:space="preserve">V5-003</t>
  </si>
  <si>
    <t xml:space="preserve">Koszty producentów</t>
  </si>
  <si>
    <t xml:space="preserve">ZMIANA ZATWIERDZONA</t>
  </si>
  <si>
    <t xml:space="preserve">Podwoić cały koszt rozbudowy młyna, drwali, tartaku i kamieniołomu. Farma zachowuje dotychczasowy koszt. Młyn: 2L × (72 drewna +72 kamienia +120 Food); Drwale: 2L × (192 drewna +72 kamienia); Tartak: 2L × (72 drewna +72 kamienia +120 desek); Kamieniołom: 2L × (72 drewna +192 kamienia).</t>
  </si>
  <si>
    <t xml:space="preserve">Mnożnik dotyczy wszystkich składników wskazanego kosztu. Wariant kolejki +10% liczymy po podwojeniu. Należy ponownie przeliczyć kursy i czasy; samo T+T pozostaje bez zmian. L oznacza obecny poziom. Źródło: HARBORLIGHT4-zasady.xlsx — Budynki!E9:E12</t>
  </si>
  <si>
    <t xml:space="preserve">V5-004</t>
  </si>
  <si>
    <t xml:space="preserve">Rezerwa Food</t>
  </si>
  <si>
    <t xml:space="preserve">Próg ratunkowego transportu i chroniona rezerwa Food wynoszą 50 × poziom magazynu centralnego. Próg = 50L; porównanie: stan Food w centrali &lt;50L.</t>
  </si>
  <si>
    <t xml:space="preserve">Zamyka wcześniejszą rozbieżność między stałym progiem 50 a rezerwą 50 × poziom. Ludzie nadal mogą zjadać rezerwę. Źródło: HARBORLIGHT4-zasady.xlsx — Czlowiek!H10</t>
  </si>
  <si>
    <t xml:space="preserve">V5-005</t>
  </si>
  <si>
    <t xml:space="preserve">Podatek przy przestoju</t>
  </si>
  <si>
    <t xml:space="preserve">Pracownik przypisany do przedsiębiorstwa nadal płaci podatek podczas przestoju produkcji. 1 moneta/os./h; premia podatkowa kaplicy zgodnie z dotychczasową zasadą.</t>
  </si>
  <si>
    <t xml:space="preserve">Przestój obniża szczęście. To nie wprowadza podatku dla bezrobotnego, osoby wracającej do domu ani osoby dopiero idącej do pracy. Źródło: HARBORLIGHT4-zasady.xlsx — Czlowiek!G13; G15; G25; G26</t>
  </si>
  <si>
    <t xml:space="preserve">V5-006</t>
  </si>
  <si>
    <t xml:space="preserve">Dojście do pracy</t>
  </si>
  <si>
    <t xml:space="preserve">Osoba zaczyna pracować i płacić podatek dopiero po dotarciu do zakładu. Droga do pracy: 5 min; do chwili dojścia produkcja i podatek =0.</t>
  </si>
  <si>
    <t xml:space="preserve">Przydział rezerwuje osobę, ale nie uruchamia pracy w trakcie dojścia. Źródło: HARBORLIGHT4-zasady.xlsx — Czlowiek!G23</t>
  </si>
  <si>
    <t xml:space="preserve">V5-007</t>
  </si>
  <si>
    <t xml:space="preserve">Kara za przestój</t>
  </si>
  <si>
    <t xml:space="preserve">Karę wiązać z faktycznym zatrzymaniem produkcji. Dotyczy wyłącznie osób przypisanych do tego przedsiębiorstwa przez czas przestoju. Nie zależy od samego procentu zapełnienia lokalnego magazynu. Dotychczasowa drabinka: −10 od razu, kolejne −10 co 24 h, maksymalnie −50 z tego tytułu.</t>
  </si>
  <si>
    <t xml:space="preserve">Notatka w wierszu przestoju odsyła do logiki w wierszu niżej. Dlatego stosujemy tę jedną karę przestoju zamiast automatycznie dokładać jeszcze karę bezrobocia. Podatek pozostaje. Bonus +1 pp/h za pracę podczas postoju nie został osobno określony. Źródło: HARBORLIGHT4-zasady.xlsx — Czlowiek!G22; G25; G26</t>
  </si>
  <si>
    <t xml:space="preserve">V5-008</t>
  </si>
  <si>
    <t xml:space="preserve">Reset przestoju</t>
  </si>
  <si>
    <t xml:space="preserve">ZATWIERDZONE</t>
  </si>
  <si>
    <t xml:space="preserve">Po wysłaniu pracownika do domu licznik jego przestoju resetuje się do 0 już w drodze. Kara dotyczy utrzymywania ludzi w zatrzymanym przedsiębiorstwie. Powrót do domu nadal trwa 5 min.</t>
  </si>
  <si>
    <t xml:space="preserve">Reset dotyczy licznika/modyfikatora przestoju, a nie wyzerowania całego osobistego szczęścia. Notatka wskazuje limit −50 przy długim przestoju; dokładną relację tego limitu do innych kar należy rozróżniać od globalnego zakresu −100…+100. Źródło: HARBORLIGHT4-zasady.xlsx — Czlowiek!G26</t>
  </si>
  <si>
    <t xml:space="preserve">V5-009</t>
  </si>
  <si>
    <t xml:space="preserve">Odejścia mieszkańców</t>
  </si>
  <si>
    <t xml:space="preserve">ZAKTUALIZOWANA KOLEJNOŚĆ</t>
  </si>
  <si>
    <t xml:space="preserve">Najpierw odchodzą osoby z domu. Gdy ich brak, odchodzą osoby z zakładu o największej obsadzie. Przy remisie stosować nową kolejność. Port → kamieniołom → tartak → drwale → farma → młyn/wiatrak → transport magazynu.</t>
  </si>
  <si>
    <t xml:space="preserve">Kamieniołom jest teraz przed tartakiem. Targu oraz osób w drodze/na wizytach nie umieszczono w pełnej liście; tych pozycji nie dopisujemy za użytkownika. Minimum populacji6 pozostaje. Źródło: HARBORLIGHT4-zasady.xlsx — Start!D17; Czlowiek!G35</t>
  </si>
  <si>
    <t xml:space="preserve">V5-010</t>
  </si>
  <si>
    <t xml:space="preserve">Ochrona obsady transportu</t>
  </si>
  <si>
    <t xml:space="preserve">Pracowników transportu zabiera się na końcu. Gdy Food w centrali jest poniżej rezerwy, a gotowa żywność czeka w młynie, gracz nie może odwołać całej obsady magazynu. Pozostaje co najmniej 1 istniejący tragarz, jeśli Food &lt;50 × poziom magazynu i Food w młynie &gt;0.</t>
  </si>
  <si>
    <t xml:space="preserve">Nie tworzymy nowej osoby przy pustej obsadzie. Blokada dotyczy ręcznego odwołania; użytkownik nie określił osobno wpływu na przymusowe odejście demograficzne. Źródło: HARBORLIGHT4-zasady.xlsx — Transport i priorytety!F10; Czlowiek!H10</t>
  </si>
  <si>
    <t xml:space="preserve">V5-011</t>
  </si>
  <si>
    <t xml:space="preserve">ETA to suma pozostałego transportu i budowania. Zmiana priorytetów transportu przelicza estymatę. ETA = pozostały transport + pozostała faza budowy.</t>
  </si>
  <si>
    <t xml:space="preserve">Estymata nie jest zamrożona w momencie zlecenia. Gotowy kalkulator porównawczy nadal używa jawnie opisanej liczby dostępnych tragarzy. Źródło: HARBORLIGHT4-zasady.xlsx — Transport i priorytety!F12</t>
  </si>
  <si>
    <t xml:space="preserve">V5-012</t>
  </si>
  <si>
    <t xml:space="preserve">Rejs statku</t>
  </si>
  <si>
    <t xml:space="preserve">Czas rejsu wynosi zawsze5 minut. 5 min/rejs.</t>
  </si>
  <si>
    <t xml:space="preserve">To osobny etap od kursu pracownika magazynu/portu. Poprzednio czas rejsu nie był zdefiniowany; nie utożsamiamy go z czasem przenoszenia ładunków. Źródło: HARBORLIGHT4-zasady.xlsx — Transport i priorytety!F15</t>
  </si>
  <si>
    <t xml:space="preserve">V5-013</t>
  </si>
  <si>
    <t xml:space="preserve">Zapłata przy zakupie portowym</t>
  </si>
  <si>
    <t xml:space="preserve">ZATWIERDZONE; ZDARZENIE WYMAGA PRECYZJI</t>
  </si>
  <si>
    <t xml:space="preserve">Monety schodzą z konta w momencie transakcji. Pobranie kosztu zakupu przy transakcji, nie dopiero przy dostarczeniu towaru do centrali.</t>
  </si>
  <si>
    <t xml:space="preserve">W modelu dokumentacji można przyjąć zatwierdzenie zakupu jako moment transakcji, ale źródło nie nazywa tego zdarzenia bardziej szczegółowo. Wypłata za sprzedaż przy wypłynięciu statku pozostaje wcześniejszą zasadą. Źródło: HARBORLIGHT4-zasady.xlsx — Transport i priorytety!F15</t>
  </si>
  <si>
    <t xml:space="preserve">V5-014</t>
  </si>
  <si>
    <t xml:space="preserve">Płatne błogosławieństwo kaplicy</t>
  </si>
  <si>
    <t xml:space="preserve">Płatne użycie daje taki sam efekt jak dotychczasowe błogosławieństwo; cena zależy od poziomu kaplicy. 100 × poziom kaplicy monet; maksymalnie 1 płatne użycie na 4 h. Efekt: +50 każdego dotychczasowego zasobu i +20 szczęścia wszystkim na 1 h.</t>
  </si>
  <si>
    <t xml:space="preserve">Nadal nie nakładamy drugiego aktywnego błogosławieństwa. Sposób liczenia okna 4 h od zakupu/aktywacji nie jest dokładniej opisany. Nowa cena dotyczy płatnego użycia, nie rozbudowy kaplicy. Źródło: HARBORLIGHT4-zasady.xlsx — Czlowiek!G29</t>
  </si>
  <si>
    <t xml:space="preserve">V5-015</t>
  </si>
  <si>
    <t xml:space="preserve">Koniec premii latarni</t>
  </si>
  <si>
    <t xml:space="preserve">Po zakończeniu premii latarni szczęście wraca do stanu sprzed premii. Efekt latarni:100% przez 24 h × osiągnięty poziom; po wygaśnięciu przywrócenie wartości sprzed efektu.</t>
  </si>
  <si>
    <t xml:space="preserve">Zastępuje wcześniejszy model powrotu do wartości bieżącej naliczanej pod premią. Nie określono jeszcze, jak odtwarzać stan osób urodzonych podczas premii ani rozliczać nakładające się efekty. Źródło: HARBORLIGHT4-zasady.xlsx — Czlowiek!G30</t>
  </si>
  <si>
    <t xml:space="preserve">V5-016</t>
  </si>
  <si>
    <t xml:space="preserve">Zwiedzanie latarni — uczestnicy</t>
  </si>
  <si>
    <t xml:space="preserve">Na zwiedzanie można wysyłać wyłącznie wolnych ludzi z domu. Pobyt trwa 4 godziny. Liczba osób do wysłania: do 2 × poziom latarni, ograniczona dostępnymi ludźmi w domu.</t>
  </si>
  <si>
    <t xml:space="preserve">Osoba zwiedzająca nie produkuje i nie płaci podatku; je normalnie z centrali. Liczenie limitu jako jednoczesnej obsady jest roboczą interpretacją; źródło nie podaje osobnego limitu dziennego. Źródło: HARBORLIGHT4-zasady.xlsx — Czlowiek!G31</t>
  </si>
  <si>
    <t xml:space="preserve">V5-017</t>
  </si>
  <si>
    <t xml:space="preserve">Zwiedzanie latarni — premie</t>
  </si>
  <si>
    <t xml:space="preserve">ZATWIERDZONE; CZĘŚĆ JEDNOSTEK MODELOWA</t>
  </si>
  <si>
    <t xml:space="preserve">Zwiedzający otrzymują szczęście 100% niezależnie od wcześniejszej wartości, a cała populacja dostaje dodatkowe szczęście. Uczestnik: 100% przez 24 h. Cała populacja: +10 pp przez 6 h — jednostka h przy „na6” jest uzupełnieniem redakcyjnym do potwierdzenia.</t>
  </si>
  <si>
    <t xml:space="preserve">Nie określono momentu początku premii, naliczania globalnej premii raz na wizytę/grupę/osobę ani kumulowania kolejnych wizyt. Nie zakładamy mnożenia +10 przez liczbę zwiedzających. Źródło: HARBORLIGHT4-zasady.xlsx — Czlowiek!G31</t>
  </si>
  <si>
    <t xml:space="preserve">V5-018</t>
  </si>
  <si>
    <t xml:space="preserve">Ranking aktualizuje się o każdej pełnej godzinie według stanu zastanego w tej chwili. Wynik = poziom ratusza × posiadane monety/złoto; aktualizacja co pełną godzinę zegarową.</t>
  </si>
  <si>
    <t xml:space="preserve">Nie zastępuje to zegarowego naliczania gospodarki; dotyczy odświeżania wyniku rankingu. Źródło: HARBORLIGHT4-zasady.xlsx — Czlowiek!G37</t>
  </si>
  <si>
    <t xml:space="preserve">POPULACJA • przyrost i ubytek zostały ustalone</t>
  </si>
  <si>
    <t xml:space="preserve">Wszystko działa offline według czasu zegarowego; ubytek oznacza wyłącznie odejście, nie śmierć. Nowi zawsze trafiają do domu. Minimum 6, maksimum 24 × Ratusz, nie Dom. Używamy dokładnej średniej indywidualnego H, nie zaokrąglonego procentu.</t>
  </si>
  <si>
    <t xml:space="preserve">Szczęście dokładne [%]</t>
  </si>
  <si>
    <t xml:space="preserve">Zmiana osób / h</t>
  </si>
  <si>
    <t xml:space="preserve">Czas na 1 osobę [h]</t>
  </si>
  <si>
    <t xml:space="preserve">Znaczenie</t>
  </si>
  <si>
    <t xml:space="preserve">Ubywa</t>
  </si>
  <si>
    <t xml:space="preserve">Minimum 6, maksimum 24 × Ratusz. Najpierw odejścia z domu, potem z największej załogi. Remis: port, kamieniołom, tartak, drwale, farma, młyn, magazyn. Targ, osoby w drodze i zwiedzający — do doprecyzowania.</t>
  </si>
  <si>
    <t xml:space="preserve">Populacja bez zmian</t>
  </si>
  <si>
    <t xml:space="preserve">Przybywa</t>
  </si>
  <si>
    <t xml:space="preserve">WZÓR I PRZYKŁAD</t>
  </si>
  <si>
    <t xml:space="preserve">Dla H=|szczęście|: tempo=H/300 osoby/h dla 0…50%; dla 50…100%:1/6+(H−50)/60. Znak dodatni daje przyrost, ujemny ubytek. ±75% daje 1 osobę co 1 h 42 min 51 s. Przy 0% brak zmiany. Nowa osoba ma własne szczęście 0, dopiero potem otrzymuje aktualne premie wyspy.</t>
  </si>
  <si>
    <t xml:space="preserve">PORT • nowe 140/150 i liniowa podwyżka</t>
  </si>
  <si>
    <t xml:space="preserve">Ceny za 100. Port 40/50 podstawowe i 140/150 przetworzone. Targ bez monetowy+marża 10%. Od 2 paczki zakupu w ruchomych 3 h liniowo+10%ceny bazowej; zakres licznika globalny/per materiał jeszcze do określenia. Przykład dla kolejnych paczekjednego rodzaju bez wygaśnięć okna.</t>
  </si>
  <si>
    <t xml:space="preserve">Numer paczki100</t>
  </si>
  <si>
    <t xml:space="preserve">Kupno podstawowych</t>
  </si>
  <si>
    <t xml:space="preserve">Kupno przetworzonych</t>
  </si>
  <si>
    <t xml:space="preserve">Sprzedaż podstawowych</t>
  </si>
  <si>
    <t xml:space="preserve">Sprzedaż przetworzonych</t>
  </si>
  <si>
    <t xml:space="preserve">Suma kupna podstawowych</t>
  </si>
  <si>
    <t xml:space="preserve">Suma kupna przetworzonych</t>
  </si>
  <si>
    <t xml:space="preserve">Jedno zamówienie 500 szt.liczy 5 paczek; dopłata dla każdej kolejnej paczki. Sprzedaż bez tej dopłaty.</t>
  </si>
  <si>
    <t xml:space="preserve">Rentowność2:1</t>
  </si>
  <si>
    <t xml:space="preserve">200 drewna sprzedane jako surowiec=80 monet; po przeróbce 100 desek=140. Zakup 200 drewna=100; 100 desek=150. Nowy cennik usuwa poprzednią odwrotną zachętę.</t>
  </si>
  <si>
    <t xml:space="preserve">Przepływ/terminy</t>
  </si>
  <si>
    <t xml:space="preserve">Sprzedaż:dwa cykle; statek=pojemność portu; płatność przy wypłynięciu. Zakup: monety w momencie transakcji, rejs 5 min, rozładunek i przewóz do centrali. Dokładny punkt transakcji opisano jako interpretację. Nieodebrane24h przepada, bez opłaty10monet.</t>
  </si>
  <si>
    <t xml:space="preserve">KAPLICA / LATARNIA • dwa źródła premii</t>
  </si>
  <si>
    <t xml:space="preserve">Kaplica = błogosławieństwo, Latarnia = zwiedzanie. W domu widać ludzi i ich przydziały; można ich stamtąd wysyłać. Nowe zasady wizyt są odrębne od premii ZA ukończenie rozbudowy i nie zastępują ich bez decyzji.</t>
  </si>
  <si>
    <t xml:space="preserve">Element</t>
  </si>
  <si>
    <t xml:space="preserve">Aktualna zasada</t>
  </si>
  <si>
    <t xml:space="preserve">Co pozostaje do później</t>
  </si>
  <si>
    <t xml:space="preserve">Kaplica: rozbudowa</t>
  </si>
  <si>
    <t xml:space="preserve">+10 × N szczęścia i podatki ×2 przez 10 h; poziom 1 bez pasywnego bonusu.</t>
  </si>
  <si>
    <t xml:space="preserve">Koszt kaplicy nadal tymczasowy; premia po ukończeniu.</t>
  </si>
  <si>
    <t xml:space="preserve">Dotychczas: +50 każdego zasobu, +20 szczęścia na 1 h; liczba bezpłatnych użyć = poziom kaplicy.</t>
  </si>
  <si>
    <t xml:space="preserve">Płatne użycie: 100 × poziom kaplicy monet, maksymalnie 1/4h. Efekt jak dotychczas. Zakaz nakładania aktywnych błogosławieństw pozostaje; punkt startu okna 4 h do opisania.</t>
  </si>
  <si>
    <t xml:space="preserve">Latarnia: rozbudowa</t>
  </si>
  <si>
    <t xml:space="preserve">Efektywne szczęście WSZYSTKICH 100%, produkcja materiałów ×2; obie premie przez 24 h × N.</t>
  </si>
  <si>
    <t xml:space="preserve">Po zakończeniu przywracamy stan szczęścia sprzed premii. Osoby nowe w czasie efektu oraz nakładanie innych efektów wymagają osobnego doprecyzowania.</t>
  </si>
  <si>
    <t xml:space="preserve">Wolni ludzie z domu: do 2 × poziom latarni, pobyt 4 h. Podatek 0, jedzenie normalne. Uczestnicy mają 100% przez 24 h; cała populacja +10 przez 6 h.</t>
  </si>
  <si>
    <t xml:space="preserve">Jednostkę „na6” odczytano roboczo jako 6 h, a +10% jako +10 pp. Początek, kumulacja i jednoczesny charakter limitu do opisania.</t>
  </si>
  <si>
    <t xml:space="preserve">Cooldown/reklamy/zakup</t>
  </si>
  <si>
    <t xml:space="preserve">Notatkę źródłową zachowano; oferty zebrano w Premium.</t>
  </si>
  <si>
    <t xml:space="preserve">Płatna cena i limit 1 użycie na 4 h są już ustalone. Nadal odłożone: nowe reklamy, challenge, rosnące odstępy i związane z nimi integracje.</t>
  </si>
  <si>
    <t xml:space="preserve">POTWIERDZENIA • odpowiedzi z rozmowy</t>
  </si>
  <si>
    <t xml:space="preserve">22.10.2026, Europa/Warszawa. Ten arkusz pozwala odróżnić Twoje dosłowne odpowiedzi od roboczych interpretacji. Wersja 2 to wynik analizy, nie kod ani wdrożenie.</t>
  </si>
  <si>
    <t xml:space="preserve">Potwierdzenie</t>
  </si>
  <si>
    <t xml:space="preserve">Wszystkie 5 producentów; szczegóły Produkcja.</t>
  </si>
  <si>
    <t xml:space="preserve">Łącznie 5T: transport T + budowa 4T</t>
  </si>
  <si>
    <t xml:space="preserve">Czasy przeliczone.</t>
  </si>
  <si>
    <t xml:space="preserve">Użyj nowego poziomu N: 4T, 7T, 10T</t>
  </si>
  <si>
    <t xml:space="preserve">Cały kurs z powrotem trwa 5 min</t>
  </si>
  <si>
    <t xml:space="preserve">Kalkulacja podzielona według ładunków.</t>
  </si>
  <si>
    <t xml:space="preserve">Ceny-produkty</t>
  </si>
  <si>
    <t xml:space="preserve">Ostatnia korekta: 140/150 w PORCIE; na TARGU wymiana bez monet z marżą.</t>
  </si>
  <si>
    <t xml:space="preserve">Zastępuje 70/80 w porcie oraz wcześniejszą odpowiedź dotyczącą targu.</t>
  </si>
  <si>
    <t xml:space="preserve">Wszystkie mechaniki działają również offline</t>
  </si>
  <si>
    <t xml:space="preserve">Nie tylko budowa i port.</t>
  </si>
  <si>
    <t xml:space="preserve">HARBORLIGHT1-zasady.xlsx, commit d8f424d</t>
  </si>
  <si>
    <t xml:space="preserve">Oryginał niezmieniony; nowy plik: HARBORLIGHT2-zasady.xlsx.</t>
  </si>
  <si>
    <t xml:space="preserve">Wersja 3</t>
  </si>
  <si>
    <t xml:space="preserve">Nowe reguły Premium, zadań latarni, social i ekspedycji.</t>
  </si>
  <si>
    <t xml:space="preserve">Źródło: docs/arkusze/pomysły, commit 748b1eb oraz wiadomość z 22.10.2026.</t>
  </si>
  <si>
    <t xml:space="preserve">Potwierdzenia V3</t>
  </si>
  <si>
    <t xml:space="preserve">Zatwierdzono: ostatni niepełny kurs jest płatny; materiały proporcjonalnie według bazowych cen portowych +25%, monety osobno; pierwsze kliknięcie utrwala bonus zadania.</t>
  </si>
  <si>
    <t xml:space="preserve">Odpowiedzi użytkownika 22.10.2026: „Tak, również ostatni niepełny kurs”; „Tak, cena proporcjonalna materiałów +25%, monety osobno”; „Tak, kliknięcie zapisuje mnożnik”. Nagroda za pełną wpłatę przed końcem 6 h. Te trzy pytania są zamknięte; inne szczegóły pozostają oznaczone osobno.</t>
  </si>
  <si>
    <t xml:space="preserve">Wersja 5</t>
  </si>
  <si>
    <t xml:space="preserve">Plik4:37 zmian względem jego bazy V2; połączone z całą wersją 3 i tekstem pomysłów.</t>
  </si>
  <si>
    <t xml:space="preserve">Źródło:701a7d4; oryginał4 zachowany. Pełne wpisy:Twoje wpisy v4.</t>
  </si>
  <si>
    <t xml:space="preserve">POMYSŁY • nowe wpisy z repozytorium</t>
  </si>
  <si>
    <t xml:space="preserve">Pomysły z pliku docs/arkusze/pomysły, dodane podczas pracy nad arkuszem. Zachowujemy je jako pomysły, bez dopisywania mechanik, cen ani zasad.</t>
  </si>
  <si>
    <t xml:space="preserve">Oryginalny wpis</t>
  </si>
  <si>
    <t xml:space="preserve">Status / brakujące szczegóły</t>
  </si>
  <si>
    <t xml:space="preserve">shakomat na komórkę z kólką</t>
  </si>
  <si>
    <t xml:space="preserve">docs/arkusze/pomysły; commit 30b10ec</t>
  </si>
  <si>
    <t xml:space="preserve">Mechanika labiryntu i piłeczki związana z ekspedycjami; sterowanie i wykorzystanie ruchu telefonu użytkownik opisze później.</t>
  </si>
  <si>
    <t xml:space="preserve">ekspedycje</t>
  </si>
  <si>
    <t xml:space="preserve">Rozwinięte w arkuszach Ekspedycje oraz Ekspedycje - poziomy.</t>
  </si>
  <si>
    <t xml:space="preserve">wyzwania do latarni</t>
  </si>
  <si>
    <t xml:space="preserve">Rozwinięte w arkuszach Zadania latarni, Zadania przyklady i Zadania - zegary.</t>
  </si>
  <si>
    <t xml:space="preserve">TWOJE WPISY • zachowane z pliku1</t>
  </si>
  <si>
    <t xml:space="preserve">Oryginał HARBORLIGHT1-zasady.xlsx pozostaje nienaruszony. To archiwum75 zmian tekstowych, w tym przesunięć nagłówków; przeniesione formuły nie są liczone jako nowe zasady. Wiążące odpowiedzi z rozmowy mają osobną zakładkę.</t>
  </si>
  <si>
    <t xml:space="preserve">Poprzednio</t>
  </si>
  <si>
    <t xml:space="preserve">Twój wpis — bez zmian</t>
  </si>
  <si>
    <t xml:space="preserve">Obsługa w wersji2</t>
  </si>
  <si>
    <t xml:space="preserve">Start!E9</t>
  </si>
  <si>
    <t xml:space="preserve">zdefiniowane w innym miejscu </t>
  </si>
  <si>
    <t xml:space="preserve">Uwzględnione w uporządkowanych zasadach lub jawnie oznaczone jako szczegół do decyzji; patrz Odpowiedzi i zmiany.</t>
  </si>
  <si>
    <t xml:space="preserve">Start!E12</t>
  </si>
  <si>
    <t xml:space="preserve">zakładamy nakarmionych tragarzy, ale zwiekszamy limit min pożywienia w magazynie na 50 x Level</t>
  </si>
  <si>
    <t xml:space="preserve">Start!E13</t>
  </si>
  <si>
    <t xml:space="preserve">tak potwierdzam  wraz z rozbudową magazynu wzrasta ilość materiałów jakie tragarz może ze sobą zabrać, logika też jest osobno opisana przy magazynie </t>
  </si>
  <si>
    <t xml:space="preserve">Start!E16</t>
  </si>
  <si>
    <t xml:space="preserve">nie nazywajmy ubytku śmiercią </t>
  </si>
  <si>
    <t xml:space="preserve">Budynki!K5</t>
  </si>
  <si>
    <t xml:space="preserve">1→2: transport + budowa</t>
  </si>
  <si>
    <t xml:space="preserve">Uwagi 3</t>
  </si>
  <si>
    <t xml:space="preserve">Budynki!M5</t>
  </si>
  <si>
    <t xml:space="preserve">3→4: transport + budowa</t>
  </si>
  <si>
    <t xml:space="preserve">Budynki!N5</t>
  </si>
  <si>
    <t xml:space="preserve">2→3: transport + budowa</t>
  </si>
  <si>
    <t xml:space="preserve">Budynki!O5</t>
  </si>
  <si>
    <t xml:space="preserve">Budynki!F6</t>
  </si>
  <si>
    <t xml:space="preserve">ŁĄCZNIE3T: transportT +budowa2T.</t>
  </si>
  <si>
    <t xml:space="preserve">ŁĄCZNIE3T: transportT +budowa2T. Zmiana, czas 2 T</t>
  </si>
  <si>
    <t xml:space="preserve">Budynki!J6</t>
  </si>
  <si>
    <t xml:space="preserve">Oferta dla tego budynku nieustalona. Wcześniejszy projekt globalnego pakietu: +4 równoległe budowy, dowolna kolejka i planowanie z estymaty dostaw na czas pakietu; cena/czas nieustalone.</t>
  </si>
  <si>
    <t xml:space="preserve">Premium, zbuduj 2 x szybciej, zbuduj natychmiast (oba jak masz zasoby) kup budynek jak nie masz surowców </t>
  </si>
  <si>
    <t xml:space="preserve">Budynki!K6</t>
  </si>
  <si>
    <t xml:space="preserve">'=TEXT('Czas budowy'!S6,"0.00")&amp;" h łącznie; T="&amp;TEXT('Czas budowy'!P6,"0.00")&amp;" h, budowa="&amp;TEXT('Czas budowy'!R6,"0.00")&amp;" h. Założenia: Czas budowy / D02."</t>
  </si>
  <si>
    <t xml:space="preserve">Budynki!F7</t>
  </si>
  <si>
    <t xml:space="preserve">Budynki!J7</t>
  </si>
  <si>
    <t xml:space="preserve">Budynki!K7</t>
  </si>
  <si>
    <t xml:space="preserve">'=TEXT('Czas budowy'!S9,"0.00")&amp;" h łącznie; T="&amp;TEXT('Czas budowy'!P9,"0.00")&amp;" h, budowa="&amp;TEXT('Czas budowy'!R9,"0.00")&amp;" h. Założenia: Czas budowy / D02."</t>
  </si>
  <si>
    <t xml:space="preserve">Budynki!C8</t>
  </si>
  <si>
    <t xml:space="preserve">Start0. Limit na budynek12×poziom ratusza, ale tylko faktycznie wolni ludzie ze wspólnej puli. Nie można przypisać jednej osoby dwa razy.</t>
  </si>
  <si>
    <t xml:space="preserve">Start0. Limit na budynek12×poziom ratusza, ale tylko faktycznie wolni ludzie ze wspólnej puli. Nie można przypisać jednej osoby dwa razy. Start wszystkie zasoby = 100</t>
  </si>
  <si>
    <t xml:space="preserve">Budynki!D8</t>
  </si>
  <si>
    <t xml:space="preserve">Zamiar z pliku: większa możliwa produkcja dzięki większej obsadzie. Limit obsady został wyjaśniony jako zależny od RATUSZA, nie własnego poziomu producenta. Osobna korzyść ulepszenia tego budynku nadal nie została określona.</t>
  </si>
  <si>
    <t xml:space="preserve">Zamiar z pliku: większa możliwa produkcja dzięki większej obsadzie. Limit obsady został wyjaśniony jako zależny od RATUSZA, nie własnego poziomu producenta. Osobna korzyść ulepszenia tego budynku nadal nie została określona. Rozbudowa na kolejny poziom daje zawsze dodatkowo 10% extra efektywności pracy czyli zwiększa w tym przypadku zboże analogicznie też drewno kamien etc </t>
  </si>
  <si>
    <t xml:space="preserve">Budynki!J8</t>
  </si>
  <si>
    <t xml:space="preserve">Budynki!K8</t>
  </si>
  <si>
    <t xml:space="preserve">'=TEXT('Czas budowy'!S12,"0.00")&amp;" h łącznie; T="&amp;TEXT('Czas budowy'!P12,"0.00")&amp;" h, budowa="&amp;TEXT('Czas budowy'!R12,"0.00")&amp;" h. Założenia: Czas budowy / D02."</t>
  </si>
  <si>
    <t xml:space="preserve">Budynki!J9</t>
  </si>
  <si>
    <t xml:space="preserve">Budynki!J10</t>
  </si>
  <si>
    <t xml:space="preserve">Budynki!J11</t>
  </si>
  <si>
    <t xml:space="preserve">Budynki!J12</t>
  </si>
  <si>
    <t xml:space="preserve">Budynki!E13</t>
  </si>
  <si>
    <t xml:space="preserve">500×L KAŻDEGO z6 zasobów</t>
  </si>
  <si>
    <t xml:space="preserve">300×L KAŻDEGO z6 zasobów</t>
  </si>
  <si>
    <t xml:space="preserve">Budynki!J13</t>
  </si>
  <si>
    <t xml:space="preserve">Budynki!K13</t>
  </si>
  <si>
    <t xml:space="preserve">'=TEXT('Czas budowy'!S27,"0.00")&amp;" h łącznie; T="&amp;TEXT('Czas budowy'!P27,"0.00")&amp;" h, budowa="&amp;TEXT('Czas budowy'!R27,"0.00")&amp;" h. Założenia: Czas budowy / D02."</t>
  </si>
  <si>
    <t xml:space="preserve">Budynki!D14</t>
  </si>
  <si>
    <t xml:space="preserve">Pojemność×1.5:1000,1500,2250… Wynik wymiany czeka na targu na zamówiony odbiór do centrali.</t>
  </si>
  <si>
    <t xml:space="preserve">Pojemność×1.5:1000,1500,2250… Wynik wymiany czeka na targu na zamówiony odbiór do centrali. Targ ma swoich ludzi, tylko oni noszą na targ I do magazynu, jeżeli chcesz sprzedać musisz miec towar na targu czyli musisz polecić jego przyniesienie, towar na targu znika po 24 h od przyniesienia, jak na coś sie wymienisz towar jest na targu 24 i znika, </t>
  </si>
  <si>
    <t xml:space="preserve">Budynki!E14</t>
  </si>
  <si>
    <t xml:space="preserve">Budynki!J14</t>
  </si>
  <si>
    <t xml:space="preserve">Budynki!K14</t>
  </si>
  <si>
    <t xml:space="preserve">'=TEXT('Czas budowy'!S30,"0.00")&amp;" h łącznie; T="&amp;TEXT('Czas budowy'!P30,"0.00")&amp;" h, budowa="&amp;TEXT('Czas budowy'!R30,"0.00")&amp;" h. Założenia: Czas budowy / D02."</t>
  </si>
  <si>
    <t xml:space="preserve">Budynki!E15</t>
  </si>
  <si>
    <t xml:space="preserve">400×L KAŻDEGO z6 zasobów</t>
  </si>
  <si>
    <t xml:space="preserve">Budynki!J15</t>
  </si>
  <si>
    <t xml:space="preserve">Budynki!K15</t>
  </si>
  <si>
    <t xml:space="preserve">'=TEXT('Czas budowy'!S33,"0.00")&amp;" h łącznie; T="&amp;TEXT('Czas budowy'!P33,"0.00")&amp;" h, budowa="&amp;TEXT('Czas budowy'!R33,"0.00")&amp;" h. Założenia: Czas budowy / D02."</t>
  </si>
  <si>
    <t xml:space="preserve">Budynki!F16</t>
  </si>
  <si>
    <t xml:space="preserve">ŁĄCZNIE4T: transportT +budowa3T.</t>
  </si>
  <si>
    <t xml:space="preserve">ŁĄCZNIE4T: transportT +(budowa3Tx aktualny level-1)</t>
  </si>
  <si>
    <t xml:space="preserve">Budynki!J16</t>
  </si>
  <si>
    <t xml:space="preserve">Premium, zbuduj 2 x szybciej, zbuduj natychmiast (oba jak masz zasoby) kup budynek jak nie masz surowców 
Nowe błogosławieństwo: kasa/challenge/udostępnienie/reklama. Zgodnie z decyzją użytkownika szczegóły ODŁOŻONE. Brak cen ani zatwierdzonej integracji.</t>
  </si>
  <si>
    <t xml:space="preserve">Budynki!F17</t>
  </si>
  <si>
    <t xml:space="preserve">ŁĄCZNIE6T: transportT +budowa5T.</t>
  </si>
  <si>
    <t xml:space="preserve">ŁĄCZNIE6T: transportT +budowa4T.</t>
  </si>
  <si>
    <t xml:space="preserve">Budynki!J17</t>
  </si>
  <si>
    <t xml:space="preserve">Budynki!K17</t>
  </si>
  <si>
    <t xml:space="preserve">'=TEXT('Czas budowy'!S39,"0.00")&amp;" h łącznie; T="&amp;TEXT('Czas budowy'!P39,"0.00")&amp;" h, budowa="&amp;TEXT('Czas budowy'!R39,"0.00")&amp;" h. Założenia: Czas budowy / D02."</t>
  </si>
  <si>
    <t xml:space="preserve">Budynki!M18</t>
  </si>
  <si>
    <t xml:space="preserve">Nie dotyczy — osoba nie ma rozbudowy1→2.</t>
  </si>
  <si>
    <t xml:space="preserve">Budynki!N18</t>
  </si>
  <si>
    <t xml:space="preserve">Budynki!O18</t>
  </si>
  <si>
    <t xml:space="preserve">Czlowiek!C7</t>
  </si>
  <si>
    <t xml:space="preserve">12 wolnych na starcie; przypisanie możliwe od razu.</t>
  </si>
  <si>
    <t xml:space="preserve">12 wolnych na starcie; przypisanie możliwe od razu. Na starcie ludzie są w "Domu"</t>
  </si>
  <si>
    <t xml:space="preserve">Czlowiek!C8</t>
  </si>
  <si>
    <t xml:space="preserve">0…12×poziom ratusza na budynek; zatrudnić można najwyżej obecnych wolnych ludzi.</t>
  </si>
  <si>
    <t xml:space="preserve">0…12×poziom ratusza na budynek; zatrudnić można najwyżej obecnych wolnych ludzi. UWAGA ZMIANA na poziomie 1 mam 24 ludzi wiec w w kazdym gospodarstwie mogę mieć połowę limitu czyli 12 (o ile mam tylu ludzi i o ile są dostępni w domu), niezależnie od poziomu ratusza póki nie zwiększe poziomu budynky nie mogę mieć wiecej, jeżeli np drwala podniosę do poziomu  2 to mogę mieć połowę maxa czyli 24 etc, a nie mogę podnieść drwala nie podnosząc ratusza bo to jest prerequisit </t>
  </si>
  <si>
    <t xml:space="preserve">Czlowiek!C21</t>
  </si>
  <si>
    <t xml:space="preserve">0min w poprzednim modelu; ewentualne5min wymaga decyzji.</t>
  </si>
  <si>
    <t xml:space="preserve">5min.</t>
  </si>
  <si>
    <t xml:space="preserve">Czlowiek!D21</t>
  </si>
  <si>
    <t xml:space="preserve">Nie dopisano symetrycznej drogi do pracy jako uzgodnionej reguły.</t>
  </si>
  <si>
    <t xml:space="preserve">Nie pracuje, nie płaci podatku; je i jest liczony jako bezrobotny od zwolnienia. Zachowuje ID i szczęście.</t>
  </si>
  <si>
    <t xml:space="preserve">Czlowiek!C22</t>
  </si>
  <si>
    <t xml:space="preserve">−10 od razu; po24h−20;48h−30;72h−40;96h i dalej−50.</t>
  </si>
  <si>
    <t xml:space="preserve">−10 od razu; po24h−20;48h−30;72h−40;96h i dalej−50. nie schodzi poniżej -50 </t>
  </si>
  <si>
    <t xml:space="preserve">Czlowiek!C28</t>
  </si>
  <si>
    <t xml:space="preserve">0%=0; ±25%=1/12h; ±50%=1/6h; ±75%=1/ok.1h43; ±100%=1/h.</t>
  </si>
  <si>
    <t xml:space="preserve">0%=0; ±25%=1/12h; ±50%=1/6h; ±75%=1/ok.1h43; ±100%=1/h. Do limitu Ratusza a nie domu </t>
  </si>
  <si>
    <t xml:space="preserve">Czlowiek!D28</t>
  </si>
  <si>
    <t xml:space="preserve">Minimum6, maksimum24×ratusz. Ustalono tempo ubytku, nie fabularne rozróżnienie śmierci/odejścia.</t>
  </si>
  <si>
    <t xml:space="preserve">Minimum6, maksimum24×ratusz. Ustalono tempo ubytku, nie fabularne rozróżnienie śmierci/odejścia. Tempo odejścia takie samo jak tempo przyrostu w sensie analogicznie ale na minus. Z Zastrzeżeniem że nie można mieć mniej niż 6 osób.</t>
  </si>
  <si>
    <t xml:space="preserve">Czlowiek!C29</t>
  </si>
  <si>
    <t xml:space="preserve">Pauza, ukrycie karty i offline zatrzymują mechanikę.</t>
  </si>
  <si>
    <t xml:space="preserve">Pauza, ukrycie karty i offline zatrzymują mechanikę. Tu zmiana, czas jest czasem realnym, tzn jeżeli gram karta aktywna I mam info że budynek sie robi 2 h to on sie robi 2h realne zegarowe, jeżeli sie wyloguje zamknę kartę to wciąż ten budynek będzie sie robił 2 h, guziki przyspieszenia czasu działają czasowo powiązane są z premiami </t>
  </si>
  <si>
    <t xml:space="preserve">Czlowiek!D29</t>
  </si>
  <si>
    <t xml:space="preserve">Nowy portowy próg24h i okno zakupów3h wymagają wyboru czasu aktywnego lub zegarowego.</t>
  </si>
  <si>
    <t xml:space="preserve">Nowy portowy próg24h i okno zakupów3h wymagają wyboru czasu aktywnego lub zegarowego., zegarowy</t>
  </si>
  <si>
    <t xml:space="preserve">Ustalenia - uwagi!E9</t>
  </si>
  <si>
    <t xml:space="preserve">Poziom gracza=poziom Ratusza. 
W ustawieniach trzeba dodać ranking, ranking ustalany jako level x ilość złota </t>
  </si>
  <si>
    <t xml:space="preserve">Ustalenia - uwagi!E19</t>
  </si>
  <si>
    <t xml:space="preserve">Zwolniony zawsze wraca do domu przez5min; dopiero potem może być ponownie przydzielony.</t>
  </si>
  <si>
    <t xml:space="preserve">Zwolniony zawsze wraca do domu przez5min; dopiero potem może być ponownie przydzielony, I tak samo 5 min idzie w nowe miejsce pracy </t>
  </si>
  <si>
    <t xml:space="preserve">Ustalenia - uwagi!E20</t>
  </si>
  <si>
    <t xml:space="preserve">Nie uzgodniono osobnego czasu dojścia do pracy.</t>
  </si>
  <si>
    <t xml:space="preserve">Nie uzgodniono osobnego czasu dojścia do pracy. Powyżej </t>
  </si>
  <si>
    <t xml:space="preserve">Ustalenia - uwagi!F23</t>
  </si>
  <si>
    <t xml:space="preserve">Zboże wymaga przewozu centralnie przed zużyciem przez młyn.Zboże i drewno leci via magazyn</t>
  </si>
  <si>
    <t xml:space="preserve">Ustalenia - uwagi!F24</t>
  </si>
  <si>
    <t xml:space="preserve">Brak surowca lub miejsca zatrzymuje produkcję. I powoduje karę za brak pracy </t>
  </si>
  <si>
    <t xml:space="preserve">Ustalenia - uwagi!F25</t>
  </si>
  <si>
    <t xml:space="preserve">Ustalenia - uwagi!D30</t>
  </si>
  <si>
    <t xml:space="preserve">AKTUALNE / NOWE DLA PORTU dodaj do targu </t>
  </si>
  <si>
    <t xml:space="preserve">Parametry!B9</t>
  </si>
  <si>
    <t xml:space="preserve">Transport bazowy pracownika</t>
  </si>
  <si>
    <t xml:space="preserve">Transport bazowy pracownika na magazynie poziom1</t>
  </si>
  <si>
    <t xml:space="preserve">Parametry!F9</t>
  </si>
  <si>
    <t xml:space="preserve">Dotychczasowa reguła; głód obniża o połowę.</t>
  </si>
  <si>
    <t xml:space="preserve">Dotychczasowa reguła; głód obniża o połowę. Podniesienie poziomu magazynu zwiększa jak ustalone w innym miejscu, takie same zasady dla targu I przystani </t>
  </si>
  <si>
    <t xml:space="preserve">Decyzje i konflikty!E6</t>
  </si>
  <si>
    <t xml:space="preserve">Maks. przydział docelowy=min(12×ratusz,obecna obsada+wolni). Nie wymaga osobnego wzoru własnego poziomu drwala.</t>
  </si>
  <si>
    <t xml:space="preserve">Maks. przydział docelowy=min(12×ratusz,obecna obsada+wolni). Nie wymaga osobnego wzoru własnego poziomu drwala. Wszędzie tak samo min 0 max połowa z ludzi dostępnych na poziomie budynku od ratusza, czyli ratusz poziom 1 max ludzi 24 wszystkich, max ludzi w każdej z usług 12 Bo to połowa z dostępnych ludzi zakładajc że tyle jest wolnych, jeżei ratusz jest na 2 a np drwal na 1 to nic sie nie zmienia ale jak podniosę drwala do 2 to max dla drwala będzie 24 bo to połowa z 48 etc </t>
  </si>
  <si>
    <t xml:space="preserve">Decyzje i konflikty!I8</t>
  </si>
  <si>
    <t xml:space="preserve">Uwaga zaktaulizowane w innym miejscu </t>
  </si>
  <si>
    <t xml:space="preserve">Decyzje i konflikty!I9</t>
  </si>
  <si>
    <t xml:space="preserve">Kazdy towar jest pobierany z magazynu I oddawany do magazynu aby mógł być użyty. Zgodnie z harmonograem prędkością pracy pracowników portu zdefiniwane w innym miejscu, pamiętaj że to są dwa cykle, z magazynu do portu I z portu na statek, przyjmujemy że statek ma pojemność magazynu portu. jak statek wypływa notyfikacja i zapłata, przy zakupie jak statek przypływa zapłata, rozładunek i transport do magazynu</t>
  </si>
  <si>
    <t xml:space="preserve">Decyzje i konflikty!I10</t>
  </si>
  <si>
    <t xml:space="preserve">tak chodzi o to że jak będę intensywnie coś kupował to cena tego będzie rosła, dostosuj liniowo </t>
  </si>
  <si>
    <t xml:space="preserve">Decyzje i konflikty!I11</t>
  </si>
  <si>
    <t xml:space="preserve">to jest wyjaśnione w innym miejscu towar nie odebrany w 24 h przepada </t>
  </si>
  <si>
    <t xml:space="preserve">Decyzje i konflikty!I12</t>
  </si>
  <si>
    <t xml:space="preserve">tak jak w magazynie z bonusami I zwiększeniem ewektywności zależności od levelu </t>
  </si>
  <si>
    <t xml:space="preserve">Decyzje i konflikty!I13</t>
  </si>
  <si>
    <t xml:space="preserve">błogosławieństwo = kaplica, zwiedzanie = latarnia oba prowadzą do "bonusu/premii"</t>
  </si>
  <si>
    <t xml:space="preserve">Decyzje i konflikty!I14</t>
  </si>
  <si>
    <t xml:space="preserve">nie rozumiem </t>
  </si>
  <si>
    <t xml:space="preserve">Decyzje i konflikty!I16</t>
  </si>
  <si>
    <t xml:space="preserve">jest ok transport + budowa, uwaga zmieniłem w niektroych miejscach czasy budowy do ponownego przeliczenia </t>
  </si>
  <si>
    <t xml:space="preserve">Decyzje i konflikty!I19</t>
  </si>
  <si>
    <t xml:space="preserve">zmienione w innym miejscu</t>
  </si>
  <si>
    <t xml:space="preserve">Decyzje i konflikty!I20</t>
  </si>
  <si>
    <t xml:space="preserve">później, zrób dodatkową zakładkę premium gdzie zbierzemy taki rodzaj akcji </t>
  </si>
  <si>
    <t xml:space="preserve">Decyzje i konflikty!I21</t>
  </si>
  <si>
    <t xml:space="preserve">Decyzje i konflikty!I22</t>
  </si>
  <si>
    <t xml:space="preserve">Decyzje i konflikty!I23</t>
  </si>
  <si>
    <t xml:space="preserve">ubytek odejście nie śmierć zdefiniowane w innym miejscu </t>
  </si>
  <si>
    <t xml:space="preserve">Populacja i szczescie!E6</t>
  </si>
  <si>
    <t xml:space="preserve">Minimum6 osób; maksimum24×poziom ratusza. Narodziny/ubytek nie są liczone skokiem raz na godzinę.</t>
  </si>
  <si>
    <t xml:space="preserve">Minimum6 osób; maksimum24×poziom ratusza. Narodziny/ubytek nie są liczone skokiem raz na godzinę. Zabierasz ludzi z domu, jak nie ma w domu to z gospodarki w której jest ich najwiecej, jak wszędzie jest równo to najpierw z portu, później z produkcji desek, kamieniołomu drwala, na końcu z produkcji z żywności i transportu </t>
  </si>
  <si>
    <t xml:space="preserve">Populacja i szczescie!E11</t>
  </si>
  <si>
    <t xml:space="preserve">Minimum6 osób; maksimum24×poziom ratusza. Narodziny/ubytek nie są liczone skokiem raz na godzinę. Dokładasz ludzi zawsze do domu </t>
  </si>
  <si>
    <t xml:space="preserve">Blogoslawienstwa!B8</t>
  </si>
  <si>
    <t xml:space="preserve">+100 szczęścia i produkcja materiałów×2. Obie premie24h×osiągnięty poziom; podatki/transport bez mnożnika.</t>
  </si>
  <si>
    <t xml:space="preserve">100 szczęścia i produkcja materiałów×2. Obie premie24h×osiągnięty poziom; podatki/transport bez mnożnika. Tu ma być nie + 100 tylko 100 wszyscy są na maksa zadowoleni </t>
  </si>
  <si>
    <t xml:space="preserve">ŹRÓDŁO • oryginalny wklejony tekst</t>
  </si>
  <si>
    <t xml:space="preserve">Treść użytkownika zachowana bez poprawiania literówek ani zmiany wartości. Późniejsze doprecyzowania są zapisane w Start i Decyzje i konflikty. Ten arkusz nie jest modelem ani deklaracją wdrożenia.</t>
  </si>
  <si>
    <t xml:space="preserve">Po co jest w grze</t>
  </si>
  <si>
    <t xml:space="preserve">Liczba ludzi — start / limit</t>
  </si>
  <si>
    <t xml:space="preserve">Koszty rozbudowy</t>
  </si>
  <si>
    <t xml:space="preserve">Czas rozbudowy</t>
  </si>
  <si>
    <t xml:space="preserve">Notyfikacja / Uwagi </t>
  </si>
  <si>
    <t xml:space="preserve">Uwagi 2</t>
  </si>
  <si>
    <t xml:space="preserve">Płatatne 
1 kasa
2 fb/instagram
3 reklama</t>
  </si>
  <si>
    <t xml:space="preserve">szacunek czasu rozbudowy l1-l2 (doable path)</t>
  </si>
  <si>
    <t xml:space="preserve">szacunek czasu rozbudowy l2-l3 (doable path)</t>
  </si>
  <si>
    <t xml:space="preserve">szacunek czasu rozbudowy l3-l4 (doable path)</t>
  </si>
  <si>
    <t xml:space="preserve">Wyznacza poziom gry i limity rozwoju, jest też skarbcem </t>
  </si>
  <si>
    <t xml:space="preserve">brak własnych pracowników</t>
  </si>
  <si>
    <t xml:space="preserve">+24 limitu mieszkańców, wyższy limit innych budynków, +1 budowa i kolejka, +200 pojemności każdego producenta</t>
  </si>
  <si>
    <t xml:space="preserve">500 × L każdego zasobu</t>
  </si>
  <si>
    <t xml:space="preserve">3T</t>
  </si>
  <si>
    <t xml:space="preserve">Gotowe</t>
  </si>
  <si>
    <t xml:space="preserve">zawsze notyfikacja o zakończonej budowie</t>
  </si>
  <si>
    <t xml:space="preserve">tbc</t>
  </si>
  <si>
    <t xml:space="preserve">Zapewnia mieszkania</t>
  </si>
  <si>
    <t xml:space="preserve">brak własnych pracowników ale brak miejsc przy podniesionym poziomie wpływa na szczęście zgodnie z algoprytmem (wpisz go tu)</t>
  </si>
  <si>
    <t xml:space="preserve">+24 miejsca; ogranicza karę za przeludnienie</t>
  </si>
  <si>
    <t xml:space="preserve">zawsze notyfikacja o zakończonej budowie, dodatkowo o przeludnieniu</t>
  </si>
  <si>
    <t xml:space="preserve">Produkuje zboże</t>
  </si>
  <si>
    <t xml:space="preserve">0/ limit</t>
  </si>
  <si>
    <t xml:space="preserve">Korzyść z własnego poziomu do ustalenia</t>
  </si>
  <si>
    <t xml:space="preserve">L × (72 drewna + 72 kamienia + 120 zboża)</t>
  </si>
  <si>
    <t xml:space="preserve">2T</t>
  </si>
  <si>
    <t xml:space="preserve">Produkcja działa; efekt rozbudowy wieksza możliwosć produkcji zboża bo mogę mieć wiecej pracowników </t>
  </si>
  <si>
    <t xml:space="preserve">zawsze notyfikacja o zakończonej budowie, ; pełny magazyn </t>
  </si>
  <si>
    <t xml:space="preserve">jak pełny magazyn to spadek szczęscia zgodnie z ustaleniem (napisz), srawdz także jaki jest czas "dojscia zejscia pracownika z gospdarki do domu </t>
  </si>
  <si>
    <t xml:space="preserve">2 zboża → 1 żywność</t>
  </si>
  <si>
    <t xml:space="preserve">L × (72 drewna + 72 kamienia + 120 żywności)</t>
  </si>
  <si>
    <t xml:space="preserve">Produkcja działa; efekt rozbudowy wieksza możliwosć produkcji  bo mogę mieć wiecej pracowników </t>
  </si>
  <si>
    <t xml:space="preserve">Produkują drewno</t>
  </si>
  <si>
    <t xml:space="preserve">L × (192 drewna + 72 kamienia)</t>
  </si>
  <si>
    <t xml:space="preserve">2 drewna → 1 deska</t>
  </si>
  <si>
    <t xml:space="preserve">L × (72 drewna + 72 kamienia + 120 desek)</t>
  </si>
  <si>
    <t xml:space="preserve">Produkuje kamień</t>
  </si>
  <si>
    <t xml:space="preserve">L × (72 drewna + 192 kamienia)</t>
  </si>
  <si>
    <t xml:space="preserve">Przechowuje i transportuje materiały</t>
  </si>
  <si>
    <t xml:space="preserve">Pojemność na rodzaj i łączna ×1,5</t>
  </si>
  <si>
    <t xml:space="preserve">Produkcja działa; efekt rozbudowy wieksza możliwosć produkcji  bo mogę mieć wiecej pracowników, na każdym lewelu zwiększa sie też o 10% pojemność tragaży. Zwykła  produkcję np drewno lub materioały do rozbudowy np farmy muszą na miejsce zanieść tragaże z magazynu, natomiast jedzenie ludzie pobierają w sposób automagiczny bez koniecznosci jakiejkolwiek akcji jeżeli tylko jest w magazynie, jeżeli w magazynie jest mniej niż 50 jedzenia tragaże nie mogą go wynieść bo to jest rezerwa na żywienie</t>
  </si>
  <si>
    <t xml:space="preserve">zawsze notyfikacja o zakończonej budowie, ; pełny magazyn. </t>
  </si>
  <si>
    <t xml:space="preserve">Jaka tu była pojemność ustalona przypomnij taką samą daj w przytani ale tam za towar który jest dłużej nić 24 godziny skasuj 10 monet</t>
  </si>
  <si>
    <t xml:space="preserve">Od poziomu 2 wymienia towary z marżą 10%</t>
  </si>
  <si>
    <t xml:space="preserve">0 / limit po odblokowaniu</t>
  </si>
  <si>
    <t xml:space="preserve">Pojemność ×1,5: 1000, 1500, 2250…</t>
  </si>
  <si>
    <t xml:space="preserve">Od poziomu 4 umożliwia handel za monety</t>
  </si>
  <si>
    <t xml:space="preserve">Korzyść kolejnych poziomów do ustalenia</t>
  </si>
  <si>
    <t xml:space="preserve">Handel działa; kupować I sprzedawać można wszystko dostając złoto lub płacąc złotem, załoga przystani ma ładować statki wiec potyrzebny jest czas na przyniesienie z magazynu (ludzie z magazybnu nie zaopatrują przystani) oraz identyczny czas na załadowanie statku, handować można tylko pełnymi setkami, ceny drewno kamien i zboże 40 sprzedaż 50 kupno (za 100) deski i żywnośći 70 i 80 ale przy każdym drugim zakupie (drugi ilość a nie wartość) i kolejnym w cuiągu ostatnuich 3 hj dodawaj 10% do cen</t>
  </si>
  <si>
    <t xml:space="preserve">zawsze notyfikacja o zakończonej budowie, notyfikacja o pełnym magazynie </t>
  </si>
  <si>
    <t xml:space="preserve">Premie szczęścia, podatków i błogosławieństwa</t>
  </si>
  <si>
    <t xml:space="preserve">brak ludzi </t>
  </si>
  <si>
    <t xml:space="preserve">+1 użycie błogosławieństwa; +10 × N szczęścia i podatki ×2 przez 10 h</t>
  </si>
  <si>
    <t xml:space="preserve">Tymczasowo N × (180 monet + 20 drewna + 60 kamienia + 10 desek)</t>
  </si>
  <si>
    <t xml:space="preserve">4T</t>
  </si>
  <si>
    <t xml:space="preserve">Premie gotowe; koszt do ustalenia</t>
  </si>
  <si>
    <t xml:space="preserve">zawsze notyfikacja o zakończonej budowie; </t>
  </si>
  <si>
    <t xml:space="preserve">premia (przypomij jaka); błogosławieństwo</t>
  </si>
  <si>
    <t xml:space="preserve">Wspiera szczęście i produkcję</t>
  </si>
  <si>
    <t xml:space="preserve">+100 szczęścia i produkcja ×2 przez 24 h × N</t>
  </si>
  <si>
    <t xml:space="preserve">500 × max(1, L) każdego zasobu</t>
  </si>
  <si>
    <t xml:space="preserve">6T</t>
  </si>
  <si>
    <t xml:space="preserve">zawsze notyfikacja o zakończonej budowie;; uruchomienie premii </t>
  </si>
  <si>
    <t xml:space="preserve">Błogosławieństwo: +50 każdego zasobu, +20 szczęścia na 1 h, każde kolejne możłiwe jest + 25% czas później czyli 0, 1 , 215, etc można dokupić albio płacąc albo przec challenge albo przez udostępnienie albo przez reklamę, dokupienuie daje pojedyńcze błofgosławieństwo, natychmiast, jak obejrzyz reklamę 60 sek to zmjniejsza sie czas oczekiwania o połowę, możesz obejrzeć 2 reklamy na 1h grania</t>
  </si>
  <si>
    <t xml:space="preserve">Do tego co napisaliśmy o człowiekach czy ustatliliśmy ilu przybywa jak jest szczęście a ilu umiera jak go nie ma </t>
  </si>
  <si>
    <t xml:space="preserve">ŹRÓDŁO V3 • oryginalne wpisy</t>
  </si>
  <si>
    <t xml:space="preserve">Dokładna zawartość docs/arkusze/pomysły z commit748b1eb; odpowiada nowej wiadomości użytkownika. Pisownia źródła zachowana. Wiążące zasady są uporządkowane w pozostałych zakładkach; nie zmieniamy starszych plików.</t>
  </si>
  <si>
    <t xml:space="preserve">Wiersz źródła</t>
  </si>
  <si>
    <t xml:space="preserve">Wpis dosłowny</t>
  </si>
  <si>
    <t xml:space="preserve">Źródło / obsługa</t>
  </si>
  <si>
    <t xml:space="preserve">shakomat na komórkę z kólką </t>
  </si>
  <si>
    <t xml:space="preserve">docs/arkusze/pomysły — 748b1eb</t>
  </si>
  <si>
    <t xml:space="preserve">ekspedycje </t>
  </si>
  <si>
    <t xml:space="preserve">wyzwania do latarni </t>
  </si>
  <si>
    <t xml:space="preserve">ustalmy że 1 PLN = 10 monet </t>
  </si>
  <si>
    <t xml:space="preserve">za przyspieszenie budynku user musi zapłacić 1 montetę za jedną pełną minutę, ma możłiwość skrócić budowę o 25%, 50% i 75% </t>
  </si>
  <si>
    <t xml:space="preserve">z produkcji wysłanie całego magazynu = ilość pełnych kursów tragaża x 10 monet </t>
  </si>
  <si>
    <t xml:space="preserve">z magazynu na budowę jak wyżej </t>
  </si>
  <si>
    <t xml:space="preserve">z magzynu do z targu portu jak wyżej </t>
  </si>
  <si>
    <t xml:space="preserve">kupno budynku bez zasobów = cenie tych zasobów w porcie x 1.25 + czas jak wyżej </t>
  </si>
  <si>
    <t xml:space="preserve">1000 montet za pochwalenie sie że gram </t>
  </si>
  <si>
    <t xml:space="preserve">500 monet za informację o przejściu na kolejny level </t>
  </si>
  <si>
    <t xml:space="preserve">1000 monet za polecenie inne osobie która sie zaloguje i dodatkowe 500 wszystkiego jak jest 3 dzien aktywna </t>
  </si>
  <si>
    <t xml:space="preserve">1000 monet za każdy 3 post na fb</t>
  </si>
  <si>
    <t xml:space="preserve">(tu sprawdź czy są inne podobne do fb platformy też chce je pospamować) </t>
  </si>
  <si>
    <t xml:space="preserve">prawy górny róg aktualne zadania </t>
  </si>
  <si>
    <t xml:space="preserve">wyświetlasz 3 randomowe zadania dla latarni wymyśl coś remont, barierki dla zwiedzających, naprawa lampy whatever coś co pasuje do narracji latarni </t>
  </si>
  <si>
    <t xml:space="preserve">zadania zawsze są trzy małe średnie u duże </t>
  </si>
  <si>
    <t xml:space="preserve">zadanie małe = 2 produkty, w ilości od 2 godzinnej do 6 h produkcji z maksymalnym aktualnym lewelem czyli jeżeli drwal na 1 może mieć 12 ludzi to od (12x2x10) do 12x6x10) </t>
  </si>
  <si>
    <t xml:space="preserve">średnie = od 3 do 8 (ale nie mniejsze niż aktualne małe) 2-3 produkty random</t>
  </si>
  <si>
    <t xml:space="preserve">duże = od 4 do 10 (ale nie mniejsze niż aktualne średnie) 4 produkty</t>
  </si>
  <si>
    <t xml:space="preserve">nagrody zawsze mają sie wyświetlać </t>
  </si>
  <si>
    <t xml:space="preserve">zadania sie zmieniają w czasie co 6 h jest nowe, zawsze jakieś jest, licznik bijej dla każdego niezależnie,</t>
  </si>
  <si>
    <t xml:space="preserve">jeżeli kliknę zadanie w ciągu pierwszych 5 min jak sie pojawia mam to co nagrodą x 2 w pierwszych 15 sekundach x 3</t>
  </si>
  <si>
    <t xml:space="preserve">w każdym zadaniu jest nagroda znowu zrób randomowo, złoto w ilości od 100 do 200 za 1, do 400 za drugie, do 600 za trzecie + towary randomwo co nie mniej niż 50 nie wiecej niż 1000</t>
  </si>
  <si>
    <t xml:space="preserve">"wpłatę" na zadania możesz zlecić w ratach, wpłata jest bezpośrednio z magazynu nie ma tragarza, nie można wypłacić, ma sie wyświetlać 100/200 jak zadanie ulegnie przedawnieniu bo jego czas minie trace to co wpłaciłem </t>
  </si>
  <si>
    <t xml:space="preserve">poniżej po prawej są też ekspedycje ma być dostępnych zawsze kilka</t>
  </si>
  <si>
    <t xml:space="preserve">ekspedycje mają dawać złoto i tylko złoto </t>
  </si>
  <si>
    <t xml:space="preserve">ma sie pojawiać tarcza ekspedycji w postaci labiryntu i pileczki która będzie do wrzucenia do środka lub odgadywanie takich samych puzzli </t>
  </si>
  <si>
    <t xml:space="preserve">(osobno opisze to później) </t>
  </si>
  <si>
    <t xml:space="preserve">po przejściu dostajesz nagrodę, i tam będą poziomy</t>
  </si>
  <si>
    <t xml:space="preserve">ale ma to działać tak że wygrasz pierwszy poziom dostajesz 50 monten - możesz wyplacić do gry na wyspę lub postawić na dalszą gre</t>
  </si>
  <si>
    <t xml:space="preserve">jak przejdziesz drugie i każde kolejne to masz o 100% wiecej, ale jak przegrasz tracisz wszystko </t>
  </si>
  <si>
    <t xml:space="preserve">ekspedycje są na czas lub na ilość ruchów </t>
  </si>
  <si>
    <t xml:space="preserve">można dokupić dodatkowy czas lub ruchy monetami lub obejrzeniem reklamy </t>
  </si>
  <si>
    <t xml:space="preserve">reklama będzie np samej gry ale póxniej będą reklamy zewnętrzne max 30 sek </t>
  </si>
  <si>
    <t xml:space="preserve">w reklamie zawsze będzie 1 sek ukrytego przekazu do wpisania gdzieś (o tym później)</t>
  </si>
  <si>
    <t xml:space="preserve">TWOJE WPISY V4 • pełne archiwum zmian</t>
  </si>
  <si>
    <t xml:space="preserve">37 zmian względem wersji 2, na której pracowano w pliku HARBORLIGHT4-zasady.xlsx. Oryginał 4 pozostaje bez zmian. Wersja 5 łączy te wpisy z pomysłami, dodatkami wersji 3 i późniejszymi potwierdzeniami.</t>
  </si>
  <si>
    <t xml:space="preserve">Twój wpis z pliku 4 — dosłownie</t>
  </si>
  <si>
    <t xml:space="preserve">Uwzględnienie w wersji 5</t>
  </si>
  <si>
    <t xml:space="preserve">Start!D14</t>
  </si>
  <si>
    <t xml:space="preserve">usunąć znaczki stop play I przewin w prawym górnym rogu </t>
  </si>
  <si>
    <t xml:space="preserve">Uwzględniono w aktualnych zasadach albo zachowano jako odnośnik. Niewybrane szczegóły oznaczono do późniejszej decyzji.</t>
  </si>
  <si>
    <t xml:space="preserve">Start!D16</t>
  </si>
  <si>
    <t xml:space="preserve">w wersji 3 już rozpisane </t>
  </si>
  <si>
    <t xml:space="preserve">Start!D17</t>
  </si>
  <si>
    <t xml:space="preserve">odejścia 1 dom, póxniej tam gdzie wiecej, gdy remis port, kamieniołom, tartak, drwal, farma, wiatrak, transport </t>
  </si>
  <si>
    <t xml:space="preserve">Buduj 2× szybciej / buduj natychmiast — tylko przy posiadaniu zasobów; kup budynek bez surowców. Ceny i zakres przyspieszenia do późniejszej decyzji; patrz Premium.</t>
  </si>
  <si>
    <t xml:space="preserve"> patrz Premium. Doprecyzowane w kolejnej edycji </t>
  </si>
  <si>
    <t xml:space="preserve">Buduj 2× szybciej / buduj natychmiast — tylko przy posiadaniu zasobów; kup budynek bez surowców. Ceny i zakres przyspieszenia do późniejszej decyzji; patrz Premium. Dodatkowo w premium: transport one-click / szybszy transport; patrz Premium.</t>
  </si>
  <si>
    <t xml:space="preserve">Budynki!E9</t>
  </si>
  <si>
    <t xml:space="preserve">L×(72 drewna+72 kamienia+120 żywności)</t>
  </si>
  <si>
    <t xml:space="preserve">Budynki!E10</t>
  </si>
  <si>
    <t xml:space="preserve">L×(192 drewna+72 kamienia)</t>
  </si>
  <si>
    <t xml:space="preserve">Budynki!E11</t>
  </si>
  <si>
    <t xml:space="preserve">L×(72 drewna+72 kamienia+120 desek)</t>
  </si>
  <si>
    <t xml:space="preserve">Budynki!E12</t>
  </si>
  <si>
    <t xml:space="preserve">L×(72 drewna+192 kamienia)</t>
  </si>
  <si>
    <t xml:space="preserve">Czlowiek!H10</t>
  </si>
  <si>
    <t xml:space="preserve">Decyzja 50 x level </t>
  </si>
  <si>
    <t xml:space="preserve">Czlowiek!G13</t>
  </si>
  <si>
    <t xml:space="preserve">podatek płaci ale jest mniej szczęsliwy </t>
  </si>
  <si>
    <t xml:space="preserve">Czlowiek!G15</t>
  </si>
  <si>
    <t xml:space="preserve">podatek płaci przez cały czas</t>
  </si>
  <si>
    <t xml:space="preserve">Czlowiek!G22</t>
  </si>
  <si>
    <t xml:space="preserve">wytłumaczone poniżej </t>
  </si>
  <si>
    <t xml:space="preserve">Czlowiek!G23</t>
  </si>
  <si>
    <t xml:space="preserve">tak, zaczyna pracować I płacić podatek jak dociera do zakładu, </t>
  </si>
  <si>
    <t xml:space="preserve">Czlowiek!G25</t>
  </si>
  <si>
    <t xml:space="preserve">zatosuj karę I logikę jak linia niżej </t>
  </si>
  <si>
    <t xml:space="preserve">Czlowiek!G26</t>
  </si>
  <si>
    <t xml:space="preserve">tu nie ma kwestii opróżnienia poniżej limitu. Lokalny magazyn pridukcji może być całkiem opóźniony kara jest tylko wtedy gdy magazyn okalny blokuje produkcje - dottczy tylko tych ludków co są w tym przedsiębiorstwie na czas przestoju, jak kliknę aby przeszli do domu, to po drodze ich licznik sie resetuje do 0, jak będę ich trzymał mimo braku odbiorów do magazynu głównego to ich szczęscie spada do -50 nie wiecej </t>
  </si>
  <si>
    <t xml:space="preserve">Czlowiek!G29</t>
  </si>
  <si>
    <t xml:space="preserve">płatne błogosławieństwo kosztuje 100 x level, efekt daje taki sam, nie można mieć ich wiecej niż 1 na 4 h </t>
  </si>
  <si>
    <t xml:space="preserve">Czlowiek!G30</t>
  </si>
  <si>
    <t xml:space="preserve">po ustaniu premi wracamy do stanu sprzed premii </t>
  </si>
  <si>
    <t xml:space="preserve">Czlowiek!G31</t>
  </si>
  <si>
    <t xml:space="preserve">czas pobytu 4 h, ilosć pracowników jakich mogę wysłać 2 x poziom, mogę wtsłać tylko pracowników z domu, podnoszą poziom szczęścia tym którzy idą zwiedzać do 100% niezależnie od stanu wcześniej na 24 h, całości dają + 10 % na 6 , człowiek nie płaci wtedy podatku, je normalnie</t>
  </si>
  <si>
    <t xml:space="preserve">Czlowiek!G35</t>
  </si>
  <si>
    <t xml:space="preserve">opisane w innym miejscu </t>
  </si>
  <si>
    <t xml:space="preserve">Czlowiek!G36</t>
  </si>
  <si>
    <t xml:space="preserve">tak, trzeba usunąć ikonkę stop, play przwin</t>
  </si>
  <si>
    <t xml:space="preserve">Czlowiek!G37</t>
  </si>
  <si>
    <t xml:space="preserve">aktualizacja o każdej pełnej godzinie wg stanu zastanego </t>
  </si>
  <si>
    <t xml:space="preserve">Transport i priorytety!F10</t>
  </si>
  <si>
    <t xml:space="preserve">ludzi z transportu zabierasz na końcu wyjaśnione w innej komórce, dodatkowo jeżeli jedzenie jest poniżej minimum w magazynie a jest w młynie, to nie mogę zabrać wszystkich osób z transportu </t>
  </si>
  <si>
    <t xml:space="preserve">Transport i priorytety!F12</t>
  </si>
  <si>
    <t xml:space="preserve">Eta jako suma czasu tarnsportu I budowy, ale jak np zmienie prio transportu to czas sie przeliczy na nowo </t>
  </si>
  <si>
    <t xml:space="preserve">Transport i priorytety!F15</t>
  </si>
  <si>
    <t xml:space="preserve">czas rejsu 5 min zwawsze, momenty schodzą z konta w momencie tranzakcji </t>
  </si>
  <si>
    <t xml:space="preserve">Transport i priorytety!F17</t>
  </si>
  <si>
    <t xml:space="preserve">zdefiniowane w innej komórce</t>
  </si>
  <si>
    <t xml:space="preserve">Transport i priorytety!F18</t>
  </si>
  <si>
    <t xml:space="preserve">opisane w innej komórce</t>
  </si>
</sst>
</file>

<file path=xl/styles.xml><?xml version="1.0" encoding="utf-8"?>
<styleSheet xmlns="http://schemas.openxmlformats.org/spreadsheetml/2006/main">
  <numFmts count="5">
    <numFmt numFmtId="164" formatCode="General"/>
    <numFmt numFmtId="165" formatCode="0%"/>
    <numFmt numFmtId="166" formatCode="0.00"/>
    <numFmt numFmtId="167" formatCode="0"/>
    <numFmt numFmtId="168" formatCode="0.00&quot; h&quot;"/>
  </numFmts>
  <fonts count="15">
    <font>
      <sz val="11"/>
      <color theme="1"/>
      <name val="Calibri"/>
      <family val="2"/>
      <charset val="1"/>
    </font>
    <font>
      <sz val="10"/>
      <name val="Arial"/>
      <family val="0"/>
    </font>
    <font>
      <sz val="10"/>
      <name val="Arial"/>
      <family val="0"/>
    </font>
    <font>
      <sz val="10"/>
      <name val="Arial"/>
      <family val="0"/>
    </font>
    <font>
      <b val="true"/>
      <sz val="18"/>
      <color rgb="FFF0CE80"/>
      <name val="Calibri"/>
      <family val="0"/>
      <charset val="1"/>
    </font>
    <font>
      <sz val="11"/>
      <color rgb="FF123140"/>
      <name val="Calibri"/>
      <family val="0"/>
      <charset val="1"/>
    </font>
    <font>
      <b val="true"/>
      <sz val="10"/>
      <color rgb="FFFFFFFF"/>
      <name val="Calibri"/>
      <family val="0"/>
      <charset val="1"/>
    </font>
    <font>
      <sz val="10"/>
      <color rgb="FF123140"/>
      <name val="Calibri"/>
      <family val="0"/>
      <charset val="1"/>
    </font>
    <font>
      <sz val="10"/>
      <name val="Arial"/>
      <family val="2"/>
    </font>
    <font>
      <sz val="11"/>
      <color rgb="FF135CAA"/>
      <name val="Calibri"/>
      <family val="0"/>
      <charset val="1"/>
    </font>
    <font>
      <u val="single"/>
      <sz val="10"/>
      <color rgb="FF135CAA"/>
      <name val="Calibri"/>
      <family val="0"/>
      <charset val="1"/>
    </font>
    <font>
      <b val="true"/>
      <sz val="18"/>
      <color rgb="FFF0CE80"/>
      <name val="Calibri"/>
      <family val="2"/>
      <charset val="1"/>
    </font>
    <font>
      <sz val="10"/>
      <color rgb="FF123140"/>
      <name val="Calibri"/>
      <family val="2"/>
      <charset val="1"/>
    </font>
    <font>
      <b val="true"/>
      <sz val="11"/>
      <color rgb="FFFFFFFF"/>
      <name val="Calibri"/>
      <family val="2"/>
      <charset val="1"/>
    </font>
    <font>
      <sz val="10"/>
      <color theme="1"/>
      <name val="Calibri"/>
      <family val="2"/>
      <charset val="1"/>
    </font>
  </fonts>
  <fills count="9">
    <fill>
      <patternFill patternType="none"/>
    </fill>
    <fill>
      <patternFill patternType="gray125"/>
    </fill>
    <fill>
      <patternFill patternType="solid">
        <fgColor rgb="FF123140"/>
        <bgColor rgb="FF333333"/>
      </patternFill>
    </fill>
    <fill>
      <patternFill patternType="solid">
        <fgColor rgb="FFF0F6F8"/>
        <bgColor rgb="FFEAF2FF"/>
      </patternFill>
    </fill>
    <fill>
      <patternFill patternType="solid">
        <fgColor rgb="FF146D75"/>
        <bgColor rgb="FF008080"/>
      </patternFill>
    </fill>
    <fill>
      <patternFill patternType="solid">
        <fgColor rgb="FFFFFFFF"/>
        <bgColor rgb="FFF0F6F8"/>
      </patternFill>
    </fill>
    <fill>
      <patternFill patternType="solid">
        <fgColor rgb="FFE4F2E9"/>
        <bgColor rgb="FFEAF2FF"/>
      </patternFill>
    </fill>
    <fill>
      <patternFill patternType="solid">
        <fgColor rgb="FFEAF2FF"/>
        <bgColor rgb="FFF0F6F8"/>
      </patternFill>
    </fill>
    <fill>
      <patternFill patternType="solid">
        <fgColor rgb="FFFFF0CC"/>
        <bgColor rgb="FFF0F6F8"/>
      </patternFill>
    </fill>
  </fills>
  <borders count="3">
    <border diagonalUp="false" diagonalDown="false">
      <left/>
      <right/>
      <top/>
      <bottom/>
      <diagonal/>
    </border>
    <border diagonalUp="false" diagonalDown="false">
      <left style="thin">
        <color rgb="FFCCDAE0"/>
      </left>
      <right style="thin">
        <color rgb="FFCCDAE0"/>
      </right>
      <top style="thin">
        <color rgb="FFCCDAE0"/>
      </top>
      <bottom style="thin">
        <color rgb="FFCCDAE0"/>
      </bottom>
      <diagonal/>
    </border>
    <border diagonalUp="false" diagonalDown="false">
      <left style="thin">
        <color rgb="FFFFFFFF"/>
      </left>
      <right style="thin">
        <color rgb="FFFFFFFF"/>
      </right>
      <top style="thin">
        <color rgb="FFFFFFFF"/>
      </top>
      <bottom style="thin">
        <color rgb="FFFFFFF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true" indent="0" shrinkToFit="false"/>
      <protection locked="true" hidden="false"/>
    </xf>
    <xf numFmtId="164" fontId="5" fillId="3" borderId="0" xfId="0" applyFont="true" applyBorder="tru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5" fontId="9" fillId="7" borderId="1" xfId="0" applyFont="true" applyBorder="true" applyAlignment="true" applyProtection="false">
      <alignment horizontal="general" vertical="top" textRotation="0" wrapText="true" indent="0" shrinkToFit="false"/>
      <protection locked="true" hidden="false"/>
    </xf>
    <xf numFmtId="166" fontId="7" fillId="3" borderId="1" xfId="0" applyFont="true" applyBorder="true" applyAlignment="true" applyProtection="false">
      <alignment horizontal="general" vertical="top" textRotation="0" wrapText="true" indent="0" shrinkToFit="false"/>
      <protection locked="true" hidden="false"/>
    </xf>
    <xf numFmtId="166" fontId="7" fillId="5"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7" fontId="7" fillId="3" borderId="1" xfId="0" applyFont="true" applyBorder="true" applyAlignment="true" applyProtection="false">
      <alignment horizontal="general" vertical="top" textRotation="0" wrapText="true" indent="0" shrinkToFit="false"/>
      <protection locked="true" hidden="false"/>
    </xf>
    <xf numFmtId="167" fontId="7" fillId="5" borderId="1" xfId="0" applyFont="true" applyBorder="true" applyAlignment="true" applyProtection="false">
      <alignment horizontal="general" vertical="top" textRotation="0" wrapText="true" indent="0" shrinkToFit="false"/>
      <protection locked="true" hidden="false"/>
    </xf>
    <xf numFmtId="167" fontId="9" fillId="7" borderId="1" xfId="0" applyFont="true" applyBorder="true" applyAlignment="true" applyProtection="false">
      <alignment horizontal="general" vertical="top" textRotation="0" wrapText="true" indent="0" shrinkToFit="false"/>
      <protection locked="true" hidden="false"/>
    </xf>
    <xf numFmtId="166" fontId="9"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11" fillId="2" borderId="0" xfId="0" applyFont="true" applyBorder="true" applyAlignment="true" applyProtection="false">
      <alignment horizontal="general" vertical="center" textRotation="0" wrapText="false" indent="0" shrinkToFit="false"/>
      <protection locked="true" hidden="false"/>
    </xf>
    <xf numFmtId="164" fontId="12" fillId="3" borderId="0" xfId="0" applyFont="true" applyBorder="true" applyAlignment="true" applyProtection="false">
      <alignment horizontal="general" vertical="top" textRotation="0" wrapText="true" indent="0" shrinkToFit="false"/>
      <protection locked="true" hidden="false"/>
    </xf>
    <xf numFmtId="164" fontId="13" fillId="4" borderId="2" xfId="0" applyFont="true" applyBorder="true" applyAlignment="true" applyProtection="false">
      <alignment horizontal="general" vertical="center" textRotation="0" wrapText="true" indent="0" shrinkToFit="false"/>
      <protection locked="true" hidden="false"/>
    </xf>
    <xf numFmtId="166" fontId="0" fillId="0" borderId="1" xfId="0" applyFont="false" applyBorder="true" applyAlignment="true" applyProtection="false">
      <alignment horizontal="general" vertical="top" textRotation="0" wrapText="false" indent="0" shrinkToFit="false"/>
      <protection locked="true" hidden="false"/>
    </xf>
    <xf numFmtId="168" fontId="0" fillId="0" borderId="1" xfId="0" applyFont="false" applyBorder="true" applyAlignment="true" applyProtection="false">
      <alignment horizontal="general" vertical="top"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4"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46D75"/>
          <bgColor rgb="FF000000"/>
        </patternFill>
      </fill>
    </dxf>
    <dxf>
      <fill>
        <patternFill patternType="solid">
          <fgColor rgb="FFF0F6F8"/>
          <bgColor rgb="FF000000"/>
        </patternFill>
      </fill>
    </dxf>
    <dxf>
      <fill>
        <patternFill patternType="solid">
          <fgColor rgb="FFFFFFFF"/>
          <bgColor rgb="FF000000"/>
        </patternFill>
      </fill>
    </dxf>
    <dxf>
      <fill>
        <patternFill patternType="solid">
          <fgColor rgb="FF123140"/>
          <bgColor rgb="FF000000"/>
        </patternFill>
      </fill>
    </dxf>
    <dxf>
      <fill>
        <patternFill patternType="solid">
          <fgColor rgb="FFE4F2E9"/>
          <bgColor rgb="FF000000"/>
        </patternFill>
      </fill>
    </dxf>
    <dxf>
      <fill>
        <patternFill patternType="solid">
          <fgColor rgb="FFEAF2FF"/>
          <bgColor rgb="FF000000"/>
        </patternFill>
      </fill>
    </dxf>
    <dxf>
      <fill>
        <patternFill patternType="solid">
          <fgColor rgb="FF135CAA"/>
          <bgColor rgb="FF000000"/>
        </patternFill>
      </fill>
    </dxf>
    <dxf>
      <fill>
        <patternFill patternType="solid">
          <fgColor rgb="FFFFF0CC"/>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46D75"/>
      <rgbColor rgb="FFC0C0C0"/>
      <rgbColor rgb="FF808080"/>
      <rgbColor rgb="FF9999FF"/>
      <rgbColor rgb="FF993366"/>
      <rgbColor rgb="FFFFF0CC"/>
      <rgbColor rgb="FFE4F2E9"/>
      <rgbColor rgb="FF660066"/>
      <rgbColor rgb="FFFF8080"/>
      <rgbColor rgb="FF135CAA"/>
      <rgbColor rgb="FFCCDAE0"/>
      <rgbColor rgb="FF000080"/>
      <rgbColor rgb="FFFF00FF"/>
      <rgbColor rgb="FFFFFF00"/>
      <rgbColor rgb="FF00FFFF"/>
      <rgbColor rgb="FF800080"/>
      <rgbColor rgb="FF800000"/>
      <rgbColor rgb="FF008080"/>
      <rgbColor rgb="FF0000FF"/>
      <rgbColor rgb="FF00CCFF"/>
      <rgbColor rgb="FFEAF2FF"/>
      <rgbColor rgb="FFF0F6F8"/>
      <rgbColor rgb="FFFFFF99"/>
      <rgbColor rgb="FF99CCFF"/>
      <rgbColor rgb="FFFF99CC"/>
      <rgbColor rgb="FFCC99FF"/>
      <rgbColor rgb="FFF0CE80"/>
      <rgbColor rgb="FF3366FF"/>
      <rgbColor rgb="FF33CCCC"/>
      <rgbColor rgb="FF99CC00"/>
      <rgbColor rgb="FFFFCC00"/>
      <rgbColor rgb="FFFF9900"/>
      <rgbColor rgb="FFFF6600"/>
      <rgbColor rgb="FF666699"/>
      <rgbColor rgb="FF969696"/>
      <rgbColor rgb="FF12314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final-input/HARBORLIGHT2-zasady.xlsx"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hyperlink" Target="https://www.facebook.com/policies_center/pages_groups_events" TargetMode="External"/><Relationship Id="rId2" Type="http://schemas.openxmlformats.org/officeDocument/2006/relationships/hyperlink" Target="https://help.instagram.com/179379842258600" TargetMode="External"/><Relationship Id="rId3" Type="http://schemas.openxmlformats.org/officeDocument/2006/relationships/hyperlink" Target="https://transparency.meta.com/policies/community-standards/spam/" TargetMode="External"/><Relationship Id="rId4" Type="http://schemas.openxmlformats.org/officeDocument/2006/relationships/hyperlink" Target="https://www.tiktok.com/community-guidelines/en/integrity-authenticity/" TargetMode="External"/><Relationship Id="rId5" Type="http://schemas.openxmlformats.org/officeDocument/2006/relationships/hyperlink" Target="https://support.google.com/youtube/answer/3399767?hl=en" TargetMode="External"/><Relationship Id="rId6" Type="http://schemas.openxmlformats.org/officeDocument/2006/relationships/hyperlink" Target="https://discord.com/guidelines" TargetMode="External"/><Relationship Id="rId7" Type="http://schemas.openxmlformats.org/officeDocument/2006/relationships/hyperlink" Target="https://support.reddithelp.com/hc/en-us/articles/360043504051-Spam" TargetMode="External"/><Relationship Id="rId8" Type="http://schemas.openxmlformats.org/officeDocument/2006/relationships/hyperlink" Target="https://help.x.com/en/rules-and-policies/platform-manipulation" TargetMode="External"/><Relationship Id="rId9" Type="http://schemas.openxmlformats.org/officeDocument/2006/relationships/hyperlink" Target="https://bsky.social/about/support/community-guidelines" TargetMode="External"/><Relationship Id="rId10" Type="http://schemas.openxmlformats.org/officeDocument/2006/relationships/hyperlink" Target="https://joinmastodon.org/" TargetMode="External"/><Relationship Id="rId11" Type="http://schemas.openxmlformats.org/officeDocument/2006/relationships/hyperlink" Target="https://values.snap.com/policy/policy-community-guidelines" TargetMode="External"/><Relationship Id="rId12"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drawing" Target="../drawings/drawing18.xml"/>
</Relationships>
</file>

<file path=xl/worksheets/_rels/sheet19.xml.rels><?xml version="1.0" encoding="UTF-8"?>
<Relationships xmlns="http://schemas.openxmlformats.org/package/2006/relationships"><Relationship Id="rId1" Type="http://schemas.openxmlformats.org/officeDocument/2006/relationships/drawing" Target="../drawings/drawing19.xml"/>
</Relationships>
</file>

<file path=xl/worksheets/_rels/sheet20.xml.rels><?xml version="1.0" encoding="UTF-8"?>
<Relationships xmlns="http://schemas.openxmlformats.org/package/2006/relationships"><Relationship Id="rId1" Type="http://schemas.openxmlformats.org/officeDocument/2006/relationships/drawing" Target="../drawings/drawing20.xml"/>
</Relationships>
</file>

<file path=xl/worksheets/_rels/sheet21.xml.rels><?xml version="1.0" encoding="UTF-8"?>
<Relationships xmlns="http://schemas.openxmlformats.org/package/2006/relationships"><Relationship Id="rId1" Type="http://schemas.openxmlformats.org/officeDocument/2006/relationships/drawing" Target="../drawings/drawing21.xml"/>
</Relationships>
</file>

<file path=xl/worksheets/_rels/sheet22.xml.rels><?xml version="1.0" encoding="UTF-8"?>
<Relationships xmlns="http://schemas.openxmlformats.org/package/2006/relationships"><Relationship Id="rId1" Type="http://schemas.openxmlformats.org/officeDocument/2006/relationships/drawing" Target="../drawings/drawing22.xml"/>
</Relationships>
</file>

<file path=xl/worksheets/_rels/sheet23.xml.rels><?xml version="1.0" encoding="UTF-8"?>
<Relationships xmlns="http://schemas.openxmlformats.org/package/2006/relationships"><Relationship Id="rId1" Type="http://schemas.openxmlformats.org/officeDocument/2006/relationships/drawing" Target="../drawings/drawing23.xml"/>
</Relationships>
</file>

<file path=xl/worksheets/_rels/sheet24.xml.rels><?xml version="1.0" encoding="UTF-8"?>
<Relationships xmlns="http://schemas.openxmlformats.org/package/2006/relationships"><Relationship Id="rId1" Type="http://schemas.openxmlformats.org/officeDocument/2006/relationships/drawing" Target="../drawings/drawing24.xml"/>
</Relationships>
</file>

<file path=xl/worksheets/_rels/sheet25.xml.rels><?xml version="1.0" encoding="UTF-8"?>
<Relationships xmlns="http://schemas.openxmlformats.org/package/2006/relationships"><Relationship Id="rId1" Type="http://schemas.openxmlformats.org/officeDocument/2006/relationships/drawing" Target="../drawings/drawing25.xml"/>
</Relationships>
</file>

<file path=xl/worksheets/_rels/sheet26.xml.rels><?xml version="1.0" encoding="UTF-8"?>
<Relationships xmlns="http://schemas.openxmlformats.org/package/2006/relationships"><Relationship Id="rId1" Type="http://schemas.openxmlformats.org/officeDocument/2006/relationships/drawing" Target="../drawings/drawing26.xml"/>
</Relationships>
</file>

<file path=xl/worksheets/_rels/sheet27.xml.rels><?xml version="1.0" encoding="UTF-8"?>
<Relationships xmlns="http://schemas.openxmlformats.org/package/2006/relationships"><Relationship Id="rId1" Type="http://schemas.openxmlformats.org/officeDocument/2006/relationships/drawing" Target="../drawings/drawing27.xml"/>
</Relationships>
</file>

<file path=xl/worksheets/_rels/sheet28.xml.rels><?xml version="1.0" encoding="UTF-8"?>
<Relationships xmlns="http://schemas.openxmlformats.org/package/2006/relationships"><Relationship Id="rId1" Type="http://schemas.openxmlformats.org/officeDocument/2006/relationships/drawing" Target="../drawings/drawing28.xml"/>
</Relationships>
</file>

<file path=xl/worksheets/_rels/sheet29.xml.rels><?xml version="1.0" encoding="UTF-8"?>
<Relationships xmlns="http://schemas.openxmlformats.org/package/2006/relationships"><Relationship Id="rId1" Type="http://schemas.openxmlformats.org/officeDocument/2006/relationships/drawing" Target="../drawings/drawing29.xml"/>
</Relationships>
</file>

<file path=xl/worksheets/_rels/sheet30.xml.rels><?xml version="1.0" encoding="UTF-8"?>
<Relationships xmlns="http://schemas.openxmlformats.org/package/2006/relationships"><Relationship Id="rId1" Type="http://schemas.openxmlformats.org/officeDocument/2006/relationships/drawing" Target="../drawings/drawing3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6"/>
  <sheetViews>
    <sheetView showFormulas="false" showGridLines="false" showRowColHeaders="true" showZeros="true" rightToLeft="false" tabSelected="tru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9"/>
    <col collapsed="false" customWidth="true" hidden="false" outlineLevel="0" max="2" min="2" style="1" width="145"/>
    <col collapsed="false" customWidth="true" hidden="false" outlineLevel="0" max="3" min="3" style="1" width="95"/>
  </cols>
  <sheetData>
    <row r="1" customFormat="false" ht="33.75" hidden="false" customHeight="true" outlineLevel="0" collapsed="false">
      <c r="A1" s="2" t="s">
        <v>0</v>
      </c>
      <c r="B1" s="2"/>
      <c r="C1" s="2"/>
    </row>
    <row r="2" customFormat="false" ht="24.75" hidden="false" customHeight="true" outlineLevel="0" collapsed="false">
      <c r="A2" s="3" t="s">
        <v>1</v>
      </c>
      <c r="B2" s="3"/>
      <c r="C2" s="3"/>
    </row>
    <row r="3" customFormat="false" ht="24.75" hidden="false" customHeight="true" outlineLevel="0" collapsed="false">
      <c r="A3" s="3"/>
      <c r="B3" s="3"/>
      <c r="C3" s="3"/>
    </row>
    <row r="5" customFormat="false" ht="48" hidden="false" customHeight="true" outlineLevel="0" collapsed="false">
      <c r="A5" s="4" t="s">
        <v>2</v>
      </c>
      <c r="B5" s="4" t="s">
        <v>3</v>
      </c>
      <c r="C5" s="4" t="s">
        <v>4</v>
      </c>
    </row>
    <row r="6" customFormat="false" ht="90" hidden="false" customHeight="true" outlineLevel="0" collapsed="false">
      <c r="A6" s="5" t="s">
        <v>5</v>
      </c>
      <c r="B6" s="5" t="s">
        <v>6</v>
      </c>
      <c r="C6" s="5" t="s">
        <v>7</v>
      </c>
    </row>
    <row r="7" customFormat="false" ht="90" hidden="false" customHeight="true" outlineLevel="0" collapsed="false">
      <c r="A7" s="6" t="s">
        <v>8</v>
      </c>
      <c r="B7" s="6" t="s">
        <v>9</v>
      </c>
      <c r="C7" s="6" t="s">
        <v>10</v>
      </c>
    </row>
    <row r="8" customFormat="false" ht="90" hidden="false" customHeight="true" outlineLevel="0" collapsed="false">
      <c r="A8" s="5" t="s">
        <v>11</v>
      </c>
      <c r="B8" s="5" t="s">
        <v>12</v>
      </c>
      <c r="C8" s="5" t="s">
        <v>13</v>
      </c>
    </row>
    <row r="9" customFormat="false" ht="90" hidden="false" customHeight="true" outlineLevel="0" collapsed="false">
      <c r="A9" s="6" t="s">
        <v>14</v>
      </c>
      <c r="B9" s="6" t="s">
        <v>15</v>
      </c>
      <c r="C9" s="6" t="s">
        <v>16</v>
      </c>
    </row>
    <row r="10" customFormat="false" ht="90" hidden="false" customHeight="true" outlineLevel="0" collapsed="false">
      <c r="A10" s="5" t="s">
        <v>17</v>
      </c>
      <c r="B10" s="5" t="s">
        <v>18</v>
      </c>
      <c r="C10" s="5" t="s">
        <v>19</v>
      </c>
    </row>
    <row r="11" customFormat="false" ht="90" hidden="false" customHeight="true" outlineLevel="0" collapsed="false">
      <c r="A11" s="6" t="s">
        <v>20</v>
      </c>
      <c r="B11" s="6" t="s">
        <v>21</v>
      </c>
      <c r="C11" s="6" t="s">
        <v>22</v>
      </c>
    </row>
    <row r="12" customFormat="false" ht="90" hidden="false" customHeight="true" outlineLevel="0" collapsed="false">
      <c r="A12" s="5" t="s">
        <v>23</v>
      </c>
      <c r="B12" s="5" t="s">
        <v>24</v>
      </c>
      <c r="C12" s="5" t="s">
        <v>25</v>
      </c>
    </row>
    <row r="13" customFormat="false" ht="90" hidden="false" customHeight="true" outlineLevel="0" collapsed="false">
      <c r="A13" s="6" t="s">
        <v>26</v>
      </c>
      <c r="B13" s="6" t="s">
        <v>27</v>
      </c>
      <c r="C13" s="6" t="s">
        <v>28</v>
      </c>
    </row>
    <row r="14" customFormat="false" ht="90" hidden="false" customHeight="true" outlineLevel="0" collapsed="false">
      <c r="A14" s="5" t="s">
        <v>29</v>
      </c>
      <c r="B14" s="5" t="s">
        <v>30</v>
      </c>
      <c r="C14" s="5" t="s">
        <v>31</v>
      </c>
    </row>
    <row r="15" customFormat="false" ht="90" hidden="false" customHeight="true" outlineLevel="0" collapsed="false">
      <c r="A15" s="6" t="s">
        <v>32</v>
      </c>
      <c r="B15" s="6" t="s">
        <v>33</v>
      </c>
      <c r="C15" s="6" t="s">
        <v>34</v>
      </c>
    </row>
    <row r="16" customFormat="false" ht="90" hidden="false" customHeight="true" outlineLevel="0" collapsed="false">
      <c r="A16" s="5" t="s">
        <v>35</v>
      </c>
      <c r="B16" s="5" t="s">
        <v>36</v>
      </c>
      <c r="C16" s="5" t="s">
        <v>37</v>
      </c>
    </row>
    <row r="17" customFormat="false" ht="90" hidden="false" customHeight="true" outlineLevel="0" collapsed="false">
      <c r="A17" s="6" t="s">
        <v>38</v>
      </c>
      <c r="B17" s="6" t="s">
        <v>39</v>
      </c>
      <c r="C17" s="6" t="s">
        <v>40</v>
      </c>
    </row>
    <row r="18" customFormat="false" ht="90" hidden="false" customHeight="true" outlineLevel="0" collapsed="false">
      <c r="A18" s="5" t="s">
        <v>41</v>
      </c>
      <c r="B18" s="5" t="s">
        <v>42</v>
      </c>
      <c r="C18" s="5" t="s">
        <v>43</v>
      </c>
    </row>
    <row r="19" customFormat="false" ht="90" hidden="false" customHeight="true" outlineLevel="0" collapsed="false">
      <c r="A19" s="6" t="s">
        <v>44</v>
      </c>
      <c r="B19" s="6" t="s">
        <v>45</v>
      </c>
      <c r="C19" s="6" t="s">
        <v>46</v>
      </c>
    </row>
    <row r="20" customFormat="false" ht="69.75" hidden="false" customHeight="true" outlineLevel="0" collapsed="false">
      <c r="A20" s="6" t="s">
        <v>47</v>
      </c>
      <c r="B20" s="6" t="s">
        <v>48</v>
      </c>
      <c r="C20" s="6" t="s">
        <v>49</v>
      </c>
    </row>
    <row r="21" customFormat="false" ht="99.75" hidden="false" customHeight="true" outlineLevel="0" collapsed="false">
      <c r="A21" s="6" t="s">
        <v>50</v>
      </c>
      <c r="B21" s="6" t="s">
        <v>51</v>
      </c>
      <c r="C21" s="6" t="s">
        <v>52</v>
      </c>
    </row>
    <row r="22" customFormat="false" ht="99.75" hidden="false" customHeight="true" outlineLevel="0" collapsed="false">
      <c r="A22" s="5" t="s">
        <v>53</v>
      </c>
      <c r="B22" s="5" t="s">
        <v>54</v>
      </c>
      <c r="C22" s="5" t="s">
        <v>55</v>
      </c>
    </row>
    <row r="23" customFormat="false" ht="99.75" hidden="false" customHeight="true" outlineLevel="0" collapsed="false">
      <c r="A23" s="6" t="s">
        <v>56</v>
      </c>
      <c r="B23" s="6" t="s">
        <v>57</v>
      </c>
      <c r="C23" s="6" t="s">
        <v>58</v>
      </c>
    </row>
    <row r="24" customFormat="false" ht="99.75" hidden="false" customHeight="true" outlineLevel="0" collapsed="false">
      <c r="A24" s="5" t="s">
        <v>59</v>
      </c>
      <c r="B24" s="5" t="s">
        <v>60</v>
      </c>
      <c r="C24" s="5" t="s">
        <v>61</v>
      </c>
    </row>
    <row r="25" customFormat="false" ht="90" hidden="false" customHeight="true" outlineLevel="0" collapsed="false">
      <c r="A25" s="6" t="s">
        <v>62</v>
      </c>
      <c r="B25" s="6" t="s">
        <v>63</v>
      </c>
      <c r="C25" s="6" t="s">
        <v>64</v>
      </c>
    </row>
    <row r="26" customFormat="false" ht="69.75" hidden="false" customHeight="true" outlineLevel="0" collapsed="false">
      <c r="A26" s="5" t="s">
        <v>65</v>
      </c>
      <c r="B26" s="5" t="s">
        <v>66</v>
      </c>
      <c r="C26" s="5" t="s">
        <v>67</v>
      </c>
    </row>
  </sheetData>
  <autoFilter ref="A5:C26"/>
  <mergeCells count="2">
    <mergeCell ref="A1:C1"/>
    <mergeCell ref="A2:C3"/>
  </mergeCells>
  <hyperlinks>
    <hyperlink ref="A6" r:id="rId1" location="'Budynki'!A1" display="Główna tabela"/>
  </hyperlink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8"/>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1"/>
    <col collapsed="false" customWidth="true" hidden="false" outlineLevel="0" max="2" min="2" style="1" width="42"/>
    <col collapsed="false" customWidth="true" hidden="false" outlineLevel="0" max="3" min="3" style="1" width="44"/>
    <col collapsed="false" customWidth="true" hidden="false" outlineLevel="0" max="4" min="4" style="1" width="65"/>
    <col collapsed="false" customWidth="true" hidden="false" outlineLevel="0" max="5" min="5" style="1" width="47"/>
    <col collapsed="false" customWidth="true" hidden="false" outlineLevel="0" max="6" min="6" style="1" width="35"/>
    <col collapsed="false" customWidth="true" hidden="false" outlineLevel="0" max="7" min="7" style="1" width="38"/>
    <col collapsed="false" customWidth="true" hidden="false" outlineLevel="0" max="8" min="8" style="1" width="46"/>
    <col collapsed="false" customWidth="true" hidden="false" outlineLevel="0" max="9" min="9" style="1" width="90"/>
    <col collapsed="false" customWidth="true" hidden="false" outlineLevel="0" max="10" min="10" style="1" width="65"/>
    <col collapsed="false" customWidth="true" hidden="false" outlineLevel="0" max="11" min="11" style="1" width="90"/>
    <col collapsed="false" customWidth="true" hidden="false" outlineLevel="0" max="12" min="12" style="1" width="47"/>
    <col collapsed="false" customWidth="true" hidden="false" outlineLevel="0" max="15" min="13" style="1" width="39"/>
  </cols>
  <sheetData>
    <row r="1" customFormat="false" ht="33.75" hidden="false" customHeight="true" outlineLevel="0" collapsed="false">
      <c r="A1" s="7" t="s">
        <v>68</v>
      </c>
      <c r="B1" s="7"/>
      <c r="C1" s="7"/>
      <c r="D1" s="7"/>
      <c r="E1" s="7"/>
      <c r="F1" s="7"/>
      <c r="G1" s="7"/>
      <c r="H1" s="7"/>
      <c r="I1" s="7"/>
      <c r="J1" s="7"/>
      <c r="K1" s="7"/>
      <c r="L1" s="7"/>
      <c r="M1" s="7"/>
      <c r="N1" s="7"/>
      <c r="O1" s="7"/>
    </row>
    <row r="2" customFormat="false" ht="24.75" hidden="false" customHeight="true" outlineLevel="0" collapsed="false">
      <c r="A2" s="3" t="s">
        <v>69</v>
      </c>
      <c r="B2" s="3"/>
      <c r="C2" s="3"/>
      <c r="D2" s="3"/>
      <c r="E2" s="3"/>
      <c r="F2" s="3"/>
      <c r="G2" s="3"/>
      <c r="H2" s="3"/>
      <c r="I2" s="3"/>
      <c r="J2" s="3"/>
      <c r="K2" s="3"/>
      <c r="L2" s="3"/>
      <c r="M2" s="3"/>
      <c r="N2" s="3"/>
      <c r="O2" s="3"/>
    </row>
    <row r="3" customFormat="false" ht="24.75" hidden="false" customHeight="true" outlineLevel="0" collapsed="false">
      <c r="A3" s="3"/>
      <c r="B3" s="3"/>
      <c r="C3" s="3"/>
      <c r="D3" s="3"/>
      <c r="E3" s="3"/>
      <c r="F3" s="3"/>
      <c r="G3" s="3"/>
      <c r="H3" s="3"/>
      <c r="I3" s="3"/>
      <c r="J3" s="3"/>
      <c r="K3" s="3"/>
      <c r="L3" s="3"/>
      <c r="M3" s="3"/>
      <c r="N3" s="3"/>
      <c r="O3" s="3"/>
    </row>
    <row r="5" customFormat="false" ht="48" hidden="false" customHeight="true" outlineLevel="0" collapsed="false">
      <c r="A5" s="4" t="s">
        <v>70</v>
      </c>
      <c r="B5" s="4" t="s">
        <v>71</v>
      </c>
      <c r="C5" s="4" t="s">
        <v>72</v>
      </c>
      <c r="D5" s="4" t="s">
        <v>73</v>
      </c>
      <c r="E5" s="4" t="s">
        <v>74</v>
      </c>
      <c r="F5" s="4" t="s">
        <v>75</v>
      </c>
      <c r="G5" s="4" t="s">
        <v>76</v>
      </c>
      <c r="H5" s="4" t="s">
        <v>77</v>
      </c>
      <c r="I5" s="4" t="s">
        <v>78</v>
      </c>
      <c r="J5" s="4" t="s">
        <v>35</v>
      </c>
      <c r="K5" s="4" t="s">
        <v>79</v>
      </c>
      <c r="L5" s="4" t="s">
        <v>80</v>
      </c>
      <c r="M5" s="4" t="s">
        <v>81</v>
      </c>
      <c r="N5" s="4" t="s">
        <v>82</v>
      </c>
      <c r="O5" s="4" t="s">
        <v>83</v>
      </c>
    </row>
    <row r="6" customFormat="false" ht="244.5" hidden="false" customHeight="true" outlineLevel="0" collapsed="false">
      <c r="A6" s="5" t="s">
        <v>84</v>
      </c>
      <c r="B6" s="5" t="s">
        <v>85</v>
      </c>
      <c r="C6" s="5" t="s">
        <v>86</v>
      </c>
      <c r="D6" s="5" t="s">
        <v>87</v>
      </c>
      <c r="E6" s="5" t="s">
        <v>88</v>
      </c>
      <c r="F6" s="5" t="s">
        <v>89</v>
      </c>
      <c r="G6" s="8" t="s">
        <v>90</v>
      </c>
      <c r="H6" s="5" t="s">
        <v>91</v>
      </c>
      <c r="I6" s="5" t="s">
        <v>92</v>
      </c>
      <c r="J6" s="5" t="s">
        <v>93</v>
      </c>
      <c r="K6" s="5" t="s">
        <v>94</v>
      </c>
      <c r="L6" s="5" t="s">
        <v>95</v>
      </c>
      <c r="M6" s="5" t="str">
        <f aca="false">TEXT('Czas budowy'!Y6,"0")&amp;" min bazowo; T="&amp;TEXT('Czas budowy'!V6,"0")&amp;" min; budowa="&amp;TEXT('Czas budowy'!X6,"0")&amp;" min. Kolejka +10%: "&amp;TEXT('Czas budowy'!Y7,"0")&amp;" min (bez czekania)."</f>
        <v>80 min bazowo; T=40 min; budowa=40 min. Kolejka +10%: 90 min (bez czekania).</v>
      </c>
      <c r="N6" s="5" t="str">
        <f aca="false">TEXT('Czas budowy'!Y8,"0")&amp;" min bazowo; T="&amp;TEXT('Czas budowy'!V8,"0")&amp;" min; budowa="&amp;TEXT('Czas budowy'!X8,"0")&amp;" min. Kolejka +10%: "&amp;TEXT('Czas budowy'!Y9,"0")&amp;" min (bez czekania)."</f>
        <v>140 min bazowo; T=70 min; budowa=70 min. Kolejka +10%: 150 min (bez czekania).</v>
      </c>
      <c r="O6" s="5" t="str">
        <f aca="false">TEXT('Czas budowy'!Y10,"0")&amp;" min bazowo; T="&amp;TEXT('Czas budowy'!V10,"0")&amp;" min; budowa="&amp;TEXT('Czas budowy'!X10,"0")&amp;" min. Kolejka +10%: "&amp;TEXT('Czas budowy'!Y11,"0")&amp;" min (bez czekania)."</f>
        <v>180 min bazowo; T=90 min; budowa=90 min. Kolejka +10%: 200 min (bez czekania).</v>
      </c>
    </row>
    <row r="7" customFormat="false" ht="244.5" hidden="false" customHeight="true" outlineLevel="0" collapsed="false">
      <c r="A7" s="6" t="s">
        <v>96</v>
      </c>
      <c r="B7" s="6" t="s">
        <v>97</v>
      </c>
      <c r="C7" s="6" t="s">
        <v>86</v>
      </c>
      <c r="D7" s="6" t="s">
        <v>98</v>
      </c>
      <c r="E7" s="6" t="s">
        <v>88</v>
      </c>
      <c r="F7" s="6" t="s">
        <v>89</v>
      </c>
      <c r="G7" s="8" t="s">
        <v>90</v>
      </c>
      <c r="H7" s="6" t="s">
        <v>99</v>
      </c>
      <c r="I7" s="6" t="s">
        <v>100</v>
      </c>
      <c r="J7" s="6" t="s">
        <v>93</v>
      </c>
      <c r="K7" s="6" t="s">
        <v>101</v>
      </c>
      <c r="L7" s="6" t="s">
        <v>102</v>
      </c>
      <c r="M7" s="6" t="str">
        <f aca="false">TEXT('Czas budowy'!Y12,"0")&amp;" min bazowo; T="&amp;TEXT('Czas budowy'!V12,"0")&amp;" min; budowa="&amp;TEXT('Czas budowy'!X12,"0")&amp;" min. Kolejka +10%: "&amp;TEXT('Czas budowy'!Y13,"0")&amp;" min (bez czekania)."</f>
        <v>80 min bazowo; T=40 min; budowa=40 min. Kolejka +10%: 90 min (bez czekania).</v>
      </c>
      <c r="N7" s="6" t="str">
        <f aca="false">TEXT('Czas budowy'!Y14,"0")&amp;" min bazowo; T="&amp;TEXT('Czas budowy'!V14,"0")&amp;" min; budowa="&amp;TEXT('Czas budowy'!X14,"0")&amp;" min. Kolejka +10%: "&amp;TEXT('Czas budowy'!Y15,"0")&amp;" min (bez czekania)."</f>
        <v>140 min bazowo; T=70 min; budowa=70 min. Kolejka +10%: 150 min (bez czekania).</v>
      </c>
      <c r="O7" s="6" t="str">
        <f aca="false">TEXT('Czas budowy'!Y16,"0")&amp;" min bazowo; T="&amp;TEXT('Czas budowy'!V16,"0")&amp;" min; budowa="&amp;TEXT('Czas budowy'!X16,"0")&amp;" min. Kolejka +10%: "&amp;TEXT('Czas budowy'!Y17,"0")&amp;" min (bez czekania)."</f>
        <v>180 min bazowo; T=90 min; budowa=90 min. Kolejka +10%: 200 min (bez czekania).</v>
      </c>
    </row>
    <row r="8" customFormat="false" ht="244.5" hidden="false" customHeight="true" outlineLevel="0" collapsed="false">
      <c r="A8" s="5" t="s">
        <v>103</v>
      </c>
      <c r="B8" s="5" t="s">
        <v>104</v>
      </c>
      <c r="C8" s="5" t="s">
        <v>105</v>
      </c>
      <c r="D8" s="5" t="s">
        <v>106</v>
      </c>
      <c r="E8" s="5" t="s">
        <v>107</v>
      </c>
      <c r="F8" s="5" t="s">
        <v>89</v>
      </c>
      <c r="G8" s="8" t="s">
        <v>90</v>
      </c>
      <c r="H8" s="5" t="s">
        <v>108</v>
      </c>
      <c r="I8" s="5" t="s">
        <v>109</v>
      </c>
      <c r="J8" s="5" t="s">
        <v>93</v>
      </c>
      <c r="K8" s="5" t="s">
        <v>110</v>
      </c>
      <c r="L8" s="5" t="s">
        <v>111</v>
      </c>
      <c r="M8" s="5" t="str">
        <f aca="false">TEXT('Czas budowy'!Y18,"0")&amp;" min bazowo; T="&amp;TEXT('Czas budowy'!V18,"0")&amp;" min; budowa="&amp;TEXT('Czas budowy'!X18,"0")&amp;" min. Kolejka +10%: "&amp;TEXT('Czas budowy'!Y19,"0")&amp;" min (bez czekania)."</f>
        <v>10 min bazowo; T=5 min; budowa=5 min. Kolejka +10%: 20 min (bez czekania).</v>
      </c>
      <c r="N8" s="5" t="str">
        <f aca="false">TEXT('Czas budowy'!Y20,"0")&amp;" min bazowo; T="&amp;TEXT('Czas budowy'!V20,"0")&amp;" min; budowa="&amp;TEXT('Czas budowy'!X20,"0")&amp;" min. Kolejka +10%: "&amp;TEXT('Czas budowy'!Y21,"0")&amp;" min (bez czekania)."</f>
        <v>20 min bazowo; T=10 min; budowa=10 min. Kolejka +10%: 20 min (bez czekania).</v>
      </c>
      <c r="O8" s="5" t="str">
        <f aca="false">TEXT('Czas budowy'!Y22,"0")&amp;" min bazowo; T="&amp;TEXT('Czas budowy'!V22,"0")&amp;" min; budowa="&amp;TEXT('Czas budowy'!X22,"0")&amp;" min. Kolejka +10%: "&amp;TEXT('Czas budowy'!Y23,"0")&amp;" min (bez czekania)."</f>
        <v>20 min bazowo; T=10 min; budowa=10 min. Kolejka +10%: 30 min (bez czekania).</v>
      </c>
    </row>
    <row r="9" customFormat="false" ht="244.5" hidden="false" customHeight="true" outlineLevel="0" collapsed="false">
      <c r="A9" s="6" t="s">
        <v>112</v>
      </c>
      <c r="B9" s="6" t="s">
        <v>113</v>
      </c>
      <c r="C9" s="6" t="s">
        <v>105</v>
      </c>
      <c r="D9" s="6" t="s">
        <v>106</v>
      </c>
      <c r="E9" s="6" t="s">
        <v>114</v>
      </c>
      <c r="F9" s="6" t="s">
        <v>89</v>
      </c>
      <c r="G9" s="8" t="s">
        <v>90</v>
      </c>
      <c r="H9" s="6" t="s">
        <v>108</v>
      </c>
      <c r="I9" s="6" t="s">
        <v>109</v>
      </c>
      <c r="J9" s="6" t="s">
        <v>93</v>
      </c>
      <c r="K9" s="6"/>
      <c r="L9" s="6" t="s">
        <v>115</v>
      </c>
      <c r="M9" s="6" t="str">
        <f aca="false">TEXT('Czas budowy'!Y24,"0")&amp;" min bazowo; T="&amp;TEXT('Czas budowy'!V24,"0")&amp;" min; budowa="&amp;TEXT('Czas budowy'!X24,"0")&amp;" min. Kolejka +10%: "&amp;TEXT('Czas budowy'!Y25,"0")&amp;" min (bez czekania)."</f>
        <v>20 min bazowo; T=10 min; budowa=10 min. Kolejka +10%: 20 min (bez czekania).</v>
      </c>
      <c r="N9" s="6" t="str">
        <f aca="false">TEXT('Czas budowy'!Y26,"0")&amp;" min bazowo; T="&amp;TEXT('Czas budowy'!V26,"0")&amp;" min; budowa="&amp;TEXT('Czas budowy'!X26,"0")&amp;" min. Kolejka +10%: "&amp;TEXT('Czas budowy'!Y27,"0")&amp;" min (bez czekania)."</f>
        <v>30 min bazowo; T=15 min; budowa=15 min. Kolejka +10%: 30 min (bez czekania).</v>
      </c>
      <c r="O9" s="6" t="str">
        <f aca="false">TEXT('Czas budowy'!Y28,"0")&amp;" min bazowo; T="&amp;TEXT('Czas budowy'!V28,"0")&amp;" min; budowa="&amp;TEXT('Czas budowy'!X28,"0")&amp;" min. Kolejka +10%: "&amp;TEXT('Czas budowy'!Y29,"0")&amp;" min (bez czekania)."</f>
        <v>40 min bazowo; T=20 min; budowa=20 min. Kolejka +10%: 50 min (bez czekania).</v>
      </c>
    </row>
    <row r="10" customFormat="false" ht="244.5" hidden="false" customHeight="true" outlineLevel="0" collapsed="false">
      <c r="A10" s="5" t="s">
        <v>116</v>
      </c>
      <c r="B10" s="5" t="s">
        <v>117</v>
      </c>
      <c r="C10" s="5" t="s">
        <v>105</v>
      </c>
      <c r="D10" s="5" t="s">
        <v>106</v>
      </c>
      <c r="E10" s="5" t="s">
        <v>118</v>
      </c>
      <c r="F10" s="5" t="s">
        <v>89</v>
      </c>
      <c r="G10" s="8" t="s">
        <v>90</v>
      </c>
      <c r="H10" s="5" t="s">
        <v>108</v>
      </c>
      <c r="I10" s="5" t="s">
        <v>109</v>
      </c>
      <c r="J10" s="5" t="s">
        <v>93</v>
      </c>
      <c r="K10" s="5"/>
      <c r="L10" s="5" t="s">
        <v>119</v>
      </c>
      <c r="M10" s="5" t="str">
        <f aca="false">TEXT('Czas budowy'!Y30,"0")&amp;" min bazowo; T="&amp;TEXT('Czas budowy'!V30,"0")&amp;" min; budowa="&amp;TEXT('Czas budowy'!X30,"0")&amp;" min. Kolejka +10%: "&amp;TEXT('Czas budowy'!Y31,"0")&amp;" min (bez czekania)."</f>
        <v>20 min bazowo; T=10 min; budowa=10 min. Kolejka +10%: 20 min (bez czekania).</v>
      </c>
      <c r="N10" s="5" t="str">
        <f aca="false">TEXT('Czas budowy'!Y32,"0")&amp;" min bazowo; T="&amp;TEXT('Czas budowy'!V32,"0")&amp;" min; budowa="&amp;TEXT('Czas budowy'!X32,"0")&amp;" min. Kolejka +10%: "&amp;TEXT('Czas budowy'!Y33,"0")&amp;" min (bez czekania)."</f>
        <v>30 min bazowo; T=15 min; budowa=15 min. Kolejka +10%: 30 min (bez czekania).</v>
      </c>
      <c r="O10" s="5" t="str">
        <f aca="false">TEXT('Czas budowy'!Y34,"0")&amp;" min bazowo; T="&amp;TEXT('Czas budowy'!V34,"0")&amp;" min; budowa="&amp;TEXT('Czas budowy'!X34,"0")&amp;" min. Kolejka +10%: "&amp;TEXT('Czas budowy'!Y35,"0")&amp;" min (bez czekania)."</f>
        <v>40 min bazowo; T=20 min; budowa=20 min. Kolejka +10%: 50 min (bez czekania).</v>
      </c>
    </row>
    <row r="11" customFormat="false" ht="244.5" hidden="false" customHeight="true" outlineLevel="0" collapsed="false">
      <c r="A11" s="6" t="s">
        <v>120</v>
      </c>
      <c r="B11" s="6" t="s">
        <v>121</v>
      </c>
      <c r="C11" s="6" t="s">
        <v>105</v>
      </c>
      <c r="D11" s="6" t="s">
        <v>106</v>
      </c>
      <c r="E11" s="6" t="s">
        <v>122</v>
      </c>
      <c r="F11" s="6" t="s">
        <v>89</v>
      </c>
      <c r="G11" s="8" t="s">
        <v>90</v>
      </c>
      <c r="H11" s="6" t="s">
        <v>108</v>
      </c>
      <c r="I11" s="6" t="s">
        <v>109</v>
      </c>
      <c r="J11" s="6" t="s">
        <v>93</v>
      </c>
      <c r="K11" s="6"/>
      <c r="L11" s="6" t="s">
        <v>123</v>
      </c>
      <c r="M11" s="6" t="str">
        <f aca="false">TEXT('Czas budowy'!Y36,"0")&amp;" min bazowo; T="&amp;TEXT('Czas budowy'!V36,"0")&amp;" min; budowa="&amp;TEXT('Czas budowy'!X36,"0")&amp;" min. Kolejka +10%: "&amp;TEXT('Czas budowy'!Y37,"0")&amp;" min (bez czekania)."</f>
        <v>20 min bazowo; T=10 min; budowa=10 min. Kolejka +10%: 20 min (bez czekania).</v>
      </c>
      <c r="N11" s="6" t="str">
        <f aca="false">TEXT('Czas budowy'!Y38,"0")&amp;" min bazowo; T="&amp;TEXT('Czas budowy'!V38,"0")&amp;" min; budowa="&amp;TEXT('Czas budowy'!X38,"0")&amp;" min. Kolejka +10%: "&amp;TEXT('Czas budowy'!Y39,"0")&amp;" min (bez czekania)."</f>
        <v>30 min bazowo; T=15 min; budowa=15 min. Kolejka +10%: 30 min (bez czekania).</v>
      </c>
      <c r="O11" s="6" t="str">
        <f aca="false">TEXT('Czas budowy'!Y40,"0")&amp;" min bazowo; T="&amp;TEXT('Czas budowy'!V40,"0")&amp;" min; budowa="&amp;TEXT('Czas budowy'!X40,"0")&amp;" min. Kolejka +10%: "&amp;TEXT('Czas budowy'!Y41,"0")&amp;" min (bez czekania)."</f>
        <v>40 min bazowo; T=20 min; budowa=20 min. Kolejka +10%: 50 min (bez czekania).</v>
      </c>
    </row>
    <row r="12" customFormat="false" ht="244.5" hidden="false" customHeight="true" outlineLevel="0" collapsed="false">
      <c r="A12" s="5" t="s">
        <v>124</v>
      </c>
      <c r="B12" s="5" t="s">
        <v>125</v>
      </c>
      <c r="C12" s="5" t="s">
        <v>105</v>
      </c>
      <c r="D12" s="5" t="s">
        <v>106</v>
      </c>
      <c r="E12" s="5" t="s">
        <v>126</v>
      </c>
      <c r="F12" s="5" t="s">
        <v>89</v>
      </c>
      <c r="G12" s="8" t="s">
        <v>90</v>
      </c>
      <c r="H12" s="5" t="s">
        <v>108</v>
      </c>
      <c r="I12" s="5" t="s">
        <v>109</v>
      </c>
      <c r="J12" s="5" t="s">
        <v>93</v>
      </c>
      <c r="K12" s="5"/>
      <c r="L12" s="5" t="s">
        <v>127</v>
      </c>
      <c r="M12" s="5" t="str">
        <f aca="false">TEXT('Czas budowy'!Y42,"0")&amp;" min bazowo; T="&amp;TEXT('Czas budowy'!V42,"0")&amp;" min; budowa="&amp;TEXT('Czas budowy'!X42,"0")&amp;" min. Kolejka +10%: "&amp;TEXT('Czas budowy'!Y43,"0")&amp;" min (bez czekania)."</f>
        <v>20 min bazowo; T=10 min; budowa=10 min. Kolejka +10%: 20 min (bez czekania).</v>
      </c>
      <c r="N12" s="5" t="str">
        <f aca="false">TEXT('Czas budowy'!Y44,"0")&amp;" min bazowo; T="&amp;TEXT('Czas budowy'!V44,"0")&amp;" min; budowa="&amp;TEXT('Czas budowy'!X44,"0")&amp;" min. Kolejka +10%: "&amp;TEXT('Czas budowy'!Y45,"0")&amp;" min (bez czekania)."</f>
        <v>30 min bazowo; T=15 min; budowa=15 min. Kolejka +10%: 30 min (bez czekania).</v>
      </c>
      <c r="O12" s="5" t="str">
        <f aca="false">TEXT('Czas budowy'!Y46,"0")&amp;" min bazowo; T="&amp;TEXT('Czas budowy'!V46,"0")&amp;" min; budowa="&amp;TEXT('Czas budowy'!X46,"0")&amp;" min. Kolejka +10%: "&amp;TEXT('Czas budowy'!Y47,"0")&amp;" min (bez czekania)."</f>
        <v>40 min bazowo; T=20 min; budowa=20 min. Kolejka +10%: 50 min (bez czekania).</v>
      </c>
    </row>
    <row r="13" customFormat="false" ht="244.5" hidden="false" customHeight="true" outlineLevel="0" collapsed="false">
      <c r="A13" s="6" t="s">
        <v>128</v>
      </c>
      <c r="B13" s="6" t="s">
        <v>129</v>
      </c>
      <c r="C13" s="6" t="s">
        <v>105</v>
      </c>
      <c r="D13" s="6" t="s">
        <v>130</v>
      </c>
      <c r="E13" s="6" t="s">
        <v>131</v>
      </c>
      <c r="F13" s="6" t="s">
        <v>89</v>
      </c>
      <c r="G13" s="8" t="s">
        <v>90</v>
      </c>
      <c r="H13" s="6" t="s">
        <v>108</v>
      </c>
      <c r="I13" s="6" t="s">
        <v>132</v>
      </c>
      <c r="J13" s="6" t="s">
        <v>93</v>
      </c>
      <c r="K13" s="6" t="s">
        <v>133</v>
      </c>
      <c r="L13" s="6" t="s">
        <v>134</v>
      </c>
      <c r="M13" s="6" t="str">
        <f aca="false">TEXT('Czas budowy'!Y48,"0")&amp;" min bazowo; T="&amp;TEXT('Czas budowy'!V48,"0")&amp;" min; budowa="&amp;TEXT('Czas budowy'!X48,"0")&amp;" min. Kolejka +10%: "&amp;TEXT('Czas budowy'!Y49,"0")&amp;" min (bez czekania)."</f>
        <v>50 min bazowo; T=25 min; budowa=25 min. Kolejka +10%: 50 min (bez czekania).</v>
      </c>
      <c r="N13" s="6" t="str">
        <f aca="false">TEXT('Czas budowy'!Y50,"0")&amp;" min bazowo; T="&amp;TEXT('Czas budowy'!V50,"0")&amp;" min; budowa="&amp;TEXT('Czas budowy'!X50,"0")&amp;" min. Kolejka +10%: "&amp;TEXT('Czas budowy'!Y51,"0")&amp;" min (bez czekania)."</f>
        <v>90 min bazowo; T=45 min; budowa=45 min. Kolejka +10%: 90 min (bez czekania).</v>
      </c>
      <c r="O13" s="6" t="str">
        <f aca="false">TEXT('Czas budowy'!Y52,"0")&amp;" min bazowo; T="&amp;TEXT('Czas budowy'!V52,"0")&amp;" min; budowa="&amp;TEXT('Czas budowy'!X52,"0")&amp;" min. Kolejka +10%: "&amp;TEXT('Czas budowy'!Y53,"0")&amp;" min (bez czekania)."</f>
        <v>110 min bazowo; T=55 min; budowa=55 min. Kolejka +10%: 120 min (bez czekania).</v>
      </c>
    </row>
    <row r="14" customFormat="false" ht="244.5" hidden="false" customHeight="true" outlineLevel="0" collapsed="false">
      <c r="A14" s="5" t="s">
        <v>135</v>
      </c>
      <c r="B14" s="5" t="s">
        <v>136</v>
      </c>
      <c r="C14" s="5" t="s">
        <v>105</v>
      </c>
      <c r="D14" s="5" t="s">
        <v>130</v>
      </c>
      <c r="E14" s="5" t="s">
        <v>131</v>
      </c>
      <c r="F14" s="5" t="s">
        <v>89</v>
      </c>
      <c r="G14" s="8" t="s">
        <v>90</v>
      </c>
      <c r="H14" s="5" t="s">
        <v>108</v>
      </c>
      <c r="I14" s="5" t="s">
        <v>137</v>
      </c>
      <c r="J14" s="5" t="s">
        <v>93</v>
      </c>
      <c r="K14" s="5" t="s">
        <v>138</v>
      </c>
      <c r="L14" s="5" t="s">
        <v>139</v>
      </c>
      <c r="M14" s="5" t="str">
        <f aca="false">TEXT('Czas budowy'!Y54,"0")&amp;" min bazowo; T="&amp;TEXT('Czas budowy'!V54,"0")&amp;" min; budowa="&amp;TEXT('Czas budowy'!X54,"0")&amp;" min. Kolejka +10%: "&amp;TEXT('Czas budowy'!Y55,"0")&amp;" min (bez czekania)."</f>
        <v>50 min bazowo; T=25 min; budowa=25 min. Kolejka +10%: 50 min (bez czekania).</v>
      </c>
      <c r="N14" s="5" t="str">
        <f aca="false">TEXT('Czas budowy'!Y56,"0")&amp;" min bazowo; T="&amp;TEXT('Czas budowy'!V56,"0")&amp;" min; budowa="&amp;TEXT('Czas budowy'!X56,"0")&amp;" min. Kolejka +10%: "&amp;TEXT('Czas budowy'!Y57,"0")&amp;" min (bez czekania)."</f>
        <v>90 min bazowo; T=45 min; budowa=45 min. Kolejka +10%: 90 min (bez czekania).</v>
      </c>
      <c r="O14" s="5" t="str">
        <f aca="false">TEXT('Czas budowy'!Y58,"0")&amp;" min bazowo; T="&amp;TEXT('Czas budowy'!V58,"0")&amp;" min; budowa="&amp;TEXT('Czas budowy'!X58,"0")&amp;" min. Kolejka +10%: "&amp;TEXT('Czas budowy'!Y59,"0")&amp;" min (bez czekania)."</f>
        <v>110 min bazowo; T=55 min; budowa=55 min. Kolejka +10%: 120 min (bez czekania).</v>
      </c>
    </row>
    <row r="15" customFormat="false" ht="244.5" hidden="false" customHeight="true" outlineLevel="0" collapsed="false">
      <c r="A15" s="6" t="s">
        <v>140</v>
      </c>
      <c r="B15" s="6" t="s">
        <v>141</v>
      </c>
      <c r="C15" s="6" t="s">
        <v>105</v>
      </c>
      <c r="D15" s="6" t="s">
        <v>130</v>
      </c>
      <c r="E15" s="6" t="s">
        <v>142</v>
      </c>
      <c r="F15" s="6" t="s">
        <v>89</v>
      </c>
      <c r="G15" s="8" t="s">
        <v>90</v>
      </c>
      <c r="H15" s="6" t="s">
        <v>108</v>
      </c>
      <c r="I15" s="6" t="s">
        <v>143</v>
      </c>
      <c r="J15" s="6" t="s">
        <v>93</v>
      </c>
      <c r="K15" s="6" t="s">
        <v>144</v>
      </c>
      <c r="L15" s="6" t="s">
        <v>145</v>
      </c>
      <c r="M15" s="6" t="str">
        <f aca="false">TEXT('Czas budowy'!Y60,"0")&amp;" min bazowo; T="&amp;TEXT('Czas budowy'!V60,"0")&amp;" min; budowa="&amp;TEXT('Czas budowy'!X60,"0")&amp;" min. Kolejka +10%: "&amp;TEXT('Czas budowy'!Y61,"0")&amp;" min (bez czekania)."</f>
        <v>60 min bazowo; T=30 min; budowa=30 min. Kolejka +10%: 70 min (bez czekania).</v>
      </c>
      <c r="N15" s="6" t="str">
        <f aca="false">TEXT('Czas budowy'!Y62,"0")&amp;" min bazowo; T="&amp;TEXT('Czas budowy'!V62,"0")&amp;" min; budowa="&amp;TEXT('Czas budowy'!X62,"0")&amp;" min. Kolejka +10%: "&amp;TEXT('Czas budowy'!Y63,"0")&amp;" min (bez czekania)."</f>
        <v>110 min bazowo; T=55 min; budowa=55 min. Kolejka +10%: 120 min (bez czekania).</v>
      </c>
      <c r="O15" s="6" t="str">
        <f aca="false">TEXT('Czas budowy'!Y64,"0")&amp;" min bazowo; T="&amp;TEXT('Czas budowy'!V64,"0")&amp;" min; budowa="&amp;TEXT('Czas budowy'!X64,"0")&amp;" min. Kolejka +10%: "&amp;TEXT('Czas budowy'!Y65,"0")&amp;" min (bez czekania)."</f>
        <v>150 min bazowo; T=75 min; budowa=75 min. Kolejka +10%: 160 min (bez czekania).</v>
      </c>
    </row>
    <row r="16" customFormat="false" ht="244.5" hidden="false" customHeight="true" outlineLevel="0" collapsed="false">
      <c r="A16" s="5" t="s">
        <v>146</v>
      </c>
      <c r="B16" s="5" t="s">
        <v>147</v>
      </c>
      <c r="C16" s="5" t="s">
        <v>148</v>
      </c>
      <c r="D16" s="5" t="s">
        <v>149</v>
      </c>
      <c r="E16" s="5" t="s">
        <v>150</v>
      </c>
      <c r="F16" s="5" t="s">
        <v>151</v>
      </c>
      <c r="G16" s="8" t="s">
        <v>90</v>
      </c>
      <c r="H16" s="5" t="s">
        <v>152</v>
      </c>
      <c r="I16" s="5" t="s">
        <v>153</v>
      </c>
      <c r="J16" s="5" t="s">
        <v>93</v>
      </c>
      <c r="K16" s="5"/>
      <c r="L16" s="5" t="s">
        <v>154</v>
      </c>
      <c r="M16" s="5" t="str">
        <f aca="false">TEXT('Czas budowy'!Y66,"0")&amp;" min bazowo; T="&amp;TEXT('Czas budowy'!V66,"0")&amp;" min; budowa="&amp;TEXT('Czas budowy'!X66,"0")&amp;" min. Kolejka +10%: "&amp;TEXT('Czas budowy'!Y67,"0")&amp;" min (bez czekania)."</f>
        <v>20 min bazowo; T=5 min; budowa=15 min. Kolejka +10%: 20 min (bez czekania).</v>
      </c>
      <c r="N16" s="5" t="str">
        <f aca="false">TEXT('Czas budowy'!Y68,"0")&amp;" min bazowo; T="&amp;TEXT('Czas budowy'!V68,"0")&amp;" min; budowa="&amp;TEXT('Czas budowy'!X68,"0")&amp;" min. Kolejka +10%: "&amp;TEXT('Czas budowy'!Y69,"0")&amp;" min (bez czekania)."</f>
        <v>35 min bazowo; T=5 min; budowa=30 min. Kolejka +10%: 35 min (bez czekania).</v>
      </c>
      <c r="O16" s="5" t="str">
        <f aca="false">TEXT('Czas budowy'!Y70,"0")&amp;" min bazowo; T="&amp;TEXT('Czas budowy'!V70,"0")&amp;" min; budowa="&amp;TEXT('Czas budowy'!X70,"0")&amp;" min. Kolejka +10%: "&amp;TEXT('Czas budowy'!Y71,"0")&amp;" min (bez czekania)."</f>
        <v>100 min bazowo; T=10 min; budowa=90 min. Kolejka +10%: 100 min (bez czekania).</v>
      </c>
    </row>
    <row r="17" customFormat="false" ht="244.5" hidden="false" customHeight="true" outlineLevel="0" collapsed="false">
      <c r="A17" s="6" t="s">
        <v>155</v>
      </c>
      <c r="B17" s="6" t="s">
        <v>156</v>
      </c>
      <c r="C17" s="6" t="s">
        <v>148</v>
      </c>
      <c r="D17" s="6" t="s">
        <v>157</v>
      </c>
      <c r="E17" s="6" t="s">
        <v>158</v>
      </c>
      <c r="F17" s="6" t="s">
        <v>159</v>
      </c>
      <c r="G17" s="8" t="s">
        <v>90</v>
      </c>
      <c r="H17" s="6" t="s">
        <v>160</v>
      </c>
      <c r="I17" s="6" t="s">
        <v>161</v>
      </c>
      <c r="J17" s="6" t="s">
        <v>93</v>
      </c>
      <c r="K17" s="6" t="s">
        <v>162</v>
      </c>
      <c r="L17" s="6" t="s">
        <v>163</v>
      </c>
      <c r="M17" s="6" t="str">
        <f aca="false">TEXT('Czas budowy'!Y72,"0")&amp;" min bazowo; T="&amp;TEXT('Czas budowy'!V72,"0")&amp;" min; budowa="&amp;TEXT('Czas budowy'!X72,"0")&amp;" min. Kolejka +10%: "&amp;TEXT('Czas budowy'!Y73,"0")&amp;" min (bez czekania)."</f>
        <v>200 min bazowo; T=40 min; budowa=160 min. Kolejka +10%: 225 min (bez czekania).</v>
      </c>
      <c r="N17" s="6" t="str">
        <f aca="false">TEXT('Czas budowy'!Y74,"0")&amp;" min bazowo; T="&amp;TEXT('Czas budowy'!V74,"0")&amp;" min; budowa="&amp;TEXT('Czas budowy'!X74,"0")&amp;" min. Kolejka +10%: "&amp;TEXT('Czas budowy'!Y75,"0")&amp;" min (bez czekania)."</f>
        <v>350 min bazowo; T=70 min; budowa=280 min. Kolejka +10%: 375 min (bez czekania).</v>
      </c>
      <c r="O17" s="6" t="str">
        <f aca="false">TEXT('Czas budowy'!Y76,"0")&amp;" min bazowo; T="&amp;TEXT('Czas budowy'!V76,"0")&amp;" min; budowa="&amp;TEXT('Czas budowy'!X76,"0")&amp;" min. Kolejka +10%: "&amp;TEXT('Czas budowy'!Y77,"0")&amp;" min (bez czekania)."</f>
        <v>450 min bazowo; T=90 min; budowa=360 min. Kolejka +10%: 500 min (bez czekania).</v>
      </c>
    </row>
    <row r="18" customFormat="false" ht="229.5" hidden="false" customHeight="true" outlineLevel="0" collapsed="false">
      <c r="A18" s="5" t="s">
        <v>164</v>
      </c>
      <c r="B18" s="5" t="s">
        <v>165</v>
      </c>
      <c r="C18" s="5" t="s">
        <v>166</v>
      </c>
      <c r="D18" s="5" t="s">
        <v>167</v>
      </c>
      <c r="E18" s="5" t="s">
        <v>168</v>
      </c>
      <c r="F18" s="5" t="s">
        <v>169</v>
      </c>
      <c r="G18" s="5" t="s">
        <v>170</v>
      </c>
      <c r="H18" s="5" t="s">
        <v>171</v>
      </c>
      <c r="I18" s="5" t="s">
        <v>172</v>
      </c>
      <c r="J18" s="5" t="s">
        <v>173</v>
      </c>
      <c r="K18" s="5" t="s">
        <v>174</v>
      </c>
      <c r="L18" s="5" t="s">
        <v>175</v>
      </c>
      <c r="M18" s="5" t="s">
        <v>176</v>
      </c>
      <c r="N18" s="5" t="s">
        <v>176</v>
      </c>
      <c r="O18" s="5" t="s">
        <v>176</v>
      </c>
    </row>
  </sheetData>
  <autoFilter ref="A5:O18"/>
  <mergeCells count="2">
    <mergeCell ref="A1:O1"/>
    <mergeCell ref="A2:O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7"/>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3"/>
    <col collapsed="false" customWidth="true" hidden="false" outlineLevel="0" max="2" min="2" style="1" width="87"/>
    <col collapsed="false" customWidth="true" hidden="false" outlineLevel="0" max="3" min="3" style="1" width="75"/>
    <col collapsed="false" customWidth="true" hidden="false" outlineLevel="0" max="4" min="4" style="1" width="115"/>
    <col collapsed="false" customWidth="true" hidden="false" outlineLevel="0" max="5" min="5" style="1" width="60"/>
  </cols>
  <sheetData>
    <row r="1" customFormat="false" ht="33.75" hidden="false" customHeight="true" outlineLevel="0" collapsed="false">
      <c r="A1" s="7" t="s">
        <v>177</v>
      </c>
      <c r="B1" s="7"/>
      <c r="C1" s="7"/>
      <c r="D1" s="7"/>
      <c r="E1" s="7"/>
    </row>
    <row r="2" customFormat="false" ht="24.75" hidden="false" customHeight="true" outlineLevel="0" collapsed="false">
      <c r="A2" s="3" t="s">
        <v>178</v>
      </c>
      <c r="B2" s="3"/>
      <c r="C2" s="3"/>
      <c r="D2" s="3"/>
      <c r="E2" s="3"/>
    </row>
    <row r="3" customFormat="false" ht="24.75" hidden="false" customHeight="true" outlineLevel="0" collapsed="false">
      <c r="A3" s="3"/>
      <c r="B3" s="3"/>
      <c r="C3" s="3"/>
      <c r="D3" s="3"/>
      <c r="E3" s="3"/>
    </row>
    <row r="5" customFormat="false" ht="48" hidden="false" customHeight="true" outlineLevel="0" collapsed="false">
      <c r="A5" s="4" t="s">
        <v>179</v>
      </c>
      <c r="B5" s="4" t="s">
        <v>180</v>
      </c>
      <c r="C5" s="4" t="s">
        <v>181</v>
      </c>
      <c r="D5" s="4" t="s">
        <v>182</v>
      </c>
      <c r="E5" s="4" t="s">
        <v>183</v>
      </c>
    </row>
    <row r="6" customFormat="false" ht="109.5" hidden="false" customHeight="true" outlineLevel="0" collapsed="false">
      <c r="A6" s="5" t="s">
        <v>184</v>
      </c>
      <c r="B6" s="5" t="s">
        <v>185</v>
      </c>
      <c r="C6" s="5" t="s">
        <v>186</v>
      </c>
      <c r="D6" s="5" t="s">
        <v>187</v>
      </c>
      <c r="E6" s="5" t="s">
        <v>188</v>
      </c>
    </row>
    <row r="7" customFormat="false" ht="109.5" hidden="false" customHeight="true" outlineLevel="0" collapsed="false">
      <c r="A7" s="6" t="s">
        <v>189</v>
      </c>
      <c r="B7" s="6" t="s">
        <v>190</v>
      </c>
      <c r="C7" s="6" t="s">
        <v>191</v>
      </c>
      <c r="D7" s="6" t="s">
        <v>192</v>
      </c>
      <c r="E7" s="6" t="s">
        <v>193</v>
      </c>
    </row>
    <row r="8" customFormat="false" ht="109.5" hidden="false" customHeight="true" outlineLevel="0" collapsed="false">
      <c r="A8" s="5" t="s">
        <v>194</v>
      </c>
      <c r="B8" s="5" t="s">
        <v>195</v>
      </c>
      <c r="C8" s="5" t="s">
        <v>196</v>
      </c>
      <c r="D8" s="5" t="s">
        <v>197</v>
      </c>
      <c r="E8" s="5" t="s">
        <v>198</v>
      </c>
    </row>
    <row r="9" customFormat="false" ht="109.5" hidden="false" customHeight="true" outlineLevel="0" collapsed="false">
      <c r="A9" s="6" t="s">
        <v>199</v>
      </c>
      <c r="B9" s="6" t="s">
        <v>200</v>
      </c>
      <c r="C9" s="6" t="s">
        <v>201</v>
      </c>
      <c r="D9" s="6" t="s">
        <v>202</v>
      </c>
      <c r="E9" s="6" t="s">
        <v>203</v>
      </c>
    </row>
    <row r="10" customFormat="false" ht="109.5" hidden="false" customHeight="true" outlineLevel="0" collapsed="false">
      <c r="A10" s="5" t="s">
        <v>204</v>
      </c>
      <c r="B10" s="5" t="s">
        <v>205</v>
      </c>
      <c r="C10" s="5" t="s">
        <v>206</v>
      </c>
      <c r="D10" s="5" t="s">
        <v>207</v>
      </c>
      <c r="E10" s="5" t="s">
        <v>208</v>
      </c>
    </row>
    <row r="11" customFormat="false" ht="109.5" hidden="false" customHeight="true" outlineLevel="0" collapsed="false">
      <c r="A11" s="6" t="s">
        <v>209</v>
      </c>
      <c r="B11" s="6" t="s">
        <v>210</v>
      </c>
      <c r="C11" s="6" t="s">
        <v>211</v>
      </c>
      <c r="D11" s="6" t="s">
        <v>212</v>
      </c>
      <c r="E11" s="6" t="s">
        <v>213</v>
      </c>
    </row>
    <row r="12" customFormat="false" ht="109.5" hidden="false" customHeight="true" outlineLevel="0" collapsed="false">
      <c r="A12" s="5" t="s">
        <v>214</v>
      </c>
      <c r="B12" s="5" t="s">
        <v>215</v>
      </c>
      <c r="C12" s="5" t="s">
        <v>216</v>
      </c>
      <c r="D12" s="5" t="s">
        <v>217</v>
      </c>
      <c r="E12" s="5" t="s">
        <v>218</v>
      </c>
    </row>
    <row r="13" customFormat="false" ht="109.5" hidden="false" customHeight="true" outlineLevel="0" collapsed="false">
      <c r="A13" s="6" t="s">
        <v>219</v>
      </c>
      <c r="B13" s="6" t="s">
        <v>220</v>
      </c>
      <c r="C13" s="6" t="s">
        <v>221</v>
      </c>
      <c r="D13" s="6" t="s">
        <v>222</v>
      </c>
      <c r="E13" s="6" t="s">
        <v>223</v>
      </c>
    </row>
    <row r="14" customFormat="false" ht="109.5" hidden="false" customHeight="true" outlineLevel="0" collapsed="false">
      <c r="A14" s="5" t="s">
        <v>23</v>
      </c>
      <c r="B14" s="5" t="s">
        <v>224</v>
      </c>
      <c r="C14" s="5" t="s">
        <v>225</v>
      </c>
      <c r="D14" s="5" t="s">
        <v>226</v>
      </c>
      <c r="E14" s="5" t="s">
        <v>227</v>
      </c>
    </row>
    <row r="15" customFormat="false" ht="109.5" hidden="false" customHeight="true" outlineLevel="0" collapsed="false">
      <c r="A15" s="6" t="s">
        <v>228</v>
      </c>
      <c r="B15" s="6" t="s">
        <v>229</v>
      </c>
      <c r="C15" s="6" t="s">
        <v>230</v>
      </c>
      <c r="D15" s="6" t="s">
        <v>231</v>
      </c>
      <c r="E15" s="6" t="s">
        <v>232</v>
      </c>
    </row>
    <row r="16" customFormat="false" ht="109.5" hidden="false" customHeight="true" outlineLevel="0" collapsed="false">
      <c r="A16" s="5" t="s">
        <v>233</v>
      </c>
      <c r="B16" s="5" t="s">
        <v>234</v>
      </c>
      <c r="C16" s="5" t="s">
        <v>235</v>
      </c>
      <c r="D16" s="5" t="s">
        <v>236</v>
      </c>
      <c r="E16" s="5" t="s">
        <v>237</v>
      </c>
    </row>
    <row r="17" customFormat="false" ht="109.5" hidden="false" customHeight="true" outlineLevel="0" collapsed="false">
      <c r="A17" s="6" t="s">
        <v>238</v>
      </c>
      <c r="B17" s="6" t="s">
        <v>239</v>
      </c>
      <c r="C17" s="6" t="s">
        <v>240</v>
      </c>
      <c r="D17" s="6" t="s">
        <v>241</v>
      </c>
      <c r="E17" s="6" t="s">
        <v>237</v>
      </c>
    </row>
    <row r="18" customFormat="false" ht="109.5" hidden="false" customHeight="true" outlineLevel="0" collapsed="false">
      <c r="A18" s="5" t="s">
        <v>242</v>
      </c>
      <c r="B18" s="5" t="s">
        <v>243</v>
      </c>
      <c r="C18" s="5" t="s">
        <v>244</v>
      </c>
      <c r="D18" s="5" t="s">
        <v>245</v>
      </c>
      <c r="E18" s="5" t="s">
        <v>237</v>
      </c>
    </row>
    <row r="19" customFormat="false" ht="109.5" hidden="false" customHeight="true" outlineLevel="0" collapsed="false">
      <c r="A19" s="6" t="s">
        <v>246</v>
      </c>
      <c r="B19" s="6" t="s">
        <v>247</v>
      </c>
      <c r="C19" s="6" t="s">
        <v>248</v>
      </c>
      <c r="D19" s="6" t="s">
        <v>249</v>
      </c>
      <c r="E19" s="6" t="s">
        <v>237</v>
      </c>
    </row>
    <row r="20" customFormat="false" ht="109.5" hidden="false" customHeight="true" outlineLevel="0" collapsed="false">
      <c r="A20" s="5" t="s">
        <v>250</v>
      </c>
      <c r="B20" s="5" t="s">
        <v>251</v>
      </c>
      <c r="C20" s="5" t="s">
        <v>252</v>
      </c>
      <c r="D20" s="5" t="s">
        <v>253</v>
      </c>
      <c r="E20" s="5" t="s">
        <v>237</v>
      </c>
    </row>
    <row r="21" customFormat="false" ht="109.5" hidden="false" customHeight="true" outlineLevel="0" collapsed="false">
      <c r="A21" s="6" t="s">
        <v>254</v>
      </c>
      <c r="B21" s="6" t="s">
        <v>255</v>
      </c>
      <c r="C21" s="6" t="s">
        <v>256</v>
      </c>
      <c r="D21" s="6" t="s">
        <v>257</v>
      </c>
      <c r="E21" s="6" t="s">
        <v>237</v>
      </c>
    </row>
    <row r="22" customFormat="false" ht="109.5" hidden="false" customHeight="true" outlineLevel="0" collapsed="false">
      <c r="A22" s="5" t="s">
        <v>258</v>
      </c>
      <c r="B22" s="5" t="s">
        <v>259</v>
      </c>
      <c r="C22" s="5" t="s">
        <v>260</v>
      </c>
      <c r="D22" s="5" t="s">
        <v>261</v>
      </c>
      <c r="E22" s="5" t="s">
        <v>262</v>
      </c>
    </row>
    <row r="23" customFormat="false" ht="109.5" hidden="false" customHeight="true" outlineLevel="0" collapsed="false">
      <c r="A23" s="6" t="s">
        <v>263</v>
      </c>
      <c r="B23" s="6" t="s">
        <v>264</v>
      </c>
      <c r="C23" s="6" t="s">
        <v>265</v>
      </c>
      <c r="D23" s="6" t="s">
        <v>266</v>
      </c>
      <c r="E23" s="6" t="s">
        <v>232</v>
      </c>
    </row>
    <row r="24" customFormat="false" ht="109.5" hidden="false" customHeight="true" outlineLevel="0" collapsed="false">
      <c r="A24" s="5" t="s">
        <v>267</v>
      </c>
      <c r="B24" s="5" t="s">
        <v>268</v>
      </c>
      <c r="C24" s="5" t="s">
        <v>269</v>
      </c>
      <c r="D24" s="5" t="s">
        <v>270</v>
      </c>
      <c r="E24" s="5" t="s">
        <v>237</v>
      </c>
    </row>
    <row r="25" customFormat="false" ht="109.5" hidden="false" customHeight="true" outlineLevel="0" collapsed="false">
      <c r="A25" s="6" t="s">
        <v>271</v>
      </c>
      <c r="B25" s="6" t="s">
        <v>272</v>
      </c>
      <c r="C25" s="6" t="s">
        <v>273</v>
      </c>
      <c r="D25" s="6" t="s">
        <v>274</v>
      </c>
      <c r="E25" s="6" t="s">
        <v>275</v>
      </c>
    </row>
    <row r="26" customFormat="false" ht="109.5" hidden="false" customHeight="true" outlineLevel="0" collapsed="false">
      <c r="A26" s="5" t="s">
        <v>276</v>
      </c>
      <c r="B26" s="5" t="s">
        <v>277</v>
      </c>
      <c r="C26" s="5" t="s">
        <v>278</v>
      </c>
      <c r="D26" s="5" t="s">
        <v>279</v>
      </c>
      <c r="E26" s="5" t="s">
        <v>223</v>
      </c>
    </row>
    <row r="27" customFormat="false" ht="109.5" hidden="false" customHeight="true" outlineLevel="0" collapsed="false">
      <c r="A27" s="6" t="s">
        <v>280</v>
      </c>
      <c r="B27" s="6" t="s">
        <v>281</v>
      </c>
      <c r="C27" s="6" t="s">
        <v>282</v>
      </c>
      <c r="D27" s="6" t="s">
        <v>283</v>
      </c>
      <c r="E27" s="6" t="s">
        <v>237</v>
      </c>
    </row>
    <row r="28" customFormat="false" ht="109.5" hidden="false" customHeight="true" outlineLevel="0" collapsed="false">
      <c r="A28" s="5" t="s">
        <v>284</v>
      </c>
      <c r="B28" s="5" t="s">
        <v>285</v>
      </c>
      <c r="C28" s="5" t="s">
        <v>286</v>
      </c>
      <c r="D28" s="5" t="s">
        <v>287</v>
      </c>
      <c r="E28" s="5" t="s">
        <v>237</v>
      </c>
    </row>
    <row r="29" customFormat="false" ht="109.5" hidden="false" customHeight="true" outlineLevel="0" collapsed="false">
      <c r="A29" s="6" t="s">
        <v>288</v>
      </c>
      <c r="B29" s="6" t="s">
        <v>289</v>
      </c>
      <c r="C29" s="6" t="s">
        <v>290</v>
      </c>
      <c r="D29" s="6" t="s">
        <v>291</v>
      </c>
      <c r="E29" s="6" t="s">
        <v>292</v>
      </c>
    </row>
    <row r="30" customFormat="false" ht="109.5" hidden="false" customHeight="true" outlineLevel="0" collapsed="false">
      <c r="A30" s="5" t="s">
        <v>293</v>
      </c>
      <c r="B30" s="5" t="s">
        <v>294</v>
      </c>
      <c r="C30" s="5" t="s">
        <v>295</v>
      </c>
      <c r="D30" s="5" t="s">
        <v>296</v>
      </c>
      <c r="E30" s="5" t="s">
        <v>297</v>
      </c>
    </row>
    <row r="31" customFormat="false" ht="109.5" hidden="false" customHeight="true" outlineLevel="0" collapsed="false">
      <c r="A31" s="6" t="s">
        <v>298</v>
      </c>
      <c r="B31" s="6" t="s">
        <v>299</v>
      </c>
      <c r="C31" s="6" t="s">
        <v>300</v>
      </c>
      <c r="D31" s="6" t="s">
        <v>301</v>
      </c>
      <c r="E31" s="6" t="s">
        <v>302</v>
      </c>
    </row>
    <row r="32" customFormat="false" ht="109.5" hidden="false" customHeight="true" outlineLevel="0" collapsed="false">
      <c r="A32" s="5" t="s">
        <v>303</v>
      </c>
      <c r="B32" s="5" t="s">
        <v>304</v>
      </c>
      <c r="C32" s="5" t="s">
        <v>305</v>
      </c>
      <c r="D32" s="5" t="s">
        <v>306</v>
      </c>
      <c r="E32" s="5" t="s">
        <v>262</v>
      </c>
    </row>
    <row r="33" customFormat="false" ht="109.5" hidden="false" customHeight="true" outlineLevel="0" collapsed="false">
      <c r="A33" s="6" t="s">
        <v>307</v>
      </c>
      <c r="B33" s="6" t="s">
        <v>308</v>
      </c>
      <c r="C33" s="6" t="s">
        <v>309</v>
      </c>
      <c r="D33" s="6" t="s">
        <v>310</v>
      </c>
      <c r="E33" s="6" t="s">
        <v>311</v>
      </c>
    </row>
    <row r="34" customFormat="false" ht="109.5" hidden="false" customHeight="true" outlineLevel="0" collapsed="false">
      <c r="A34" s="5" t="s">
        <v>312</v>
      </c>
      <c r="B34" s="5" t="s">
        <v>313</v>
      </c>
      <c r="C34" s="5" t="s">
        <v>314</v>
      </c>
      <c r="D34" s="5" t="s">
        <v>315</v>
      </c>
      <c r="E34" s="5" t="s">
        <v>316</v>
      </c>
    </row>
    <row r="35" customFormat="false" ht="109.5" hidden="false" customHeight="true" outlineLevel="0" collapsed="false">
      <c r="A35" s="6" t="s">
        <v>317</v>
      </c>
      <c r="B35" s="6" t="s">
        <v>318</v>
      </c>
      <c r="C35" s="6" t="s">
        <v>319</v>
      </c>
      <c r="D35" s="6" t="s">
        <v>320</v>
      </c>
      <c r="E35" s="6" t="s">
        <v>321</v>
      </c>
    </row>
    <row r="36" customFormat="false" ht="109.5" hidden="false" customHeight="true" outlineLevel="0" collapsed="false">
      <c r="A36" s="5" t="s">
        <v>322</v>
      </c>
      <c r="B36" s="5" t="s">
        <v>323</v>
      </c>
      <c r="C36" s="5" t="s">
        <v>324</v>
      </c>
      <c r="D36" s="5" t="s">
        <v>325</v>
      </c>
      <c r="E36" s="5" t="s">
        <v>232</v>
      </c>
    </row>
    <row r="37" customFormat="false" ht="109.5" hidden="false" customHeight="true" outlineLevel="0" collapsed="false">
      <c r="A37" s="6" t="s">
        <v>326</v>
      </c>
      <c r="B37" s="6" t="s">
        <v>327</v>
      </c>
      <c r="C37" s="6" t="s">
        <v>328</v>
      </c>
      <c r="D37" s="6" t="s">
        <v>329</v>
      </c>
      <c r="E37" s="6" t="s">
        <v>330</v>
      </c>
    </row>
  </sheetData>
  <autoFilter ref="A5:E37"/>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7"/>
    <col collapsed="false" customWidth="true" hidden="false" outlineLevel="0" max="2" min="2" style="1" width="90"/>
    <col collapsed="false" customWidth="true" hidden="false" outlineLevel="0" max="3" min="3" style="1" width="78"/>
    <col collapsed="false" customWidth="true" hidden="false" outlineLevel="0" max="4" min="4" style="1" width="115"/>
    <col collapsed="false" customWidth="true" hidden="false" outlineLevel="0" max="5" min="5" style="1" width="55"/>
  </cols>
  <sheetData>
    <row r="1" customFormat="false" ht="33.75" hidden="false" customHeight="true" outlineLevel="0" collapsed="false">
      <c r="A1" s="7" t="s">
        <v>331</v>
      </c>
      <c r="B1" s="7"/>
      <c r="C1" s="7"/>
      <c r="D1" s="7"/>
      <c r="E1" s="7"/>
    </row>
    <row r="2" customFormat="false" ht="27" hidden="false" customHeight="true" outlineLevel="0" collapsed="false">
      <c r="A2" s="3" t="s">
        <v>332</v>
      </c>
      <c r="B2" s="3"/>
      <c r="C2" s="3"/>
      <c r="D2" s="3"/>
      <c r="E2" s="3"/>
    </row>
    <row r="3" customFormat="false" ht="27" hidden="false" customHeight="true" outlineLevel="0" collapsed="false">
      <c r="A3" s="3"/>
      <c r="B3" s="3"/>
      <c r="C3" s="3"/>
      <c r="D3" s="3"/>
      <c r="E3" s="3"/>
    </row>
    <row r="5" customFormat="false" ht="45" hidden="false" customHeight="true" outlineLevel="0" collapsed="false">
      <c r="A5" s="4" t="s">
        <v>333</v>
      </c>
      <c r="B5" s="4" t="s">
        <v>180</v>
      </c>
      <c r="C5" s="4" t="s">
        <v>334</v>
      </c>
      <c r="D5" s="4" t="s">
        <v>335</v>
      </c>
      <c r="E5" s="4" t="s">
        <v>183</v>
      </c>
    </row>
    <row r="6" customFormat="false" ht="99.75" hidden="false" customHeight="true" outlineLevel="0" collapsed="false">
      <c r="A6" s="5" t="s">
        <v>336</v>
      </c>
      <c r="B6" s="5" t="s">
        <v>337</v>
      </c>
      <c r="C6" s="5" t="s">
        <v>338</v>
      </c>
      <c r="D6" s="5" t="s">
        <v>339</v>
      </c>
      <c r="E6" s="5" t="s">
        <v>340</v>
      </c>
    </row>
    <row r="7" customFormat="false" ht="99.75" hidden="false" customHeight="true" outlineLevel="0" collapsed="false">
      <c r="A7" s="6" t="s">
        <v>341</v>
      </c>
      <c r="B7" s="6" t="s">
        <v>342</v>
      </c>
      <c r="C7" s="6" t="s">
        <v>343</v>
      </c>
      <c r="D7" s="6" t="s">
        <v>344</v>
      </c>
      <c r="E7" s="6" t="s">
        <v>345</v>
      </c>
    </row>
    <row r="8" customFormat="false" ht="99.75" hidden="false" customHeight="true" outlineLevel="0" collapsed="false">
      <c r="A8" s="5" t="s">
        <v>346</v>
      </c>
      <c r="B8" s="5" t="s">
        <v>347</v>
      </c>
      <c r="C8" s="5" t="s">
        <v>348</v>
      </c>
      <c r="D8" s="5" t="s">
        <v>349</v>
      </c>
      <c r="E8" s="5" t="s">
        <v>350</v>
      </c>
    </row>
    <row r="9" customFormat="false" ht="99.75" hidden="false" customHeight="true" outlineLevel="0" collapsed="false">
      <c r="A9" s="6" t="s">
        <v>351</v>
      </c>
      <c r="B9" s="6" t="s">
        <v>352</v>
      </c>
      <c r="C9" s="6" t="s">
        <v>353</v>
      </c>
      <c r="D9" s="6" t="s">
        <v>354</v>
      </c>
      <c r="E9" s="6" t="s">
        <v>355</v>
      </c>
    </row>
    <row r="10" customFormat="false" ht="99.75" hidden="false" customHeight="true" outlineLevel="0" collapsed="false">
      <c r="A10" s="5" t="s">
        <v>356</v>
      </c>
      <c r="B10" s="5" t="s">
        <v>357</v>
      </c>
      <c r="C10" s="5" t="s">
        <v>358</v>
      </c>
      <c r="D10" s="5" t="s">
        <v>359</v>
      </c>
      <c r="E10" s="5" t="s">
        <v>355</v>
      </c>
    </row>
    <row r="11" customFormat="false" ht="99.75" hidden="false" customHeight="true" outlineLevel="0" collapsed="false">
      <c r="A11" s="6" t="s">
        <v>360</v>
      </c>
      <c r="B11" s="6" t="s">
        <v>361</v>
      </c>
      <c r="C11" s="6" t="s">
        <v>362</v>
      </c>
      <c r="D11" s="6" t="s">
        <v>363</v>
      </c>
      <c r="E11" s="6" t="s">
        <v>345</v>
      </c>
    </row>
    <row r="12" customFormat="false" ht="99.75" hidden="false" customHeight="true" outlineLevel="0" collapsed="false">
      <c r="A12" s="5" t="s">
        <v>364</v>
      </c>
      <c r="B12" s="5" t="s">
        <v>365</v>
      </c>
      <c r="C12" s="5" t="s">
        <v>366</v>
      </c>
      <c r="D12" s="5" t="s">
        <v>367</v>
      </c>
      <c r="E12" s="5" t="s">
        <v>340</v>
      </c>
    </row>
    <row r="13" customFormat="false" ht="99.75" hidden="false" customHeight="true" outlineLevel="0" collapsed="false">
      <c r="A13" s="6" t="s">
        <v>368</v>
      </c>
      <c r="B13" s="6" t="s">
        <v>369</v>
      </c>
      <c r="C13" s="6" t="s">
        <v>370</v>
      </c>
      <c r="D13" s="6" t="s">
        <v>371</v>
      </c>
      <c r="E13" s="6" t="s">
        <v>372</v>
      </c>
    </row>
    <row r="14" customFormat="false" ht="99.75" hidden="false" customHeight="true" outlineLevel="0" collapsed="false">
      <c r="A14" s="5" t="s">
        <v>373</v>
      </c>
      <c r="B14" s="5" t="s">
        <v>374</v>
      </c>
      <c r="C14" s="5" t="s">
        <v>375</v>
      </c>
      <c r="D14" s="5" t="s">
        <v>376</v>
      </c>
      <c r="E14" s="5" t="s">
        <v>377</v>
      </c>
    </row>
    <row r="15" customFormat="false" ht="99.75" hidden="false" customHeight="true" outlineLevel="0" collapsed="false">
      <c r="A15" s="6" t="s">
        <v>378</v>
      </c>
      <c r="B15" s="6" t="s">
        <v>374</v>
      </c>
      <c r="C15" s="6" t="s">
        <v>375</v>
      </c>
      <c r="D15" s="6" t="s">
        <v>379</v>
      </c>
      <c r="E15" s="6" t="s">
        <v>380</v>
      </c>
    </row>
    <row r="16" customFormat="false" ht="99.75" hidden="false" customHeight="true" outlineLevel="0" collapsed="false">
      <c r="A16" s="5" t="s">
        <v>381</v>
      </c>
      <c r="B16" s="5" t="s">
        <v>382</v>
      </c>
      <c r="C16" s="5" t="s">
        <v>383</v>
      </c>
      <c r="D16" s="5" t="s">
        <v>384</v>
      </c>
      <c r="E16" s="5" t="s">
        <v>385</v>
      </c>
    </row>
    <row r="17" customFormat="false" ht="99.75" hidden="false" customHeight="true" outlineLevel="0" collapsed="false">
      <c r="A17" s="6" t="s">
        <v>386</v>
      </c>
      <c r="B17" s="6" t="s">
        <v>387</v>
      </c>
      <c r="C17" s="6" t="s">
        <v>388</v>
      </c>
      <c r="D17" s="6" t="s">
        <v>389</v>
      </c>
      <c r="E17" s="6" t="s">
        <v>340</v>
      </c>
    </row>
    <row r="18" customFormat="false" ht="99.75" hidden="false" customHeight="true" outlineLevel="0" collapsed="false">
      <c r="A18" s="5" t="s">
        <v>390</v>
      </c>
      <c r="B18" s="5" t="s">
        <v>391</v>
      </c>
      <c r="C18" s="5" t="s">
        <v>392</v>
      </c>
      <c r="D18" s="5" t="s">
        <v>393</v>
      </c>
      <c r="E18" s="5" t="s">
        <v>394</v>
      </c>
    </row>
    <row r="19" customFormat="false" ht="99.75" hidden="false" customHeight="true" outlineLevel="0" collapsed="false">
      <c r="A19" s="6" t="s">
        <v>395</v>
      </c>
      <c r="B19" s="6" t="s">
        <v>396</v>
      </c>
      <c r="C19" s="6" t="s">
        <v>397</v>
      </c>
      <c r="D19" s="6" t="s">
        <v>398</v>
      </c>
      <c r="E19" s="6" t="s">
        <v>399</v>
      </c>
    </row>
    <row r="20" customFormat="false" ht="105" hidden="false" customHeight="true" outlineLevel="0" collapsed="false">
      <c r="A20" s="5" t="s">
        <v>400</v>
      </c>
      <c r="B20" s="5" t="s">
        <v>401</v>
      </c>
      <c r="C20" s="5" t="s">
        <v>402</v>
      </c>
      <c r="D20" s="5" t="s">
        <v>403</v>
      </c>
      <c r="E20" s="5" t="s">
        <v>404</v>
      </c>
    </row>
    <row r="21" customFormat="false" ht="105" hidden="false" customHeight="true" outlineLevel="0" collapsed="false">
      <c r="A21" s="6" t="s">
        <v>405</v>
      </c>
      <c r="B21" s="6" t="s">
        <v>406</v>
      </c>
      <c r="C21" s="6" t="s">
        <v>407</v>
      </c>
      <c r="D21" s="6" t="s">
        <v>408</v>
      </c>
      <c r="E21" s="6" t="s">
        <v>409</v>
      </c>
    </row>
    <row r="22" customFormat="false" ht="105" hidden="false" customHeight="true" outlineLevel="0" collapsed="false">
      <c r="A22" s="5" t="s">
        <v>410</v>
      </c>
      <c r="B22" s="5" t="s">
        <v>411</v>
      </c>
      <c r="C22" s="5" t="s">
        <v>412</v>
      </c>
      <c r="D22" s="5" t="s">
        <v>413</v>
      </c>
      <c r="E22" s="5" t="s">
        <v>404</v>
      </c>
    </row>
    <row r="23" customFormat="false" ht="105" hidden="false" customHeight="true" outlineLevel="0" collapsed="false">
      <c r="A23" s="6" t="s">
        <v>414</v>
      </c>
      <c r="B23" s="6" t="s">
        <v>396</v>
      </c>
      <c r="C23" s="6" t="s">
        <v>397</v>
      </c>
      <c r="D23" s="6" t="s">
        <v>398</v>
      </c>
      <c r="E23" s="6" t="s">
        <v>399</v>
      </c>
    </row>
    <row r="24" customFormat="false" ht="105" hidden="false" customHeight="true" outlineLevel="0" collapsed="false">
      <c r="A24" s="5" t="s">
        <v>415</v>
      </c>
      <c r="B24" s="5" t="s">
        <v>416</v>
      </c>
      <c r="C24" s="5" t="s">
        <v>417</v>
      </c>
      <c r="D24" s="5" t="s">
        <v>418</v>
      </c>
      <c r="E24" s="5" t="s">
        <v>419</v>
      </c>
    </row>
    <row r="25" customFormat="false" ht="105" hidden="false" customHeight="true" outlineLevel="0" collapsed="false">
      <c r="A25" s="6" t="s">
        <v>420</v>
      </c>
      <c r="B25" s="6" t="s">
        <v>421</v>
      </c>
      <c r="C25" s="6" t="s">
        <v>422</v>
      </c>
      <c r="D25" s="6" t="s">
        <v>423</v>
      </c>
      <c r="E25" s="6" t="s">
        <v>419</v>
      </c>
    </row>
    <row r="26" customFormat="false" ht="105" hidden="false" customHeight="true" outlineLevel="0" collapsed="false">
      <c r="A26" s="5" t="s">
        <v>424</v>
      </c>
      <c r="B26" s="5" t="s">
        <v>425</v>
      </c>
      <c r="C26" s="5" t="s">
        <v>426</v>
      </c>
      <c r="D26" s="5" t="s">
        <v>427</v>
      </c>
      <c r="E26" s="5" t="s">
        <v>419</v>
      </c>
    </row>
    <row r="27" customFormat="false" ht="105" hidden="false" customHeight="true" outlineLevel="0" collapsed="false">
      <c r="A27" s="6" t="s">
        <v>428</v>
      </c>
      <c r="B27" s="6" t="s">
        <v>429</v>
      </c>
      <c r="C27" s="6" t="s">
        <v>430</v>
      </c>
      <c r="D27" s="6" t="s">
        <v>431</v>
      </c>
      <c r="E27" s="6" t="s">
        <v>432</v>
      </c>
    </row>
  </sheetData>
  <autoFilter ref="A5:E27"/>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0"/>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21"/>
    <col collapsed="false" customWidth="true" hidden="false" outlineLevel="0" max="3" min="3" style="1" width="29"/>
    <col collapsed="false" customWidth="true" hidden="false" outlineLevel="0" max="4" min="4" style="1" width="24"/>
    <col collapsed="false" customWidth="true" hidden="false" outlineLevel="0" max="5" min="5" style="1" width="25"/>
    <col collapsed="false" customWidth="true" hidden="false" outlineLevel="0" max="6" min="6" style="1" width="30"/>
    <col collapsed="false" customWidth="true" hidden="false" outlineLevel="0" max="7" min="7" style="1" width="110"/>
  </cols>
  <sheetData>
    <row r="1" customFormat="false" ht="33.75" hidden="false" customHeight="true" outlineLevel="0" collapsed="false">
      <c r="A1" s="7" t="s">
        <v>433</v>
      </c>
      <c r="B1" s="7"/>
      <c r="C1" s="7"/>
      <c r="D1" s="7"/>
      <c r="E1" s="7"/>
      <c r="F1" s="7"/>
      <c r="G1" s="7"/>
    </row>
    <row r="2" customFormat="false" ht="27" hidden="false" customHeight="true" outlineLevel="0" collapsed="false">
      <c r="A2" s="3" t="s">
        <v>434</v>
      </c>
      <c r="B2" s="3"/>
      <c r="C2" s="3"/>
      <c r="D2" s="3"/>
      <c r="E2" s="3"/>
      <c r="F2" s="3"/>
      <c r="G2" s="3"/>
    </row>
    <row r="3" customFormat="false" ht="27" hidden="false" customHeight="true" outlineLevel="0" collapsed="false">
      <c r="A3" s="3"/>
      <c r="B3" s="3"/>
      <c r="C3" s="3"/>
      <c r="D3" s="3"/>
      <c r="E3" s="3"/>
      <c r="F3" s="3"/>
      <c r="G3" s="3"/>
    </row>
    <row r="5" customFormat="false" ht="45" hidden="false" customHeight="true" outlineLevel="0" collapsed="false">
      <c r="A5" s="4" t="s">
        <v>435</v>
      </c>
      <c r="B5" s="4" t="s">
        <v>436</v>
      </c>
      <c r="C5" s="4" t="s">
        <v>437</v>
      </c>
      <c r="D5" s="4" t="s">
        <v>438</v>
      </c>
      <c r="E5" s="4" t="s">
        <v>439</v>
      </c>
      <c r="F5" s="4" t="s">
        <v>440</v>
      </c>
      <c r="G5" s="4" t="s">
        <v>335</v>
      </c>
    </row>
    <row r="6" customFormat="false" ht="64.5" hidden="false" customHeight="true" outlineLevel="0" collapsed="false">
      <c r="A6" s="9" t="n">
        <v>1.5</v>
      </c>
      <c r="B6" s="10" t="n">
        <v>0.25</v>
      </c>
      <c r="C6" s="5" t="n">
        <f aca="false">A6*B6</f>
        <v>0.375</v>
      </c>
      <c r="D6" s="5" t="n">
        <f aca="false">A6-C6</f>
        <v>1.125</v>
      </c>
      <c r="E6" s="5" t="n">
        <f aca="false">ROUNDDOWN(C6,0)*Parametry!$C$42</f>
        <v>0</v>
      </c>
      <c r="F6" s="11" t="n">
        <f aca="false">E6/Parametry!$C$41</f>
        <v>0</v>
      </c>
      <c r="G6" s="5" t="s">
        <v>441</v>
      </c>
    </row>
    <row r="7" customFormat="false" ht="64.5" hidden="false" customHeight="true" outlineLevel="0" collapsed="false">
      <c r="A7" s="9" t="n">
        <v>1.5</v>
      </c>
      <c r="B7" s="10" t="n">
        <v>0.5</v>
      </c>
      <c r="C7" s="6" t="n">
        <f aca="false">A7*B7</f>
        <v>0.75</v>
      </c>
      <c r="D7" s="6" t="n">
        <f aca="false">A7-C7</f>
        <v>0.75</v>
      </c>
      <c r="E7" s="6" t="n">
        <f aca="false">ROUNDDOWN(C7,0)*Parametry!$C$42</f>
        <v>0</v>
      </c>
      <c r="F7" s="12" t="n">
        <f aca="false">E7/Parametry!$C$41</f>
        <v>0</v>
      </c>
      <c r="G7" s="6" t="s">
        <v>441</v>
      </c>
    </row>
    <row r="8" customFormat="false" ht="64.5" hidden="false" customHeight="true" outlineLevel="0" collapsed="false">
      <c r="A8" s="9" t="n">
        <v>1.5</v>
      </c>
      <c r="B8" s="10" t="n">
        <v>0.75</v>
      </c>
      <c r="C8" s="5" t="n">
        <f aca="false">A8*B8</f>
        <v>1.125</v>
      </c>
      <c r="D8" s="5" t="n">
        <f aca="false">A8-C8</f>
        <v>0.375</v>
      </c>
      <c r="E8" s="5" t="n">
        <f aca="false">ROUNDDOWN(C8,0)*Parametry!$C$42</f>
        <v>1</v>
      </c>
      <c r="F8" s="11" t="n">
        <f aca="false">E8/Parametry!$C$41</f>
        <v>0.1</v>
      </c>
      <c r="G8" s="5" t="s">
        <v>441</v>
      </c>
    </row>
    <row r="9" customFormat="false" ht="64.5" hidden="false" customHeight="true" outlineLevel="0" collapsed="false">
      <c r="A9" s="9" t="n">
        <v>10</v>
      </c>
      <c r="B9" s="10" t="n">
        <v>0.25</v>
      </c>
      <c r="C9" s="6" t="n">
        <f aca="false">A9*B9</f>
        <v>2.5</v>
      </c>
      <c r="D9" s="6" t="n">
        <f aca="false">A9-C9</f>
        <v>7.5</v>
      </c>
      <c r="E9" s="6" t="n">
        <f aca="false">ROUNDDOWN(C9,0)*Parametry!$C$42</f>
        <v>2</v>
      </c>
      <c r="F9" s="12" t="n">
        <f aca="false">E9/Parametry!$C$41</f>
        <v>0.2</v>
      </c>
      <c r="G9" s="6" t="s">
        <v>441</v>
      </c>
    </row>
    <row r="10" customFormat="false" ht="64.5" hidden="false" customHeight="true" outlineLevel="0" collapsed="false">
      <c r="A10" s="9" t="n">
        <v>10</v>
      </c>
      <c r="B10" s="10" t="n">
        <v>0.5</v>
      </c>
      <c r="C10" s="5" t="n">
        <f aca="false">A10*B10</f>
        <v>5</v>
      </c>
      <c r="D10" s="5" t="n">
        <f aca="false">A10-C10</f>
        <v>5</v>
      </c>
      <c r="E10" s="5" t="n">
        <f aca="false">ROUNDDOWN(C10,0)*Parametry!$C$42</f>
        <v>5</v>
      </c>
      <c r="F10" s="11" t="n">
        <f aca="false">E10/Parametry!$C$41</f>
        <v>0.5</v>
      </c>
      <c r="G10" s="5" t="s">
        <v>441</v>
      </c>
    </row>
    <row r="11" customFormat="false" ht="64.5" hidden="false" customHeight="true" outlineLevel="0" collapsed="false">
      <c r="A11" s="9" t="n">
        <v>10</v>
      </c>
      <c r="B11" s="10" t="n">
        <v>0.75</v>
      </c>
      <c r="C11" s="6" t="n">
        <f aca="false">A11*B11</f>
        <v>7.5</v>
      </c>
      <c r="D11" s="6" t="n">
        <f aca="false">A11-C11</f>
        <v>2.5</v>
      </c>
      <c r="E11" s="6" t="n">
        <f aca="false">ROUNDDOWN(C11,0)*Parametry!$C$42</f>
        <v>7</v>
      </c>
      <c r="F11" s="12" t="n">
        <f aca="false">E11/Parametry!$C$41</f>
        <v>0.7</v>
      </c>
      <c r="G11" s="6" t="s">
        <v>441</v>
      </c>
    </row>
    <row r="12" customFormat="false" ht="64.5" hidden="false" customHeight="true" outlineLevel="0" collapsed="false">
      <c r="A12" s="9" t="n">
        <v>25</v>
      </c>
      <c r="B12" s="10" t="n">
        <v>0.25</v>
      </c>
      <c r="C12" s="5" t="n">
        <f aca="false">A12*B12</f>
        <v>6.25</v>
      </c>
      <c r="D12" s="5" t="n">
        <f aca="false">A12-C12</f>
        <v>18.75</v>
      </c>
      <c r="E12" s="5" t="n">
        <f aca="false">ROUNDDOWN(C12,0)*Parametry!$C$42</f>
        <v>6</v>
      </c>
      <c r="F12" s="11" t="n">
        <f aca="false">E12/Parametry!$C$41</f>
        <v>0.6</v>
      </c>
      <c r="G12" s="5" t="s">
        <v>441</v>
      </c>
    </row>
    <row r="13" customFormat="false" ht="64.5" hidden="false" customHeight="true" outlineLevel="0" collapsed="false">
      <c r="A13" s="9" t="n">
        <v>25</v>
      </c>
      <c r="B13" s="10" t="n">
        <v>0.5</v>
      </c>
      <c r="C13" s="6" t="n">
        <f aca="false">A13*B13</f>
        <v>12.5</v>
      </c>
      <c r="D13" s="6" t="n">
        <f aca="false">A13-C13</f>
        <v>12.5</v>
      </c>
      <c r="E13" s="6" t="n">
        <f aca="false">ROUNDDOWN(C13,0)*Parametry!$C$42</f>
        <v>12</v>
      </c>
      <c r="F13" s="12" t="n">
        <f aca="false">E13/Parametry!$C$41</f>
        <v>1.2</v>
      </c>
      <c r="G13" s="6" t="s">
        <v>441</v>
      </c>
    </row>
    <row r="14" customFormat="false" ht="64.5" hidden="false" customHeight="true" outlineLevel="0" collapsed="false">
      <c r="A14" s="9" t="n">
        <v>25</v>
      </c>
      <c r="B14" s="10" t="n">
        <v>0.75</v>
      </c>
      <c r="C14" s="5" t="n">
        <f aca="false">A14*B14</f>
        <v>18.75</v>
      </c>
      <c r="D14" s="5" t="n">
        <f aca="false">A14-C14</f>
        <v>6.25</v>
      </c>
      <c r="E14" s="5" t="n">
        <f aca="false">ROUNDDOWN(C14,0)*Parametry!$C$42</f>
        <v>18</v>
      </c>
      <c r="F14" s="11" t="n">
        <f aca="false">E14/Parametry!$C$41</f>
        <v>1.8</v>
      </c>
      <c r="G14" s="5" t="s">
        <v>441</v>
      </c>
    </row>
    <row r="15" customFormat="false" ht="64.5" hidden="false" customHeight="true" outlineLevel="0" collapsed="false">
      <c r="A15" s="9" t="n">
        <v>60</v>
      </c>
      <c r="B15" s="10" t="n">
        <v>0.25</v>
      </c>
      <c r="C15" s="6" t="n">
        <f aca="false">A15*B15</f>
        <v>15</v>
      </c>
      <c r="D15" s="6" t="n">
        <f aca="false">A15-C15</f>
        <v>45</v>
      </c>
      <c r="E15" s="6" t="n">
        <f aca="false">ROUNDDOWN(C15,0)*Parametry!$C$42</f>
        <v>15</v>
      </c>
      <c r="F15" s="12" t="n">
        <f aca="false">E15/Parametry!$C$41</f>
        <v>1.5</v>
      </c>
      <c r="G15" s="6" t="s">
        <v>441</v>
      </c>
    </row>
    <row r="16" customFormat="false" ht="64.5" hidden="false" customHeight="true" outlineLevel="0" collapsed="false">
      <c r="A16" s="9" t="n">
        <v>60</v>
      </c>
      <c r="B16" s="10" t="n">
        <v>0.5</v>
      </c>
      <c r="C16" s="5" t="n">
        <f aca="false">A16*B16</f>
        <v>30</v>
      </c>
      <c r="D16" s="5" t="n">
        <f aca="false">A16-C16</f>
        <v>30</v>
      </c>
      <c r="E16" s="5" t="n">
        <f aca="false">ROUNDDOWN(C16,0)*Parametry!$C$42</f>
        <v>30</v>
      </c>
      <c r="F16" s="11" t="n">
        <f aca="false">E16/Parametry!$C$41</f>
        <v>3</v>
      </c>
      <c r="G16" s="5" t="s">
        <v>441</v>
      </c>
    </row>
    <row r="17" customFormat="false" ht="64.5" hidden="false" customHeight="true" outlineLevel="0" collapsed="false">
      <c r="A17" s="9" t="n">
        <v>60</v>
      </c>
      <c r="B17" s="10" t="n">
        <v>0.75</v>
      </c>
      <c r="C17" s="6" t="n">
        <f aca="false">A17*B17</f>
        <v>45</v>
      </c>
      <c r="D17" s="6" t="n">
        <f aca="false">A17-C17</f>
        <v>15</v>
      </c>
      <c r="E17" s="6" t="n">
        <f aca="false">ROUNDDOWN(C17,0)*Parametry!$C$42</f>
        <v>45</v>
      </c>
      <c r="F17" s="12" t="n">
        <f aca="false">E17/Parametry!$C$41</f>
        <v>4.5</v>
      </c>
      <c r="G17" s="6" t="s">
        <v>441</v>
      </c>
    </row>
    <row r="18" customFormat="false" ht="64.5" hidden="false" customHeight="true" outlineLevel="0" collapsed="false">
      <c r="A18" s="9" t="n">
        <v>120</v>
      </c>
      <c r="B18" s="10" t="n">
        <v>0.25</v>
      </c>
      <c r="C18" s="5" t="n">
        <f aca="false">A18*B18</f>
        <v>30</v>
      </c>
      <c r="D18" s="5" t="n">
        <f aca="false">A18-C18</f>
        <v>90</v>
      </c>
      <c r="E18" s="5" t="n">
        <f aca="false">ROUNDDOWN(C18,0)*Parametry!$C$42</f>
        <v>30</v>
      </c>
      <c r="F18" s="11" t="n">
        <f aca="false">E18/Parametry!$C$41</f>
        <v>3</v>
      </c>
      <c r="G18" s="5" t="s">
        <v>441</v>
      </c>
    </row>
    <row r="19" customFormat="false" ht="64.5" hidden="false" customHeight="true" outlineLevel="0" collapsed="false">
      <c r="A19" s="9" t="n">
        <v>120</v>
      </c>
      <c r="B19" s="10" t="n">
        <v>0.5</v>
      </c>
      <c r="C19" s="6" t="n">
        <f aca="false">A19*B19</f>
        <v>60</v>
      </c>
      <c r="D19" s="6" t="n">
        <f aca="false">A19-C19</f>
        <v>60</v>
      </c>
      <c r="E19" s="6" t="n">
        <f aca="false">ROUNDDOWN(C19,0)*Parametry!$C$42</f>
        <v>60</v>
      </c>
      <c r="F19" s="12" t="n">
        <f aca="false">E19/Parametry!$C$41</f>
        <v>6</v>
      </c>
      <c r="G19" s="6" t="s">
        <v>441</v>
      </c>
    </row>
    <row r="20" customFormat="false" ht="64.5" hidden="false" customHeight="true" outlineLevel="0" collapsed="false">
      <c r="A20" s="9" t="n">
        <v>120</v>
      </c>
      <c r="B20" s="10" t="n">
        <v>0.75</v>
      </c>
      <c r="C20" s="5" t="n">
        <f aca="false">A20*B20</f>
        <v>90</v>
      </c>
      <c r="D20" s="5" t="n">
        <f aca="false">A20-C20</f>
        <v>30</v>
      </c>
      <c r="E20" s="5" t="n">
        <f aca="false">ROUNDDOWN(C20,0)*Parametry!$C$42</f>
        <v>90</v>
      </c>
      <c r="F20" s="11" t="n">
        <f aca="false">E20/Parametry!$C$41</f>
        <v>9</v>
      </c>
      <c r="G20" s="5" t="s">
        <v>441</v>
      </c>
    </row>
  </sheetData>
  <autoFilter ref="A5:G20"/>
  <mergeCells count="2">
    <mergeCell ref="A1:G1"/>
    <mergeCell ref="A2:G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8"/>
    <col collapsed="false" customWidth="true" hidden="false" outlineLevel="0" max="5" min="2" style="1" width="24"/>
    <col collapsed="false" customWidth="true" hidden="false" outlineLevel="0" max="7" min="6" style="1" width="19"/>
    <col collapsed="false" customWidth="true" hidden="false" outlineLevel="0" max="8" min="8" style="1" width="23"/>
    <col collapsed="false" customWidth="true" hidden="false" outlineLevel="0" max="9" min="9" style="1" width="22"/>
    <col collapsed="false" customWidth="true" hidden="false" outlineLevel="0" max="10" min="10" style="1" width="28"/>
    <col collapsed="false" customWidth="true" hidden="false" outlineLevel="0" max="11" min="11" style="1" width="110"/>
  </cols>
  <sheetData>
    <row r="1" customFormat="false" ht="33.75" hidden="false" customHeight="true" outlineLevel="0" collapsed="false">
      <c r="A1" s="7" t="s">
        <v>442</v>
      </c>
      <c r="B1" s="7"/>
      <c r="C1" s="7"/>
      <c r="D1" s="7"/>
      <c r="E1" s="7"/>
      <c r="F1" s="7"/>
      <c r="G1" s="7"/>
      <c r="H1" s="7"/>
      <c r="I1" s="7"/>
      <c r="J1" s="7"/>
      <c r="K1" s="7"/>
    </row>
    <row r="2" customFormat="false" ht="27" hidden="false" customHeight="true" outlineLevel="0" collapsed="false">
      <c r="A2" s="3" t="s">
        <v>443</v>
      </c>
      <c r="B2" s="3"/>
      <c r="C2" s="3"/>
      <c r="D2" s="3"/>
      <c r="E2" s="3"/>
      <c r="F2" s="3"/>
      <c r="G2" s="3"/>
      <c r="H2" s="3"/>
      <c r="I2" s="3"/>
      <c r="J2" s="3"/>
      <c r="K2" s="3"/>
    </row>
    <row r="3" customFormat="false" ht="27" hidden="false" customHeight="true" outlineLevel="0" collapsed="false">
      <c r="A3" s="3"/>
      <c r="B3" s="3"/>
      <c r="C3" s="3"/>
      <c r="D3" s="3"/>
      <c r="E3" s="3"/>
      <c r="F3" s="3"/>
      <c r="G3" s="3"/>
      <c r="H3" s="3"/>
      <c r="I3" s="3"/>
      <c r="J3" s="3"/>
      <c r="K3" s="3"/>
    </row>
    <row r="5" customFormat="false" ht="45" hidden="false" customHeight="true" outlineLevel="0" collapsed="false">
      <c r="A5" s="4" t="s">
        <v>444</v>
      </c>
      <c r="B5" s="4" t="s">
        <v>445</v>
      </c>
      <c r="C5" s="4" t="s">
        <v>446</v>
      </c>
      <c r="D5" s="4" t="s">
        <v>447</v>
      </c>
      <c r="E5" s="4" t="s">
        <v>448</v>
      </c>
      <c r="F5" s="4" t="s">
        <v>449</v>
      </c>
      <c r="G5" s="4" t="s">
        <v>450</v>
      </c>
      <c r="H5" s="4" t="s">
        <v>451</v>
      </c>
      <c r="I5" s="4" t="s">
        <v>452</v>
      </c>
      <c r="J5" s="4" t="s">
        <v>440</v>
      </c>
      <c r="K5" s="4" t="s">
        <v>335</v>
      </c>
    </row>
    <row r="6" customFormat="false" ht="69.75" hidden="false" customHeight="true" outlineLevel="0" collapsed="false">
      <c r="A6" s="5" t="s">
        <v>453</v>
      </c>
      <c r="B6" s="9" t="n">
        <v>40</v>
      </c>
      <c r="C6" s="9" t="n">
        <v>0</v>
      </c>
      <c r="D6" s="9" t="n">
        <v>60</v>
      </c>
      <c r="E6" s="9" t="n">
        <v>1</v>
      </c>
      <c r="F6" s="5" t="n">
        <f aca="false">ROUNDUP(B6/D6,0)</f>
        <v>1</v>
      </c>
      <c r="G6" s="5" t="n">
        <f aca="false">ROUNDUP(C6/D6,0)</f>
        <v>0</v>
      </c>
      <c r="H6" s="5" t="n">
        <f aca="false">(F6+G6)*E6</f>
        <v>1</v>
      </c>
      <c r="I6" s="5" t="n">
        <f aca="false">H6*Parametry!$C$43</f>
        <v>10</v>
      </c>
      <c r="J6" s="11" t="n">
        <f aca="false">I6/Parametry!$C$41</f>
        <v>1</v>
      </c>
      <c r="K6" s="5" t="s">
        <v>454</v>
      </c>
    </row>
    <row r="7" customFormat="false" ht="69.75" hidden="false" customHeight="true" outlineLevel="0" collapsed="false">
      <c r="A7" s="6" t="s">
        <v>455</v>
      </c>
      <c r="B7" s="9" t="n">
        <v>60</v>
      </c>
      <c r="C7" s="9" t="n">
        <v>0</v>
      </c>
      <c r="D7" s="9" t="n">
        <v>60</v>
      </c>
      <c r="E7" s="9" t="n">
        <v>1</v>
      </c>
      <c r="F7" s="6" t="n">
        <f aca="false">ROUNDUP(B7/D7,0)</f>
        <v>1</v>
      </c>
      <c r="G7" s="6" t="n">
        <f aca="false">ROUNDUP(C7/D7,0)</f>
        <v>0</v>
      </c>
      <c r="H7" s="6" t="n">
        <f aca="false">(F7+G7)*E7</f>
        <v>1</v>
      </c>
      <c r="I7" s="6" t="n">
        <f aca="false">H7*Parametry!$C$43</f>
        <v>10</v>
      </c>
      <c r="J7" s="12" t="n">
        <f aca="false">I7/Parametry!$C$41</f>
        <v>1</v>
      </c>
      <c r="K7" s="6" t="s">
        <v>454</v>
      </c>
    </row>
    <row r="8" customFormat="false" ht="69.75" hidden="false" customHeight="true" outlineLevel="0" collapsed="false">
      <c r="A8" s="5" t="s">
        <v>456</v>
      </c>
      <c r="B8" s="9" t="n">
        <v>100</v>
      </c>
      <c r="C8" s="9" t="n">
        <v>0</v>
      </c>
      <c r="D8" s="9" t="n">
        <v>60</v>
      </c>
      <c r="E8" s="9" t="n">
        <v>1</v>
      </c>
      <c r="F8" s="5" t="n">
        <f aca="false">ROUNDUP(B8/D8,0)</f>
        <v>2</v>
      </c>
      <c r="G8" s="5" t="n">
        <f aca="false">ROUNDUP(C8/D8,0)</f>
        <v>0</v>
      </c>
      <c r="H8" s="5" t="n">
        <f aca="false">(F8+G8)*E8</f>
        <v>2</v>
      </c>
      <c r="I8" s="5" t="n">
        <f aca="false">H8*Parametry!$C$43</f>
        <v>20</v>
      </c>
      <c r="J8" s="11" t="n">
        <f aca="false">I8/Parametry!$C$41</f>
        <v>2</v>
      </c>
      <c r="K8" s="5" t="s">
        <v>454</v>
      </c>
    </row>
    <row r="9" customFormat="false" ht="69.75" hidden="false" customHeight="true" outlineLevel="0" collapsed="false">
      <c r="A9" s="6" t="s">
        <v>457</v>
      </c>
      <c r="B9" s="9" t="n">
        <v>180</v>
      </c>
      <c r="C9" s="9" t="n">
        <v>0</v>
      </c>
      <c r="D9" s="9" t="n">
        <v>60</v>
      </c>
      <c r="E9" s="9" t="n">
        <v>1</v>
      </c>
      <c r="F9" s="6" t="n">
        <f aca="false">ROUNDUP(B9/D9,0)</f>
        <v>3</v>
      </c>
      <c r="G9" s="6" t="n">
        <f aca="false">ROUNDUP(C9/D9,0)</f>
        <v>0</v>
      </c>
      <c r="H9" s="6" t="n">
        <f aca="false">(F9+G9)*E9</f>
        <v>3</v>
      </c>
      <c r="I9" s="6" t="n">
        <f aca="false">H9*Parametry!$C$43</f>
        <v>30</v>
      </c>
      <c r="J9" s="12" t="n">
        <f aca="false">I9/Parametry!$C$41</f>
        <v>3</v>
      </c>
      <c r="K9" s="6" t="s">
        <v>454</v>
      </c>
    </row>
    <row r="10" customFormat="false" ht="69.75" hidden="false" customHeight="true" outlineLevel="0" collapsed="false">
      <c r="A10" s="5" t="s">
        <v>458</v>
      </c>
      <c r="B10" s="9" t="n">
        <v>181</v>
      </c>
      <c r="C10" s="9" t="n">
        <v>0</v>
      </c>
      <c r="D10" s="9" t="n">
        <v>60</v>
      </c>
      <c r="E10" s="9" t="n">
        <v>1</v>
      </c>
      <c r="F10" s="5" t="n">
        <f aca="false">ROUNDUP(B10/D10,0)</f>
        <v>4</v>
      </c>
      <c r="G10" s="5" t="n">
        <f aca="false">ROUNDUP(C10/D10,0)</f>
        <v>0</v>
      </c>
      <c r="H10" s="5" t="n">
        <f aca="false">(F10+G10)*E10</f>
        <v>4</v>
      </c>
      <c r="I10" s="5" t="n">
        <f aca="false">H10*Parametry!$C$43</f>
        <v>40</v>
      </c>
      <c r="J10" s="11" t="n">
        <f aca="false">I10/Parametry!$C$41</f>
        <v>4</v>
      </c>
      <c r="K10" s="5" t="s">
        <v>454</v>
      </c>
    </row>
    <row r="11" customFormat="false" ht="69.75" hidden="false" customHeight="true" outlineLevel="0" collapsed="false">
      <c r="A11" s="6" t="s">
        <v>459</v>
      </c>
      <c r="B11" s="9" t="n">
        <v>100</v>
      </c>
      <c r="C11" s="9" t="n">
        <v>100</v>
      </c>
      <c r="D11" s="9" t="n">
        <v>60</v>
      </c>
      <c r="E11" s="9" t="n">
        <v>1</v>
      </c>
      <c r="F11" s="6" t="n">
        <f aca="false">ROUNDUP(B11/D11,0)</f>
        <v>2</v>
      </c>
      <c r="G11" s="6" t="n">
        <f aca="false">ROUNDUP(C11/D11,0)</f>
        <v>2</v>
      </c>
      <c r="H11" s="6" t="n">
        <f aca="false">(F11+G11)*E11</f>
        <v>4</v>
      </c>
      <c r="I11" s="6" t="n">
        <f aca="false">H11*Parametry!$C$43</f>
        <v>40</v>
      </c>
      <c r="J11" s="12" t="n">
        <f aca="false">I11/Parametry!$C$41</f>
        <v>4</v>
      </c>
      <c r="K11" s="6" t="s">
        <v>454</v>
      </c>
    </row>
    <row r="12" customFormat="false" ht="69.75" hidden="false" customHeight="true" outlineLevel="0" collapsed="false">
      <c r="A12" s="5" t="s">
        <v>460</v>
      </c>
      <c r="B12" s="9" t="n">
        <v>200</v>
      </c>
      <c r="C12" s="9" t="n">
        <v>0</v>
      </c>
      <c r="D12" s="9" t="n">
        <v>60</v>
      </c>
      <c r="E12" s="9" t="n">
        <v>1</v>
      </c>
      <c r="F12" s="5" t="n">
        <f aca="false">ROUNDUP(B12/D12,0)</f>
        <v>4</v>
      </c>
      <c r="G12" s="5" t="n">
        <f aca="false">ROUNDUP(C12/D12,0)</f>
        <v>0</v>
      </c>
      <c r="H12" s="5" t="n">
        <f aca="false">(F12+G12)*E12</f>
        <v>4</v>
      </c>
      <c r="I12" s="5" t="n">
        <f aca="false">H12*Parametry!$C$43</f>
        <v>40</v>
      </c>
      <c r="J12" s="11" t="n">
        <f aca="false">I12/Parametry!$C$41</f>
        <v>4</v>
      </c>
      <c r="K12" s="5" t="s">
        <v>454</v>
      </c>
    </row>
    <row r="13" customFormat="false" ht="69.75" hidden="false" customHeight="true" outlineLevel="0" collapsed="false">
      <c r="A13" s="6" t="s">
        <v>461</v>
      </c>
      <c r="B13" s="9" t="n">
        <v>200</v>
      </c>
      <c r="C13" s="9" t="n">
        <v>0</v>
      </c>
      <c r="D13" s="9" t="n">
        <v>60</v>
      </c>
      <c r="E13" s="9" t="n">
        <v>1</v>
      </c>
      <c r="F13" s="6" t="n">
        <f aca="false">ROUNDUP(B13/D13,0)</f>
        <v>4</v>
      </c>
      <c r="G13" s="6" t="n">
        <f aca="false">ROUNDUP(C13/D13,0)</f>
        <v>0</v>
      </c>
      <c r="H13" s="6" t="n">
        <f aca="false">(F13+G13)*E13</f>
        <v>4</v>
      </c>
      <c r="I13" s="6" t="n">
        <f aca="false">H13*Parametry!$C$43</f>
        <v>40</v>
      </c>
      <c r="J13" s="12" t="n">
        <f aca="false">I13/Parametry!$C$41</f>
        <v>4</v>
      </c>
      <c r="K13" s="6" t="s">
        <v>454</v>
      </c>
    </row>
    <row r="14" customFormat="false" ht="69.75" hidden="false" customHeight="true" outlineLevel="0" collapsed="false">
      <c r="A14" s="5" t="s">
        <v>462</v>
      </c>
      <c r="B14" s="9" t="n">
        <v>200</v>
      </c>
      <c r="C14" s="9" t="n">
        <v>0</v>
      </c>
      <c r="D14" s="9" t="n">
        <v>60</v>
      </c>
      <c r="E14" s="9" t="n">
        <v>1</v>
      </c>
      <c r="F14" s="5" t="n">
        <f aca="false">ROUNDUP(B14/D14,0)</f>
        <v>4</v>
      </c>
      <c r="G14" s="5" t="n">
        <f aca="false">ROUNDUP(C14/D14,0)</f>
        <v>0</v>
      </c>
      <c r="H14" s="5" t="n">
        <f aca="false">(F14+G14)*E14</f>
        <v>4</v>
      </c>
      <c r="I14" s="5" t="n">
        <f aca="false">H14*Parametry!$C$43</f>
        <v>40</v>
      </c>
      <c r="J14" s="11" t="n">
        <f aca="false">I14/Parametry!$C$41</f>
        <v>4</v>
      </c>
      <c r="K14" s="5" t="s">
        <v>454</v>
      </c>
    </row>
    <row r="15" customFormat="false" ht="69.75" hidden="false" customHeight="true" outlineLevel="0" collapsed="false">
      <c r="A15" s="6" t="s">
        <v>463</v>
      </c>
      <c r="B15" s="9" t="n">
        <v>200</v>
      </c>
      <c r="C15" s="9" t="n">
        <v>0</v>
      </c>
      <c r="D15" s="9" t="n">
        <v>60</v>
      </c>
      <c r="E15" s="9" t="n">
        <v>1</v>
      </c>
      <c r="F15" s="6" t="n">
        <f aca="false">ROUNDUP(B15/D15,0)</f>
        <v>4</v>
      </c>
      <c r="G15" s="6" t="n">
        <f aca="false">ROUNDUP(C15/D15,0)</f>
        <v>0</v>
      </c>
      <c r="H15" s="6" t="n">
        <f aca="false">(F15+G15)*E15</f>
        <v>4</v>
      </c>
      <c r="I15" s="6" t="n">
        <f aca="false">H15*Parametry!$C$43</f>
        <v>40</v>
      </c>
      <c r="J15" s="12" t="n">
        <f aca="false">I15/Parametry!$C$41</f>
        <v>4</v>
      </c>
      <c r="K15" s="6" t="s">
        <v>454</v>
      </c>
    </row>
    <row r="16" customFormat="false" ht="69.75" hidden="false" customHeight="true" outlineLevel="0" collapsed="false">
      <c r="A16" s="5" t="s">
        <v>464</v>
      </c>
      <c r="B16" s="9" t="n">
        <v>100</v>
      </c>
      <c r="C16" s="9" t="n">
        <v>0</v>
      </c>
      <c r="D16" s="9" t="n">
        <v>60</v>
      </c>
      <c r="E16" s="9" t="n">
        <v>2</v>
      </c>
      <c r="F16" s="5" t="n">
        <f aca="false">ROUNDUP(B16/D16,0)</f>
        <v>2</v>
      </c>
      <c r="G16" s="5" t="n">
        <f aca="false">ROUNDUP(C16/D16,0)</f>
        <v>0</v>
      </c>
      <c r="H16" s="5" t="n">
        <f aca="false">(F16+G16)*E16</f>
        <v>4</v>
      </c>
      <c r="I16" s="5" t="n">
        <f aca="false">H16*Parametry!$C$43</f>
        <v>40</v>
      </c>
      <c r="J16" s="11" t="n">
        <f aca="false">I16/Parametry!$C$41</f>
        <v>4</v>
      </c>
      <c r="K16" s="5" t="s">
        <v>454</v>
      </c>
    </row>
    <row r="17" customFormat="false" ht="69.75" hidden="false" customHeight="true" outlineLevel="0" collapsed="false">
      <c r="A17" s="6" t="s">
        <v>465</v>
      </c>
      <c r="B17" s="9" t="n">
        <v>200</v>
      </c>
      <c r="C17" s="9" t="n">
        <v>0</v>
      </c>
      <c r="D17" s="9" t="n">
        <v>66</v>
      </c>
      <c r="E17" s="9" t="n">
        <v>1</v>
      </c>
      <c r="F17" s="6" t="n">
        <f aca="false">ROUNDUP(B17/D17,0)</f>
        <v>4</v>
      </c>
      <c r="G17" s="6" t="n">
        <f aca="false">ROUNDUP(C17/D17,0)</f>
        <v>0</v>
      </c>
      <c r="H17" s="6" t="n">
        <f aca="false">(F17+G17)*E17</f>
        <v>4</v>
      </c>
      <c r="I17" s="6" t="n">
        <f aca="false">H17*Parametry!$C$43</f>
        <v>40</v>
      </c>
      <c r="J17" s="12" t="n">
        <f aca="false">I17/Parametry!$C$41</f>
        <v>4</v>
      </c>
      <c r="K17" s="6" t="s">
        <v>454</v>
      </c>
    </row>
    <row r="18" customFormat="false" ht="69.75" hidden="false" customHeight="true" outlineLevel="0" collapsed="false">
      <c r="A18" s="5" t="s">
        <v>466</v>
      </c>
      <c r="B18" s="9" t="n">
        <v>0</v>
      </c>
      <c r="C18" s="9" t="n">
        <v>0</v>
      </c>
      <c r="D18" s="9" t="n">
        <v>60</v>
      </c>
      <c r="E18" s="9" t="n">
        <v>1</v>
      </c>
      <c r="F18" s="5" t="n">
        <f aca="false">ROUNDUP(B18/D18,0)</f>
        <v>0</v>
      </c>
      <c r="G18" s="5" t="n">
        <f aca="false">ROUNDUP(C18/D18,0)</f>
        <v>0</v>
      </c>
      <c r="H18" s="5" t="n">
        <f aca="false">(F18+G18)*E18</f>
        <v>0</v>
      </c>
      <c r="I18" s="5" t="n">
        <f aca="false">H18*Parametry!$C$43</f>
        <v>0</v>
      </c>
      <c r="J18" s="11" t="n">
        <f aca="false">I18/Parametry!$C$41</f>
        <v>0</v>
      </c>
      <c r="K18" s="5" t="s">
        <v>454</v>
      </c>
    </row>
  </sheetData>
  <autoFilter ref="A5:K18"/>
  <mergeCells count="2">
    <mergeCell ref="A1:K1"/>
    <mergeCell ref="A2:K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40"/>
    <col collapsed="false" customWidth="true" hidden="false" outlineLevel="0" max="2" min="2" style="1" width="24"/>
    <col collapsed="false" customWidth="true" hidden="false" outlineLevel="0" max="7" min="3" style="1" width="19"/>
    <col collapsed="false" customWidth="true" hidden="false" outlineLevel="0" max="8" min="8" style="1" width="28"/>
    <col collapsed="false" customWidth="true" hidden="false" outlineLevel="0" max="9" min="9" style="1" width="29"/>
    <col collapsed="false" customWidth="true" hidden="false" outlineLevel="0" max="10" min="10" style="1" width="27"/>
    <col collapsed="false" customWidth="true" hidden="false" outlineLevel="0" max="11" min="11" style="1" width="29"/>
    <col collapsed="false" customWidth="true" hidden="false" outlineLevel="0" max="12" min="12" style="1" width="22"/>
    <col collapsed="false" customWidth="true" hidden="false" outlineLevel="0" max="13" min="13" style="1" width="23"/>
    <col collapsed="false" customWidth="true" hidden="false" outlineLevel="0" max="14" min="14" style="1" width="30"/>
    <col collapsed="false" customWidth="true" hidden="false" outlineLevel="0" max="15" min="15" style="1" width="29"/>
    <col collapsed="false" customWidth="true" hidden="false" outlineLevel="0" max="16" min="16" style="1" width="26"/>
    <col collapsed="false" customWidth="true" hidden="false" outlineLevel="0" max="17" min="17" style="1" width="120"/>
  </cols>
  <sheetData>
    <row r="1" customFormat="false" ht="33.75" hidden="false" customHeight="true" outlineLevel="0" collapsed="false">
      <c r="A1" s="7" t="s">
        <v>467</v>
      </c>
      <c r="B1" s="7"/>
      <c r="C1" s="7"/>
      <c r="D1" s="7"/>
      <c r="E1" s="7"/>
      <c r="F1" s="7"/>
      <c r="G1" s="7"/>
      <c r="H1" s="7"/>
      <c r="I1" s="7"/>
      <c r="J1" s="7"/>
      <c r="K1" s="7"/>
      <c r="L1" s="7"/>
      <c r="M1" s="7"/>
      <c r="N1" s="7"/>
      <c r="O1" s="7"/>
      <c r="P1" s="7"/>
      <c r="Q1" s="7"/>
    </row>
    <row r="2" customFormat="false" ht="27" hidden="false" customHeight="true" outlineLevel="0" collapsed="false">
      <c r="A2" s="3" t="s">
        <v>468</v>
      </c>
      <c r="B2" s="3"/>
      <c r="C2" s="3"/>
      <c r="D2" s="3"/>
      <c r="E2" s="3"/>
      <c r="F2" s="3"/>
      <c r="G2" s="3"/>
      <c r="H2" s="3"/>
      <c r="I2" s="3"/>
      <c r="J2" s="3"/>
      <c r="K2" s="3"/>
      <c r="L2" s="3"/>
      <c r="M2" s="3"/>
      <c r="N2" s="3"/>
      <c r="O2" s="3"/>
      <c r="P2" s="3"/>
      <c r="Q2" s="3"/>
    </row>
    <row r="3" customFormat="false" ht="27" hidden="false" customHeight="true" outlineLevel="0" collapsed="false">
      <c r="A3" s="3"/>
      <c r="B3" s="3"/>
      <c r="C3" s="3"/>
      <c r="D3" s="3"/>
      <c r="E3" s="3"/>
      <c r="F3" s="3"/>
      <c r="G3" s="3"/>
      <c r="H3" s="3"/>
      <c r="I3" s="3"/>
      <c r="J3" s="3"/>
      <c r="K3" s="3"/>
      <c r="L3" s="3"/>
      <c r="M3" s="3"/>
      <c r="N3" s="3"/>
      <c r="O3" s="3"/>
      <c r="P3" s="3"/>
      <c r="Q3" s="3"/>
    </row>
    <row r="5" customFormat="false" ht="45" hidden="false" customHeight="true" outlineLevel="0" collapsed="false">
      <c r="A5" s="4" t="s">
        <v>469</v>
      </c>
      <c r="B5" s="4" t="s">
        <v>470</v>
      </c>
      <c r="C5" s="4" t="s">
        <v>471</v>
      </c>
      <c r="D5" s="4" t="s">
        <v>472</v>
      </c>
      <c r="E5" s="4" t="s">
        <v>473</v>
      </c>
      <c r="F5" s="4" t="s">
        <v>474</v>
      </c>
      <c r="G5" s="4" t="s">
        <v>475</v>
      </c>
      <c r="H5" s="4" t="s">
        <v>476</v>
      </c>
      <c r="I5" s="4" t="s">
        <v>477</v>
      </c>
      <c r="J5" s="4" t="s">
        <v>478</v>
      </c>
      <c r="K5" s="4" t="s">
        <v>435</v>
      </c>
      <c r="L5" s="4" t="s">
        <v>436</v>
      </c>
      <c r="M5" s="4" t="s">
        <v>479</v>
      </c>
      <c r="N5" s="4" t="s">
        <v>480</v>
      </c>
      <c r="O5" s="4" t="s">
        <v>481</v>
      </c>
      <c r="P5" s="4" t="s">
        <v>482</v>
      </c>
      <c r="Q5" s="4" t="s">
        <v>335</v>
      </c>
    </row>
    <row r="6" customFormat="false" ht="114.75" hidden="false" customHeight="true" outlineLevel="0" collapsed="false">
      <c r="A6" s="5" t="s">
        <v>483</v>
      </c>
      <c r="B6" s="9" t="n">
        <v>0</v>
      </c>
      <c r="C6" s="9" t="n">
        <v>100</v>
      </c>
      <c r="D6" s="9" t="n">
        <v>0</v>
      </c>
      <c r="E6" s="9" t="n">
        <v>0</v>
      </c>
      <c r="F6" s="9" t="n">
        <v>100</v>
      </c>
      <c r="G6" s="9" t="n">
        <v>0</v>
      </c>
      <c r="H6" s="5" t="n">
        <f aca="false">(C6+D6+E6)*Parametry!$C$32/100+(F6+G6)*Parametry!$C$34/100</f>
        <v>200</v>
      </c>
      <c r="I6" s="5" t="n">
        <f aca="false">(ROUNDUP(C6/100,0)+ROUNDUP(D6/100,0)+ROUNDUP(E6/100,0))*Parametry!$C$32+(ROUNDUP(F6/100,0)+ROUNDUP(G6/100,0))*Parametry!$C$34</f>
        <v>200</v>
      </c>
      <c r="J6" s="5" t="n">
        <f aca="false">H6*Parametry!$C$44</f>
        <v>250</v>
      </c>
      <c r="K6" s="9" t="n">
        <v>120</v>
      </c>
      <c r="L6" s="10" t="n">
        <v>0.5</v>
      </c>
      <c r="M6" s="5" t="n">
        <f aca="false">ROUNDDOWN(K6*L6,0)*Parametry!$C$42</f>
        <v>60</v>
      </c>
      <c r="N6" s="5" t="n">
        <f aca="false">ROUNDUP(B6+J6+M6,0)</f>
        <v>310</v>
      </c>
      <c r="O6" s="5" t="n">
        <f aca="false">ROUNDUP(B6+I6*Parametry!$C$44+M6,0)</f>
        <v>310</v>
      </c>
      <c r="P6" s="11" t="n">
        <f aca="false">N6/Parametry!$C$41</f>
        <v>31</v>
      </c>
      <c r="Q6" s="5" t="s">
        <v>484</v>
      </c>
    </row>
    <row r="7" customFormat="false" ht="114.75" hidden="false" customHeight="true" outlineLevel="0" collapsed="false">
      <c r="A7" s="6" t="s">
        <v>485</v>
      </c>
      <c r="B7" s="9" t="n">
        <v>0</v>
      </c>
      <c r="C7" s="9" t="n">
        <v>72</v>
      </c>
      <c r="D7" s="9" t="n">
        <v>72</v>
      </c>
      <c r="E7" s="9" t="n">
        <v>120</v>
      </c>
      <c r="F7" s="9" t="n">
        <v>0</v>
      </c>
      <c r="G7" s="9" t="n">
        <v>0</v>
      </c>
      <c r="H7" s="6" t="n">
        <f aca="false">(C7+D7+E7)*Parametry!$C$32/100+(F7+G7)*Parametry!$C$34/100</f>
        <v>132</v>
      </c>
      <c r="I7" s="6" t="n">
        <f aca="false">(ROUNDUP(C7/100,0)+ROUNDUP(D7/100,0)+ROUNDUP(E7/100,0))*Parametry!$C$32+(ROUNDUP(F7/100,0)+ROUNDUP(G7/100,0))*Parametry!$C$34</f>
        <v>200</v>
      </c>
      <c r="J7" s="6" t="n">
        <f aca="false">H7*Parametry!$C$44</f>
        <v>165</v>
      </c>
      <c r="K7" s="9" t="n">
        <f aca="false">'Czas budowy'!X18</f>
        <v>5</v>
      </c>
      <c r="L7" s="10" t="n">
        <v>0.5</v>
      </c>
      <c r="M7" s="6" t="n">
        <f aca="false">ROUNDDOWN(K7*L7,0)*Parametry!$C$42</f>
        <v>2</v>
      </c>
      <c r="N7" s="6" t="n">
        <f aca="false">ROUNDUP(B7+J7+M7,0)</f>
        <v>167</v>
      </c>
      <c r="O7" s="6" t="n">
        <f aca="false">ROUNDUP(B7+I7*Parametry!$C$44+M7,0)</f>
        <v>252</v>
      </c>
      <c r="P7" s="12" t="n">
        <f aca="false">N7/Parametry!$C$41</f>
        <v>16.7</v>
      </c>
      <c r="Q7" s="6" t="s">
        <v>486</v>
      </c>
    </row>
    <row r="8" customFormat="false" ht="114.75" hidden="false" customHeight="true" outlineLevel="0" collapsed="false">
      <c r="A8" s="5" t="s">
        <v>487</v>
      </c>
      <c r="B8" s="9" t="n">
        <v>500</v>
      </c>
      <c r="C8" s="9" t="n">
        <v>500</v>
      </c>
      <c r="D8" s="9" t="n">
        <v>500</v>
      </c>
      <c r="E8" s="9" t="n">
        <v>500</v>
      </c>
      <c r="F8" s="9" t="n">
        <v>500</v>
      </c>
      <c r="G8" s="9" t="n">
        <v>500</v>
      </c>
      <c r="H8" s="5" t="n">
        <f aca="false">(C8+D8+E8)*Parametry!$C$32/100+(F8+G8)*Parametry!$C$34/100</f>
        <v>2250</v>
      </c>
      <c r="I8" s="5" t="n">
        <f aca="false">(ROUNDUP(C8/100,0)+ROUNDUP(D8/100,0)+ROUNDUP(E8/100,0))*Parametry!$C$32+(ROUNDUP(F8/100,0)+ROUNDUP(G8/100,0))*Parametry!$C$34</f>
        <v>2250</v>
      </c>
      <c r="J8" s="5" t="n">
        <f aca="false">H8*Parametry!$C$44</f>
        <v>2812.5</v>
      </c>
      <c r="K8" s="9" t="n">
        <f aca="false">'Czas budowy'!X6</f>
        <v>40</v>
      </c>
      <c r="L8" s="10" t="n">
        <v>0.5</v>
      </c>
      <c r="M8" s="5" t="n">
        <f aca="false">ROUNDDOWN(K8*L8,0)*Parametry!$C$42</f>
        <v>20</v>
      </c>
      <c r="N8" s="5" t="n">
        <f aca="false">ROUNDUP(B8+J8+M8,0)</f>
        <v>3333</v>
      </c>
      <c r="O8" s="5" t="n">
        <f aca="false">ROUNDUP(B8+I8*Parametry!$C$44+M8,0)</f>
        <v>3333</v>
      </c>
      <c r="P8" s="11" t="n">
        <f aca="false">N8/Parametry!$C$41</f>
        <v>333.3</v>
      </c>
      <c r="Q8" s="5" t="s">
        <v>488</v>
      </c>
    </row>
  </sheetData>
  <autoFilter ref="A5:Q8"/>
  <mergeCells count="2">
    <mergeCell ref="A1:Q1"/>
    <mergeCell ref="A2:Q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0"/>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43"/>
    <col collapsed="false" customWidth="true" hidden="false" outlineLevel="0" max="2" min="2" style="1" width="32"/>
    <col collapsed="false" customWidth="true" hidden="false" outlineLevel="0" max="3" min="3" style="1" width="95"/>
    <col collapsed="false" customWidth="true" hidden="false" outlineLevel="0" max="4" min="4" style="1" width="125"/>
    <col collapsed="false" customWidth="true" hidden="false" outlineLevel="0" max="5" min="5" style="1" width="35"/>
  </cols>
  <sheetData>
    <row r="1" customFormat="false" ht="33.75" hidden="false" customHeight="true" outlineLevel="0" collapsed="false">
      <c r="A1" s="7" t="s">
        <v>489</v>
      </c>
      <c r="B1" s="7"/>
      <c r="C1" s="7"/>
      <c r="D1" s="7"/>
      <c r="E1" s="7"/>
    </row>
    <row r="2" customFormat="false" ht="27" hidden="false" customHeight="true" outlineLevel="0" collapsed="false">
      <c r="A2" s="3" t="s">
        <v>490</v>
      </c>
      <c r="B2" s="3"/>
      <c r="C2" s="3"/>
      <c r="D2" s="3"/>
      <c r="E2" s="3"/>
    </row>
    <row r="3" customFormat="false" ht="27" hidden="false" customHeight="true" outlineLevel="0" collapsed="false">
      <c r="A3" s="3"/>
      <c r="B3" s="3"/>
      <c r="C3" s="3"/>
      <c r="D3" s="3"/>
      <c r="E3" s="3"/>
    </row>
    <row r="5" customFormat="false" ht="45" hidden="false" customHeight="true" outlineLevel="0" collapsed="false">
      <c r="A5" s="4" t="s">
        <v>333</v>
      </c>
      <c r="B5" s="4" t="s">
        <v>491</v>
      </c>
      <c r="C5" s="4" t="s">
        <v>492</v>
      </c>
      <c r="D5" s="4" t="s">
        <v>493</v>
      </c>
      <c r="E5" s="4" t="s">
        <v>494</v>
      </c>
    </row>
    <row r="6" customFormat="false" ht="109.5" hidden="false" customHeight="true" outlineLevel="0" collapsed="false">
      <c r="A6" s="5" t="s">
        <v>495</v>
      </c>
      <c r="B6" s="5" t="n">
        <v>1000</v>
      </c>
      <c r="C6" s="5" t="s">
        <v>496</v>
      </c>
      <c r="D6" s="5" t="s">
        <v>497</v>
      </c>
      <c r="E6" s="5" t="n">
        <f aca="false">B6/Parametry!$C$41</f>
        <v>100</v>
      </c>
    </row>
    <row r="7" customFormat="false" ht="109.5" hidden="false" customHeight="true" outlineLevel="0" collapsed="false">
      <c r="A7" s="6" t="s">
        <v>498</v>
      </c>
      <c r="B7" s="6" t="n">
        <v>500</v>
      </c>
      <c r="C7" s="6" t="s">
        <v>499</v>
      </c>
      <c r="D7" s="6" t="s">
        <v>500</v>
      </c>
      <c r="E7" s="6" t="n">
        <f aca="false">B7/Parametry!$C$41</f>
        <v>50</v>
      </c>
    </row>
    <row r="8" customFormat="false" ht="109.5" hidden="false" customHeight="true" outlineLevel="0" collapsed="false">
      <c r="A8" s="5" t="s">
        <v>501</v>
      </c>
      <c r="B8" s="5" t="n">
        <v>1000</v>
      </c>
      <c r="C8" s="5" t="s">
        <v>502</v>
      </c>
      <c r="D8" s="5" t="s">
        <v>503</v>
      </c>
      <c r="E8" s="5" t="n">
        <f aca="false">B8/Parametry!$C$41</f>
        <v>100</v>
      </c>
    </row>
    <row r="9" customFormat="false" ht="109.5" hidden="false" customHeight="true" outlineLevel="0" collapsed="false">
      <c r="A9" s="6" t="s">
        <v>504</v>
      </c>
      <c r="B9" s="6" t="s">
        <v>505</v>
      </c>
      <c r="C9" s="6" t="s">
        <v>506</v>
      </c>
      <c r="D9" s="6" t="s">
        <v>507</v>
      </c>
      <c r="E9" s="6" t="s">
        <v>508</v>
      </c>
    </row>
    <row r="10" customFormat="false" ht="109.5" hidden="false" customHeight="true" outlineLevel="0" collapsed="false">
      <c r="A10" s="5" t="s">
        <v>509</v>
      </c>
      <c r="B10" s="5" t="n">
        <v>1000</v>
      </c>
      <c r="C10" s="5" t="s">
        <v>510</v>
      </c>
      <c r="D10" s="5" t="s">
        <v>511</v>
      </c>
      <c r="E10" s="5" t="n">
        <f aca="false">B10/Parametry!$C$41</f>
        <v>100</v>
      </c>
    </row>
  </sheetData>
  <autoFilter ref="A5:E10"/>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6"/>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7"/>
    <col collapsed="false" customWidth="true" hidden="false" outlineLevel="0" max="2" min="2" style="1" width="60"/>
    <col collapsed="false" customWidth="true" hidden="false" outlineLevel="0" max="3" min="3" style="1" width="75"/>
    <col collapsed="false" customWidth="true" hidden="false" outlineLevel="0" max="4" min="4" style="1" width="115"/>
    <col collapsed="false" customWidth="true" hidden="false" outlineLevel="0" max="5" min="5" style="1" width="83"/>
    <col collapsed="false" customWidth="true" hidden="false" outlineLevel="0" max="6" min="6" style="1" width="70"/>
    <col collapsed="false" customWidth="true" hidden="false" outlineLevel="0" max="7" min="7" style="1" width="95"/>
  </cols>
  <sheetData>
    <row r="1" customFormat="false" ht="33.75" hidden="false" customHeight="true" outlineLevel="0" collapsed="false">
      <c r="A1" s="7" t="s">
        <v>512</v>
      </c>
      <c r="B1" s="7"/>
      <c r="C1" s="7"/>
      <c r="D1" s="7"/>
      <c r="E1" s="7"/>
      <c r="F1" s="7"/>
      <c r="G1" s="7"/>
    </row>
    <row r="2" customFormat="false" ht="27" hidden="false" customHeight="true" outlineLevel="0" collapsed="false">
      <c r="A2" s="3" t="s">
        <v>513</v>
      </c>
      <c r="B2" s="3"/>
      <c r="C2" s="3"/>
      <c r="D2" s="3"/>
      <c r="E2" s="3"/>
      <c r="F2" s="3"/>
      <c r="G2" s="3"/>
    </row>
    <row r="3" customFormat="false" ht="27" hidden="false" customHeight="true" outlineLevel="0" collapsed="false">
      <c r="A3" s="3"/>
      <c r="B3" s="3"/>
      <c r="C3" s="3"/>
      <c r="D3" s="3"/>
      <c r="E3" s="3"/>
      <c r="F3" s="3"/>
      <c r="G3" s="3"/>
    </row>
    <row r="5" customFormat="false" ht="45" hidden="false" customHeight="true" outlineLevel="0" collapsed="false">
      <c r="A5" s="4" t="s">
        <v>514</v>
      </c>
      <c r="B5" s="4" t="s">
        <v>515</v>
      </c>
      <c r="C5" s="4" t="s">
        <v>516</v>
      </c>
      <c r="D5" s="4" t="s">
        <v>517</v>
      </c>
      <c r="E5" s="4" t="s">
        <v>518</v>
      </c>
      <c r="F5" s="4" t="s">
        <v>519</v>
      </c>
      <c r="G5" s="4" t="s">
        <v>520</v>
      </c>
    </row>
    <row r="6" customFormat="false" ht="139.5" hidden="false" customHeight="true" outlineLevel="0" collapsed="false">
      <c r="A6" s="5" t="s">
        <v>521</v>
      </c>
      <c r="B6" s="5" t="s">
        <v>522</v>
      </c>
      <c r="C6" s="5" t="s">
        <v>523</v>
      </c>
      <c r="D6" s="5" t="s">
        <v>524</v>
      </c>
      <c r="E6" s="13" t="s">
        <v>525</v>
      </c>
      <c r="F6" s="5" t="s">
        <v>526</v>
      </c>
      <c r="G6" s="5" t="s">
        <v>527</v>
      </c>
    </row>
    <row r="7" customFormat="false" ht="139.5" hidden="false" customHeight="true" outlineLevel="0" collapsed="false">
      <c r="A7" s="6" t="s">
        <v>528</v>
      </c>
      <c r="B7" s="6" t="s">
        <v>529</v>
      </c>
      <c r="C7" s="6" t="s">
        <v>530</v>
      </c>
      <c r="D7" s="6" t="s">
        <v>531</v>
      </c>
      <c r="E7" s="14" t="s">
        <v>532</v>
      </c>
      <c r="F7" s="6" t="s">
        <v>526</v>
      </c>
      <c r="G7" s="6" t="s">
        <v>533</v>
      </c>
    </row>
    <row r="8" customFormat="false" ht="139.5" hidden="false" customHeight="true" outlineLevel="0" collapsed="false">
      <c r="A8" s="5" t="s">
        <v>534</v>
      </c>
      <c r="B8" s="5" t="s">
        <v>535</v>
      </c>
      <c r="C8" s="5" t="s">
        <v>536</v>
      </c>
      <c r="D8" s="5" t="s">
        <v>537</v>
      </c>
      <c r="E8" s="13" t="s">
        <v>538</v>
      </c>
      <c r="F8" s="5" t="s">
        <v>526</v>
      </c>
      <c r="G8" s="5" t="s">
        <v>539</v>
      </c>
    </row>
    <row r="9" customFormat="false" ht="139.5" hidden="false" customHeight="true" outlineLevel="0" collapsed="false">
      <c r="A9" s="6" t="s">
        <v>540</v>
      </c>
      <c r="B9" s="6" t="s">
        <v>541</v>
      </c>
      <c r="C9" s="6" t="s">
        <v>542</v>
      </c>
      <c r="D9" s="6" t="s">
        <v>543</v>
      </c>
      <c r="E9" s="14" t="s">
        <v>544</v>
      </c>
      <c r="F9" s="6" t="s">
        <v>526</v>
      </c>
      <c r="G9" s="6" t="s">
        <v>545</v>
      </c>
    </row>
    <row r="10" customFormat="false" ht="139.5" hidden="false" customHeight="true" outlineLevel="0" collapsed="false">
      <c r="A10" s="5" t="s">
        <v>546</v>
      </c>
      <c r="B10" s="5" t="s">
        <v>547</v>
      </c>
      <c r="C10" s="5" t="s">
        <v>548</v>
      </c>
      <c r="D10" s="5" t="s">
        <v>549</v>
      </c>
      <c r="E10" s="13" t="s">
        <v>550</v>
      </c>
      <c r="F10" s="5" t="s">
        <v>526</v>
      </c>
      <c r="G10" s="5" t="s">
        <v>551</v>
      </c>
    </row>
    <row r="11" customFormat="false" ht="139.5" hidden="false" customHeight="true" outlineLevel="0" collapsed="false">
      <c r="A11" s="6" t="s">
        <v>552</v>
      </c>
      <c r="B11" s="6" t="s">
        <v>553</v>
      </c>
      <c r="C11" s="6" t="s">
        <v>554</v>
      </c>
      <c r="D11" s="6" t="s">
        <v>555</v>
      </c>
      <c r="E11" s="14" t="s">
        <v>556</v>
      </c>
      <c r="F11" s="6" t="s">
        <v>526</v>
      </c>
      <c r="G11" s="6" t="s">
        <v>557</v>
      </c>
    </row>
    <row r="12" customFormat="false" ht="139.5" hidden="false" customHeight="true" outlineLevel="0" collapsed="false">
      <c r="A12" s="5" t="s">
        <v>558</v>
      </c>
      <c r="B12" s="5" t="s">
        <v>559</v>
      </c>
      <c r="C12" s="5" t="s">
        <v>560</v>
      </c>
      <c r="D12" s="5" t="s">
        <v>561</v>
      </c>
      <c r="E12" s="13" t="s">
        <v>562</v>
      </c>
      <c r="F12" s="5" t="s">
        <v>526</v>
      </c>
      <c r="G12" s="5" t="s">
        <v>563</v>
      </c>
    </row>
    <row r="13" customFormat="false" ht="139.5" hidden="false" customHeight="true" outlineLevel="0" collapsed="false">
      <c r="A13" s="6" t="s">
        <v>564</v>
      </c>
      <c r="B13" s="6" t="s">
        <v>565</v>
      </c>
      <c r="C13" s="6" t="s">
        <v>566</v>
      </c>
      <c r="D13" s="6" t="s">
        <v>567</v>
      </c>
      <c r="E13" s="14" t="s">
        <v>568</v>
      </c>
      <c r="F13" s="6" t="s">
        <v>526</v>
      </c>
      <c r="G13" s="6" t="s">
        <v>569</v>
      </c>
    </row>
    <row r="14" customFormat="false" ht="139.5" hidden="false" customHeight="true" outlineLevel="0" collapsed="false">
      <c r="A14" s="5" t="s">
        <v>570</v>
      </c>
      <c r="B14" s="5" t="s">
        <v>571</v>
      </c>
      <c r="C14" s="5" t="s">
        <v>566</v>
      </c>
      <c r="D14" s="5" t="s">
        <v>572</v>
      </c>
      <c r="E14" s="13" t="s">
        <v>573</v>
      </c>
      <c r="F14" s="5" t="s">
        <v>526</v>
      </c>
      <c r="G14" s="5" t="s">
        <v>574</v>
      </c>
    </row>
    <row r="15" customFormat="false" ht="139.5" hidden="false" customHeight="true" outlineLevel="0" collapsed="false">
      <c r="A15" s="6" t="s">
        <v>575</v>
      </c>
      <c r="B15" s="6" t="s">
        <v>576</v>
      </c>
      <c r="C15" s="6" t="s">
        <v>577</v>
      </c>
      <c r="D15" s="6" t="s">
        <v>578</v>
      </c>
      <c r="E15" s="14" t="s">
        <v>579</v>
      </c>
      <c r="F15" s="6" t="s">
        <v>526</v>
      </c>
      <c r="G15" s="6" t="s">
        <v>580</v>
      </c>
    </row>
    <row r="16" customFormat="false" ht="139.5" hidden="false" customHeight="true" outlineLevel="0" collapsed="false">
      <c r="A16" s="5" t="s">
        <v>581</v>
      </c>
      <c r="B16" s="5" t="s">
        <v>582</v>
      </c>
      <c r="C16" s="5" t="s">
        <v>583</v>
      </c>
      <c r="D16" s="5" t="s">
        <v>584</v>
      </c>
      <c r="E16" s="13" t="s">
        <v>585</v>
      </c>
      <c r="F16" s="5" t="s">
        <v>526</v>
      </c>
      <c r="G16" s="5" t="s">
        <v>586</v>
      </c>
    </row>
  </sheetData>
  <autoFilter ref="A5:G16"/>
  <mergeCells count="2">
    <mergeCell ref="A1:G1"/>
    <mergeCell ref="A2:G3"/>
  </mergeCells>
  <hyperlinks>
    <hyperlink ref="E6" r:id="rId1" display="https://www.facebook.com/policies_center/pages_groups_events"/>
    <hyperlink ref="E7" r:id="rId2" display="https://help.instagram.com/179379842258600"/>
    <hyperlink ref="E8" r:id="rId3" display="https://transparency.meta.com/policies/community-standards/spam/"/>
    <hyperlink ref="E9" r:id="rId4" display="https://www.tiktok.com/community-guidelines/en/integrity-authenticity/"/>
    <hyperlink ref="E10" r:id="rId5" display="https://support.google.com/youtube/answer/3399767?hl=en&#10;https://support.google.com/youtube/answer/1620498?hl=en"/>
    <hyperlink ref="E11" r:id="rId6" display="https://discord.com/guidelines"/>
    <hyperlink ref="E12" r:id="rId7" display="https://support.reddithelp.com/hc/en-us/articles/360043504051-Spam"/>
    <hyperlink ref="E13" r:id="rId8" display="https://help.x.com/en/rules-and-policies/platform-manipulation&#10;https://help.x.com/en/rules-and-policies/x-contest-rules"/>
    <hyperlink ref="E14" r:id="rId9" display="https://bsky.social/about/support/community-guidelines"/>
    <hyperlink ref="E15" r:id="rId10" display="https://joinmastodon.org/&#10;https://joinmastodon.org/covenant"/>
    <hyperlink ref="E16" r:id="rId11" display="https://values.snap.com/policy/policy-community-guidelines"/>
  </hyperlink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6"/>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5"/>
    <col collapsed="false" customWidth="true" hidden="false" outlineLevel="0" max="2" min="2" style="1" width="45"/>
    <col collapsed="false" customWidth="true" hidden="false" outlineLevel="0" max="3" min="3" style="1" width="118"/>
    <col collapsed="false" customWidth="true" hidden="false" outlineLevel="0" max="4" min="4" style="1" width="89"/>
    <col collapsed="false" customWidth="true" hidden="false" outlineLevel="0" max="5" min="5" style="1" width="130"/>
  </cols>
  <sheetData>
    <row r="1" customFormat="false" ht="33.75" hidden="false" customHeight="true" outlineLevel="0" collapsed="false">
      <c r="A1" s="7" t="s">
        <v>587</v>
      </c>
      <c r="B1" s="7"/>
      <c r="C1" s="7"/>
      <c r="D1" s="7"/>
      <c r="E1" s="7"/>
    </row>
    <row r="2" customFormat="false" ht="27" hidden="false" customHeight="true" outlineLevel="0" collapsed="false">
      <c r="A2" s="3" t="s">
        <v>588</v>
      </c>
      <c r="B2" s="3"/>
      <c r="C2" s="3"/>
      <c r="D2" s="3"/>
      <c r="E2" s="3"/>
    </row>
    <row r="3" customFormat="false" ht="27" hidden="false" customHeight="true" outlineLevel="0" collapsed="false">
      <c r="A3" s="3"/>
      <c r="B3" s="3"/>
      <c r="C3" s="3"/>
      <c r="D3" s="3"/>
      <c r="E3" s="3"/>
    </row>
    <row r="5" customFormat="false" ht="45" hidden="false" customHeight="true" outlineLevel="0" collapsed="false">
      <c r="A5" s="4" t="s">
        <v>2</v>
      </c>
      <c r="B5" s="4" t="s">
        <v>183</v>
      </c>
      <c r="C5" s="4" t="s">
        <v>180</v>
      </c>
      <c r="D5" s="4" t="s">
        <v>181</v>
      </c>
      <c r="E5" s="4" t="s">
        <v>335</v>
      </c>
    </row>
    <row r="6" customFormat="false" ht="109.5" hidden="false" customHeight="true" outlineLevel="0" collapsed="false">
      <c r="A6" s="5" t="s">
        <v>589</v>
      </c>
      <c r="B6" s="5" t="s">
        <v>237</v>
      </c>
      <c r="C6" s="5" t="s">
        <v>590</v>
      </c>
      <c r="D6" s="5" t="s">
        <v>591</v>
      </c>
      <c r="E6" s="5" t="s">
        <v>592</v>
      </c>
    </row>
    <row r="7" customFormat="false" ht="109.5" hidden="false" customHeight="true" outlineLevel="0" collapsed="false">
      <c r="A7" s="6" t="s">
        <v>593</v>
      </c>
      <c r="B7" s="6" t="s">
        <v>237</v>
      </c>
      <c r="C7" s="6" t="s">
        <v>594</v>
      </c>
      <c r="D7" s="6" t="s">
        <v>595</v>
      </c>
      <c r="E7" s="6" t="s">
        <v>596</v>
      </c>
    </row>
    <row r="8" customFormat="false" ht="109.5" hidden="false" customHeight="true" outlineLevel="0" collapsed="false">
      <c r="A8" s="5" t="s">
        <v>597</v>
      </c>
      <c r="B8" s="5" t="s">
        <v>598</v>
      </c>
      <c r="C8" s="5" t="s">
        <v>599</v>
      </c>
      <c r="D8" s="5" t="s">
        <v>600</v>
      </c>
      <c r="E8" s="5" t="s">
        <v>601</v>
      </c>
    </row>
    <row r="9" customFormat="false" ht="109.5" hidden="false" customHeight="true" outlineLevel="0" collapsed="false">
      <c r="A9" s="6" t="s">
        <v>602</v>
      </c>
      <c r="B9" s="6" t="s">
        <v>237</v>
      </c>
      <c r="C9" s="6" t="s">
        <v>603</v>
      </c>
      <c r="D9" s="6" t="s">
        <v>604</v>
      </c>
      <c r="E9" s="6" t="s">
        <v>605</v>
      </c>
    </row>
    <row r="10" customFormat="false" ht="109.5" hidden="false" customHeight="true" outlineLevel="0" collapsed="false">
      <c r="A10" s="5" t="s">
        <v>606</v>
      </c>
      <c r="B10" s="5" t="s">
        <v>237</v>
      </c>
      <c r="C10" s="5" t="s">
        <v>607</v>
      </c>
      <c r="D10" s="5" t="s">
        <v>608</v>
      </c>
      <c r="E10" s="5" t="s">
        <v>609</v>
      </c>
    </row>
    <row r="11" customFormat="false" ht="109.5" hidden="false" customHeight="true" outlineLevel="0" collapsed="false">
      <c r="A11" s="6" t="s">
        <v>610</v>
      </c>
      <c r="B11" s="6" t="s">
        <v>237</v>
      </c>
      <c r="C11" s="6" t="s">
        <v>611</v>
      </c>
      <c r="D11" s="6" t="s">
        <v>612</v>
      </c>
      <c r="E11" s="6" t="s">
        <v>613</v>
      </c>
    </row>
    <row r="12" customFormat="false" ht="109.5" hidden="false" customHeight="true" outlineLevel="0" collapsed="false">
      <c r="A12" s="5" t="s">
        <v>614</v>
      </c>
      <c r="B12" s="5" t="s">
        <v>615</v>
      </c>
      <c r="C12" s="5" t="s">
        <v>616</v>
      </c>
      <c r="D12" s="5" t="s">
        <v>617</v>
      </c>
      <c r="E12" s="5" t="s">
        <v>618</v>
      </c>
    </row>
    <row r="13" customFormat="false" ht="109.5" hidden="false" customHeight="true" outlineLevel="0" collapsed="false">
      <c r="A13" s="6" t="s">
        <v>619</v>
      </c>
      <c r="B13" s="6" t="s">
        <v>620</v>
      </c>
      <c r="C13" s="6" t="s">
        <v>621</v>
      </c>
      <c r="D13" s="6" t="s">
        <v>622</v>
      </c>
      <c r="E13" s="6" t="s">
        <v>623</v>
      </c>
    </row>
    <row r="14" customFormat="false" ht="109.5" hidden="false" customHeight="true" outlineLevel="0" collapsed="false">
      <c r="A14" s="5" t="s">
        <v>624</v>
      </c>
      <c r="B14" s="5" t="s">
        <v>625</v>
      </c>
      <c r="C14" s="5" t="s">
        <v>626</v>
      </c>
      <c r="D14" s="5" t="s">
        <v>627</v>
      </c>
      <c r="E14" s="5" t="s">
        <v>628</v>
      </c>
    </row>
    <row r="15" customFormat="false" ht="109.5" hidden="false" customHeight="true" outlineLevel="0" collapsed="false">
      <c r="A15" s="6" t="s">
        <v>629</v>
      </c>
      <c r="B15" s="6" t="s">
        <v>237</v>
      </c>
      <c r="C15" s="6" t="s">
        <v>630</v>
      </c>
      <c r="D15" s="6" t="s">
        <v>631</v>
      </c>
      <c r="E15" s="6" t="s">
        <v>632</v>
      </c>
    </row>
    <row r="16" customFormat="false" ht="109.5" hidden="false" customHeight="true" outlineLevel="0" collapsed="false">
      <c r="A16" s="5" t="s">
        <v>633</v>
      </c>
      <c r="B16" s="5" t="s">
        <v>340</v>
      </c>
      <c r="C16" s="5" t="s">
        <v>634</v>
      </c>
      <c r="D16" s="5" t="s">
        <v>635</v>
      </c>
      <c r="E16" s="5" t="s">
        <v>636</v>
      </c>
    </row>
    <row r="17" customFormat="false" ht="109.5" hidden="false" customHeight="true" outlineLevel="0" collapsed="false">
      <c r="A17" s="6" t="s">
        <v>637</v>
      </c>
      <c r="B17" s="6" t="s">
        <v>237</v>
      </c>
      <c r="C17" s="6" t="s">
        <v>638</v>
      </c>
      <c r="D17" s="6" t="s">
        <v>639</v>
      </c>
      <c r="E17" s="6" t="s">
        <v>640</v>
      </c>
    </row>
    <row r="18" customFormat="false" ht="109.5" hidden="false" customHeight="true" outlineLevel="0" collapsed="false">
      <c r="A18" s="5" t="s">
        <v>641</v>
      </c>
      <c r="B18" s="5" t="s">
        <v>642</v>
      </c>
      <c r="C18" s="5" t="s">
        <v>643</v>
      </c>
      <c r="D18" s="5" t="s">
        <v>644</v>
      </c>
      <c r="E18" s="5" t="s">
        <v>645</v>
      </c>
    </row>
    <row r="19" customFormat="false" ht="109.5" hidden="false" customHeight="true" outlineLevel="0" collapsed="false">
      <c r="A19" s="6" t="s">
        <v>646</v>
      </c>
      <c r="B19" s="6" t="s">
        <v>647</v>
      </c>
      <c r="C19" s="6" t="s">
        <v>648</v>
      </c>
      <c r="D19" s="6" t="s">
        <v>649</v>
      </c>
      <c r="E19" s="6" t="s">
        <v>650</v>
      </c>
    </row>
    <row r="20" customFormat="false" ht="109.5" hidden="false" customHeight="true" outlineLevel="0" collapsed="false">
      <c r="A20" s="5" t="s">
        <v>651</v>
      </c>
      <c r="B20" s="5" t="s">
        <v>237</v>
      </c>
      <c r="C20" s="5" t="s">
        <v>652</v>
      </c>
      <c r="D20" s="5" t="s">
        <v>653</v>
      </c>
      <c r="E20" s="5" t="s">
        <v>654</v>
      </c>
    </row>
    <row r="21" customFormat="false" ht="109.5" hidden="false" customHeight="true" outlineLevel="0" collapsed="false">
      <c r="A21" s="6" t="s">
        <v>655</v>
      </c>
      <c r="B21" s="6" t="s">
        <v>237</v>
      </c>
      <c r="C21" s="6" t="s">
        <v>656</v>
      </c>
      <c r="D21" s="6" t="s">
        <v>657</v>
      </c>
      <c r="E21" s="6" t="s">
        <v>658</v>
      </c>
    </row>
    <row r="22" customFormat="false" ht="109.5" hidden="false" customHeight="true" outlineLevel="0" collapsed="false">
      <c r="A22" s="5" t="s">
        <v>659</v>
      </c>
      <c r="B22" s="5" t="s">
        <v>647</v>
      </c>
      <c r="C22" s="5" t="s">
        <v>660</v>
      </c>
      <c r="D22" s="5" t="s">
        <v>661</v>
      </c>
      <c r="E22" s="5" t="s">
        <v>662</v>
      </c>
    </row>
    <row r="23" customFormat="false" ht="109.5" hidden="false" customHeight="true" outlineLevel="0" collapsed="false">
      <c r="A23" s="6" t="s">
        <v>663</v>
      </c>
      <c r="B23" s="6" t="s">
        <v>647</v>
      </c>
      <c r="C23" s="6" t="s">
        <v>664</v>
      </c>
      <c r="D23" s="6" t="s">
        <v>665</v>
      </c>
      <c r="E23" s="6" t="s">
        <v>666</v>
      </c>
    </row>
    <row r="24" customFormat="false" ht="109.5" hidden="false" customHeight="true" outlineLevel="0" collapsed="false">
      <c r="A24" s="5" t="s">
        <v>77</v>
      </c>
      <c r="B24" s="5" t="s">
        <v>667</v>
      </c>
      <c r="C24" s="5" t="s">
        <v>668</v>
      </c>
      <c r="D24" s="5" t="s">
        <v>669</v>
      </c>
      <c r="E24" s="5" t="s">
        <v>670</v>
      </c>
    </row>
    <row r="25" customFormat="false" ht="109.5" hidden="false" customHeight="true" outlineLevel="0" collapsed="false">
      <c r="A25" s="6" t="s">
        <v>671</v>
      </c>
      <c r="B25" s="6" t="s">
        <v>672</v>
      </c>
      <c r="C25" s="6" t="s">
        <v>673</v>
      </c>
      <c r="D25" s="6" t="s">
        <v>674</v>
      </c>
      <c r="E25" s="6" t="s">
        <v>675</v>
      </c>
    </row>
    <row r="26" customFormat="false" ht="109.5" hidden="false" customHeight="true" outlineLevel="0" collapsed="false">
      <c r="A26" s="5" t="s">
        <v>676</v>
      </c>
      <c r="B26" s="5" t="s">
        <v>672</v>
      </c>
      <c r="C26" s="5" t="s">
        <v>677</v>
      </c>
      <c r="D26" s="5" t="s">
        <v>678</v>
      </c>
      <c r="E26" s="5" t="s">
        <v>679</v>
      </c>
    </row>
  </sheetData>
  <autoFilter ref="A5:E26"/>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1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5"/>
    <col collapsed="false" customWidth="true" hidden="false" outlineLevel="0" max="2" min="2" style="1" width="19"/>
    <col collapsed="false" customWidth="true" hidden="false" outlineLevel="0" max="3" min="3" style="1" width="66"/>
    <col collapsed="false" customWidth="true" hidden="false" outlineLevel="0" max="4" min="4" style="1" width="24"/>
    <col collapsed="false" customWidth="true" hidden="false" outlineLevel="0" max="5" min="5" style="1" width="28"/>
    <col collapsed="false" customWidth="true" hidden="false" outlineLevel="0" max="6" min="6" style="1" width="23"/>
    <col collapsed="false" customWidth="true" hidden="false" outlineLevel="0" max="7" min="7" style="1" width="24"/>
    <col collapsed="false" customWidth="true" hidden="false" outlineLevel="0" max="8" min="8" style="1" width="27"/>
    <col collapsed="false" customWidth="true" hidden="false" outlineLevel="0" max="9" min="9" style="1" width="24"/>
    <col collapsed="false" customWidth="true" hidden="false" outlineLevel="0" max="14" min="10" style="1" width="19"/>
    <col collapsed="false" customWidth="true" hidden="false" outlineLevel="0" max="15" min="15" style="1" width="48"/>
    <col collapsed="false" customWidth="true" hidden="false" outlineLevel="0" max="16" min="16" style="1" width="25"/>
    <col collapsed="false" customWidth="true" hidden="false" outlineLevel="0" max="17" min="17" style="1" width="26"/>
    <col collapsed="false" customWidth="true" hidden="false" outlineLevel="0" max="18" min="18" style="1" width="25"/>
    <col collapsed="false" customWidth="true" hidden="false" outlineLevel="0" max="23" min="19" style="1" width="24"/>
    <col collapsed="false" customWidth="true" hidden="false" outlineLevel="0" max="24" min="24" style="1" width="110"/>
  </cols>
  <sheetData>
    <row r="1" customFormat="false" ht="33.75" hidden="false" customHeight="true" outlineLevel="0" collapsed="false">
      <c r="A1" s="7" t="s">
        <v>680</v>
      </c>
      <c r="B1" s="7"/>
      <c r="C1" s="7"/>
      <c r="D1" s="7"/>
      <c r="E1" s="7"/>
      <c r="F1" s="7"/>
      <c r="G1" s="7"/>
      <c r="H1" s="7"/>
      <c r="I1" s="7"/>
      <c r="J1" s="7"/>
      <c r="K1" s="7"/>
      <c r="L1" s="7"/>
      <c r="M1" s="7"/>
      <c r="N1" s="7"/>
      <c r="O1" s="7"/>
      <c r="P1" s="7"/>
      <c r="Q1" s="7"/>
      <c r="R1" s="7"/>
      <c r="S1" s="7"/>
      <c r="T1" s="7"/>
      <c r="U1" s="7"/>
      <c r="V1" s="7"/>
      <c r="W1" s="7"/>
      <c r="X1" s="7"/>
    </row>
    <row r="2" customFormat="false" ht="27" hidden="false" customHeight="true" outlineLevel="0" collapsed="false">
      <c r="A2" s="3" t="s">
        <v>681</v>
      </c>
      <c r="B2" s="3"/>
      <c r="C2" s="3"/>
      <c r="D2" s="3"/>
      <c r="E2" s="3"/>
      <c r="F2" s="3"/>
      <c r="G2" s="3"/>
      <c r="H2" s="3"/>
      <c r="I2" s="3"/>
      <c r="J2" s="3"/>
      <c r="K2" s="3"/>
      <c r="L2" s="3"/>
      <c r="M2" s="3"/>
      <c r="N2" s="3"/>
      <c r="O2" s="3"/>
      <c r="P2" s="3"/>
      <c r="Q2" s="3"/>
      <c r="R2" s="3"/>
      <c r="S2" s="3"/>
      <c r="T2" s="3"/>
      <c r="U2" s="3"/>
      <c r="V2" s="3"/>
      <c r="W2" s="3"/>
      <c r="X2" s="3"/>
    </row>
    <row r="3" customFormat="false" ht="27" hidden="false" customHeight="true" outlineLevel="0" collapsed="false">
      <c r="A3" s="3"/>
      <c r="B3" s="3"/>
      <c r="C3" s="3"/>
      <c r="D3" s="3"/>
      <c r="E3" s="3"/>
      <c r="F3" s="3"/>
      <c r="G3" s="3"/>
      <c r="H3" s="3"/>
      <c r="I3" s="3"/>
      <c r="J3" s="3"/>
      <c r="K3" s="3"/>
      <c r="L3" s="3"/>
      <c r="M3" s="3"/>
      <c r="N3" s="3"/>
      <c r="O3" s="3"/>
      <c r="P3" s="3"/>
      <c r="Q3" s="3"/>
      <c r="R3" s="3"/>
      <c r="S3" s="3"/>
      <c r="T3" s="3"/>
      <c r="U3" s="3"/>
      <c r="V3" s="3"/>
      <c r="W3" s="3"/>
      <c r="X3" s="3"/>
    </row>
    <row r="5" customFormat="false" ht="45" hidden="false" customHeight="true" outlineLevel="0" collapsed="false">
      <c r="A5" s="4" t="s">
        <v>682</v>
      </c>
      <c r="B5" s="4" t="s">
        <v>683</v>
      </c>
      <c r="C5" s="4" t="s">
        <v>684</v>
      </c>
      <c r="D5" s="4" t="s">
        <v>685</v>
      </c>
      <c r="E5" s="4" t="s">
        <v>686</v>
      </c>
      <c r="F5" s="4" t="s">
        <v>687</v>
      </c>
      <c r="G5" s="4" t="s">
        <v>688</v>
      </c>
      <c r="H5" s="4" t="s">
        <v>689</v>
      </c>
      <c r="I5" s="4" t="s">
        <v>690</v>
      </c>
      <c r="J5" s="4" t="s">
        <v>471</v>
      </c>
      <c r="K5" s="4" t="s">
        <v>472</v>
      </c>
      <c r="L5" s="4" t="s">
        <v>473</v>
      </c>
      <c r="M5" s="4" t="s">
        <v>474</v>
      </c>
      <c r="N5" s="4" t="s">
        <v>475</v>
      </c>
      <c r="O5" s="4" t="s">
        <v>691</v>
      </c>
      <c r="P5" s="4" t="s">
        <v>692</v>
      </c>
      <c r="Q5" s="4" t="s">
        <v>693</v>
      </c>
      <c r="R5" s="4" t="s">
        <v>694</v>
      </c>
      <c r="S5" s="4" t="s">
        <v>695</v>
      </c>
      <c r="T5" s="4" t="s">
        <v>696</v>
      </c>
      <c r="U5" s="4" t="s">
        <v>697</v>
      </c>
      <c r="V5" s="4" t="s">
        <v>698</v>
      </c>
      <c r="W5" s="4" t="s">
        <v>699</v>
      </c>
      <c r="X5" s="4" t="s">
        <v>335</v>
      </c>
    </row>
    <row r="6" customFormat="false" ht="109.5" hidden="false" customHeight="true" outlineLevel="0" collapsed="false">
      <c r="A6" s="5" t="n">
        <v>1</v>
      </c>
      <c r="B6" s="5" t="s">
        <v>602</v>
      </c>
      <c r="C6" s="5" t="s">
        <v>700</v>
      </c>
      <c r="D6" s="5" t="n">
        <v>1</v>
      </c>
      <c r="E6" s="5" t="n">
        <f aca="false">D6*12</f>
        <v>12</v>
      </c>
      <c r="F6" s="5" t="n">
        <f aca="false">IF(D6=1,10,D6+10)</f>
        <v>10</v>
      </c>
      <c r="G6" s="5" t="n">
        <f aca="false">E6*F6</f>
        <v>120</v>
      </c>
      <c r="H6" s="5" t="n">
        <v>4</v>
      </c>
      <c r="I6" s="5" t="n">
        <v>2</v>
      </c>
      <c r="J6" s="5" t="n">
        <f aca="false">G6*H6</f>
        <v>480</v>
      </c>
      <c r="K6" s="5" t="n">
        <f aca="false">G6*H6</f>
        <v>480</v>
      </c>
      <c r="L6" s="5" t="n">
        <v>0</v>
      </c>
      <c r="M6" s="5" t="n">
        <v>0</v>
      </c>
      <c r="N6" s="5" t="n">
        <v>0</v>
      </c>
      <c r="O6" s="5" t="s">
        <v>701</v>
      </c>
      <c r="P6" s="5" t="n">
        <v>130</v>
      </c>
      <c r="Q6" s="5" t="s">
        <v>702</v>
      </c>
      <c r="R6" s="5" t="n">
        <v>52</v>
      </c>
      <c r="S6" s="5" t="n">
        <f aca="false">P6*2</f>
        <v>260</v>
      </c>
      <c r="T6" s="5" t="n">
        <f aca="false">P6*3</f>
        <v>390</v>
      </c>
      <c r="U6" s="5" t="n">
        <f aca="false">R6*2</f>
        <v>104</v>
      </c>
      <c r="V6" s="5" t="n">
        <f aca="false">R6*3</f>
        <v>156</v>
      </c>
      <c r="W6" s="5" t="n">
        <f aca="false">Parametry!$C$45</f>
        <v>6</v>
      </c>
      <c r="X6" s="5" t="s">
        <v>703</v>
      </c>
    </row>
    <row r="7" customFormat="false" ht="109.5" hidden="false" customHeight="true" outlineLevel="0" collapsed="false">
      <c r="A7" s="6" t="n">
        <v>1</v>
      </c>
      <c r="B7" s="6" t="s">
        <v>606</v>
      </c>
      <c r="C7" s="6" t="s">
        <v>704</v>
      </c>
      <c r="D7" s="6" t="n">
        <v>1</v>
      </c>
      <c r="E7" s="6" t="n">
        <f aca="false">D7*12</f>
        <v>12</v>
      </c>
      <c r="F7" s="6" t="n">
        <f aca="false">IF(D7=1,10,D7+10)</f>
        <v>10</v>
      </c>
      <c r="G7" s="6" t="n">
        <f aca="false">E7*F7</f>
        <v>120</v>
      </c>
      <c r="H7" s="6" t="n">
        <v>8</v>
      </c>
      <c r="I7" s="6" t="n">
        <v>2</v>
      </c>
      <c r="J7" s="6" t="n">
        <v>0</v>
      </c>
      <c r="K7" s="6" t="n">
        <f aca="false">G7*H7</f>
        <v>960</v>
      </c>
      <c r="L7" s="6" t="n">
        <v>0</v>
      </c>
      <c r="M7" s="6" t="n">
        <v>0</v>
      </c>
      <c r="N7" s="6" t="n">
        <f aca="false">G7*H7</f>
        <v>960</v>
      </c>
      <c r="O7" s="6" t="s">
        <v>705</v>
      </c>
      <c r="P7" s="6" t="n">
        <v>201</v>
      </c>
      <c r="Q7" s="6" t="s">
        <v>706</v>
      </c>
      <c r="R7" s="6" t="n">
        <v>248</v>
      </c>
      <c r="S7" s="6" t="n">
        <f aca="false">P7*2</f>
        <v>402</v>
      </c>
      <c r="T7" s="6" t="n">
        <f aca="false">P7*3</f>
        <v>603</v>
      </c>
      <c r="U7" s="6" t="n">
        <f aca="false">R7*2</f>
        <v>496</v>
      </c>
      <c r="V7" s="6" t="n">
        <f aca="false">R7*3</f>
        <v>744</v>
      </c>
      <c r="W7" s="6" t="n">
        <f aca="false">Parametry!$C$45</f>
        <v>6</v>
      </c>
      <c r="X7" s="6" t="s">
        <v>703</v>
      </c>
    </row>
    <row r="8" customFormat="false" ht="109.5" hidden="false" customHeight="true" outlineLevel="0" collapsed="false">
      <c r="A8" s="5" t="n">
        <v>1</v>
      </c>
      <c r="B8" s="5" t="s">
        <v>610</v>
      </c>
      <c r="C8" s="5" t="s">
        <v>707</v>
      </c>
      <c r="D8" s="5" t="n">
        <v>1</v>
      </c>
      <c r="E8" s="5" t="n">
        <f aca="false">D8*12</f>
        <v>12</v>
      </c>
      <c r="F8" s="5" t="n">
        <f aca="false">IF(D8=1,10,D8+10)</f>
        <v>10</v>
      </c>
      <c r="G8" s="5" t="n">
        <f aca="false">E8*F8</f>
        <v>120</v>
      </c>
      <c r="H8" s="5" t="n">
        <v>9</v>
      </c>
      <c r="I8" s="5" t="n">
        <v>4</v>
      </c>
      <c r="J8" s="5" t="n">
        <f aca="false">G8*H8</f>
        <v>1080</v>
      </c>
      <c r="K8" s="5" t="n">
        <v>0</v>
      </c>
      <c r="L8" s="5" t="n">
        <f aca="false">G8*H8</f>
        <v>1080</v>
      </c>
      <c r="M8" s="5" t="n">
        <f aca="false">G8*H8</f>
        <v>1080</v>
      </c>
      <c r="N8" s="5" t="n">
        <f aca="false">G8*H8</f>
        <v>1080</v>
      </c>
      <c r="O8" s="5" t="s">
        <v>708</v>
      </c>
      <c r="P8" s="5" t="n">
        <v>360</v>
      </c>
      <c r="Q8" s="5" t="s">
        <v>702</v>
      </c>
      <c r="R8" s="5" t="n">
        <v>168</v>
      </c>
      <c r="S8" s="5" t="n">
        <f aca="false">P8*2</f>
        <v>720</v>
      </c>
      <c r="T8" s="5" t="n">
        <f aca="false">P8*3</f>
        <v>1080</v>
      </c>
      <c r="U8" s="5" t="n">
        <f aca="false">R8*2</f>
        <v>336</v>
      </c>
      <c r="V8" s="5" t="n">
        <f aca="false">R8*3</f>
        <v>504</v>
      </c>
      <c r="W8" s="5" t="n">
        <f aca="false">Parametry!$C$45</f>
        <v>6</v>
      </c>
      <c r="X8" s="5" t="s">
        <v>703</v>
      </c>
    </row>
    <row r="9" customFormat="false" ht="109.5" hidden="false" customHeight="true" outlineLevel="0" collapsed="false">
      <c r="A9" s="6" t="n">
        <v>2</v>
      </c>
      <c r="B9" s="6" t="s">
        <v>602</v>
      </c>
      <c r="C9" s="6" t="s">
        <v>709</v>
      </c>
      <c r="D9" s="6" t="n">
        <v>2</v>
      </c>
      <c r="E9" s="6" t="n">
        <f aca="false">D9*12</f>
        <v>24</v>
      </c>
      <c r="F9" s="6" t="n">
        <f aca="false">IF(D9=1,10,D9+10)</f>
        <v>12</v>
      </c>
      <c r="G9" s="6" t="n">
        <f aca="false">E9*F9</f>
        <v>288</v>
      </c>
      <c r="H9" s="6" t="n">
        <v>3</v>
      </c>
      <c r="I9" s="6" t="n">
        <v>2</v>
      </c>
      <c r="J9" s="6" t="n">
        <f aca="false">G9*H9</f>
        <v>864</v>
      </c>
      <c r="K9" s="6" t="n">
        <v>0</v>
      </c>
      <c r="L9" s="6" t="n">
        <v>0</v>
      </c>
      <c r="M9" s="6" t="n">
        <v>0</v>
      </c>
      <c r="N9" s="6" t="n">
        <f aca="false">G9*H9</f>
        <v>864</v>
      </c>
      <c r="O9" s="6" t="s">
        <v>710</v>
      </c>
      <c r="P9" s="6" t="n">
        <v>118</v>
      </c>
      <c r="Q9" s="6" t="s">
        <v>711</v>
      </c>
      <c r="R9" s="6" t="n">
        <v>648</v>
      </c>
      <c r="S9" s="6" t="n">
        <f aca="false">P9*2</f>
        <v>236</v>
      </c>
      <c r="T9" s="6" t="n">
        <f aca="false">P9*3</f>
        <v>354</v>
      </c>
      <c r="U9" s="6" t="n">
        <f aca="false">R9*2</f>
        <v>1296</v>
      </c>
      <c r="V9" s="6" t="n">
        <f aca="false">R9*3</f>
        <v>1944</v>
      </c>
      <c r="W9" s="6" t="n">
        <f aca="false">Parametry!$C$45</f>
        <v>6</v>
      </c>
      <c r="X9" s="6" t="s">
        <v>703</v>
      </c>
    </row>
    <row r="10" customFormat="false" ht="109.5" hidden="false" customHeight="true" outlineLevel="0" collapsed="false">
      <c r="A10" s="5" t="n">
        <v>2</v>
      </c>
      <c r="B10" s="5" t="s">
        <v>606</v>
      </c>
      <c r="C10" s="5" t="s">
        <v>712</v>
      </c>
      <c r="D10" s="5" t="n">
        <v>2</v>
      </c>
      <c r="E10" s="5" t="n">
        <f aca="false">D10*12</f>
        <v>24</v>
      </c>
      <c r="F10" s="5" t="n">
        <f aca="false">IF(D10=1,10,D10+10)</f>
        <v>12</v>
      </c>
      <c r="G10" s="5" t="n">
        <f aca="false">E10*F10</f>
        <v>288</v>
      </c>
      <c r="H10" s="5" t="n">
        <v>7</v>
      </c>
      <c r="I10" s="5" t="n">
        <v>2</v>
      </c>
      <c r="J10" s="5" t="n">
        <v>0</v>
      </c>
      <c r="K10" s="5" t="n">
        <v>0</v>
      </c>
      <c r="L10" s="5" t="n">
        <f aca="false">G10*H10</f>
        <v>2016</v>
      </c>
      <c r="M10" s="5" t="n">
        <f aca="false">G10*H10</f>
        <v>2016</v>
      </c>
      <c r="N10" s="5" t="n">
        <v>0</v>
      </c>
      <c r="O10" s="5" t="s">
        <v>713</v>
      </c>
      <c r="P10" s="5" t="n">
        <v>131</v>
      </c>
      <c r="Q10" s="5" t="s">
        <v>706</v>
      </c>
      <c r="R10" s="5" t="n">
        <v>903</v>
      </c>
      <c r="S10" s="5" t="n">
        <f aca="false">P10*2</f>
        <v>262</v>
      </c>
      <c r="T10" s="5" t="n">
        <f aca="false">P10*3</f>
        <v>393</v>
      </c>
      <c r="U10" s="5" t="n">
        <f aca="false">R10*2</f>
        <v>1806</v>
      </c>
      <c r="V10" s="5" t="n">
        <f aca="false">R10*3</f>
        <v>2709</v>
      </c>
      <c r="W10" s="5" t="n">
        <f aca="false">Parametry!$C$45</f>
        <v>6</v>
      </c>
      <c r="X10" s="5" t="s">
        <v>703</v>
      </c>
    </row>
    <row r="11" customFormat="false" ht="109.5" hidden="false" customHeight="true" outlineLevel="0" collapsed="false">
      <c r="A11" s="6" t="n">
        <v>2</v>
      </c>
      <c r="B11" s="6" t="s">
        <v>610</v>
      </c>
      <c r="C11" s="6" t="s">
        <v>714</v>
      </c>
      <c r="D11" s="6" t="n">
        <v>2</v>
      </c>
      <c r="E11" s="6" t="n">
        <f aca="false">D11*12</f>
        <v>24</v>
      </c>
      <c r="F11" s="6" t="n">
        <f aca="false">IF(D11=1,10,D11+10)</f>
        <v>12</v>
      </c>
      <c r="G11" s="6" t="n">
        <f aca="false">E11*F11</f>
        <v>288</v>
      </c>
      <c r="H11" s="6" t="n">
        <v>10</v>
      </c>
      <c r="I11" s="6" t="n">
        <v>4</v>
      </c>
      <c r="J11" s="6" t="n">
        <f aca="false">G11*H11</f>
        <v>2880</v>
      </c>
      <c r="K11" s="6" t="n">
        <f aca="false">G11*H11</f>
        <v>2880</v>
      </c>
      <c r="L11" s="6" t="n">
        <v>0</v>
      </c>
      <c r="M11" s="6" t="n">
        <f aca="false">G11*H11</f>
        <v>2880</v>
      </c>
      <c r="N11" s="6" t="n">
        <f aca="false">G11*H11</f>
        <v>2880</v>
      </c>
      <c r="O11" s="6" t="s">
        <v>715</v>
      </c>
      <c r="P11" s="6" t="n">
        <v>388</v>
      </c>
      <c r="Q11" s="6" t="s">
        <v>706</v>
      </c>
      <c r="R11" s="6" t="n">
        <v>279</v>
      </c>
      <c r="S11" s="6" t="n">
        <f aca="false">P11*2</f>
        <v>776</v>
      </c>
      <c r="T11" s="6" t="n">
        <f aca="false">P11*3</f>
        <v>1164</v>
      </c>
      <c r="U11" s="6" t="n">
        <f aca="false">R11*2</f>
        <v>558</v>
      </c>
      <c r="V11" s="6" t="n">
        <f aca="false">R11*3</f>
        <v>837</v>
      </c>
      <c r="W11" s="6" t="n">
        <f aca="false">Parametry!$C$45</f>
        <v>6</v>
      </c>
      <c r="X11" s="6" t="s">
        <v>703</v>
      </c>
    </row>
    <row r="12" customFormat="false" ht="109.5" hidden="false" customHeight="true" outlineLevel="0" collapsed="false">
      <c r="A12" s="5" t="n">
        <v>3</v>
      </c>
      <c r="B12" s="5" t="s">
        <v>602</v>
      </c>
      <c r="C12" s="5" t="s">
        <v>716</v>
      </c>
      <c r="D12" s="5" t="n">
        <v>3</v>
      </c>
      <c r="E12" s="5" t="n">
        <f aca="false">D12*12</f>
        <v>36</v>
      </c>
      <c r="F12" s="5" t="n">
        <f aca="false">IF(D12=1,10,D12+10)</f>
        <v>13</v>
      </c>
      <c r="G12" s="5" t="n">
        <f aca="false">E12*F12</f>
        <v>468</v>
      </c>
      <c r="H12" s="5" t="n">
        <v>6</v>
      </c>
      <c r="I12" s="5" t="n">
        <v>2</v>
      </c>
      <c r="J12" s="5" t="n">
        <v>0</v>
      </c>
      <c r="K12" s="5" t="n">
        <f aca="false">G12*H12</f>
        <v>2808</v>
      </c>
      <c r="L12" s="5" t="n">
        <v>0</v>
      </c>
      <c r="M12" s="5" t="n">
        <f aca="false">G12*H12</f>
        <v>2808</v>
      </c>
      <c r="N12" s="5" t="n">
        <v>0</v>
      </c>
      <c r="O12" s="5" t="s">
        <v>717</v>
      </c>
      <c r="P12" s="5" t="n">
        <v>197</v>
      </c>
      <c r="Q12" s="5" t="s">
        <v>718</v>
      </c>
      <c r="R12" s="5" t="n">
        <v>476</v>
      </c>
      <c r="S12" s="5" t="n">
        <f aca="false">P12*2</f>
        <v>394</v>
      </c>
      <c r="T12" s="5" t="n">
        <f aca="false">P12*3</f>
        <v>591</v>
      </c>
      <c r="U12" s="5" t="n">
        <f aca="false">R12*2</f>
        <v>952</v>
      </c>
      <c r="V12" s="5" t="n">
        <f aca="false">R12*3</f>
        <v>1428</v>
      </c>
      <c r="W12" s="5" t="n">
        <f aca="false">Parametry!$C$45</f>
        <v>6</v>
      </c>
      <c r="X12" s="5" t="s">
        <v>703</v>
      </c>
    </row>
    <row r="13" customFormat="false" ht="109.5" hidden="false" customHeight="true" outlineLevel="0" collapsed="false">
      <c r="A13" s="6" t="n">
        <v>3</v>
      </c>
      <c r="B13" s="6" t="s">
        <v>606</v>
      </c>
      <c r="C13" s="6" t="s">
        <v>719</v>
      </c>
      <c r="D13" s="6" t="n">
        <v>3</v>
      </c>
      <c r="E13" s="6" t="n">
        <f aca="false">D13*12</f>
        <v>36</v>
      </c>
      <c r="F13" s="6" t="n">
        <f aca="false">IF(D13=1,10,D13+10)</f>
        <v>13</v>
      </c>
      <c r="G13" s="6" t="n">
        <f aca="false">E13*F13</f>
        <v>468</v>
      </c>
      <c r="H13" s="6" t="n">
        <v>8</v>
      </c>
      <c r="I13" s="6" t="n">
        <v>2</v>
      </c>
      <c r="J13" s="6" t="n">
        <f aca="false">G13*H13</f>
        <v>3744</v>
      </c>
      <c r="K13" s="6" t="n">
        <v>0</v>
      </c>
      <c r="L13" s="6" t="n">
        <v>0</v>
      </c>
      <c r="M13" s="6" t="n">
        <f aca="false">G13*H13</f>
        <v>3744</v>
      </c>
      <c r="N13" s="6" t="n">
        <v>0</v>
      </c>
      <c r="O13" s="6" t="s">
        <v>720</v>
      </c>
      <c r="P13" s="6" t="n">
        <v>123</v>
      </c>
      <c r="Q13" s="6" t="s">
        <v>721</v>
      </c>
      <c r="R13" s="6" t="n">
        <v>179</v>
      </c>
      <c r="S13" s="6" t="n">
        <f aca="false">P13*2</f>
        <v>246</v>
      </c>
      <c r="T13" s="6" t="n">
        <f aca="false">P13*3</f>
        <v>369</v>
      </c>
      <c r="U13" s="6" t="n">
        <f aca="false">R13*2</f>
        <v>358</v>
      </c>
      <c r="V13" s="6" t="n">
        <f aca="false">R13*3</f>
        <v>537</v>
      </c>
      <c r="W13" s="6" t="n">
        <f aca="false">Parametry!$C$45</f>
        <v>6</v>
      </c>
      <c r="X13" s="6" t="s">
        <v>703</v>
      </c>
    </row>
    <row r="14" customFormat="false" ht="109.5" hidden="false" customHeight="true" outlineLevel="0" collapsed="false">
      <c r="A14" s="5" t="n">
        <v>3</v>
      </c>
      <c r="B14" s="5" t="s">
        <v>610</v>
      </c>
      <c r="C14" s="5" t="s">
        <v>722</v>
      </c>
      <c r="D14" s="5" t="n">
        <v>3</v>
      </c>
      <c r="E14" s="5" t="n">
        <f aca="false">D14*12</f>
        <v>36</v>
      </c>
      <c r="F14" s="5" t="n">
        <f aca="false">IF(D14=1,10,D14+10)</f>
        <v>13</v>
      </c>
      <c r="G14" s="5" t="n">
        <f aca="false">E14*F14</f>
        <v>468</v>
      </c>
      <c r="H14" s="5" t="n">
        <v>9</v>
      </c>
      <c r="I14" s="5" t="n">
        <v>4</v>
      </c>
      <c r="J14" s="5" t="n">
        <f aca="false">G14*H14</f>
        <v>4212</v>
      </c>
      <c r="K14" s="5" t="n">
        <f aca="false">G14*H14</f>
        <v>4212</v>
      </c>
      <c r="L14" s="5" t="n">
        <f aca="false">G14*H14</f>
        <v>4212</v>
      </c>
      <c r="M14" s="5" t="n">
        <f aca="false">G14*H14</f>
        <v>4212</v>
      </c>
      <c r="N14" s="5" t="n">
        <v>0</v>
      </c>
      <c r="O14" s="5" t="s">
        <v>723</v>
      </c>
      <c r="P14" s="5" t="n">
        <v>149</v>
      </c>
      <c r="Q14" s="5" t="s">
        <v>711</v>
      </c>
      <c r="R14" s="5" t="n">
        <v>354</v>
      </c>
      <c r="S14" s="5" t="n">
        <f aca="false">P14*2</f>
        <v>298</v>
      </c>
      <c r="T14" s="5" t="n">
        <f aca="false">P14*3</f>
        <v>447</v>
      </c>
      <c r="U14" s="5" t="n">
        <f aca="false">R14*2</f>
        <v>708</v>
      </c>
      <c r="V14" s="5" t="n">
        <f aca="false">R14*3</f>
        <v>1062</v>
      </c>
      <c r="W14" s="5" t="n">
        <f aca="false">Parametry!$C$45</f>
        <v>6</v>
      </c>
      <c r="X14" s="5" t="s">
        <v>703</v>
      </c>
    </row>
    <row r="15" customFormat="false" ht="109.5" hidden="false" customHeight="true" outlineLevel="0" collapsed="false">
      <c r="A15" s="6" t="n">
        <v>4</v>
      </c>
      <c r="B15" s="6" t="s">
        <v>602</v>
      </c>
      <c r="C15" s="6" t="s">
        <v>724</v>
      </c>
      <c r="D15" s="6" t="n">
        <v>4</v>
      </c>
      <c r="E15" s="6" t="n">
        <f aca="false">D15*12</f>
        <v>48</v>
      </c>
      <c r="F15" s="6" t="n">
        <f aca="false">IF(D15=1,10,D15+10)</f>
        <v>14</v>
      </c>
      <c r="G15" s="6" t="n">
        <f aca="false">E15*F15</f>
        <v>672</v>
      </c>
      <c r="H15" s="6" t="n">
        <v>6</v>
      </c>
      <c r="I15" s="6" t="n">
        <v>2</v>
      </c>
      <c r="J15" s="6" t="n">
        <f aca="false">G15*H15</f>
        <v>4032</v>
      </c>
      <c r="K15" s="6" t="n">
        <v>0</v>
      </c>
      <c r="L15" s="6" t="n">
        <v>0</v>
      </c>
      <c r="M15" s="6" t="n">
        <f aca="false">G15*H15</f>
        <v>4032</v>
      </c>
      <c r="N15" s="6" t="n">
        <v>0</v>
      </c>
      <c r="O15" s="6" t="s">
        <v>725</v>
      </c>
      <c r="P15" s="6" t="n">
        <v>172</v>
      </c>
      <c r="Q15" s="6" t="s">
        <v>702</v>
      </c>
      <c r="R15" s="6" t="n">
        <v>548</v>
      </c>
      <c r="S15" s="6" t="n">
        <f aca="false">P15*2</f>
        <v>344</v>
      </c>
      <c r="T15" s="6" t="n">
        <f aca="false">P15*3</f>
        <v>516</v>
      </c>
      <c r="U15" s="6" t="n">
        <f aca="false">R15*2</f>
        <v>1096</v>
      </c>
      <c r="V15" s="6" t="n">
        <f aca="false">R15*3</f>
        <v>1644</v>
      </c>
      <c r="W15" s="6" t="n">
        <f aca="false">Parametry!$C$45</f>
        <v>6</v>
      </c>
      <c r="X15" s="6" t="s">
        <v>703</v>
      </c>
    </row>
    <row r="16" customFormat="false" ht="109.5" hidden="false" customHeight="true" outlineLevel="0" collapsed="false">
      <c r="A16" s="5" t="n">
        <v>4</v>
      </c>
      <c r="B16" s="5" t="s">
        <v>606</v>
      </c>
      <c r="C16" s="5" t="s">
        <v>726</v>
      </c>
      <c r="D16" s="5" t="n">
        <v>4</v>
      </c>
      <c r="E16" s="5" t="n">
        <f aca="false">D16*12</f>
        <v>48</v>
      </c>
      <c r="F16" s="5" t="n">
        <f aca="false">IF(D16=1,10,D16+10)</f>
        <v>14</v>
      </c>
      <c r="G16" s="5" t="n">
        <f aca="false">E16*F16</f>
        <v>672</v>
      </c>
      <c r="H16" s="5" t="n">
        <v>6</v>
      </c>
      <c r="I16" s="5" t="n">
        <v>2</v>
      </c>
      <c r="J16" s="5" t="n">
        <f aca="false">G16*H16</f>
        <v>4032</v>
      </c>
      <c r="K16" s="5" t="n">
        <v>0</v>
      </c>
      <c r="L16" s="5" t="n">
        <v>0</v>
      </c>
      <c r="M16" s="5" t="n">
        <f aca="false">G16*H16</f>
        <v>4032</v>
      </c>
      <c r="N16" s="5" t="n">
        <v>0</v>
      </c>
      <c r="O16" s="5" t="s">
        <v>727</v>
      </c>
      <c r="P16" s="5" t="n">
        <v>130</v>
      </c>
      <c r="Q16" s="5" t="s">
        <v>718</v>
      </c>
      <c r="R16" s="5" t="n">
        <v>424</v>
      </c>
      <c r="S16" s="5" t="n">
        <f aca="false">P16*2</f>
        <v>260</v>
      </c>
      <c r="T16" s="5" t="n">
        <f aca="false">P16*3</f>
        <v>390</v>
      </c>
      <c r="U16" s="5" t="n">
        <f aca="false">R16*2</f>
        <v>848</v>
      </c>
      <c r="V16" s="5" t="n">
        <f aca="false">R16*3</f>
        <v>1272</v>
      </c>
      <c r="W16" s="5" t="n">
        <f aca="false">Parametry!$C$45</f>
        <v>6</v>
      </c>
      <c r="X16" s="5" t="s">
        <v>703</v>
      </c>
    </row>
    <row r="17" customFormat="false" ht="109.5" hidden="false" customHeight="true" outlineLevel="0" collapsed="false">
      <c r="A17" s="6" t="n">
        <v>4</v>
      </c>
      <c r="B17" s="6" t="s">
        <v>610</v>
      </c>
      <c r="C17" s="6" t="s">
        <v>728</v>
      </c>
      <c r="D17" s="6" t="n">
        <v>4</v>
      </c>
      <c r="E17" s="6" t="n">
        <f aca="false">D17*12</f>
        <v>48</v>
      </c>
      <c r="F17" s="6" t="n">
        <f aca="false">IF(D17=1,10,D17+10)</f>
        <v>14</v>
      </c>
      <c r="G17" s="6" t="n">
        <f aca="false">E17*F17</f>
        <v>672</v>
      </c>
      <c r="H17" s="6" t="n">
        <v>6</v>
      </c>
      <c r="I17" s="6" t="n">
        <v>4</v>
      </c>
      <c r="J17" s="6" t="n">
        <f aca="false">G17*H17</f>
        <v>4032</v>
      </c>
      <c r="K17" s="6" t="n">
        <f aca="false">G17*H17</f>
        <v>4032</v>
      </c>
      <c r="L17" s="6" t="n">
        <v>0</v>
      </c>
      <c r="M17" s="6" t="n">
        <f aca="false">G17*H17</f>
        <v>4032</v>
      </c>
      <c r="N17" s="6" t="n">
        <f aca="false">G17*H17</f>
        <v>4032</v>
      </c>
      <c r="O17" s="6" t="s">
        <v>729</v>
      </c>
      <c r="P17" s="6" t="n">
        <v>221</v>
      </c>
      <c r="Q17" s="6" t="s">
        <v>706</v>
      </c>
      <c r="R17" s="6" t="n">
        <v>956</v>
      </c>
      <c r="S17" s="6" t="n">
        <f aca="false">P17*2</f>
        <v>442</v>
      </c>
      <c r="T17" s="6" t="n">
        <f aca="false">P17*3</f>
        <v>663</v>
      </c>
      <c r="U17" s="6" t="n">
        <f aca="false">R17*2</f>
        <v>1912</v>
      </c>
      <c r="V17" s="6" t="n">
        <f aca="false">R17*3</f>
        <v>2868</v>
      </c>
      <c r="W17" s="6" t="n">
        <f aca="false">Parametry!$C$45</f>
        <v>6</v>
      </c>
      <c r="X17" s="6" t="s">
        <v>703</v>
      </c>
    </row>
  </sheetData>
  <autoFilter ref="A5:X17"/>
  <mergeCells count="2">
    <mergeCell ref="A1:X1"/>
    <mergeCell ref="A2:X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1"/>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9"/>
    <col collapsed="false" customWidth="true" hidden="false" outlineLevel="0" max="3" min="2" style="1" width="29"/>
    <col collapsed="false" customWidth="true" hidden="false" outlineLevel="0" max="4" min="4" style="1" width="30"/>
    <col collapsed="false" customWidth="true" hidden="false" outlineLevel="0" max="7" min="5" style="1" width="25"/>
    <col collapsed="false" customWidth="true" hidden="false" outlineLevel="0" max="8" min="8" style="1" width="26"/>
    <col collapsed="false" customWidth="true" hidden="false" outlineLevel="0" max="10" min="9" style="1" width="28"/>
    <col collapsed="false" customWidth="true" hidden="false" outlineLevel="0" max="11" min="11" style="1" width="120"/>
  </cols>
  <sheetData>
    <row r="1" customFormat="false" ht="33.75" hidden="false" customHeight="true" outlineLevel="0" collapsed="false">
      <c r="A1" s="7" t="s">
        <v>730</v>
      </c>
      <c r="B1" s="7"/>
      <c r="C1" s="7"/>
      <c r="D1" s="7"/>
      <c r="E1" s="7"/>
      <c r="F1" s="7"/>
      <c r="G1" s="7"/>
      <c r="H1" s="7"/>
      <c r="I1" s="7"/>
      <c r="J1" s="7"/>
      <c r="K1" s="7"/>
    </row>
    <row r="2" customFormat="false" ht="27" hidden="false" customHeight="true" outlineLevel="0" collapsed="false">
      <c r="A2" s="3" t="s">
        <v>731</v>
      </c>
      <c r="B2" s="3"/>
      <c r="C2" s="3"/>
      <c r="D2" s="3"/>
      <c r="E2" s="3"/>
      <c r="F2" s="3"/>
      <c r="G2" s="3"/>
      <c r="H2" s="3"/>
      <c r="I2" s="3"/>
      <c r="J2" s="3"/>
      <c r="K2" s="3"/>
    </row>
    <row r="3" customFormat="false" ht="27" hidden="false" customHeight="true" outlineLevel="0" collapsed="false">
      <c r="A3" s="3"/>
      <c r="B3" s="3"/>
      <c r="C3" s="3"/>
      <c r="D3" s="3"/>
      <c r="E3" s="3"/>
      <c r="F3" s="3"/>
      <c r="G3" s="3"/>
      <c r="H3" s="3"/>
      <c r="I3" s="3"/>
      <c r="J3" s="3"/>
      <c r="K3" s="3"/>
    </row>
    <row r="5" customFormat="false" ht="45" hidden="false" customHeight="true" outlineLevel="0" collapsed="false">
      <c r="A5" s="4" t="s">
        <v>469</v>
      </c>
      <c r="B5" s="4" t="s">
        <v>732</v>
      </c>
      <c r="C5" s="4" t="s">
        <v>733</v>
      </c>
      <c r="D5" s="4" t="s">
        <v>734</v>
      </c>
      <c r="E5" s="4" t="s">
        <v>735</v>
      </c>
      <c r="F5" s="4" t="s">
        <v>736</v>
      </c>
      <c r="G5" s="4" t="s">
        <v>737</v>
      </c>
      <c r="H5" s="4" t="s">
        <v>738</v>
      </c>
      <c r="I5" s="4" t="s">
        <v>739</v>
      </c>
      <c r="J5" s="4" t="s">
        <v>740</v>
      </c>
      <c r="K5" s="4" t="s">
        <v>335</v>
      </c>
    </row>
    <row r="6" customFormat="false" ht="94.5" hidden="false" customHeight="true" outlineLevel="0" collapsed="false">
      <c r="A6" s="5" t="s">
        <v>741</v>
      </c>
      <c r="B6" s="5" t="n">
        <v>10</v>
      </c>
      <c r="C6" s="5" t="n">
        <f aca="false">MAX(0,(Parametry!$C$45*3600-B6)/60)</f>
        <v>359.833333333333</v>
      </c>
      <c r="D6" s="5" t="n">
        <f aca="false">IF(B6&lt;15,3,IF(B6&lt;300,2,1))</f>
        <v>3</v>
      </c>
      <c r="E6" s="5" t="n">
        <v>200</v>
      </c>
      <c r="F6" s="5" t="n">
        <v>100</v>
      </c>
      <c r="G6" s="5" t="n">
        <f aca="false">MAX(0,E6-F6)</f>
        <v>100</v>
      </c>
      <c r="H6" s="5" t="n">
        <v>50</v>
      </c>
      <c r="I6" s="5" t="n">
        <f aca="false">IF(C6&gt;0,MIN(E6,F6+H6),0)</f>
        <v>150</v>
      </c>
      <c r="J6" s="5" t="n">
        <v>0</v>
      </c>
      <c r="K6" s="5" t="s">
        <v>742</v>
      </c>
    </row>
    <row r="7" customFormat="false" ht="94.5" hidden="false" customHeight="true" outlineLevel="0" collapsed="false">
      <c r="A7" s="6" t="s">
        <v>743</v>
      </c>
      <c r="B7" s="6" t="n">
        <v>120</v>
      </c>
      <c r="C7" s="6" t="n">
        <f aca="false">MAX(0,(Parametry!$C$45*3600-B7)/60)</f>
        <v>358</v>
      </c>
      <c r="D7" s="6" t="n">
        <f aca="false">IF(B7&lt;15,3,IF(B7&lt;300,2,1))</f>
        <v>2</v>
      </c>
      <c r="E7" s="6" t="n">
        <v>400</v>
      </c>
      <c r="F7" s="6" t="n">
        <v>100</v>
      </c>
      <c r="G7" s="6" t="n">
        <f aca="false">MAX(0,E7-F7)</f>
        <v>300</v>
      </c>
      <c r="H7" s="6" t="n">
        <v>300</v>
      </c>
      <c r="I7" s="6" t="n">
        <f aca="false">IF(C7&gt;0,MIN(E7,F7+H7),0)</f>
        <v>400</v>
      </c>
      <c r="J7" s="6" t="n">
        <v>0</v>
      </c>
      <c r="K7" s="6" t="s">
        <v>742</v>
      </c>
    </row>
    <row r="8" customFormat="false" ht="94.5" hidden="false" customHeight="true" outlineLevel="0" collapsed="false">
      <c r="A8" s="5" t="s">
        <v>744</v>
      </c>
      <c r="B8" s="5" t="n">
        <v>1800</v>
      </c>
      <c r="C8" s="5" t="n">
        <f aca="false">MAX(0,(Parametry!$C$45*3600-B8)/60)</f>
        <v>330</v>
      </c>
      <c r="D8" s="5" t="n">
        <f aca="false">IF(B8&lt;15,3,IF(B8&lt;300,2,1))</f>
        <v>1</v>
      </c>
      <c r="E8" s="5" t="n">
        <v>1200</v>
      </c>
      <c r="F8" s="5" t="n">
        <v>600</v>
      </c>
      <c r="G8" s="5" t="n">
        <f aca="false">MAX(0,E8-F8)</f>
        <v>600</v>
      </c>
      <c r="H8" s="5" t="n">
        <v>100</v>
      </c>
      <c r="I8" s="5" t="n">
        <f aca="false">IF(C8&gt;0,MIN(E8,F8+H8),0)</f>
        <v>700</v>
      </c>
      <c r="J8" s="5" t="n">
        <v>0</v>
      </c>
      <c r="K8" s="5" t="s">
        <v>742</v>
      </c>
    </row>
    <row r="9" customFormat="false" ht="94.5" hidden="false" customHeight="true" outlineLevel="0" collapsed="false">
      <c r="A9" s="6" t="s">
        <v>745</v>
      </c>
      <c r="B9" s="6" t="n">
        <v>15</v>
      </c>
      <c r="C9" s="6" t="n">
        <f aca="false">MAX(0,(Parametry!$C$45*3600-B9)/60)</f>
        <v>359.75</v>
      </c>
      <c r="D9" s="6" t="n">
        <f aca="false">IF(B9&lt;15,3,IF(B9&lt;300,2,1))</f>
        <v>2</v>
      </c>
      <c r="E9" s="6" t="n">
        <v>200</v>
      </c>
      <c r="F9" s="6" t="n">
        <v>0</v>
      </c>
      <c r="G9" s="6" t="n">
        <f aca="false">MAX(0,E9-F9)</f>
        <v>200</v>
      </c>
      <c r="H9" s="6" t="n">
        <v>0</v>
      </c>
      <c r="I9" s="6" t="n">
        <f aca="false">IF(C9&gt;0,MIN(E9,F9+H9),0)</f>
        <v>0</v>
      </c>
      <c r="J9" s="6" t="n">
        <v>0</v>
      </c>
      <c r="K9" s="6" t="s">
        <v>742</v>
      </c>
    </row>
    <row r="10" customFormat="false" ht="94.5" hidden="false" customHeight="true" outlineLevel="0" collapsed="false">
      <c r="A10" s="5" t="s">
        <v>746</v>
      </c>
      <c r="B10" s="5" t="n">
        <v>300</v>
      </c>
      <c r="C10" s="5" t="n">
        <f aca="false">MAX(0,(Parametry!$C$45*3600-B10)/60)</f>
        <v>355</v>
      </c>
      <c r="D10" s="5" t="n">
        <f aca="false">IF(B10&lt;15,3,IF(B10&lt;300,2,1))</f>
        <v>1</v>
      </c>
      <c r="E10" s="5" t="n">
        <v>200</v>
      </c>
      <c r="F10" s="5" t="n">
        <v>0</v>
      </c>
      <c r="G10" s="5" t="n">
        <f aca="false">MAX(0,E10-F10)</f>
        <v>200</v>
      </c>
      <c r="H10" s="5" t="n">
        <v>0</v>
      </c>
      <c r="I10" s="5" t="n">
        <f aca="false">IF(C10&gt;0,MIN(E10,F10+H10),0)</f>
        <v>0</v>
      </c>
      <c r="J10" s="5" t="n">
        <v>0</v>
      </c>
      <c r="K10" s="5" t="s">
        <v>742</v>
      </c>
    </row>
    <row r="11" customFormat="false" ht="94.5" hidden="false" customHeight="true" outlineLevel="0" collapsed="false">
      <c r="A11" s="6" t="s">
        <v>747</v>
      </c>
      <c r="B11" s="6" t="n">
        <v>21600</v>
      </c>
      <c r="C11" s="6" t="n">
        <f aca="false">MAX(0,(Parametry!$C$45*3600-B11)/60)</f>
        <v>0</v>
      </c>
      <c r="D11" s="6" t="n">
        <f aca="false">IF(B11&lt;15,3,IF(B11&lt;300,2,1))</f>
        <v>1</v>
      </c>
      <c r="E11" s="6" t="n">
        <v>200</v>
      </c>
      <c r="F11" s="6" t="n">
        <v>100</v>
      </c>
      <c r="G11" s="6" t="n">
        <f aca="false">MAX(0,E11-F11)</f>
        <v>100</v>
      </c>
      <c r="H11" s="6" t="n">
        <v>0</v>
      </c>
      <c r="I11" s="6" t="n">
        <f aca="false">IF(C11&gt;0,MIN(E11,F11+H11),0)</f>
        <v>0</v>
      </c>
      <c r="J11" s="6" t="n">
        <v>0</v>
      </c>
      <c r="K11" s="6" t="s">
        <v>742</v>
      </c>
    </row>
  </sheetData>
  <autoFilter ref="A5:K11"/>
  <mergeCells count="2">
    <mergeCell ref="A1:K1"/>
    <mergeCell ref="A2:K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7"/>
    <col collapsed="false" customWidth="true" hidden="false" outlineLevel="0" max="2" min="2" style="1" width="110"/>
    <col collapsed="false" customWidth="true" hidden="false" outlineLevel="0" max="3" min="3" style="1" width="135"/>
    <col collapsed="false" customWidth="true" hidden="false" outlineLevel="0" max="4" min="4" style="1" width="63"/>
  </cols>
  <sheetData>
    <row r="1" customFormat="false" ht="33.75" hidden="false" customHeight="true" outlineLevel="0" collapsed="false">
      <c r="A1" s="7" t="s">
        <v>748</v>
      </c>
      <c r="B1" s="7"/>
      <c r="C1" s="7"/>
      <c r="D1" s="7"/>
    </row>
    <row r="2" customFormat="false" ht="27" hidden="false" customHeight="true" outlineLevel="0" collapsed="false">
      <c r="A2" s="3" t="s">
        <v>749</v>
      </c>
      <c r="B2" s="3"/>
      <c r="C2" s="3"/>
      <c r="D2" s="3"/>
    </row>
    <row r="3" customFormat="false" ht="27" hidden="false" customHeight="true" outlineLevel="0" collapsed="false">
      <c r="A3" s="3"/>
      <c r="B3" s="3"/>
      <c r="C3" s="3"/>
      <c r="D3" s="3"/>
    </row>
    <row r="5" customFormat="false" ht="45" hidden="false" customHeight="true" outlineLevel="0" collapsed="false">
      <c r="A5" s="4" t="s">
        <v>2</v>
      </c>
      <c r="B5" s="4" t="s">
        <v>180</v>
      </c>
      <c r="C5" s="4" t="s">
        <v>335</v>
      </c>
      <c r="D5" s="4" t="s">
        <v>183</v>
      </c>
    </row>
    <row r="6" customFormat="false" ht="109.5" hidden="false" customHeight="true" outlineLevel="0" collapsed="false">
      <c r="A6" s="5" t="s">
        <v>750</v>
      </c>
      <c r="B6" s="5" t="s">
        <v>751</v>
      </c>
      <c r="C6" s="5" t="s">
        <v>752</v>
      </c>
      <c r="D6" s="5" t="s">
        <v>753</v>
      </c>
    </row>
    <row r="7" customFormat="false" ht="109.5" hidden="false" customHeight="true" outlineLevel="0" collapsed="false">
      <c r="A7" s="6" t="s">
        <v>754</v>
      </c>
      <c r="B7" s="6" t="s">
        <v>755</v>
      </c>
      <c r="C7" s="6" t="s">
        <v>756</v>
      </c>
      <c r="D7" s="6" t="s">
        <v>757</v>
      </c>
    </row>
    <row r="8" customFormat="false" ht="109.5" hidden="false" customHeight="true" outlineLevel="0" collapsed="false">
      <c r="A8" s="5" t="s">
        <v>491</v>
      </c>
      <c r="B8" s="5" t="s">
        <v>758</v>
      </c>
      <c r="C8" s="5" t="s">
        <v>759</v>
      </c>
      <c r="D8" s="5" t="s">
        <v>340</v>
      </c>
    </row>
    <row r="9" customFormat="false" ht="109.5" hidden="false" customHeight="true" outlineLevel="0" collapsed="false">
      <c r="A9" s="6" t="s">
        <v>760</v>
      </c>
      <c r="B9" s="6" t="s">
        <v>761</v>
      </c>
      <c r="C9" s="6" t="s">
        <v>762</v>
      </c>
      <c r="D9" s="6" t="s">
        <v>340</v>
      </c>
    </row>
    <row r="10" customFormat="false" ht="109.5" hidden="false" customHeight="true" outlineLevel="0" collapsed="false">
      <c r="A10" s="5" t="s">
        <v>763</v>
      </c>
      <c r="B10" s="5" t="s">
        <v>764</v>
      </c>
      <c r="C10" s="5" t="s">
        <v>765</v>
      </c>
      <c r="D10" s="5" t="s">
        <v>340</v>
      </c>
    </row>
    <row r="11" customFormat="false" ht="109.5" hidden="false" customHeight="true" outlineLevel="0" collapsed="false">
      <c r="A11" s="6" t="s">
        <v>766</v>
      </c>
      <c r="B11" s="6" t="s">
        <v>767</v>
      </c>
      <c r="C11" s="6" t="s">
        <v>768</v>
      </c>
      <c r="D11" s="6" t="s">
        <v>769</v>
      </c>
    </row>
    <row r="12" customFormat="false" ht="109.5" hidden="false" customHeight="true" outlineLevel="0" collapsed="false">
      <c r="A12" s="5" t="s">
        <v>770</v>
      </c>
      <c r="B12" s="5" t="s">
        <v>771</v>
      </c>
      <c r="C12" s="5" t="s">
        <v>772</v>
      </c>
      <c r="D12" s="5" t="s">
        <v>773</v>
      </c>
    </row>
    <row r="13" customFormat="false" ht="109.5" hidden="false" customHeight="true" outlineLevel="0" collapsed="false">
      <c r="A13" s="6" t="s">
        <v>774</v>
      </c>
      <c r="B13" s="6" t="s">
        <v>775</v>
      </c>
      <c r="C13" s="6" t="s">
        <v>776</v>
      </c>
      <c r="D13" s="6" t="s">
        <v>777</v>
      </c>
    </row>
    <row r="14" customFormat="false" ht="109.5" hidden="false" customHeight="true" outlineLevel="0" collapsed="false">
      <c r="A14" s="5" t="s">
        <v>778</v>
      </c>
      <c r="B14" s="5" t="s">
        <v>779</v>
      </c>
      <c r="C14" s="5" t="s">
        <v>780</v>
      </c>
      <c r="D14" s="5" t="s">
        <v>781</v>
      </c>
    </row>
    <row r="15" customFormat="false" ht="109.5" hidden="false" customHeight="true" outlineLevel="0" collapsed="false">
      <c r="A15" s="6" t="s">
        <v>782</v>
      </c>
      <c r="B15" s="6" t="s">
        <v>783</v>
      </c>
      <c r="C15" s="6" t="s">
        <v>784</v>
      </c>
      <c r="D15" s="6" t="s">
        <v>340</v>
      </c>
    </row>
    <row r="16" customFormat="false" ht="109.5" hidden="false" customHeight="true" outlineLevel="0" collapsed="false">
      <c r="A16" s="5" t="s">
        <v>785</v>
      </c>
      <c r="B16" s="5" t="s">
        <v>786</v>
      </c>
      <c r="C16" s="5" t="s">
        <v>787</v>
      </c>
      <c r="D16" s="5" t="s">
        <v>788</v>
      </c>
    </row>
    <row r="17" customFormat="false" ht="109.5" hidden="false" customHeight="true" outlineLevel="0" collapsed="false">
      <c r="A17" s="6" t="s">
        <v>789</v>
      </c>
      <c r="B17" s="6" t="s">
        <v>790</v>
      </c>
      <c r="C17" s="6" t="s">
        <v>791</v>
      </c>
      <c r="D17" s="6" t="s">
        <v>792</v>
      </c>
    </row>
  </sheetData>
  <autoFilter ref="A5:D17"/>
  <mergeCells count="2">
    <mergeCell ref="A1:D1"/>
    <mergeCell ref="A2:D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9"/>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7"/>
    <col collapsed="false" customWidth="true" hidden="false" outlineLevel="0" max="2" min="2" style="1" width="33"/>
    <col collapsed="false" customWidth="true" hidden="false" outlineLevel="0" max="3" min="3" style="1" width="37"/>
    <col collapsed="false" customWidth="true" hidden="false" outlineLevel="0" max="4" min="4" style="1" width="35"/>
    <col collapsed="false" customWidth="true" hidden="false" outlineLevel="0" max="5" min="5" style="1" width="42"/>
    <col collapsed="false" customWidth="true" hidden="false" outlineLevel="0" max="6" min="6" style="1" width="52"/>
    <col collapsed="false" customWidth="true" hidden="false" outlineLevel="0" max="7" min="7" style="1" width="120"/>
  </cols>
  <sheetData>
    <row r="1" customFormat="false" ht="33.75" hidden="false" customHeight="true" outlineLevel="0" collapsed="false">
      <c r="A1" s="7" t="s">
        <v>793</v>
      </c>
      <c r="B1" s="7"/>
      <c r="C1" s="7"/>
      <c r="D1" s="7"/>
      <c r="E1" s="7"/>
      <c r="F1" s="7"/>
      <c r="G1" s="7"/>
    </row>
    <row r="2" customFormat="false" ht="27" hidden="false" customHeight="true" outlineLevel="0" collapsed="false">
      <c r="A2" s="3" t="s">
        <v>794</v>
      </c>
      <c r="B2" s="3"/>
      <c r="C2" s="3"/>
      <c r="D2" s="3"/>
      <c r="E2" s="3"/>
      <c r="F2" s="3"/>
      <c r="G2" s="3"/>
    </row>
    <row r="3" customFormat="false" ht="27" hidden="false" customHeight="true" outlineLevel="0" collapsed="false">
      <c r="A3" s="3"/>
      <c r="B3" s="3"/>
      <c r="C3" s="3"/>
      <c r="D3" s="3"/>
      <c r="E3" s="3"/>
      <c r="F3" s="3"/>
      <c r="G3" s="3"/>
    </row>
    <row r="5" customFormat="false" ht="45" hidden="false" customHeight="true" outlineLevel="0" collapsed="false">
      <c r="A5" s="4" t="s">
        <v>795</v>
      </c>
      <c r="B5" s="4" t="s">
        <v>796</v>
      </c>
      <c r="C5" s="4" t="s">
        <v>797</v>
      </c>
      <c r="D5" s="4" t="s">
        <v>798</v>
      </c>
      <c r="E5" s="4" t="s">
        <v>799</v>
      </c>
      <c r="F5" s="4" t="s">
        <v>800</v>
      </c>
      <c r="G5" s="4" t="s">
        <v>335</v>
      </c>
    </row>
    <row r="6" customFormat="false" ht="75" hidden="false" customHeight="true" outlineLevel="0" collapsed="false">
      <c r="A6" s="5" t="n">
        <v>1</v>
      </c>
      <c r="B6" s="5" t="n">
        <f aca="false">Parametry!$C$48*Parametry!$C$49^(A6-1)</f>
        <v>50</v>
      </c>
      <c r="C6" s="5" t="n">
        <f aca="false">IF(A6=1,B6,B6/2)</f>
        <v>50</v>
      </c>
      <c r="D6" s="5" t="n">
        <v>0</v>
      </c>
      <c r="E6" s="11" t="n">
        <f aca="false">B6/Parametry!$C$41</f>
        <v>5</v>
      </c>
      <c r="F6" s="5" t="s">
        <v>801</v>
      </c>
      <c r="G6" s="5" t="s">
        <v>802</v>
      </c>
    </row>
    <row r="7" customFormat="false" ht="75" hidden="false" customHeight="true" outlineLevel="0" collapsed="false">
      <c r="A7" s="6" t="n">
        <v>2</v>
      </c>
      <c r="B7" s="6" t="n">
        <f aca="false">Parametry!$C$48*Parametry!$C$49^(A7-1)</f>
        <v>100</v>
      </c>
      <c r="C7" s="6" t="n">
        <f aca="false">IF(A7=1,B7,B7/2)</f>
        <v>50</v>
      </c>
      <c r="D7" s="6" t="n">
        <v>0</v>
      </c>
      <c r="E7" s="12" t="n">
        <f aca="false">B7/Parametry!$C$41</f>
        <v>10</v>
      </c>
      <c r="F7" s="6" t="s">
        <v>801</v>
      </c>
      <c r="G7" s="6" t="s">
        <v>802</v>
      </c>
    </row>
    <row r="8" customFormat="false" ht="75" hidden="false" customHeight="true" outlineLevel="0" collapsed="false">
      <c r="A8" s="5" t="n">
        <v>3</v>
      </c>
      <c r="B8" s="5" t="n">
        <f aca="false">Parametry!$C$48*Parametry!$C$49^(A8-1)</f>
        <v>200</v>
      </c>
      <c r="C8" s="5" t="n">
        <f aca="false">IF(A8=1,B8,B8/2)</f>
        <v>100</v>
      </c>
      <c r="D8" s="5" t="n">
        <v>0</v>
      </c>
      <c r="E8" s="11" t="n">
        <f aca="false">B8/Parametry!$C$41</f>
        <v>20</v>
      </c>
      <c r="F8" s="5" t="s">
        <v>801</v>
      </c>
      <c r="G8" s="5" t="s">
        <v>802</v>
      </c>
    </row>
    <row r="9" customFormat="false" ht="75" hidden="false" customHeight="true" outlineLevel="0" collapsed="false">
      <c r="A9" s="6" t="n">
        <v>4</v>
      </c>
      <c r="B9" s="6" t="n">
        <f aca="false">Parametry!$C$48*Parametry!$C$49^(A9-1)</f>
        <v>400</v>
      </c>
      <c r="C9" s="6" t="n">
        <f aca="false">IF(A9=1,B9,B9/2)</f>
        <v>200</v>
      </c>
      <c r="D9" s="6" t="n">
        <v>0</v>
      </c>
      <c r="E9" s="12" t="n">
        <f aca="false">B9/Parametry!$C$41</f>
        <v>40</v>
      </c>
      <c r="F9" s="6" t="s">
        <v>801</v>
      </c>
      <c r="G9" s="6" t="s">
        <v>802</v>
      </c>
    </row>
    <row r="10" customFormat="false" ht="75" hidden="false" customHeight="true" outlineLevel="0" collapsed="false">
      <c r="A10" s="5" t="n">
        <v>5</v>
      </c>
      <c r="B10" s="5" t="n">
        <f aca="false">Parametry!$C$48*Parametry!$C$49^(A10-1)</f>
        <v>800</v>
      </c>
      <c r="C10" s="5" t="n">
        <f aca="false">IF(A10=1,B10,B10/2)</f>
        <v>400</v>
      </c>
      <c r="D10" s="5" t="n">
        <v>0</v>
      </c>
      <c r="E10" s="11" t="n">
        <f aca="false">B10/Parametry!$C$41</f>
        <v>80</v>
      </c>
      <c r="F10" s="5" t="s">
        <v>801</v>
      </c>
      <c r="G10" s="5" t="s">
        <v>802</v>
      </c>
    </row>
    <row r="11" customFormat="false" ht="75" hidden="false" customHeight="true" outlineLevel="0" collapsed="false">
      <c r="A11" s="6" t="n">
        <v>6</v>
      </c>
      <c r="B11" s="6" t="n">
        <f aca="false">Parametry!$C$48*Parametry!$C$49^(A11-1)</f>
        <v>1600</v>
      </c>
      <c r="C11" s="6" t="n">
        <f aca="false">IF(A11=1,B11,B11/2)</f>
        <v>800</v>
      </c>
      <c r="D11" s="6" t="n">
        <v>0</v>
      </c>
      <c r="E11" s="12" t="n">
        <f aca="false">B11/Parametry!$C$41</f>
        <v>160</v>
      </c>
      <c r="F11" s="6" t="s">
        <v>801</v>
      </c>
      <c r="G11" s="6" t="s">
        <v>802</v>
      </c>
    </row>
    <row r="12" customFormat="false" ht="75" hidden="false" customHeight="true" outlineLevel="0" collapsed="false">
      <c r="A12" s="5" t="n">
        <v>7</v>
      </c>
      <c r="B12" s="5" t="n">
        <f aca="false">Parametry!$C$48*Parametry!$C$49^(A12-1)</f>
        <v>3200</v>
      </c>
      <c r="C12" s="5" t="n">
        <f aca="false">IF(A12=1,B12,B12/2)</f>
        <v>1600</v>
      </c>
      <c r="D12" s="5" t="n">
        <v>0</v>
      </c>
      <c r="E12" s="11" t="n">
        <f aca="false">B12/Parametry!$C$41</f>
        <v>320</v>
      </c>
      <c r="F12" s="5" t="s">
        <v>801</v>
      </c>
      <c r="G12" s="5" t="s">
        <v>802</v>
      </c>
    </row>
    <row r="13" customFormat="false" ht="75" hidden="false" customHeight="true" outlineLevel="0" collapsed="false">
      <c r="A13" s="6" t="n">
        <v>8</v>
      </c>
      <c r="B13" s="6" t="n">
        <f aca="false">Parametry!$C$48*Parametry!$C$49^(A13-1)</f>
        <v>6400</v>
      </c>
      <c r="C13" s="6" t="n">
        <f aca="false">IF(A13=1,B13,B13/2)</f>
        <v>3200</v>
      </c>
      <c r="D13" s="6" t="n">
        <v>0</v>
      </c>
      <c r="E13" s="12" t="n">
        <f aca="false">B13/Parametry!$C$41</f>
        <v>640</v>
      </c>
      <c r="F13" s="6" t="s">
        <v>801</v>
      </c>
      <c r="G13" s="6" t="s">
        <v>802</v>
      </c>
    </row>
    <row r="14" customFormat="false" ht="75" hidden="false" customHeight="true" outlineLevel="0" collapsed="false">
      <c r="A14" s="5" t="n">
        <v>9</v>
      </c>
      <c r="B14" s="5" t="n">
        <f aca="false">Parametry!$C$48*Parametry!$C$49^(A14-1)</f>
        <v>12800</v>
      </c>
      <c r="C14" s="5" t="n">
        <f aca="false">IF(A14=1,B14,B14/2)</f>
        <v>6400</v>
      </c>
      <c r="D14" s="5" t="n">
        <v>0</v>
      </c>
      <c r="E14" s="11" t="n">
        <f aca="false">B14/Parametry!$C$41</f>
        <v>1280</v>
      </c>
      <c r="F14" s="5" t="s">
        <v>801</v>
      </c>
      <c r="G14" s="5" t="s">
        <v>802</v>
      </c>
    </row>
    <row r="15" customFormat="false" ht="75" hidden="false" customHeight="true" outlineLevel="0" collapsed="false">
      <c r="A15" s="6" t="n">
        <v>10</v>
      </c>
      <c r="B15" s="6" t="n">
        <f aca="false">Parametry!$C$48*Parametry!$C$49^(A15-1)</f>
        <v>25600</v>
      </c>
      <c r="C15" s="6" t="n">
        <f aca="false">IF(A15=1,B15,B15/2)</f>
        <v>12800</v>
      </c>
      <c r="D15" s="6" t="n">
        <v>0</v>
      </c>
      <c r="E15" s="12" t="n">
        <f aca="false">B15/Parametry!$C$41</f>
        <v>2560</v>
      </c>
      <c r="F15" s="6" t="s">
        <v>801</v>
      </c>
      <c r="G15" s="6" t="s">
        <v>802</v>
      </c>
    </row>
    <row r="16" customFormat="false" ht="75" hidden="false" customHeight="true" outlineLevel="0" collapsed="false">
      <c r="A16" s="5" t="n">
        <v>11</v>
      </c>
      <c r="B16" s="5" t="n">
        <f aca="false">Parametry!$C$48*Parametry!$C$49^(A16-1)</f>
        <v>51200</v>
      </c>
      <c r="C16" s="5" t="n">
        <f aca="false">IF(A16=1,B16,B16/2)</f>
        <v>25600</v>
      </c>
      <c r="D16" s="5" t="n">
        <v>0</v>
      </c>
      <c r="E16" s="11" t="n">
        <f aca="false">B16/Parametry!$C$41</f>
        <v>5120</v>
      </c>
      <c r="F16" s="5" t="s">
        <v>801</v>
      </c>
      <c r="G16" s="5" t="s">
        <v>802</v>
      </c>
    </row>
    <row r="17" customFormat="false" ht="75" hidden="false" customHeight="true" outlineLevel="0" collapsed="false">
      <c r="A17" s="6" t="n">
        <v>12</v>
      </c>
      <c r="B17" s="6" t="n">
        <f aca="false">Parametry!$C$48*Parametry!$C$49^(A17-1)</f>
        <v>102400</v>
      </c>
      <c r="C17" s="6" t="n">
        <f aca="false">IF(A17=1,B17,B17/2)</f>
        <v>51200</v>
      </c>
      <c r="D17" s="6" t="n">
        <v>0</v>
      </c>
      <c r="E17" s="12" t="n">
        <f aca="false">B17/Parametry!$C$41</f>
        <v>10240</v>
      </c>
      <c r="F17" s="6" t="s">
        <v>801</v>
      </c>
      <c r="G17" s="6" t="s">
        <v>802</v>
      </c>
    </row>
    <row r="18" customFormat="false" ht="75" hidden="false" customHeight="true" outlineLevel="0" collapsed="false">
      <c r="A18" s="5" t="n">
        <v>15</v>
      </c>
      <c r="B18" s="5" t="n">
        <f aca="false">Parametry!$C$48*Parametry!$C$49^(A18-1)</f>
        <v>819200</v>
      </c>
      <c r="C18" s="5" t="n">
        <f aca="false">IF(A18=1,B18,B18/2)</f>
        <v>409600</v>
      </c>
      <c r="D18" s="5" t="n">
        <v>0</v>
      </c>
      <c r="E18" s="11" t="n">
        <f aca="false">B18/Parametry!$C$41</f>
        <v>81920</v>
      </c>
      <c r="F18" s="5" t="s">
        <v>801</v>
      </c>
      <c r="G18" s="5" t="s">
        <v>802</v>
      </c>
    </row>
    <row r="19" customFormat="false" ht="75" hidden="false" customHeight="true" outlineLevel="0" collapsed="false">
      <c r="A19" s="6" t="n">
        <v>20</v>
      </c>
      <c r="B19" s="6" t="n">
        <f aca="false">Parametry!$C$48*Parametry!$C$49^(A19-1)</f>
        <v>26214400</v>
      </c>
      <c r="C19" s="6" t="n">
        <f aca="false">IF(A19=1,B19,B19/2)</f>
        <v>13107200</v>
      </c>
      <c r="D19" s="6" t="n">
        <v>0</v>
      </c>
      <c r="E19" s="12" t="n">
        <f aca="false">B19/Parametry!$C$41</f>
        <v>2621440</v>
      </c>
      <c r="F19" s="6" t="s">
        <v>801</v>
      </c>
      <c r="G19" s="6" t="s">
        <v>802</v>
      </c>
    </row>
  </sheetData>
  <autoFilter ref="A5:G19"/>
  <mergeCells count="2">
    <mergeCell ref="A1:G1"/>
    <mergeCell ref="A2:G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9"/>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49"/>
    <col collapsed="false" customWidth="true" hidden="false" outlineLevel="0" max="2" min="2" style="1" width="145"/>
    <col collapsed="false" customWidth="true" hidden="false" outlineLevel="0" max="3" min="3" style="1" width="120"/>
  </cols>
  <sheetData>
    <row r="1" customFormat="false" ht="33.75" hidden="false" customHeight="true" outlineLevel="0" collapsed="false">
      <c r="A1" s="7" t="s">
        <v>803</v>
      </c>
      <c r="B1" s="7"/>
      <c r="C1" s="7"/>
    </row>
    <row r="2" customFormat="false" ht="27" hidden="false" customHeight="true" outlineLevel="0" collapsed="false">
      <c r="A2" s="3" t="s">
        <v>804</v>
      </c>
      <c r="B2" s="3"/>
      <c r="C2" s="3"/>
    </row>
    <row r="3" customFormat="false" ht="27" hidden="false" customHeight="true" outlineLevel="0" collapsed="false">
      <c r="A3" s="3"/>
      <c r="B3" s="3"/>
      <c r="C3" s="3"/>
    </row>
    <row r="5" customFormat="false" ht="45" hidden="false" customHeight="true" outlineLevel="0" collapsed="false">
      <c r="A5" s="4" t="s">
        <v>805</v>
      </c>
      <c r="B5" s="4" t="s">
        <v>806</v>
      </c>
      <c r="C5" s="4" t="s">
        <v>807</v>
      </c>
    </row>
    <row r="6" customFormat="false" ht="109.5" hidden="false" customHeight="true" outlineLevel="0" collapsed="false">
      <c r="A6" s="5" t="s">
        <v>808</v>
      </c>
      <c r="B6" s="5" t="s">
        <v>809</v>
      </c>
      <c r="C6" s="5" t="s">
        <v>810</v>
      </c>
    </row>
    <row r="7" customFormat="false" ht="109.5" hidden="false" customHeight="true" outlineLevel="0" collapsed="false">
      <c r="A7" s="6" t="s">
        <v>811</v>
      </c>
      <c r="B7" s="6" t="s">
        <v>812</v>
      </c>
      <c r="C7" s="6" t="s">
        <v>813</v>
      </c>
    </row>
    <row r="8" customFormat="false" ht="109.5" hidden="false" customHeight="true" outlineLevel="0" collapsed="false">
      <c r="A8" s="5" t="s">
        <v>814</v>
      </c>
      <c r="B8" s="5" t="s">
        <v>815</v>
      </c>
      <c r="C8" s="5" t="s">
        <v>816</v>
      </c>
    </row>
    <row r="9" customFormat="false" ht="109.5" hidden="false" customHeight="true" outlineLevel="0" collapsed="false">
      <c r="A9" s="6" t="s">
        <v>817</v>
      </c>
      <c r="B9" s="6" t="s">
        <v>818</v>
      </c>
      <c r="C9" s="6" t="s">
        <v>819</v>
      </c>
    </row>
    <row r="10" customFormat="false" ht="109.5" hidden="false" customHeight="true" outlineLevel="0" collapsed="false">
      <c r="A10" s="5" t="s">
        <v>820</v>
      </c>
      <c r="B10" s="5" t="s">
        <v>821</v>
      </c>
      <c r="C10" s="5" t="s">
        <v>822</v>
      </c>
    </row>
    <row r="11" customFormat="false" ht="109.5" hidden="false" customHeight="true" outlineLevel="0" collapsed="false">
      <c r="A11" s="6" t="s">
        <v>50</v>
      </c>
      <c r="B11" s="6" t="s">
        <v>823</v>
      </c>
      <c r="C11" s="6" t="s">
        <v>824</v>
      </c>
    </row>
    <row r="12" customFormat="false" ht="109.5" hidden="false" customHeight="true" outlineLevel="0" collapsed="false">
      <c r="A12" s="5" t="s">
        <v>50</v>
      </c>
      <c r="B12" s="5" t="s">
        <v>825</v>
      </c>
      <c r="C12" s="5" t="s">
        <v>824</v>
      </c>
    </row>
    <row r="13" customFormat="false" ht="109.5" hidden="false" customHeight="true" outlineLevel="0" collapsed="false">
      <c r="A13" s="6" t="s">
        <v>50</v>
      </c>
      <c r="B13" s="6" t="s">
        <v>826</v>
      </c>
      <c r="C13" s="6" t="s">
        <v>824</v>
      </c>
    </row>
    <row r="14" customFormat="false" ht="109.5" hidden="false" customHeight="true" outlineLevel="0" collapsed="false">
      <c r="A14" s="5" t="s">
        <v>50</v>
      </c>
      <c r="B14" s="5" t="s">
        <v>827</v>
      </c>
      <c r="C14" s="5" t="s">
        <v>824</v>
      </c>
    </row>
    <row r="15" customFormat="false" ht="109.5" hidden="false" customHeight="true" outlineLevel="0" collapsed="false">
      <c r="A15" s="6" t="s">
        <v>828</v>
      </c>
      <c r="B15" s="6" t="s">
        <v>829</v>
      </c>
      <c r="C15" s="6" t="s">
        <v>830</v>
      </c>
    </row>
    <row r="16" customFormat="false" ht="109.5" hidden="false" customHeight="true" outlineLevel="0" collapsed="false">
      <c r="A16" s="5" t="s">
        <v>831</v>
      </c>
      <c r="B16" s="5" t="s">
        <v>832</v>
      </c>
      <c r="C16" s="5" t="s">
        <v>833</v>
      </c>
    </row>
    <row r="17" customFormat="false" ht="109.5" hidden="false" customHeight="true" outlineLevel="0" collapsed="false">
      <c r="A17" s="6" t="s">
        <v>834</v>
      </c>
      <c r="B17" s="6" t="s">
        <v>835</v>
      </c>
      <c r="C17" s="6" t="s">
        <v>836</v>
      </c>
    </row>
    <row r="18" customFormat="false" ht="109.5" hidden="false" customHeight="true" outlineLevel="0" collapsed="false">
      <c r="A18" s="5" t="s">
        <v>837</v>
      </c>
      <c r="B18" s="5" t="s">
        <v>838</v>
      </c>
      <c r="C18" s="5" t="s">
        <v>839</v>
      </c>
    </row>
    <row r="19" customFormat="false" ht="109.5" hidden="false" customHeight="true" outlineLevel="0" collapsed="false">
      <c r="A19" s="6" t="s">
        <v>840</v>
      </c>
      <c r="B19" s="6" t="s">
        <v>841</v>
      </c>
      <c r="C19" s="6" t="s">
        <v>842</v>
      </c>
    </row>
  </sheetData>
  <autoFilter ref="A5:C19"/>
  <mergeCells count="2">
    <mergeCell ref="A1:C1"/>
    <mergeCell ref="A2:C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5"/>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28"/>
    <col collapsed="false" customWidth="true" hidden="false" outlineLevel="0" max="3" min="3" style="1" width="35"/>
    <col collapsed="false" customWidth="true" hidden="false" outlineLevel="0" max="4" min="4" style="1" width="28"/>
    <col collapsed="false" customWidth="true" hidden="false" outlineLevel="0" max="5" min="5" style="1" width="37"/>
    <col collapsed="false" customWidth="true" hidden="false" outlineLevel="0" max="6" min="6" style="1" width="115"/>
  </cols>
  <sheetData>
    <row r="1" customFormat="false" ht="33.75" hidden="false" customHeight="true" outlineLevel="0" collapsed="false">
      <c r="A1" s="7" t="s">
        <v>843</v>
      </c>
      <c r="B1" s="7"/>
      <c r="C1" s="7"/>
      <c r="D1" s="7"/>
      <c r="E1" s="7"/>
      <c r="F1" s="7"/>
    </row>
    <row r="2" customFormat="false" ht="24.75" hidden="false" customHeight="true" outlineLevel="0" collapsed="false">
      <c r="A2" s="3" t="s">
        <v>844</v>
      </c>
      <c r="B2" s="3"/>
      <c r="C2" s="3"/>
      <c r="D2" s="3"/>
      <c r="E2" s="3"/>
      <c r="F2" s="3"/>
    </row>
    <row r="3" customFormat="false" ht="24.75" hidden="false" customHeight="true" outlineLevel="0" collapsed="false">
      <c r="A3" s="3"/>
      <c r="B3" s="3"/>
      <c r="C3" s="3"/>
      <c r="D3" s="3"/>
      <c r="E3" s="3"/>
      <c r="F3" s="3"/>
    </row>
    <row r="5" customFormat="false" ht="48" hidden="false" customHeight="true" outlineLevel="0" collapsed="false">
      <c r="A5" s="4" t="s">
        <v>845</v>
      </c>
      <c r="B5" s="4" t="s">
        <v>846</v>
      </c>
      <c r="C5" s="4" t="s">
        <v>847</v>
      </c>
      <c r="D5" s="4" t="s">
        <v>848</v>
      </c>
      <c r="E5" s="4" t="s">
        <v>849</v>
      </c>
      <c r="F5" s="4" t="s">
        <v>335</v>
      </c>
    </row>
    <row r="6" customFormat="false" ht="60" hidden="false" customHeight="true" outlineLevel="0" collapsed="false">
      <c r="A6" s="5" t="n">
        <v>1</v>
      </c>
      <c r="B6" s="5" t="n">
        <f aca="false">IF(A6=1,10,A6+10)</f>
        <v>10</v>
      </c>
      <c r="C6" s="5" t="n">
        <f aca="false">B6/2</f>
        <v>5</v>
      </c>
      <c r="D6" s="5" t="n">
        <f aca="false">A6*Parametry!$C$8</f>
        <v>12</v>
      </c>
      <c r="E6" s="5" t="n">
        <f aca="false">ROUNDDOWN(Parametry!$C$9*Parametry!$C$10^(A6-1),0)</f>
        <v>60</v>
      </c>
      <c r="F6" s="5" t="s">
        <v>850</v>
      </c>
    </row>
    <row r="7" customFormat="false" ht="60" hidden="false" customHeight="true" outlineLevel="0" collapsed="false">
      <c r="A7" s="6" t="n">
        <v>2</v>
      </c>
      <c r="B7" s="6" t="n">
        <f aca="false">IF(A7=1,10,A7+10)</f>
        <v>12</v>
      </c>
      <c r="C7" s="6" t="n">
        <f aca="false">B7/2</f>
        <v>6</v>
      </c>
      <c r="D7" s="6" t="n">
        <f aca="false">A7*Parametry!$C$8</f>
        <v>24</v>
      </c>
      <c r="E7" s="6" t="n">
        <f aca="false">ROUNDDOWN(Parametry!$C$9*Parametry!$C$10^(A7-1),0)</f>
        <v>66</v>
      </c>
      <c r="F7" s="6" t="s">
        <v>850</v>
      </c>
    </row>
    <row r="8" customFormat="false" ht="60" hidden="false" customHeight="true" outlineLevel="0" collapsed="false">
      <c r="A8" s="5" t="n">
        <v>3</v>
      </c>
      <c r="B8" s="5" t="n">
        <f aca="false">IF(A8=1,10,A8+10)</f>
        <v>13</v>
      </c>
      <c r="C8" s="5" t="n">
        <f aca="false">B8/2</f>
        <v>6.5</v>
      </c>
      <c r="D8" s="5" t="n">
        <f aca="false">A8*Parametry!$C$8</f>
        <v>36</v>
      </c>
      <c r="E8" s="5" t="n">
        <f aca="false">ROUNDDOWN(Parametry!$C$9*Parametry!$C$10^(A8-1),0)</f>
        <v>72</v>
      </c>
      <c r="F8" s="5" t="s">
        <v>850</v>
      </c>
    </row>
    <row r="9" customFormat="false" ht="60" hidden="false" customHeight="true" outlineLevel="0" collapsed="false">
      <c r="A9" s="6" t="n">
        <v>4</v>
      </c>
      <c r="B9" s="6" t="n">
        <f aca="false">IF(A9=1,10,A9+10)</f>
        <v>14</v>
      </c>
      <c r="C9" s="6" t="n">
        <f aca="false">B9/2</f>
        <v>7</v>
      </c>
      <c r="D9" s="6" t="n">
        <f aca="false">A9*Parametry!$C$8</f>
        <v>48</v>
      </c>
      <c r="E9" s="6" t="n">
        <f aca="false">ROUNDDOWN(Parametry!$C$9*Parametry!$C$10^(A9-1),0)</f>
        <v>79</v>
      </c>
      <c r="F9" s="6" t="s">
        <v>850</v>
      </c>
    </row>
    <row r="10" customFormat="false" ht="60" hidden="false" customHeight="true" outlineLevel="0" collapsed="false">
      <c r="A10" s="5" t="n">
        <v>5</v>
      </c>
      <c r="B10" s="5" t="n">
        <f aca="false">IF(A10=1,10,A10+10)</f>
        <v>15</v>
      </c>
      <c r="C10" s="5" t="n">
        <f aca="false">B10/2</f>
        <v>7.5</v>
      </c>
      <c r="D10" s="5" t="n">
        <f aca="false">A10*Parametry!$C$8</f>
        <v>60</v>
      </c>
      <c r="E10" s="5" t="n">
        <f aca="false">ROUNDDOWN(Parametry!$C$9*Parametry!$C$10^(A10-1),0)</f>
        <v>87</v>
      </c>
      <c r="F10" s="5" t="s">
        <v>850</v>
      </c>
    </row>
    <row r="11" customFormat="false" ht="60" hidden="false" customHeight="true" outlineLevel="0" collapsed="false">
      <c r="A11" s="6" t="n">
        <v>6</v>
      </c>
      <c r="B11" s="6" t="n">
        <f aca="false">IF(A11=1,10,A11+10)</f>
        <v>16</v>
      </c>
      <c r="C11" s="6" t="n">
        <f aca="false">B11/2</f>
        <v>8</v>
      </c>
      <c r="D11" s="6" t="n">
        <f aca="false">A11*Parametry!$C$8</f>
        <v>72</v>
      </c>
      <c r="E11" s="6" t="n">
        <f aca="false">ROUNDDOWN(Parametry!$C$9*Parametry!$C$10^(A11-1),0)</f>
        <v>96</v>
      </c>
      <c r="F11" s="6" t="s">
        <v>850</v>
      </c>
    </row>
    <row r="12" customFormat="false" ht="60" hidden="false" customHeight="true" outlineLevel="0" collapsed="false">
      <c r="A12" s="5" t="n">
        <v>7</v>
      </c>
      <c r="B12" s="5" t="n">
        <f aca="false">IF(A12=1,10,A12+10)</f>
        <v>17</v>
      </c>
      <c r="C12" s="5" t="n">
        <f aca="false">B12/2</f>
        <v>8.5</v>
      </c>
      <c r="D12" s="5" t="n">
        <f aca="false">A12*Parametry!$C$8</f>
        <v>84</v>
      </c>
      <c r="E12" s="5" t="n">
        <f aca="false">ROUNDDOWN(Parametry!$C$9*Parametry!$C$10^(A12-1),0)</f>
        <v>106</v>
      </c>
      <c r="F12" s="5" t="s">
        <v>850</v>
      </c>
    </row>
    <row r="13" customFormat="false" ht="60" hidden="false" customHeight="true" outlineLevel="0" collapsed="false">
      <c r="A13" s="6" t="n">
        <v>8</v>
      </c>
      <c r="B13" s="6" t="n">
        <f aca="false">IF(A13=1,10,A13+10)</f>
        <v>18</v>
      </c>
      <c r="C13" s="6" t="n">
        <f aca="false">B13/2</f>
        <v>9</v>
      </c>
      <c r="D13" s="6" t="n">
        <f aca="false">A13*Parametry!$C$8</f>
        <v>96</v>
      </c>
      <c r="E13" s="6" t="n">
        <f aca="false">ROUNDDOWN(Parametry!$C$9*Parametry!$C$10^(A13-1),0)</f>
        <v>116</v>
      </c>
      <c r="F13" s="6" t="s">
        <v>850</v>
      </c>
    </row>
    <row r="14" customFormat="false" ht="60" hidden="false" customHeight="true" outlineLevel="0" collapsed="false">
      <c r="A14" s="5" t="n">
        <v>9</v>
      </c>
      <c r="B14" s="5" t="n">
        <f aca="false">IF(A14=1,10,A14+10)</f>
        <v>19</v>
      </c>
      <c r="C14" s="5" t="n">
        <f aca="false">B14/2</f>
        <v>9.5</v>
      </c>
      <c r="D14" s="5" t="n">
        <f aca="false">A14*Parametry!$C$8</f>
        <v>108</v>
      </c>
      <c r="E14" s="5" t="n">
        <f aca="false">ROUNDDOWN(Parametry!$C$9*Parametry!$C$10^(A14-1),0)</f>
        <v>128</v>
      </c>
      <c r="F14" s="5" t="s">
        <v>850</v>
      </c>
    </row>
    <row r="15" customFormat="false" ht="60" hidden="false" customHeight="true" outlineLevel="0" collapsed="false">
      <c r="A15" s="6" t="n">
        <v>10</v>
      </c>
      <c r="B15" s="6" t="n">
        <f aca="false">IF(A15=1,10,A15+10)</f>
        <v>20</v>
      </c>
      <c r="C15" s="6" t="n">
        <f aca="false">B15/2</f>
        <v>10</v>
      </c>
      <c r="D15" s="6" t="n">
        <f aca="false">A15*Parametry!$C$8</f>
        <v>120</v>
      </c>
      <c r="E15" s="6" t="n">
        <f aca="false">ROUNDDOWN(Parametry!$C$9*Parametry!$C$10^(A15-1),0)</f>
        <v>141</v>
      </c>
      <c r="F15" s="6" t="s">
        <v>850</v>
      </c>
    </row>
  </sheetData>
  <autoFilter ref="A5:F15"/>
  <mergeCells count="2">
    <mergeCell ref="A1:F1"/>
    <mergeCell ref="A2:F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79"/>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1"/>
    <col collapsed="false" customWidth="true" hidden="false" outlineLevel="0" max="2" min="2" style="1" width="13"/>
    <col collapsed="false" customWidth="true" hidden="false" outlineLevel="0" max="3" min="3" style="1" width="23"/>
    <col collapsed="false" customWidth="true" hidden="false" outlineLevel="0" max="5" min="4" style="1" width="11"/>
    <col collapsed="false" customWidth="true" hidden="false" outlineLevel="0" max="6" min="6" style="1" width="18"/>
    <col collapsed="false" customWidth="true" hidden="false" outlineLevel="0" max="7" min="7" style="1" width="20"/>
    <col collapsed="false" customWidth="true" hidden="false" outlineLevel="0" max="8" min="8" style="1" width="22"/>
    <col collapsed="false" customWidth="true" hidden="false" outlineLevel="0" max="14" min="9" style="1" width="15"/>
    <col collapsed="false" customWidth="true" hidden="false" outlineLevel="0" max="19" min="15" style="1" width="18"/>
    <col collapsed="false" customWidth="true" hidden="false" outlineLevel="0" max="20" min="20" style="1" width="19"/>
    <col collapsed="false" customWidth="true" hidden="false" outlineLevel="0" max="21" min="21" style="1" width="14"/>
    <col collapsed="false" customWidth="true" hidden="false" outlineLevel="0" max="22" min="22" style="1" width="22"/>
    <col collapsed="false" customWidth="true" hidden="false" outlineLevel="0" max="23" min="23" style="1" width="18"/>
    <col collapsed="false" customWidth="true" hidden="false" outlineLevel="0" max="24" min="24" style="1" width="24"/>
    <col collapsed="false" customWidth="true" hidden="false" outlineLevel="0" max="25" min="25" style="1" width="22"/>
    <col collapsed="false" customWidth="true" hidden="false" outlineLevel="0" max="26" min="26" style="1" width="24"/>
    <col collapsed="false" customWidth="true" hidden="false" outlineLevel="0" max="27" min="27" style="1" width="115"/>
  </cols>
  <sheetData>
    <row r="1" customFormat="false" ht="33.75" hidden="false" customHeight="true" outlineLevel="0" collapsed="false">
      <c r="A1" s="7" t="s">
        <v>851</v>
      </c>
      <c r="B1" s="7"/>
      <c r="C1" s="7"/>
      <c r="D1" s="7"/>
      <c r="E1" s="7"/>
      <c r="F1" s="7"/>
      <c r="G1" s="7"/>
      <c r="H1" s="7"/>
      <c r="I1" s="7"/>
      <c r="J1" s="7"/>
      <c r="K1" s="7"/>
      <c r="L1" s="7"/>
      <c r="M1" s="7"/>
      <c r="N1" s="7"/>
      <c r="O1" s="7"/>
      <c r="P1" s="7"/>
      <c r="Q1" s="7"/>
      <c r="R1" s="7"/>
      <c r="S1" s="7"/>
      <c r="T1" s="7"/>
      <c r="U1" s="7"/>
      <c r="V1" s="7"/>
      <c r="W1" s="7"/>
      <c r="X1" s="7"/>
      <c r="Y1" s="7"/>
      <c r="Z1" s="7"/>
      <c r="AA1" s="7"/>
    </row>
    <row r="2" customFormat="false" ht="24.75" hidden="false" customHeight="true" outlineLevel="0" collapsed="false">
      <c r="A2" s="3" t="s">
        <v>852</v>
      </c>
      <c r="B2" s="3"/>
      <c r="C2" s="3"/>
      <c r="D2" s="3"/>
      <c r="E2" s="3"/>
      <c r="F2" s="3"/>
      <c r="G2" s="3"/>
      <c r="H2" s="3"/>
      <c r="I2" s="3"/>
      <c r="J2" s="3"/>
      <c r="K2" s="3"/>
      <c r="L2" s="3"/>
      <c r="M2" s="3"/>
      <c r="N2" s="3"/>
      <c r="O2" s="3"/>
      <c r="P2" s="3"/>
      <c r="Q2" s="3"/>
      <c r="R2" s="3"/>
      <c r="S2" s="3"/>
      <c r="T2" s="3"/>
      <c r="U2" s="3"/>
      <c r="V2" s="3"/>
      <c r="W2" s="3"/>
      <c r="X2" s="3"/>
      <c r="Y2" s="3"/>
      <c r="Z2" s="3"/>
      <c r="AA2" s="3"/>
    </row>
    <row r="3" customFormat="false" ht="24.7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c r="AA3" s="3"/>
    </row>
    <row r="5" customFormat="false" ht="48" hidden="false" customHeight="true" outlineLevel="0" collapsed="false">
      <c r="A5" s="4" t="s">
        <v>853</v>
      </c>
      <c r="B5" s="4" t="s">
        <v>854</v>
      </c>
      <c r="C5" s="4" t="s">
        <v>855</v>
      </c>
      <c r="D5" s="4" t="s">
        <v>856</v>
      </c>
      <c r="E5" s="4" t="s">
        <v>857</v>
      </c>
      <c r="F5" s="4" t="s">
        <v>858</v>
      </c>
      <c r="G5" s="4" t="s">
        <v>859</v>
      </c>
      <c r="H5" s="4" t="s">
        <v>860</v>
      </c>
      <c r="I5" s="4" t="s">
        <v>452</v>
      </c>
      <c r="J5" s="4" t="s">
        <v>471</v>
      </c>
      <c r="K5" s="4" t="s">
        <v>472</v>
      </c>
      <c r="L5" s="4" t="s">
        <v>473</v>
      </c>
      <c r="M5" s="4" t="s">
        <v>474</v>
      </c>
      <c r="N5" s="4" t="s">
        <v>475</v>
      </c>
      <c r="O5" s="4" t="s">
        <v>861</v>
      </c>
      <c r="P5" s="4" t="s">
        <v>862</v>
      </c>
      <c r="Q5" s="4" t="s">
        <v>863</v>
      </c>
      <c r="R5" s="4" t="s">
        <v>864</v>
      </c>
      <c r="S5" s="4" t="s">
        <v>865</v>
      </c>
      <c r="T5" s="4" t="s">
        <v>451</v>
      </c>
      <c r="U5" s="4" t="s">
        <v>866</v>
      </c>
      <c r="V5" s="4" t="s">
        <v>867</v>
      </c>
      <c r="W5" s="4" t="s">
        <v>868</v>
      </c>
      <c r="X5" s="4" t="s">
        <v>869</v>
      </c>
      <c r="Y5" s="4" t="s">
        <v>870</v>
      </c>
      <c r="Z5" s="4" t="s">
        <v>871</v>
      </c>
      <c r="AA5" s="4" t="s">
        <v>872</v>
      </c>
    </row>
    <row r="6" customFormat="false" ht="69.75" hidden="false" customHeight="true" outlineLevel="0" collapsed="false">
      <c r="A6" s="5" t="s">
        <v>84</v>
      </c>
      <c r="B6" s="5" t="s">
        <v>873</v>
      </c>
      <c r="C6" s="5" t="s">
        <v>874</v>
      </c>
      <c r="D6" s="5" t="n">
        <v>1</v>
      </c>
      <c r="E6" s="5" t="n">
        <f aca="false">D6+1</f>
        <v>2</v>
      </c>
      <c r="F6" s="5" t="n">
        <v>1</v>
      </c>
      <c r="G6" s="15" t="n">
        <f aca="false">Parametry!$C$12</f>
        <v>6</v>
      </c>
      <c r="H6" s="5" t="n">
        <f aca="false">ROUNDDOWN(Parametry!$C$9*Parametry!$C$10^(F6-1),0)</f>
        <v>60</v>
      </c>
      <c r="I6" s="5" t="n">
        <f aca="false">ROUNDUP((Parametry!$C$20*MAX(1,D6))*1,0)</f>
        <v>500</v>
      </c>
      <c r="J6" s="5" t="n">
        <f aca="false">ROUNDUP((Parametry!$C$20*MAX(1,D6))*1,0)</f>
        <v>500</v>
      </c>
      <c r="K6" s="5" t="n">
        <f aca="false">ROUNDUP((Parametry!$C$20*MAX(1,D6))*1,0)</f>
        <v>500</v>
      </c>
      <c r="L6" s="5" t="n">
        <f aca="false">ROUNDUP((Parametry!$C$20*MAX(1,D6))*1,0)</f>
        <v>500</v>
      </c>
      <c r="M6" s="5" t="n">
        <f aca="false">ROUNDUP((Parametry!$C$20*MAX(1,D6))*1,0)</f>
        <v>500</v>
      </c>
      <c r="N6" s="5" t="n">
        <f aca="false">ROUNDUP((Parametry!$C$20*MAX(1,D6))*1,0)</f>
        <v>500</v>
      </c>
      <c r="O6" s="5" t="n">
        <f aca="false">ROUNDUP(J6/H6,0)</f>
        <v>9</v>
      </c>
      <c r="P6" s="5" t="n">
        <f aca="false">ROUNDUP(K6/H6,0)</f>
        <v>9</v>
      </c>
      <c r="Q6" s="5" t="n">
        <f aca="false">ROUNDUP(L6/H6,0)</f>
        <v>9</v>
      </c>
      <c r="R6" s="5" t="n">
        <f aca="false">ROUNDUP(M6/H6,0)</f>
        <v>9</v>
      </c>
      <c r="S6" s="5" t="n">
        <f aca="false">ROUNDUP(N6/H6,0)</f>
        <v>9</v>
      </c>
      <c r="T6" s="5" t="n">
        <f aca="false">SUM(O6:S6)</f>
        <v>45</v>
      </c>
      <c r="U6" s="5" t="n">
        <f aca="false">ROUNDUP(T6/G6,0)</f>
        <v>8</v>
      </c>
      <c r="V6" s="5" t="n">
        <f aca="false">U6*Parametry!$C$11</f>
        <v>40</v>
      </c>
      <c r="W6" s="5" t="n">
        <f aca="false">2</f>
        <v>2</v>
      </c>
      <c r="X6" s="5" t="n">
        <f aca="false">V6*(W6-1)</f>
        <v>40</v>
      </c>
      <c r="Y6" s="5" t="n">
        <f aca="false">V6*W6</f>
        <v>80</v>
      </c>
      <c r="Z6" s="5" t="n">
        <f aca="false">SUM(J6:N6)</f>
        <v>2500</v>
      </c>
      <c r="AA6" s="5" t="s">
        <v>875</v>
      </c>
    </row>
    <row r="7" customFormat="false" ht="69.75" hidden="false" customHeight="true" outlineLevel="0" collapsed="false">
      <c r="A7" s="6" t="s">
        <v>84</v>
      </c>
      <c r="B7" s="6" t="s">
        <v>873</v>
      </c>
      <c r="C7" s="6" t="s">
        <v>876</v>
      </c>
      <c r="D7" s="6" t="n">
        <v>1</v>
      </c>
      <c r="E7" s="6" t="n">
        <f aca="false">D7+1</f>
        <v>2</v>
      </c>
      <c r="F7" s="6" t="n">
        <v>1</v>
      </c>
      <c r="G7" s="16" t="n">
        <f aca="false">Parametry!$C$12</f>
        <v>6</v>
      </c>
      <c r="H7" s="6" t="n">
        <f aca="false">ROUNDDOWN(Parametry!$C$9*Parametry!$C$10^(F7-1),0)</f>
        <v>60</v>
      </c>
      <c r="I7" s="6" t="n">
        <f aca="false">ROUNDUP((Parametry!$C$20*MAX(1,D7))*Parametry!$C$15,0)</f>
        <v>550</v>
      </c>
      <c r="J7" s="6" t="n">
        <f aca="false">ROUNDUP((Parametry!$C$20*MAX(1,D7))*Parametry!$C$15,0)</f>
        <v>550</v>
      </c>
      <c r="K7" s="6" t="n">
        <f aca="false">ROUNDUP((Parametry!$C$20*MAX(1,D7))*Parametry!$C$15,0)</f>
        <v>550</v>
      </c>
      <c r="L7" s="6" t="n">
        <f aca="false">ROUNDUP((Parametry!$C$20*MAX(1,D7))*Parametry!$C$15,0)</f>
        <v>550</v>
      </c>
      <c r="M7" s="6" t="n">
        <f aca="false">ROUNDUP((Parametry!$C$20*MAX(1,D7))*Parametry!$C$15,0)</f>
        <v>550</v>
      </c>
      <c r="N7" s="6" t="n">
        <f aca="false">ROUNDUP((Parametry!$C$20*MAX(1,D7))*Parametry!$C$15,0)</f>
        <v>550</v>
      </c>
      <c r="O7" s="6" t="n">
        <f aca="false">ROUNDUP(J7/H7,0)</f>
        <v>10</v>
      </c>
      <c r="P7" s="6" t="n">
        <f aca="false">ROUNDUP(K7/H7,0)</f>
        <v>10</v>
      </c>
      <c r="Q7" s="6" t="n">
        <f aca="false">ROUNDUP(L7/H7,0)</f>
        <v>10</v>
      </c>
      <c r="R7" s="6" t="n">
        <f aca="false">ROUNDUP(M7/H7,0)</f>
        <v>10</v>
      </c>
      <c r="S7" s="6" t="n">
        <f aca="false">ROUNDUP(N7/H7,0)</f>
        <v>10</v>
      </c>
      <c r="T7" s="6" t="n">
        <f aca="false">SUM(O7:S7)</f>
        <v>50</v>
      </c>
      <c r="U7" s="6" t="n">
        <f aca="false">ROUNDUP(T7/G7,0)</f>
        <v>9</v>
      </c>
      <c r="V7" s="6" t="n">
        <f aca="false">U7*Parametry!$C$11</f>
        <v>45</v>
      </c>
      <c r="W7" s="6" t="n">
        <f aca="false">2</f>
        <v>2</v>
      </c>
      <c r="X7" s="6" t="n">
        <f aca="false">V7*(W7-1)</f>
        <v>45</v>
      </c>
      <c r="Y7" s="6" t="n">
        <f aca="false">V7*W7</f>
        <v>90</v>
      </c>
      <c r="Z7" s="6" t="n">
        <f aca="false">SUM(J7:N7)</f>
        <v>2750</v>
      </c>
      <c r="AA7" s="6" t="s">
        <v>875</v>
      </c>
    </row>
    <row r="8" customFormat="false" ht="69.75" hidden="false" customHeight="true" outlineLevel="0" collapsed="false">
      <c r="A8" s="5" t="s">
        <v>84</v>
      </c>
      <c r="B8" s="5" t="s">
        <v>877</v>
      </c>
      <c r="C8" s="5" t="s">
        <v>874</v>
      </c>
      <c r="D8" s="5" t="n">
        <v>2</v>
      </c>
      <c r="E8" s="5" t="n">
        <f aca="false">D8+1</f>
        <v>3</v>
      </c>
      <c r="F8" s="5" t="n">
        <v>2</v>
      </c>
      <c r="G8" s="15" t="n">
        <f aca="false">Parametry!$C$12</f>
        <v>6</v>
      </c>
      <c r="H8" s="5" t="n">
        <f aca="false">ROUNDDOWN(Parametry!$C$9*Parametry!$C$10^(F8-1),0)</f>
        <v>66</v>
      </c>
      <c r="I8" s="5" t="n">
        <f aca="false">ROUNDUP((Parametry!$C$20*MAX(1,D8))*1,0)</f>
        <v>1000</v>
      </c>
      <c r="J8" s="5" t="n">
        <f aca="false">ROUNDUP((Parametry!$C$20*MAX(1,D8))*1,0)</f>
        <v>1000</v>
      </c>
      <c r="K8" s="5" t="n">
        <f aca="false">ROUNDUP((Parametry!$C$20*MAX(1,D8))*1,0)</f>
        <v>1000</v>
      </c>
      <c r="L8" s="5" t="n">
        <f aca="false">ROUNDUP((Parametry!$C$20*MAX(1,D8))*1,0)</f>
        <v>1000</v>
      </c>
      <c r="M8" s="5" t="n">
        <f aca="false">ROUNDUP((Parametry!$C$20*MAX(1,D8))*1,0)</f>
        <v>1000</v>
      </c>
      <c r="N8" s="5" t="n">
        <f aca="false">ROUNDUP((Parametry!$C$20*MAX(1,D8))*1,0)</f>
        <v>1000</v>
      </c>
      <c r="O8" s="5" t="n">
        <f aca="false">ROUNDUP(J8/H8,0)</f>
        <v>16</v>
      </c>
      <c r="P8" s="5" t="n">
        <f aca="false">ROUNDUP(K8/H8,0)</f>
        <v>16</v>
      </c>
      <c r="Q8" s="5" t="n">
        <f aca="false">ROUNDUP(L8/H8,0)</f>
        <v>16</v>
      </c>
      <c r="R8" s="5" t="n">
        <f aca="false">ROUNDUP(M8/H8,0)</f>
        <v>16</v>
      </c>
      <c r="S8" s="5" t="n">
        <f aca="false">ROUNDUP(N8/H8,0)</f>
        <v>16</v>
      </c>
      <c r="T8" s="5" t="n">
        <f aca="false">SUM(O8:S8)</f>
        <v>80</v>
      </c>
      <c r="U8" s="5" t="n">
        <f aca="false">ROUNDUP(T8/G8,0)</f>
        <v>14</v>
      </c>
      <c r="V8" s="5" t="n">
        <f aca="false">U8*Parametry!$C$11</f>
        <v>70</v>
      </c>
      <c r="W8" s="5" t="n">
        <f aca="false">2</f>
        <v>2</v>
      </c>
      <c r="X8" s="5" t="n">
        <f aca="false">V8*(W8-1)</f>
        <v>70</v>
      </c>
      <c r="Y8" s="5" t="n">
        <f aca="false">V8*W8</f>
        <v>140</v>
      </c>
      <c r="Z8" s="5" t="n">
        <f aca="false">SUM(J8:N8)</f>
        <v>5000</v>
      </c>
      <c r="AA8" s="5" t="s">
        <v>875</v>
      </c>
    </row>
    <row r="9" customFormat="false" ht="69.75" hidden="false" customHeight="true" outlineLevel="0" collapsed="false">
      <c r="A9" s="6" t="s">
        <v>84</v>
      </c>
      <c r="B9" s="6" t="s">
        <v>877</v>
      </c>
      <c r="C9" s="6" t="s">
        <v>876</v>
      </c>
      <c r="D9" s="6" t="n">
        <v>2</v>
      </c>
      <c r="E9" s="6" t="n">
        <f aca="false">D9+1</f>
        <v>3</v>
      </c>
      <c r="F9" s="6" t="n">
        <v>2</v>
      </c>
      <c r="G9" s="16" t="n">
        <f aca="false">Parametry!$C$12</f>
        <v>6</v>
      </c>
      <c r="H9" s="6" t="n">
        <f aca="false">ROUNDDOWN(Parametry!$C$9*Parametry!$C$10^(F9-1),0)</f>
        <v>66</v>
      </c>
      <c r="I9" s="6" t="n">
        <f aca="false">ROUNDUP((Parametry!$C$20*MAX(1,D9))*Parametry!$C$15,0)</f>
        <v>1100</v>
      </c>
      <c r="J9" s="6" t="n">
        <f aca="false">ROUNDUP((Parametry!$C$20*MAX(1,D9))*Parametry!$C$15,0)</f>
        <v>1100</v>
      </c>
      <c r="K9" s="6" t="n">
        <f aca="false">ROUNDUP((Parametry!$C$20*MAX(1,D9))*Parametry!$C$15,0)</f>
        <v>1100</v>
      </c>
      <c r="L9" s="6" t="n">
        <f aca="false">ROUNDUP((Parametry!$C$20*MAX(1,D9))*Parametry!$C$15,0)</f>
        <v>1100</v>
      </c>
      <c r="M9" s="6" t="n">
        <f aca="false">ROUNDUP((Parametry!$C$20*MAX(1,D9))*Parametry!$C$15,0)</f>
        <v>1100</v>
      </c>
      <c r="N9" s="6" t="n">
        <f aca="false">ROUNDUP((Parametry!$C$20*MAX(1,D9))*Parametry!$C$15,0)</f>
        <v>1100</v>
      </c>
      <c r="O9" s="6" t="n">
        <f aca="false">ROUNDUP(J9/H9,0)</f>
        <v>17</v>
      </c>
      <c r="P9" s="6" t="n">
        <f aca="false">ROUNDUP(K9/H9,0)</f>
        <v>17</v>
      </c>
      <c r="Q9" s="6" t="n">
        <f aca="false">ROUNDUP(L9/H9,0)</f>
        <v>17</v>
      </c>
      <c r="R9" s="6" t="n">
        <f aca="false">ROUNDUP(M9/H9,0)</f>
        <v>17</v>
      </c>
      <c r="S9" s="6" t="n">
        <f aca="false">ROUNDUP(N9/H9,0)</f>
        <v>17</v>
      </c>
      <c r="T9" s="6" t="n">
        <f aca="false">SUM(O9:S9)</f>
        <v>85</v>
      </c>
      <c r="U9" s="6" t="n">
        <f aca="false">ROUNDUP(T9/G9,0)</f>
        <v>15</v>
      </c>
      <c r="V9" s="6" t="n">
        <f aca="false">U9*Parametry!$C$11</f>
        <v>75</v>
      </c>
      <c r="W9" s="6" t="n">
        <f aca="false">2</f>
        <v>2</v>
      </c>
      <c r="X9" s="6" t="n">
        <f aca="false">V9*(W9-1)</f>
        <v>75</v>
      </c>
      <c r="Y9" s="6" t="n">
        <f aca="false">V9*W9</f>
        <v>150</v>
      </c>
      <c r="Z9" s="6" t="n">
        <f aca="false">SUM(J9:N9)</f>
        <v>5500</v>
      </c>
      <c r="AA9" s="6" t="s">
        <v>875</v>
      </c>
    </row>
    <row r="10" customFormat="false" ht="69.75" hidden="false" customHeight="true" outlineLevel="0" collapsed="false">
      <c r="A10" s="5" t="s">
        <v>84</v>
      </c>
      <c r="B10" s="5" t="s">
        <v>878</v>
      </c>
      <c r="C10" s="5" t="s">
        <v>874</v>
      </c>
      <c r="D10" s="5" t="n">
        <v>3</v>
      </c>
      <c r="E10" s="5" t="n">
        <f aca="false">D10+1</f>
        <v>4</v>
      </c>
      <c r="F10" s="5" t="n">
        <v>3</v>
      </c>
      <c r="G10" s="15" t="n">
        <f aca="false">Parametry!$C$12</f>
        <v>6</v>
      </c>
      <c r="H10" s="5" t="n">
        <f aca="false">ROUNDDOWN(Parametry!$C$9*Parametry!$C$10^(F10-1),0)</f>
        <v>72</v>
      </c>
      <c r="I10" s="5" t="n">
        <f aca="false">ROUNDUP((Parametry!$C$20*MAX(1,D10))*1,0)</f>
        <v>1500</v>
      </c>
      <c r="J10" s="5" t="n">
        <f aca="false">ROUNDUP((Parametry!$C$20*MAX(1,D10))*1,0)</f>
        <v>1500</v>
      </c>
      <c r="K10" s="5" t="n">
        <f aca="false">ROUNDUP((Parametry!$C$20*MAX(1,D10))*1,0)</f>
        <v>1500</v>
      </c>
      <c r="L10" s="5" t="n">
        <f aca="false">ROUNDUP((Parametry!$C$20*MAX(1,D10))*1,0)</f>
        <v>1500</v>
      </c>
      <c r="M10" s="5" t="n">
        <f aca="false">ROUNDUP((Parametry!$C$20*MAX(1,D10))*1,0)</f>
        <v>1500</v>
      </c>
      <c r="N10" s="5" t="n">
        <f aca="false">ROUNDUP((Parametry!$C$20*MAX(1,D10))*1,0)</f>
        <v>1500</v>
      </c>
      <c r="O10" s="5" t="n">
        <f aca="false">ROUNDUP(J10/H10,0)</f>
        <v>21</v>
      </c>
      <c r="P10" s="5" t="n">
        <f aca="false">ROUNDUP(K10/H10,0)</f>
        <v>21</v>
      </c>
      <c r="Q10" s="5" t="n">
        <f aca="false">ROUNDUP(L10/H10,0)</f>
        <v>21</v>
      </c>
      <c r="R10" s="5" t="n">
        <f aca="false">ROUNDUP(M10/H10,0)</f>
        <v>21</v>
      </c>
      <c r="S10" s="5" t="n">
        <f aca="false">ROUNDUP(N10/H10,0)</f>
        <v>21</v>
      </c>
      <c r="T10" s="5" t="n">
        <f aca="false">SUM(O10:S10)</f>
        <v>105</v>
      </c>
      <c r="U10" s="5" t="n">
        <f aca="false">ROUNDUP(T10/G10,0)</f>
        <v>18</v>
      </c>
      <c r="V10" s="5" t="n">
        <f aca="false">U10*Parametry!$C$11</f>
        <v>90</v>
      </c>
      <c r="W10" s="5" t="n">
        <f aca="false">2</f>
        <v>2</v>
      </c>
      <c r="X10" s="5" t="n">
        <f aca="false">V10*(W10-1)</f>
        <v>90</v>
      </c>
      <c r="Y10" s="5" t="n">
        <f aca="false">V10*W10</f>
        <v>180</v>
      </c>
      <c r="Z10" s="5" t="n">
        <f aca="false">SUM(J10:N10)</f>
        <v>7500</v>
      </c>
      <c r="AA10" s="5" t="s">
        <v>875</v>
      </c>
    </row>
    <row r="11" customFormat="false" ht="69.75" hidden="false" customHeight="true" outlineLevel="0" collapsed="false">
      <c r="A11" s="6" t="s">
        <v>84</v>
      </c>
      <c r="B11" s="6" t="s">
        <v>878</v>
      </c>
      <c r="C11" s="6" t="s">
        <v>876</v>
      </c>
      <c r="D11" s="6" t="n">
        <v>3</v>
      </c>
      <c r="E11" s="6" t="n">
        <f aca="false">D11+1</f>
        <v>4</v>
      </c>
      <c r="F11" s="6" t="n">
        <v>3</v>
      </c>
      <c r="G11" s="16" t="n">
        <f aca="false">Parametry!$C$12</f>
        <v>6</v>
      </c>
      <c r="H11" s="6" t="n">
        <f aca="false">ROUNDDOWN(Parametry!$C$9*Parametry!$C$10^(F11-1),0)</f>
        <v>72</v>
      </c>
      <c r="I11" s="6" t="n">
        <f aca="false">ROUNDUP((Parametry!$C$20*MAX(1,D11))*Parametry!$C$15,0)</f>
        <v>1650</v>
      </c>
      <c r="J11" s="6" t="n">
        <f aca="false">ROUNDUP((Parametry!$C$20*MAX(1,D11))*Parametry!$C$15,0)</f>
        <v>1650</v>
      </c>
      <c r="K11" s="6" t="n">
        <f aca="false">ROUNDUP((Parametry!$C$20*MAX(1,D11))*Parametry!$C$15,0)</f>
        <v>1650</v>
      </c>
      <c r="L11" s="6" t="n">
        <f aca="false">ROUNDUP((Parametry!$C$20*MAX(1,D11))*Parametry!$C$15,0)</f>
        <v>1650</v>
      </c>
      <c r="M11" s="6" t="n">
        <f aca="false">ROUNDUP((Parametry!$C$20*MAX(1,D11))*Parametry!$C$15,0)</f>
        <v>1650</v>
      </c>
      <c r="N11" s="6" t="n">
        <f aca="false">ROUNDUP((Parametry!$C$20*MAX(1,D11))*Parametry!$C$15,0)</f>
        <v>1650</v>
      </c>
      <c r="O11" s="6" t="n">
        <f aca="false">ROUNDUP(J11/H11,0)</f>
        <v>23</v>
      </c>
      <c r="P11" s="6" t="n">
        <f aca="false">ROUNDUP(K11/H11,0)</f>
        <v>23</v>
      </c>
      <c r="Q11" s="6" t="n">
        <f aca="false">ROUNDUP(L11/H11,0)</f>
        <v>23</v>
      </c>
      <c r="R11" s="6" t="n">
        <f aca="false">ROUNDUP(M11/H11,0)</f>
        <v>23</v>
      </c>
      <c r="S11" s="6" t="n">
        <f aca="false">ROUNDUP(N11/H11,0)</f>
        <v>23</v>
      </c>
      <c r="T11" s="6" t="n">
        <f aca="false">SUM(O11:S11)</f>
        <v>115</v>
      </c>
      <c r="U11" s="6" t="n">
        <f aca="false">ROUNDUP(T11/G11,0)</f>
        <v>20</v>
      </c>
      <c r="V11" s="6" t="n">
        <f aca="false">U11*Parametry!$C$11</f>
        <v>100</v>
      </c>
      <c r="W11" s="6" t="n">
        <f aca="false">2</f>
        <v>2</v>
      </c>
      <c r="X11" s="6" t="n">
        <f aca="false">V11*(W11-1)</f>
        <v>100</v>
      </c>
      <c r="Y11" s="6" t="n">
        <f aca="false">V11*W11</f>
        <v>200</v>
      </c>
      <c r="Z11" s="6" t="n">
        <f aca="false">SUM(J11:N11)</f>
        <v>8250</v>
      </c>
      <c r="AA11" s="6" t="s">
        <v>875</v>
      </c>
    </row>
    <row r="12" customFormat="false" ht="69.75" hidden="false" customHeight="true" outlineLevel="0" collapsed="false">
      <c r="A12" s="5" t="s">
        <v>96</v>
      </c>
      <c r="B12" s="5" t="s">
        <v>873</v>
      </c>
      <c r="C12" s="5" t="s">
        <v>874</v>
      </c>
      <c r="D12" s="5" t="n">
        <v>1</v>
      </c>
      <c r="E12" s="5" t="n">
        <f aca="false">D12+1</f>
        <v>2</v>
      </c>
      <c r="F12" s="5" t="n">
        <v>1</v>
      </c>
      <c r="G12" s="15" t="n">
        <f aca="false">Parametry!$C$12</f>
        <v>6</v>
      </c>
      <c r="H12" s="5" t="n">
        <f aca="false">ROUNDDOWN(Parametry!$C$9*Parametry!$C$10^(F12-1),0)</f>
        <v>60</v>
      </c>
      <c r="I12" s="5" t="n">
        <f aca="false">ROUNDUP((Parametry!$C$20*MAX(1,D12))*1,0)</f>
        <v>500</v>
      </c>
      <c r="J12" s="5" t="n">
        <f aca="false">ROUNDUP((Parametry!$C$20*MAX(1,D12))*1,0)</f>
        <v>500</v>
      </c>
      <c r="K12" s="5" t="n">
        <f aca="false">ROUNDUP((Parametry!$C$20*MAX(1,D12))*1,0)</f>
        <v>500</v>
      </c>
      <c r="L12" s="5" t="n">
        <f aca="false">ROUNDUP((Parametry!$C$20*MAX(1,D12))*1,0)</f>
        <v>500</v>
      </c>
      <c r="M12" s="5" t="n">
        <f aca="false">ROUNDUP((Parametry!$C$20*MAX(1,D12))*1,0)</f>
        <v>500</v>
      </c>
      <c r="N12" s="5" t="n">
        <f aca="false">ROUNDUP((Parametry!$C$20*MAX(1,D12))*1,0)</f>
        <v>500</v>
      </c>
      <c r="O12" s="5" t="n">
        <f aca="false">ROUNDUP(J12/H12,0)</f>
        <v>9</v>
      </c>
      <c r="P12" s="5" t="n">
        <f aca="false">ROUNDUP(K12/H12,0)</f>
        <v>9</v>
      </c>
      <c r="Q12" s="5" t="n">
        <f aca="false">ROUNDUP(L12/H12,0)</f>
        <v>9</v>
      </c>
      <c r="R12" s="5" t="n">
        <f aca="false">ROUNDUP(M12/H12,0)</f>
        <v>9</v>
      </c>
      <c r="S12" s="5" t="n">
        <f aca="false">ROUNDUP(N12/H12,0)</f>
        <v>9</v>
      </c>
      <c r="T12" s="5" t="n">
        <f aca="false">SUM(O12:S12)</f>
        <v>45</v>
      </c>
      <c r="U12" s="5" t="n">
        <f aca="false">ROUNDUP(T12/G12,0)</f>
        <v>8</v>
      </c>
      <c r="V12" s="5" t="n">
        <f aca="false">U12*Parametry!$C$11</f>
        <v>40</v>
      </c>
      <c r="W12" s="5" t="n">
        <f aca="false">2</f>
        <v>2</v>
      </c>
      <c r="X12" s="5" t="n">
        <f aca="false">V12*(W12-1)</f>
        <v>40</v>
      </c>
      <c r="Y12" s="5" t="n">
        <f aca="false">V12*W12</f>
        <v>80</v>
      </c>
      <c r="Z12" s="5" t="n">
        <f aca="false">SUM(J12:N12)</f>
        <v>2500</v>
      </c>
      <c r="AA12" s="5" t="s">
        <v>875</v>
      </c>
    </row>
    <row r="13" customFormat="false" ht="69.75" hidden="false" customHeight="true" outlineLevel="0" collapsed="false">
      <c r="A13" s="6" t="s">
        <v>96</v>
      </c>
      <c r="B13" s="6" t="s">
        <v>873</v>
      </c>
      <c r="C13" s="6" t="s">
        <v>876</v>
      </c>
      <c r="D13" s="6" t="n">
        <v>1</v>
      </c>
      <c r="E13" s="6" t="n">
        <f aca="false">D13+1</f>
        <v>2</v>
      </c>
      <c r="F13" s="6" t="n">
        <v>1</v>
      </c>
      <c r="G13" s="16" t="n">
        <f aca="false">Parametry!$C$12</f>
        <v>6</v>
      </c>
      <c r="H13" s="6" t="n">
        <f aca="false">ROUNDDOWN(Parametry!$C$9*Parametry!$C$10^(F13-1),0)</f>
        <v>60</v>
      </c>
      <c r="I13" s="6" t="n">
        <f aca="false">ROUNDUP((Parametry!$C$20*MAX(1,D13))*Parametry!$C$15,0)</f>
        <v>550</v>
      </c>
      <c r="J13" s="6" t="n">
        <f aca="false">ROUNDUP((Parametry!$C$20*MAX(1,D13))*Parametry!$C$15,0)</f>
        <v>550</v>
      </c>
      <c r="K13" s="6" t="n">
        <f aca="false">ROUNDUP((Parametry!$C$20*MAX(1,D13))*Parametry!$C$15,0)</f>
        <v>550</v>
      </c>
      <c r="L13" s="6" t="n">
        <f aca="false">ROUNDUP((Parametry!$C$20*MAX(1,D13))*Parametry!$C$15,0)</f>
        <v>550</v>
      </c>
      <c r="M13" s="6" t="n">
        <f aca="false">ROUNDUP((Parametry!$C$20*MAX(1,D13))*Parametry!$C$15,0)</f>
        <v>550</v>
      </c>
      <c r="N13" s="6" t="n">
        <f aca="false">ROUNDUP((Parametry!$C$20*MAX(1,D13))*Parametry!$C$15,0)</f>
        <v>550</v>
      </c>
      <c r="O13" s="6" t="n">
        <f aca="false">ROUNDUP(J13/H13,0)</f>
        <v>10</v>
      </c>
      <c r="P13" s="6" t="n">
        <f aca="false">ROUNDUP(K13/H13,0)</f>
        <v>10</v>
      </c>
      <c r="Q13" s="6" t="n">
        <f aca="false">ROUNDUP(L13/H13,0)</f>
        <v>10</v>
      </c>
      <c r="R13" s="6" t="n">
        <f aca="false">ROUNDUP(M13/H13,0)</f>
        <v>10</v>
      </c>
      <c r="S13" s="6" t="n">
        <f aca="false">ROUNDUP(N13/H13,0)</f>
        <v>10</v>
      </c>
      <c r="T13" s="6" t="n">
        <f aca="false">SUM(O13:S13)</f>
        <v>50</v>
      </c>
      <c r="U13" s="6" t="n">
        <f aca="false">ROUNDUP(T13/G13,0)</f>
        <v>9</v>
      </c>
      <c r="V13" s="6" t="n">
        <f aca="false">U13*Parametry!$C$11</f>
        <v>45</v>
      </c>
      <c r="W13" s="6" t="n">
        <f aca="false">2</f>
        <v>2</v>
      </c>
      <c r="X13" s="6" t="n">
        <f aca="false">V13*(W13-1)</f>
        <v>45</v>
      </c>
      <c r="Y13" s="6" t="n">
        <f aca="false">V13*W13</f>
        <v>90</v>
      </c>
      <c r="Z13" s="6" t="n">
        <f aca="false">SUM(J13:N13)</f>
        <v>2750</v>
      </c>
      <c r="AA13" s="6" t="s">
        <v>875</v>
      </c>
    </row>
    <row r="14" customFormat="false" ht="69.75" hidden="false" customHeight="true" outlineLevel="0" collapsed="false">
      <c r="A14" s="5" t="s">
        <v>96</v>
      </c>
      <c r="B14" s="5" t="s">
        <v>877</v>
      </c>
      <c r="C14" s="5" t="s">
        <v>874</v>
      </c>
      <c r="D14" s="5" t="n">
        <v>2</v>
      </c>
      <c r="E14" s="5" t="n">
        <f aca="false">D14+1</f>
        <v>3</v>
      </c>
      <c r="F14" s="5" t="n">
        <v>2</v>
      </c>
      <c r="G14" s="15" t="n">
        <f aca="false">Parametry!$C$12</f>
        <v>6</v>
      </c>
      <c r="H14" s="5" t="n">
        <f aca="false">ROUNDDOWN(Parametry!$C$9*Parametry!$C$10^(F14-1),0)</f>
        <v>66</v>
      </c>
      <c r="I14" s="5" t="n">
        <f aca="false">ROUNDUP((Parametry!$C$20*MAX(1,D14))*1,0)</f>
        <v>1000</v>
      </c>
      <c r="J14" s="5" t="n">
        <f aca="false">ROUNDUP((Parametry!$C$20*MAX(1,D14))*1,0)</f>
        <v>1000</v>
      </c>
      <c r="K14" s="5" t="n">
        <f aca="false">ROUNDUP((Parametry!$C$20*MAX(1,D14))*1,0)</f>
        <v>1000</v>
      </c>
      <c r="L14" s="5" t="n">
        <f aca="false">ROUNDUP((Parametry!$C$20*MAX(1,D14))*1,0)</f>
        <v>1000</v>
      </c>
      <c r="M14" s="5" t="n">
        <f aca="false">ROUNDUP((Parametry!$C$20*MAX(1,D14))*1,0)</f>
        <v>1000</v>
      </c>
      <c r="N14" s="5" t="n">
        <f aca="false">ROUNDUP((Parametry!$C$20*MAX(1,D14))*1,0)</f>
        <v>1000</v>
      </c>
      <c r="O14" s="5" t="n">
        <f aca="false">ROUNDUP(J14/H14,0)</f>
        <v>16</v>
      </c>
      <c r="P14" s="5" t="n">
        <f aca="false">ROUNDUP(K14/H14,0)</f>
        <v>16</v>
      </c>
      <c r="Q14" s="5" t="n">
        <f aca="false">ROUNDUP(L14/H14,0)</f>
        <v>16</v>
      </c>
      <c r="R14" s="5" t="n">
        <f aca="false">ROUNDUP(M14/H14,0)</f>
        <v>16</v>
      </c>
      <c r="S14" s="5" t="n">
        <f aca="false">ROUNDUP(N14/H14,0)</f>
        <v>16</v>
      </c>
      <c r="T14" s="5" t="n">
        <f aca="false">SUM(O14:S14)</f>
        <v>80</v>
      </c>
      <c r="U14" s="5" t="n">
        <f aca="false">ROUNDUP(T14/G14,0)</f>
        <v>14</v>
      </c>
      <c r="V14" s="5" t="n">
        <f aca="false">U14*Parametry!$C$11</f>
        <v>70</v>
      </c>
      <c r="W14" s="5" t="n">
        <f aca="false">2</f>
        <v>2</v>
      </c>
      <c r="X14" s="5" t="n">
        <f aca="false">V14*(W14-1)</f>
        <v>70</v>
      </c>
      <c r="Y14" s="5" t="n">
        <f aca="false">V14*W14</f>
        <v>140</v>
      </c>
      <c r="Z14" s="5" t="n">
        <f aca="false">SUM(J14:N14)</f>
        <v>5000</v>
      </c>
      <c r="AA14" s="5" t="s">
        <v>875</v>
      </c>
    </row>
    <row r="15" customFormat="false" ht="69.75" hidden="false" customHeight="true" outlineLevel="0" collapsed="false">
      <c r="A15" s="6" t="s">
        <v>96</v>
      </c>
      <c r="B15" s="6" t="s">
        <v>877</v>
      </c>
      <c r="C15" s="6" t="s">
        <v>876</v>
      </c>
      <c r="D15" s="6" t="n">
        <v>2</v>
      </c>
      <c r="E15" s="6" t="n">
        <f aca="false">D15+1</f>
        <v>3</v>
      </c>
      <c r="F15" s="6" t="n">
        <v>2</v>
      </c>
      <c r="G15" s="16" t="n">
        <f aca="false">Parametry!$C$12</f>
        <v>6</v>
      </c>
      <c r="H15" s="6" t="n">
        <f aca="false">ROUNDDOWN(Parametry!$C$9*Parametry!$C$10^(F15-1),0)</f>
        <v>66</v>
      </c>
      <c r="I15" s="6" t="n">
        <f aca="false">ROUNDUP((Parametry!$C$20*MAX(1,D15))*Parametry!$C$15,0)</f>
        <v>1100</v>
      </c>
      <c r="J15" s="6" t="n">
        <f aca="false">ROUNDUP((Parametry!$C$20*MAX(1,D15))*Parametry!$C$15,0)</f>
        <v>1100</v>
      </c>
      <c r="K15" s="6" t="n">
        <f aca="false">ROUNDUP((Parametry!$C$20*MAX(1,D15))*Parametry!$C$15,0)</f>
        <v>1100</v>
      </c>
      <c r="L15" s="6" t="n">
        <f aca="false">ROUNDUP((Parametry!$C$20*MAX(1,D15))*Parametry!$C$15,0)</f>
        <v>1100</v>
      </c>
      <c r="M15" s="6" t="n">
        <f aca="false">ROUNDUP((Parametry!$C$20*MAX(1,D15))*Parametry!$C$15,0)</f>
        <v>1100</v>
      </c>
      <c r="N15" s="6" t="n">
        <f aca="false">ROUNDUP((Parametry!$C$20*MAX(1,D15))*Parametry!$C$15,0)</f>
        <v>1100</v>
      </c>
      <c r="O15" s="6" t="n">
        <f aca="false">ROUNDUP(J15/H15,0)</f>
        <v>17</v>
      </c>
      <c r="P15" s="6" t="n">
        <f aca="false">ROUNDUP(K15/H15,0)</f>
        <v>17</v>
      </c>
      <c r="Q15" s="6" t="n">
        <f aca="false">ROUNDUP(L15/H15,0)</f>
        <v>17</v>
      </c>
      <c r="R15" s="6" t="n">
        <f aca="false">ROUNDUP(M15/H15,0)</f>
        <v>17</v>
      </c>
      <c r="S15" s="6" t="n">
        <f aca="false">ROUNDUP(N15/H15,0)</f>
        <v>17</v>
      </c>
      <c r="T15" s="6" t="n">
        <f aca="false">SUM(O15:S15)</f>
        <v>85</v>
      </c>
      <c r="U15" s="6" t="n">
        <f aca="false">ROUNDUP(T15/G15,0)</f>
        <v>15</v>
      </c>
      <c r="V15" s="6" t="n">
        <f aca="false">U15*Parametry!$C$11</f>
        <v>75</v>
      </c>
      <c r="W15" s="6" t="n">
        <f aca="false">2</f>
        <v>2</v>
      </c>
      <c r="X15" s="6" t="n">
        <f aca="false">V15*(W15-1)</f>
        <v>75</v>
      </c>
      <c r="Y15" s="6" t="n">
        <f aca="false">V15*W15</f>
        <v>150</v>
      </c>
      <c r="Z15" s="6" t="n">
        <f aca="false">SUM(J15:N15)</f>
        <v>5500</v>
      </c>
      <c r="AA15" s="6" t="s">
        <v>875</v>
      </c>
    </row>
    <row r="16" customFormat="false" ht="69.75" hidden="false" customHeight="true" outlineLevel="0" collapsed="false">
      <c r="A16" s="5" t="s">
        <v>96</v>
      </c>
      <c r="B16" s="5" t="s">
        <v>878</v>
      </c>
      <c r="C16" s="5" t="s">
        <v>874</v>
      </c>
      <c r="D16" s="5" t="n">
        <v>3</v>
      </c>
      <c r="E16" s="5" t="n">
        <f aca="false">D16+1</f>
        <v>4</v>
      </c>
      <c r="F16" s="5" t="n">
        <v>3</v>
      </c>
      <c r="G16" s="15" t="n">
        <f aca="false">Parametry!$C$12</f>
        <v>6</v>
      </c>
      <c r="H16" s="5" t="n">
        <f aca="false">ROUNDDOWN(Parametry!$C$9*Parametry!$C$10^(F16-1),0)</f>
        <v>72</v>
      </c>
      <c r="I16" s="5" t="n">
        <f aca="false">ROUNDUP((Parametry!$C$20*MAX(1,D16))*1,0)</f>
        <v>1500</v>
      </c>
      <c r="J16" s="5" t="n">
        <f aca="false">ROUNDUP((Parametry!$C$20*MAX(1,D16))*1,0)</f>
        <v>1500</v>
      </c>
      <c r="K16" s="5" t="n">
        <f aca="false">ROUNDUP((Parametry!$C$20*MAX(1,D16))*1,0)</f>
        <v>1500</v>
      </c>
      <c r="L16" s="5" t="n">
        <f aca="false">ROUNDUP((Parametry!$C$20*MAX(1,D16))*1,0)</f>
        <v>1500</v>
      </c>
      <c r="M16" s="5" t="n">
        <f aca="false">ROUNDUP((Parametry!$C$20*MAX(1,D16))*1,0)</f>
        <v>1500</v>
      </c>
      <c r="N16" s="5" t="n">
        <f aca="false">ROUNDUP((Parametry!$C$20*MAX(1,D16))*1,0)</f>
        <v>1500</v>
      </c>
      <c r="O16" s="5" t="n">
        <f aca="false">ROUNDUP(J16/H16,0)</f>
        <v>21</v>
      </c>
      <c r="P16" s="5" t="n">
        <f aca="false">ROUNDUP(K16/H16,0)</f>
        <v>21</v>
      </c>
      <c r="Q16" s="5" t="n">
        <f aca="false">ROUNDUP(L16/H16,0)</f>
        <v>21</v>
      </c>
      <c r="R16" s="5" t="n">
        <f aca="false">ROUNDUP(M16/H16,0)</f>
        <v>21</v>
      </c>
      <c r="S16" s="5" t="n">
        <f aca="false">ROUNDUP(N16/H16,0)</f>
        <v>21</v>
      </c>
      <c r="T16" s="5" t="n">
        <f aca="false">SUM(O16:S16)</f>
        <v>105</v>
      </c>
      <c r="U16" s="5" t="n">
        <f aca="false">ROUNDUP(T16/G16,0)</f>
        <v>18</v>
      </c>
      <c r="V16" s="5" t="n">
        <f aca="false">U16*Parametry!$C$11</f>
        <v>90</v>
      </c>
      <c r="W16" s="5" t="n">
        <f aca="false">2</f>
        <v>2</v>
      </c>
      <c r="X16" s="5" t="n">
        <f aca="false">V16*(W16-1)</f>
        <v>90</v>
      </c>
      <c r="Y16" s="5" t="n">
        <f aca="false">V16*W16</f>
        <v>180</v>
      </c>
      <c r="Z16" s="5" t="n">
        <f aca="false">SUM(J16:N16)</f>
        <v>7500</v>
      </c>
      <c r="AA16" s="5" t="s">
        <v>875</v>
      </c>
    </row>
    <row r="17" customFormat="false" ht="69.75" hidden="false" customHeight="true" outlineLevel="0" collapsed="false">
      <c r="A17" s="6" t="s">
        <v>96</v>
      </c>
      <c r="B17" s="6" t="s">
        <v>878</v>
      </c>
      <c r="C17" s="6" t="s">
        <v>876</v>
      </c>
      <c r="D17" s="6" t="n">
        <v>3</v>
      </c>
      <c r="E17" s="6" t="n">
        <f aca="false">D17+1</f>
        <v>4</v>
      </c>
      <c r="F17" s="6" t="n">
        <v>3</v>
      </c>
      <c r="G17" s="16" t="n">
        <f aca="false">Parametry!$C$12</f>
        <v>6</v>
      </c>
      <c r="H17" s="6" t="n">
        <f aca="false">ROUNDDOWN(Parametry!$C$9*Parametry!$C$10^(F17-1),0)</f>
        <v>72</v>
      </c>
      <c r="I17" s="6" t="n">
        <f aca="false">ROUNDUP((Parametry!$C$20*MAX(1,D17))*Parametry!$C$15,0)</f>
        <v>1650</v>
      </c>
      <c r="J17" s="6" t="n">
        <f aca="false">ROUNDUP((Parametry!$C$20*MAX(1,D17))*Parametry!$C$15,0)</f>
        <v>1650</v>
      </c>
      <c r="K17" s="6" t="n">
        <f aca="false">ROUNDUP((Parametry!$C$20*MAX(1,D17))*Parametry!$C$15,0)</f>
        <v>1650</v>
      </c>
      <c r="L17" s="6" t="n">
        <f aca="false">ROUNDUP((Parametry!$C$20*MAX(1,D17))*Parametry!$C$15,0)</f>
        <v>1650</v>
      </c>
      <c r="M17" s="6" t="n">
        <f aca="false">ROUNDUP((Parametry!$C$20*MAX(1,D17))*Parametry!$C$15,0)</f>
        <v>1650</v>
      </c>
      <c r="N17" s="6" t="n">
        <f aca="false">ROUNDUP((Parametry!$C$20*MAX(1,D17))*Parametry!$C$15,0)</f>
        <v>1650</v>
      </c>
      <c r="O17" s="6" t="n">
        <f aca="false">ROUNDUP(J17/H17,0)</f>
        <v>23</v>
      </c>
      <c r="P17" s="6" t="n">
        <f aca="false">ROUNDUP(K17/H17,0)</f>
        <v>23</v>
      </c>
      <c r="Q17" s="6" t="n">
        <f aca="false">ROUNDUP(L17/H17,0)</f>
        <v>23</v>
      </c>
      <c r="R17" s="6" t="n">
        <f aca="false">ROUNDUP(M17/H17,0)</f>
        <v>23</v>
      </c>
      <c r="S17" s="6" t="n">
        <f aca="false">ROUNDUP(N17/H17,0)</f>
        <v>23</v>
      </c>
      <c r="T17" s="6" t="n">
        <f aca="false">SUM(O17:S17)</f>
        <v>115</v>
      </c>
      <c r="U17" s="6" t="n">
        <f aca="false">ROUNDUP(T17/G17,0)</f>
        <v>20</v>
      </c>
      <c r="V17" s="6" t="n">
        <f aca="false">U17*Parametry!$C$11</f>
        <v>100</v>
      </c>
      <c r="W17" s="6" t="n">
        <f aca="false">2</f>
        <v>2</v>
      </c>
      <c r="X17" s="6" t="n">
        <f aca="false">V17*(W17-1)</f>
        <v>100</v>
      </c>
      <c r="Y17" s="6" t="n">
        <f aca="false">V17*W17</f>
        <v>200</v>
      </c>
      <c r="Z17" s="6" t="n">
        <f aca="false">SUM(J17:N17)</f>
        <v>8250</v>
      </c>
      <c r="AA17" s="6" t="s">
        <v>875</v>
      </c>
    </row>
    <row r="18" customFormat="false" ht="69.75" hidden="false" customHeight="true" outlineLevel="0" collapsed="false">
      <c r="A18" s="5" t="s">
        <v>103</v>
      </c>
      <c r="B18" s="5" t="s">
        <v>873</v>
      </c>
      <c r="C18" s="5" t="s">
        <v>874</v>
      </c>
      <c r="D18" s="5" t="n">
        <v>1</v>
      </c>
      <c r="E18" s="5" t="n">
        <f aca="false">D18+1</f>
        <v>2</v>
      </c>
      <c r="F18" s="5" t="n">
        <v>1</v>
      </c>
      <c r="G18" s="15" t="n">
        <f aca="false">Parametry!$C$12</f>
        <v>6</v>
      </c>
      <c r="H18" s="5" t="n">
        <f aca="false">ROUNDDOWN(Parametry!$C$9*Parametry!$C$10^(F18-1),0)</f>
        <v>60</v>
      </c>
      <c r="I18" s="5" t="n">
        <f aca="false">ROUNDUP((0)*1,0)</f>
        <v>0</v>
      </c>
      <c r="J18" s="5" t="n">
        <f aca="false">ROUNDUP((Parametry!$C$16*Parametry!$C$17*D18)*1,0)</f>
        <v>72</v>
      </c>
      <c r="K18" s="5" t="n">
        <f aca="false">ROUNDUP((Parametry!$C$16*Parametry!$C$18*D18)*1,0)</f>
        <v>72</v>
      </c>
      <c r="L18" s="5" t="n">
        <f aca="false">ROUNDUP((Parametry!$C$16*Parametry!$C$19*D18)*1,0)</f>
        <v>120</v>
      </c>
      <c r="M18" s="5" t="n">
        <f aca="false">ROUNDUP((0)*1,0)</f>
        <v>0</v>
      </c>
      <c r="N18" s="5" t="n">
        <f aca="false">ROUNDUP((0)*1,0)</f>
        <v>0</v>
      </c>
      <c r="O18" s="5" t="n">
        <f aca="false">ROUNDUP(J18/H18,0)</f>
        <v>2</v>
      </c>
      <c r="P18" s="5" t="n">
        <f aca="false">ROUNDUP(K18/H18,0)</f>
        <v>2</v>
      </c>
      <c r="Q18" s="5" t="n">
        <f aca="false">ROUNDUP(L18/H18,0)</f>
        <v>2</v>
      </c>
      <c r="R18" s="5" t="n">
        <f aca="false">ROUNDUP(M18/H18,0)</f>
        <v>0</v>
      </c>
      <c r="S18" s="5" t="n">
        <f aca="false">ROUNDUP(N18/H18,0)</f>
        <v>0</v>
      </c>
      <c r="T18" s="5" t="n">
        <f aca="false">SUM(O18:S18)</f>
        <v>6</v>
      </c>
      <c r="U18" s="5" t="n">
        <f aca="false">ROUNDUP(T18/G18,0)</f>
        <v>1</v>
      </c>
      <c r="V18" s="5" t="n">
        <f aca="false">U18*Parametry!$C$11</f>
        <v>5</v>
      </c>
      <c r="W18" s="5" t="n">
        <f aca="false">2</f>
        <v>2</v>
      </c>
      <c r="X18" s="5" t="n">
        <f aca="false">V18*(W18-1)</f>
        <v>5</v>
      </c>
      <c r="Y18" s="5" t="n">
        <f aca="false">V18*W18</f>
        <v>10</v>
      </c>
      <c r="Z18" s="5" t="n">
        <f aca="false">SUM(J18:N18)</f>
        <v>264</v>
      </c>
      <c r="AA18" s="5" t="s">
        <v>875</v>
      </c>
    </row>
    <row r="19" customFormat="false" ht="69.75" hidden="false" customHeight="true" outlineLevel="0" collapsed="false">
      <c r="A19" s="6" t="s">
        <v>103</v>
      </c>
      <c r="B19" s="6" t="s">
        <v>873</v>
      </c>
      <c r="C19" s="6" t="s">
        <v>876</v>
      </c>
      <c r="D19" s="6" t="n">
        <v>1</v>
      </c>
      <c r="E19" s="6" t="n">
        <f aca="false">D19+1</f>
        <v>2</v>
      </c>
      <c r="F19" s="6" t="n">
        <v>1</v>
      </c>
      <c r="G19" s="16" t="n">
        <f aca="false">Parametry!$C$12</f>
        <v>6</v>
      </c>
      <c r="H19" s="6" t="n">
        <f aca="false">ROUNDDOWN(Parametry!$C$9*Parametry!$C$10^(F19-1),0)</f>
        <v>60</v>
      </c>
      <c r="I19" s="6" t="n">
        <f aca="false">ROUNDUP((0)*Parametry!$C$15,0)</f>
        <v>0</v>
      </c>
      <c r="J19" s="6" t="n">
        <f aca="false">ROUNDUP((Parametry!$C$16*Parametry!$C$17*D19)*Parametry!$C$15,0)</f>
        <v>80</v>
      </c>
      <c r="K19" s="6" t="n">
        <f aca="false">ROUNDUP((Parametry!$C$16*Parametry!$C$18*D19)*Parametry!$C$15,0)</f>
        <v>80</v>
      </c>
      <c r="L19" s="6" t="n">
        <f aca="false">ROUNDUP((Parametry!$C$16*Parametry!$C$19*D19)*Parametry!$C$15,0)</f>
        <v>132</v>
      </c>
      <c r="M19" s="6" t="n">
        <f aca="false">ROUNDUP((0)*Parametry!$C$15,0)</f>
        <v>0</v>
      </c>
      <c r="N19" s="6" t="n">
        <f aca="false">ROUNDUP((0)*Parametry!$C$15,0)</f>
        <v>0</v>
      </c>
      <c r="O19" s="6" t="n">
        <f aca="false">ROUNDUP(J19/H19,0)</f>
        <v>2</v>
      </c>
      <c r="P19" s="6" t="n">
        <f aca="false">ROUNDUP(K19/H19,0)</f>
        <v>2</v>
      </c>
      <c r="Q19" s="6" t="n">
        <f aca="false">ROUNDUP(L19/H19,0)</f>
        <v>3</v>
      </c>
      <c r="R19" s="6" t="n">
        <f aca="false">ROUNDUP(M19/H19,0)</f>
        <v>0</v>
      </c>
      <c r="S19" s="6" t="n">
        <f aca="false">ROUNDUP(N19/H19,0)</f>
        <v>0</v>
      </c>
      <c r="T19" s="6" t="n">
        <f aca="false">SUM(O19:S19)</f>
        <v>7</v>
      </c>
      <c r="U19" s="6" t="n">
        <f aca="false">ROUNDUP(T19/G19,0)</f>
        <v>2</v>
      </c>
      <c r="V19" s="6" t="n">
        <f aca="false">U19*Parametry!$C$11</f>
        <v>10</v>
      </c>
      <c r="W19" s="6" t="n">
        <f aca="false">2</f>
        <v>2</v>
      </c>
      <c r="X19" s="6" t="n">
        <f aca="false">V19*(W19-1)</f>
        <v>10</v>
      </c>
      <c r="Y19" s="6" t="n">
        <f aca="false">V19*W19</f>
        <v>20</v>
      </c>
      <c r="Z19" s="6" t="n">
        <f aca="false">SUM(J19:N19)</f>
        <v>292</v>
      </c>
      <c r="AA19" s="6" t="s">
        <v>875</v>
      </c>
    </row>
    <row r="20" customFormat="false" ht="69.75" hidden="false" customHeight="true" outlineLevel="0" collapsed="false">
      <c r="A20" s="5" t="s">
        <v>103</v>
      </c>
      <c r="B20" s="5" t="s">
        <v>877</v>
      </c>
      <c r="C20" s="5" t="s">
        <v>874</v>
      </c>
      <c r="D20" s="5" t="n">
        <v>2</v>
      </c>
      <c r="E20" s="5" t="n">
        <f aca="false">D20+1</f>
        <v>3</v>
      </c>
      <c r="F20" s="5" t="n">
        <v>2</v>
      </c>
      <c r="G20" s="15" t="n">
        <f aca="false">Parametry!$C$12</f>
        <v>6</v>
      </c>
      <c r="H20" s="5" t="n">
        <f aca="false">ROUNDDOWN(Parametry!$C$9*Parametry!$C$10^(F20-1),0)</f>
        <v>66</v>
      </c>
      <c r="I20" s="5" t="n">
        <f aca="false">ROUNDUP((0)*1,0)</f>
        <v>0</v>
      </c>
      <c r="J20" s="5" t="n">
        <f aca="false">ROUNDUP((Parametry!$C$16*Parametry!$C$17*D20)*1,0)</f>
        <v>144</v>
      </c>
      <c r="K20" s="5" t="n">
        <f aca="false">ROUNDUP((Parametry!$C$16*Parametry!$C$18*D20)*1,0)</f>
        <v>144</v>
      </c>
      <c r="L20" s="5" t="n">
        <f aca="false">ROUNDUP((Parametry!$C$16*Parametry!$C$19*D20)*1,0)</f>
        <v>240</v>
      </c>
      <c r="M20" s="5" t="n">
        <f aca="false">ROUNDUP((0)*1,0)</f>
        <v>0</v>
      </c>
      <c r="N20" s="5" t="n">
        <f aca="false">ROUNDUP((0)*1,0)</f>
        <v>0</v>
      </c>
      <c r="O20" s="5" t="n">
        <f aca="false">ROUNDUP(J20/H20,0)</f>
        <v>3</v>
      </c>
      <c r="P20" s="5" t="n">
        <f aca="false">ROUNDUP(K20/H20,0)</f>
        <v>3</v>
      </c>
      <c r="Q20" s="5" t="n">
        <f aca="false">ROUNDUP(L20/H20,0)</f>
        <v>4</v>
      </c>
      <c r="R20" s="5" t="n">
        <f aca="false">ROUNDUP(M20/H20,0)</f>
        <v>0</v>
      </c>
      <c r="S20" s="5" t="n">
        <f aca="false">ROUNDUP(N20/H20,0)</f>
        <v>0</v>
      </c>
      <c r="T20" s="5" t="n">
        <f aca="false">SUM(O20:S20)</f>
        <v>10</v>
      </c>
      <c r="U20" s="5" t="n">
        <f aca="false">ROUNDUP(T20/G20,0)</f>
        <v>2</v>
      </c>
      <c r="V20" s="5" t="n">
        <f aca="false">U20*Parametry!$C$11</f>
        <v>10</v>
      </c>
      <c r="W20" s="5" t="n">
        <f aca="false">2</f>
        <v>2</v>
      </c>
      <c r="X20" s="5" t="n">
        <f aca="false">V20*(W20-1)</f>
        <v>10</v>
      </c>
      <c r="Y20" s="5" t="n">
        <f aca="false">V20*W20</f>
        <v>20</v>
      </c>
      <c r="Z20" s="5" t="n">
        <f aca="false">SUM(J20:N20)</f>
        <v>528</v>
      </c>
      <c r="AA20" s="5" t="s">
        <v>875</v>
      </c>
    </row>
    <row r="21" customFormat="false" ht="69.75" hidden="false" customHeight="true" outlineLevel="0" collapsed="false">
      <c r="A21" s="6" t="s">
        <v>103</v>
      </c>
      <c r="B21" s="6" t="s">
        <v>877</v>
      </c>
      <c r="C21" s="6" t="s">
        <v>876</v>
      </c>
      <c r="D21" s="6" t="n">
        <v>2</v>
      </c>
      <c r="E21" s="6" t="n">
        <f aca="false">D21+1</f>
        <v>3</v>
      </c>
      <c r="F21" s="6" t="n">
        <v>2</v>
      </c>
      <c r="G21" s="16" t="n">
        <f aca="false">Parametry!$C$12</f>
        <v>6</v>
      </c>
      <c r="H21" s="6" t="n">
        <f aca="false">ROUNDDOWN(Parametry!$C$9*Parametry!$C$10^(F21-1),0)</f>
        <v>66</v>
      </c>
      <c r="I21" s="6" t="n">
        <f aca="false">ROUNDUP((0)*Parametry!$C$15,0)</f>
        <v>0</v>
      </c>
      <c r="J21" s="6" t="n">
        <f aca="false">ROUNDUP((Parametry!$C$16*Parametry!$C$17*D21)*Parametry!$C$15,0)</f>
        <v>159</v>
      </c>
      <c r="K21" s="6" t="n">
        <f aca="false">ROUNDUP((Parametry!$C$16*Parametry!$C$18*D21)*Parametry!$C$15,0)</f>
        <v>159</v>
      </c>
      <c r="L21" s="6" t="n">
        <f aca="false">ROUNDUP((Parametry!$C$16*Parametry!$C$19*D21)*Parametry!$C$15,0)</f>
        <v>264</v>
      </c>
      <c r="M21" s="6" t="n">
        <f aca="false">ROUNDUP((0)*Parametry!$C$15,0)</f>
        <v>0</v>
      </c>
      <c r="N21" s="6" t="n">
        <f aca="false">ROUNDUP((0)*Parametry!$C$15,0)</f>
        <v>0</v>
      </c>
      <c r="O21" s="6" t="n">
        <f aca="false">ROUNDUP(J21/H21,0)</f>
        <v>3</v>
      </c>
      <c r="P21" s="6" t="n">
        <f aca="false">ROUNDUP(K21/H21,0)</f>
        <v>3</v>
      </c>
      <c r="Q21" s="6" t="n">
        <f aca="false">ROUNDUP(L21/H21,0)</f>
        <v>4</v>
      </c>
      <c r="R21" s="6" t="n">
        <f aca="false">ROUNDUP(M21/H21,0)</f>
        <v>0</v>
      </c>
      <c r="S21" s="6" t="n">
        <f aca="false">ROUNDUP(N21/H21,0)</f>
        <v>0</v>
      </c>
      <c r="T21" s="6" t="n">
        <f aca="false">SUM(O21:S21)</f>
        <v>10</v>
      </c>
      <c r="U21" s="6" t="n">
        <f aca="false">ROUNDUP(T21/G21,0)</f>
        <v>2</v>
      </c>
      <c r="V21" s="6" t="n">
        <f aca="false">U21*Parametry!$C$11</f>
        <v>10</v>
      </c>
      <c r="W21" s="6" t="n">
        <f aca="false">2</f>
        <v>2</v>
      </c>
      <c r="X21" s="6" t="n">
        <f aca="false">V21*(W21-1)</f>
        <v>10</v>
      </c>
      <c r="Y21" s="6" t="n">
        <f aca="false">V21*W21</f>
        <v>20</v>
      </c>
      <c r="Z21" s="6" t="n">
        <f aca="false">SUM(J21:N21)</f>
        <v>582</v>
      </c>
      <c r="AA21" s="6" t="s">
        <v>875</v>
      </c>
    </row>
    <row r="22" customFormat="false" ht="69.75" hidden="false" customHeight="true" outlineLevel="0" collapsed="false">
      <c r="A22" s="5" t="s">
        <v>103</v>
      </c>
      <c r="B22" s="5" t="s">
        <v>878</v>
      </c>
      <c r="C22" s="5" t="s">
        <v>874</v>
      </c>
      <c r="D22" s="5" t="n">
        <v>3</v>
      </c>
      <c r="E22" s="5" t="n">
        <f aca="false">D22+1</f>
        <v>4</v>
      </c>
      <c r="F22" s="5" t="n">
        <v>3</v>
      </c>
      <c r="G22" s="15" t="n">
        <f aca="false">Parametry!$C$12</f>
        <v>6</v>
      </c>
      <c r="H22" s="5" t="n">
        <f aca="false">ROUNDDOWN(Parametry!$C$9*Parametry!$C$10^(F22-1),0)</f>
        <v>72</v>
      </c>
      <c r="I22" s="5" t="n">
        <f aca="false">ROUNDUP((0)*1,0)</f>
        <v>0</v>
      </c>
      <c r="J22" s="5" t="n">
        <f aca="false">ROUNDUP((Parametry!$C$16*Parametry!$C$17*D22)*1,0)</f>
        <v>216</v>
      </c>
      <c r="K22" s="5" t="n">
        <f aca="false">ROUNDUP((Parametry!$C$16*Parametry!$C$18*D22)*1,0)</f>
        <v>216</v>
      </c>
      <c r="L22" s="5" t="n">
        <f aca="false">ROUNDUP((Parametry!$C$16*Parametry!$C$19*D22)*1,0)</f>
        <v>360</v>
      </c>
      <c r="M22" s="5" t="n">
        <f aca="false">ROUNDUP((0)*1,0)</f>
        <v>0</v>
      </c>
      <c r="N22" s="5" t="n">
        <f aca="false">ROUNDUP((0)*1,0)</f>
        <v>0</v>
      </c>
      <c r="O22" s="5" t="n">
        <f aca="false">ROUNDUP(J22/H22,0)</f>
        <v>3</v>
      </c>
      <c r="P22" s="5" t="n">
        <f aca="false">ROUNDUP(K22/H22,0)</f>
        <v>3</v>
      </c>
      <c r="Q22" s="5" t="n">
        <f aca="false">ROUNDUP(L22/H22,0)</f>
        <v>5</v>
      </c>
      <c r="R22" s="5" t="n">
        <f aca="false">ROUNDUP(M22/H22,0)</f>
        <v>0</v>
      </c>
      <c r="S22" s="5" t="n">
        <f aca="false">ROUNDUP(N22/H22,0)</f>
        <v>0</v>
      </c>
      <c r="T22" s="5" t="n">
        <f aca="false">SUM(O22:S22)</f>
        <v>11</v>
      </c>
      <c r="U22" s="5" t="n">
        <f aca="false">ROUNDUP(T22/G22,0)</f>
        <v>2</v>
      </c>
      <c r="V22" s="5" t="n">
        <f aca="false">U22*Parametry!$C$11</f>
        <v>10</v>
      </c>
      <c r="W22" s="5" t="n">
        <f aca="false">2</f>
        <v>2</v>
      </c>
      <c r="X22" s="5" t="n">
        <f aca="false">V22*(W22-1)</f>
        <v>10</v>
      </c>
      <c r="Y22" s="5" t="n">
        <f aca="false">V22*W22</f>
        <v>20</v>
      </c>
      <c r="Z22" s="5" t="n">
        <f aca="false">SUM(J22:N22)</f>
        <v>792</v>
      </c>
      <c r="AA22" s="5" t="s">
        <v>875</v>
      </c>
    </row>
    <row r="23" customFormat="false" ht="69.75" hidden="false" customHeight="true" outlineLevel="0" collapsed="false">
      <c r="A23" s="6" t="s">
        <v>103</v>
      </c>
      <c r="B23" s="6" t="s">
        <v>878</v>
      </c>
      <c r="C23" s="6" t="s">
        <v>876</v>
      </c>
      <c r="D23" s="6" t="n">
        <v>3</v>
      </c>
      <c r="E23" s="6" t="n">
        <f aca="false">D23+1</f>
        <v>4</v>
      </c>
      <c r="F23" s="6" t="n">
        <v>3</v>
      </c>
      <c r="G23" s="16" t="n">
        <f aca="false">Parametry!$C$12</f>
        <v>6</v>
      </c>
      <c r="H23" s="6" t="n">
        <f aca="false">ROUNDDOWN(Parametry!$C$9*Parametry!$C$10^(F23-1),0)</f>
        <v>72</v>
      </c>
      <c r="I23" s="6" t="n">
        <f aca="false">ROUNDUP((0)*Parametry!$C$15,0)</f>
        <v>0</v>
      </c>
      <c r="J23" s="6" t="n">
        <f aca="false">ROUNDUP((Parametry!$C$16*Parametry!$C$17*D23)*Parametry!$C$15,0)</f>
        <v>238</v>
      </c>
      <c r="K23" s="6" t="n">
        <f aca="false">ROUNDUP((Parametry!$C$16*Parametry!$C$18*D23)*Parametry!$C$15,0)</f>
        <v>238</v>
      </c>
      <c r="L23" s="6" t="n">
        <f aca="false">ROUNDUP((Parametry!$C$16*Parametry!$C$19*D23)*Parametry!$C$15,0)</f>
        <v>396</v>
      </c>
      <c r="M23" s="6" t="n">
        <f aca="false">ROUNDUP((0)*Parametry!$C$15,0)</f>
        <v>0</v>
      </c>
      <c r="N23" s="6" t="n">
        <f aca="false">ROUNDUP((0)*Parametry!$C$15,0)</f>
        <v>0</v>
      </c>
      <c r="O23" s="6" t="n">
        <f aca="false">ROUNDUP(J23/H23,0)</f>
        <v>4</v>
      </c>
      <c r="P23" s="6" t="n">
        <f aca="false">ROUNDUP(K23/H23,0)</f>
        <v>4</v>
      </c>
      <c r="Q23" s="6" t="n">
        <f aca="false">ROUNDUP(L23/H23,0)</f>
        <v>6</v>
      </c>
      <c r="R23" s="6" t="n">
        <f aca="false">ROUNDUP(M23/H23,0)</f>
        <v>0</v>
      </c>
      <c r="S23" s="6" t="n">
        <f aca="false">ROUNDUP(N23/H23,0)</f>
        <v>0</v>
      </c>
      <c r="T23" s="6" t="n">
        <f aca="false">SUM(O23:S23)</f>
        <v>14</v>
      </c>
      <c r="U23" s="6" t="n">
        <f aca="false">ROUNDUP(T23/G23,0)</f>
        <v>3</v>
      </c>
      <c r="V23" s="6" t="n">
        <f aca="false">U23*Parametry!$C$11</f>
        <v>15</v>
      </c>
      <c r="W23" s="6" t="n">
        <f aca="false">2</f>
        <v>2</v>
      </c>
      <c r="X23" s="6" t="n">
        <f aca="false">V23*(W23-1)</f>
        <v>15</v>
      </c>
      <c r="Y23" s="6" t="n">
        <f aca="false">V23*W23</f>
        <v>30</v>
      </c>
      <c r="Z23" s="6" t="n">
        <f aca="false">SUM(J23:N23)</f>
        <v>872</v>
      </c>
      <c r="AA23" s="6" t="s">
        <v>875</v>
      </c>
    </row>
    <row r="24" customFormat="false" ht="69.75" hidden="false" customHeight="true" outlineLevel="0" collapsed="false">
      <c r="A24" s="5" t="s">
        <v>112</v>
      </c>
      <c r="B24" s="5" t="s">
        <v>873</v>
      </c>
      <c r="C24" s="5" t="s">
        <v>874</v>
      </c>
      <c r="D24" s="5" t="n">
        <v>1</v>
      </c>
      <c r="E24" s="5" t="n">
        <f aca="false">D24+1</f>
        <v>2</v>
      </c>
      <c r="F24" s="5" t="n">
        <v>1</v>
      </c>
      <c r="G24" s="15" t="n">
        <f aca="false">Parametry!$C$12</f>
        <v>6</v>
      </c>
      <c r="H24" s="5" t="n">
        <f aca="false">ROUNDDOWN(Parametry!$C$9*Parametry!$C$10^(F24-1),0)</f>
        <v>60</v>
      </c>
      <c r="I24" s="5" t="n">
        <f aca="false">ROUNDUP((2*(0))*1,0)</f>
        <v>0</v>
      </c>
      <c r="J24" s="5" t="n">
        <f aca="false">ROUNDUP((2*(Parametry!$C$16*Parametry!$C$17*D24))*1,0)</f>
        <v>144</v>
      </c>
      <c r="K24" s="5" t="n">
        <f aca="false">ROUNDUP((2*(Parametry!$C$16*Parametry!$C$18*D24))*1,0)</f>
        <v>144</v>
      </c>
      <c r="L24" s="5" t="n">
        <f aca="false">ROUNDUP((2*(0))*1,0)</f>
        <v>0</v>
      </c>
      <c r="M24" s="5" t="n">
        <f aca="false">ROUNDUP((2*(Parametry!$C$16*Parametry!$C$19*D24))*1,0)</f>
        <v>240</v>
      </c>
      <c r="N24" s="5" t="n">
        <f aca="false">ROUNDUP((2*(0))*1,0)</f>
        <v>0</v>
      </c>
      <c r="O24" s="5" t="n">
        <f aca="false">ROUNDUP(J24/H24,0)</f>
        <v>3</v>
      </c>
      <c r="P24" s="5" t="n">
        <f aca="false">ROUNDUP(K24/H24,0)</f>
        <v>3</v>
      </c>
      <c r="Q24" s="5" t="n">
        <f aca="false">ROUNDUP(L24/H24,0)</f>
        <v>0</v>
      </c>
      <c r="R24" s="5" t="n">
        <f aca="false">ROUNDUP(M24/H24,0)</f>
        <v>4</v>
      </c>
      <c r="S24" s="5" t="n">
        <f aca="false">ROUNDUP(N24/H24,0)</f>
        <v>0</v>
      </c>
      <c r="T24" s="5" t="n">
        <f aca="false">SUM(O24:S24)</f>
        <v>10</v>
      </c>
      <c r="U24" s="5" t="n">
        <f aca="false">ROUNDUP(T24/G24,0)</f>
        <v>2</v>
      </c>
      <c r="V24" s="5" t="n">
        <f aca="false">U24*Parametry!$C$11</f>
        <v>10</v>
      </c>
      <c r="W24" s="5" t="n">
        <f aca="false">2</f>
        <v>2</v>
      </c>
      <c r="X24" s="5" t="n">
        <f aca="false">V24*(W24-1)</f>
        <v>10</v>
      </c>
      <c r="Y24" s="5" t="n">
        <f aca="false">V24*W24</f>
        <v>20</v>
      </c>
      <c r="Z24" s="5" t="n">
        <f aca="false">SUM(J24:N24)</f>
        <v>528</v>
      </c>
      <c r="AA24" s="5" t="s">
        <v>875</v>
      </c>
    </row>
    <row r="25" customFormat="false" ht="69.75" hidden="false" customHeight="true" outlineLevel="0" collapsed="false">
      <c r="A25" s="6" t="s">
        <v>112</v>
      </c>
      <c r="B25" s="6" t="s">
        <v>873</v>
      </c>
      <c r="C25" s="6" t="s">
        <v>876</v>
      </c>
      <c r="D25" s="6" t="n">
        <v>1</v>
      </c>
      <c r="E25" s="6" t="n">
        <f aca="false">D25+1</f>
        <v>2</v>
      </c>
      <c r="F25" s="6" t="n">
        <v>1</v>
      </c>
      <c r="G25" s="16" t="n">
        <f aca="false">Parametry!$C$12</f>
        <v>6</v>
      </c>
      <c r="H25" s="6" t="n">
        <f aca="false">ROUNDDOWN(Parametry!$C$9*Parametry!$C$10^(F25-1),0)</f>
        <v>60</v>
      </c>
      <c r="I25" s="6" t="n">
        <f aca="false">ROUNDUP((2*(0))*Parametry!$C$15,0)</f>
        <v>0</v>
      </c>
      <c r="J25" s="6" t="n">
        <f aca="false">ROUNDUP((2*(Parametry!$C$16*Parametry!$C$17*D25))*Parametry!$C$15,0)</f>
        <v>159</v>
      </c>
      <c r="K25" s="6" t="n">
        <f aca="false">ROUNDUP((2*(Parametry!$C$16*Parametry!$C$18*D25))*Parametry!$C$15,0)</f>
        <v>159</v>
      </c>
      <c r="L25" s="6" t="n">
        <f aca="false">ROUNDUP((2*(0))*Parametry!$C$15,0)</f>
        <v>0</v>
      </c>
      <c r="M25" s="6" t="n">
        <f aca="false">ROUNDUP((2*(Parametry!$C$16*Parametry!$C$19*D25))*Parametry!$C$15,0)</f>
        <v>264</v>
      </c>
      <c r="N25" s="6" t="n">
        <f aca="false">ROUNDUP((2*(0))*Parametry!$C$15,0)</f>
        <v>0</v>
      </c>
      <c r="O25" s="6" t="n">
        <f aca="false">ROUNDUP(J25/H25,0)</f>
        <v>3</v>
      </c>
      <c r="P25" s="6" t="n">
        <f aca="false">ROUNDUP(K25/H25,0)</f>
        <v>3</v>
      </c>
      <c r="Q25" s="6" t="n">
        <f aca="false">ROUNDUP(L25/H25,0)</f>
        <v>0</v>
      </c>
      <c r="R25" s="6" t="n">
        <f aca="false">ROUNDUP(M25/H25,0)</f>
        <v>5</v>
      </c>
      <c r="S25" s="6" t="n">
        <f aca="false">ROUNDUP(N25/H25,0)</f>
        <v>0</v>
      </c>
      <c r="T25" s="6" t="n">
        <f aca="false">SUM(O25:S25)</f>
        <v>11</v>
      </c>
      <c r="U25" s="6" t="n">
        <f aca="false">ROUNDUP(T25/G25,0)</f>
        <v>2</v>
      </c>
      <c r="V25" s="6" t="n">
        <f aca="false">U25*Parametry!$C$11</f>
        <v>10</v>
      </c>
      <c r="W25" s="6" t="n">
        <f aca="false">2</f>
        <v>2</v>
      </c>
      <c r="X25" s="6" t="n">
        <f aca="false">V25*(W25-1)</f>
        <v>10</v>
      </c>
      <c r="Y25" s="6" t="n">
        <f aca="false">V25*W25</f>
        <v>20</v>
      </c>
      <c r="Z25" s="6" t="n">
        <f aca="false">SUM(J25:N25)</f>
        <v>582</v>
      </c>
      <c r="AA25" s="6" t="s">
        <v>875</v>
      </c>
    </row>
    <row r="26" customFormat="false" ht="69.75" hidden="false" customHeight="true" outlineLevel="0" collapsed="false">
      <c r="A26" s="5" t="s">
        <v>112</v>
      </c>
      <c r="B26" s="5" t="s">
        <v>877</v>
      </c>
      <c r="C26" s="5" t="s">
        <v>874</v>
      </c>
      <c r="D26" s="5" t="n">
        <v>2</v>
      </c>
      <c r="E26" s="5" t="n">
        <f aca="false">D26+1</f>
        <v>3</v>
      </c>
      <c r="F26" s="5" t="n">
        <v>2</v>
      </c>
      <c r="G26" s="15" t="n">
        <f aca="false">Parametry!$C$12</f>
        <v>6</v>
      </c>
      <c r="H26" s="5" t="n">
        <f aca="false">ROUNDDOWN(Parametry!$C$9*Parametry!$C$10^(F26-1),0)</f>
        <v>66</v>
      </c>
      <c r="I26" s="5" t="n">
        <f aca="false">ROUNDUP((2*(0))*1,0)</f>
        <v>0</v>
      </c>
      <c r="J26" s="5" t="n">
        <f aca="false">ROUNDUP((2*(Parametry!$C$16*Parametry!$C$17*D26))*1,0)</f>
        <v>288</v>
      </c>
      <c r="K26" s="5" t="n">
        <f aca="false">ROUNDUP((2*(Parametry!$C$16*Parametry!$C$18*D26))*1,0)</f>
        <v>288</v>
      </c>
      <c r="L26" s="5" t="n">
        <f aca="false">ROUNDUP((2*(0))*1,0)</f>
        <v>0</v>
      </c>
      <c r="M26" s="5" t="n">
        <f aca="false">ROUNDUP((2*(Parametry!$C$16*Parametry!$C$19*D26))*1,0)</f>
        <v>480</v>
      </c>
      <c r="N26" s="5" t="n">
        <f aca="false">ROUNDUP((2*(0))*1,0)</f>
        <v>0</v>
      </c>
      <c r="O26" s="5" t="n">
        <f aca="false">ROUNDUP(J26/H26,0)</f>
        <v>5</v>
      </c>
      <c r="P26" s="5" t="n">
        <f aca="false">ROUNDUP(K26/H26,0)</f>
        <v>5</v>
      </c>
      <c r="Q26" s="5" t="n">
        <f aca="false">ROUNDUP(L26/H26,0)</f>
        <v>0</v>
      </c>
      <c r="R26" s="5" t="n">
        <f aca="false">ROUNDUP(M26/H26,0)</f>
        <v>8</v>
      </c>
      <c r="S26" s="5" t="n">
        <f aca="false">ROUNDUP(N26/H26,0)</f>
        <v>0</v>
      </c>
      <c r="T26" s="5" t="n">
        <f aca="false">SUM(O26:S26)</f>
        <v>18</v>
      </c>
      <c r="U26" s="5" t="n">
        <f aca="false">ROUNDUP(T26/G26,0)</f>
        <v>3</v>
      </c>
      <c r="V26" s="5" t="n">
        <f aca="false">U26*Parametry!$C$11</f>
        <v>15</v>
      </c>
      <c r="W26" s="5" t="n">
        <f aca="false">2</f>
        <v>2</v>
      </c>
      <c r="X26" s="5" t="n">
        <f aca="false">V26*(W26-1)</f>
        <v>15</v>
      </c>
      <c r="Y26" s="5" t="n">
        <f aca="false">V26*W26</f>
        <v>30</v>
      </c>
      <c r="Z26" s="5" t="n">
        <f aca="false">SUM(J26:N26)</f>
        <v>1056</v>
      </c>
      <c r="AA26" s="5" t="s">
        <v>875</v>
      </c>
    </row>
    <row r="27" customFormat="false" ht="69.75" hidden="false" customHeight="true" outlineLevel="0" collapsed="false">
      <c r="A27" s="6" t="s">
        <v>112</v>
      </c>
      <c r="B27" s="6" t="s">
        <v>877</v>
      </c>
      <c r="C27" s="6" t="s">
        <v>876</v>
      </c>
      <c r="D27" s="6" t="n">
        <v>2</v>
      </c>
      <c r="E27" s="6" t="n">
        <f aca="false">D27+1</f>
        <v>3</v>
      </c>
      <c r="F27" s="6" t="n">
        <v>2</v>
      </c>
      <c r="G27" s="16" t="n">
        <f aca="false">Parametry!$C$12</f>
        <v>6</v>
      </c>
      <c r="H27" s="6" t="n">
        <f aca="false">ROUNDDOWN(Parametry!$C$9*Parametry!$C$10^(F27-1),0)</f>
        <v>66</v>
      </c>
      <c r="I27" s="6" t="n">
        <f aca="false">ROUNDUP((2*(0))*Parametry!$C$15,0)</f>
        <v>0</v>
      </c>
      <c r="J27" s="6" t="n">
        <f aca="false">ROUNDUP((2*(Parametry!$C$16*Parametry!$C$17*D27))*Parametry!$C$15,0)</f>
        <v>317</v>
      </c>
      <c r="K27" s="6" t="n">
        <f aca="false">ROUNDUP((2*(Parametry!$C$16*Parametry!$C$18*D27))*Parametry!$C$15,0)</f>
        <v>317</v>
      </c>
      <c r="L27" s="6" t="n">
        <f aca="false">ROUNDUP((2*(0))*Parametry!$C$15,0)</f>
        <v>0</v>
      </c>
      <c r="M27" s="6" t="n">
        <f aca="false">ROUNDUP((2*(Parametry!$C$16*Parametry!$C$19*D27))*Parametry!$C$15,0)</f>
        <v>528</v>
      </c>
      <c r="N27" s="6" t="n">
        <f aca="false">ROUNDUP((2*(0))*Parametry!$C$15,0)</f>
        <v>0</v>
      </c>
      <c r="O27" s="6" t="n">
        <f aca="false">ROUNDUP(J27/H27,0)</f>
        <v>5</v>
      </c>
      <c r="P27" s="6" t="n">
        <f aca="false">ROUNDUP(K27/H27,0)</f>
        <v>5</v>
      </c>
      <c r="Q27" s="6" t="n">
        <f aca="false">ROUNDUP(L27/H27,0)</f>
        <v>0</v>
      </c>
      <c r="R27" s="6" t="n">
        <f aca="false">ROUNDUP(M27/H27,0)</f>
        <v>8</v>
      </c>
      <c r="S27" s="6" t="n">
        <f aca="false">ROUNDUP(N27/H27,0)</f>
        <v>0</v>
      </c>
      <c r="T27" s="6" t="n">
        <f aca="false">SUM(O27:S27)</f>
        <v>18</v>
      </c>
      <c r="U27" s="6" t="n">
        <f aca="false">ROUNDUP(T27/G27,0)</f>
        <v>3</v>
      </c>
      <c r="V27" s="6" t="n">
        <f aca="false">U27*Parametry!$C$11</f>
        <v>15</v>
      </c>
      <c r="W27" s="6" t="n">
        <f aca="false">2</f>
        <v>2</v>
      </c>
      <c r="X27" s="6" t="n">
        <f aca="false">V27*(W27-1)</f>
        <v>15</v>
      </c>
      <c r="Y27" s="6" t="n">
        <f aca="false">V27*W27</f>
        <v>30</v>
      </c>
      <c r="Z27" s="6" t="n">
        <f aca="false">SUM(J27:N27)</f>
        <v>1162</v>
      </c>
      <c r="AA27" s="6" t="s">
        <v>875</v>
      </c>
    </row>
    <row r="28" customFormat="false" ht="69.75" hidden="false" customHeight="true" outlineLevel="0" collapsed="false">
      <c r="A28" s="5" t="s">
        <v>112</v>
      </c>
      <c r="B28" s="5" t="s">
        <v>878</v>
      </c>
      <c r="C28" s="5" t="s">
        <v>874</v>
      </c>
      <c r="D28" s="5" t="n">
        <v>3</v>
      </c>
      <c r="E28" s="5" t="n">
        <f aca="false">D28+1</f>
        <v>4</v>
      </c>
      <c r="F28" s="5" t="n">
        <v>3</v>
      </c>
      <c r="G28" s="15" t="n">
        <f aca="false">Parametry!$C$12</f>
        <v>6</v>
      </c>
      <c r="H28" s="5" t="n">
        <f aca="false">ROUNDDOWN(Parametry!$C$9*Parametry!$C$10^(F28-1),0)</f>
        <v>72</v>
      </c>
      <c r="I28" s="5" t="n">
        <f aca="false">ROUNDUP((2*(0))*1,0)</f>
        <v>0</v>
      </c>
      <c r="J28" s="5" t="n">
        <f aca="false">ROUNDUP((2*(Parametry!$C$16*Parametry!$C$17*D28))*1,0)</f>
        <v>432</v>
      </c>
      <c r="K28" s="5" t="n">
        <f aca="false">ROUNDUP((2*(Parametry!$C$16*Parametry!$C$18*D28))*1,0)</f>
        <v>432</v>
      </c>
      <c r="L28" s="5" t="n">
        <f aca="false">ROUNDUP((2*(0))*1,0)</f>
        <v>0</v>
      </c>
      <c r="M28" s="5" t="n">
        <f aca="false">ROUNDUP((2*(Parametry!$C$16*Parametry!$C$19*D28))*1,0)</f>
        <v>720</v>
      </c>
      <c r="N28" s="5" t="n">
        <f aca="false">ROUNDUP((2*(0))*1,0)</f>
        <v>0</v>
      </c>
      <c r="O28" s="5" t="n">
        <f aca="false">ROUNDUP(J28/H28,0)</f>
        <v>6</v>
      </c>
      <c r="P28" s="5" t="n">
        <f aca="false">ROUNDUP(K28/H28,0)</f>
        <v>6</v>
      </c>
      <c r="Q28" s="5" t="n">
        <f aca="false">ROUNDUP(L28/H28,0)</f>
        <v>0</v>
      </c>
      <c r="R28" s="5" t="n">
        <f aca="false">ROUNDUP(M28/H28,0)</f>
        <v>10</v>
      </c>
      <c r="S28" s="5" t="n">
        <f aca="false">ROUNDUP(N28/H28,0)</f>
        <v>0</v>
      </c>
      <c r="T28" s="5" t="n">
        <f aca="false">SUM(O28:S28)</f>
        <v>22</v>
      </c>
      <c r="U28" s="5" t="n">
        <f aca="false">ROUNDUP(T28/G28,0)</f>
        <v>4</v>
      </c>
      <c r="V28" s="5" t="n">
        <f aca="false">U28*Parametry!$C$11</f>
        <v>20</v>
      </c>
      <c r="W28" s="5" t="n">
        <f aca="false">2</f>
        <v>2</v>
      </c>
      <c r="X28" s="5" t="n">
        <f aca="false">V28*(W28-1)</f>
        <v>20</v>
      </c>
      <c r="Y28" s="5" t="n">
        <f aca="false">V28*W28</f>
        <v>40</v>
      </c>
      <c r="Z28" s="5" t="n">
        <f aca="false">SUM(J28:N28)</f>
        <v>1584</v>
      </c>
      <c r="AA28" s="5" t="s">
        <v>875</v>
      </c>
    </row>
    <row r="29" customFormat="false" ht="69.75" hidden="false" customHeight="true" outlineLevel="0" collapsed="false">
      <c r="A29" s="6" t="s">
        <v>112</v>
      </c>
      <c r="B29" s="6" t="s">
        <v>878</v>
      </c>
      <c r="C29" s="6" t="s">
        <v>876</v>
      </c>
      <c r="D29" s="6" t="n">
        <v>3</v>
      </c>
      <c r="E29" s="6" t="n">
        <f aca="false">D29+1</f>
        <v>4</v>
      </c>
      <c r="F29" s="6" t="n">
        <v>3</v>
      </c>
      <c r="G29" s="16" t="n">
        <f aca="false">Parametry!$C$12</f>
        <v>6</v>
      </c>
      <c r="H29" s="6" t="n">
        <f aca="false">ROUNDDOWN(Parametry!$C$9*Parametry!$C$10^(F29-1),0)</f>
        <v>72</v>
      </c>
      <c r="I29" s="6" t="n">
        <f aca="false">ROUNDUP((2*(0))*Parametry!$C$15,0)</f>
        <v>0</v>
      </c>
      <c r="J29" s="6" t="n">
        <f aca="false">ROUNDUP((2*(Parametry!$C$16*Parametry!$C$17*D29))*Parametry!$C$15,0)</f>
        <v>476</v>
      </c>
      <c r="K29" s="6" t="n">
        <f aca="false">ROUNDUP((2*(Parametry!$C$16*Parametry!$C$18*D29))*Parametry!$C$15,0)</f>
        <v>476</v>
      </c>
      <c r="L29" s="6" t="n">
        <f aca="false">ROUNDUP((2*(0))*Parametry!$C$15,0)</f>
        <v>0</v>
      </c>
      <c r="M29" s="6" t="n">
        <f aca="false">ROUNDUP((2*(Parametry!$C$16*Parametry!$C$19*D29))*Parametry!$C$15,0)</f>
        <v>792</v>
      </c>
      <c r="N29" s="6" t="n">
        <f aca="false">ROUNDUP((2*(0))*Parametry!$C$15,0)</f>
        <v>0</v>
      </c>
      <c r="O29" s="6" t="n">
        <f aca="false">ROUNDUP(J29/H29,0)</f>
        <v>7</v>
      </c>
      <c r="P29" s="6" t="n">
        <f aca="false">ROUNDUP(K29/H29,0)</f>
        <v>7</v>
      </c>
      <c r="Q29" s="6" t="n">
        <f aca="false">ROUNDUP(L29/H29,0)</f>
        <v>0</v>
      </c>
      <c r="R29" s="6" t="n">
        <f aca="false">ROUNDUP(M29/H29,0)</f>
        <v>11</v>
      </c>
      <c r="S29" s="6" t="n">
        <f aca="false">ROUNDUP(N29/H29,0)</f>
        <v>0</v>
      </c>
      <c r="T29" s="6" t="n">
        <f aca="false">SUM(O29:S29)</f>
        <v>25</v>
      </c>
      <c r="U29" s="6" t="n">
        <f aca="false">ROUNDUP(T29/G29,0)</f>
        <v>5</v>
      </c>
      <c r="V29" s="6" t="n">
        <f aca="false">U29*Parametry!$C$11</f>
        <v>25</v>
      </c>
      <c r="W29" s="6" t="n">
        <f aca="false">2</f>
        <v>2</v>
      </c>
      <c r="X29" s="6" t="n">
        <f aca="false">V29*(W29-1)</f>
        <v>25</v>
      </c>
      <c r="Y29" s="6" t="n">
        <f aca="false">V29*W29</f>
        <v>50</v>
      </c>
      <c r="Z29" s="6" t="n">
        <f aca="false">SUM(J29:N29)</f>
        <v>1744</v>
      </c>
      <c r="AA29" s="6" t="s">
        <v>875</v>
      </c>
    </row>
    <row r="30" customFormat="false" ht="69.75" hidden="false" customHeight="true" outlineLevel="0" collapsed="false">
      <c r="A30" s="5" t="s">
        <v>116</v>
      </c>
      <c r="B30" s="5" t="s">
        <v>873</v>
      </c>
      <c r="C30" s="5" t="s">
        <v>874</v>
      </c>
      <c r="D30" s="5" t="n">
        <v>1</v>
      </c>
      <c r="E30" s="5" t="n">
        <f aca="false">D30+1</f>
        <v>2</v>
      </c>
      <c r="F30" s="5" t="n">
        <v>1</v>
      </c>
      <c r="G30" s="15" t="n">
        <f aca="false">Parametry!$C$12</f>
        <v>6</v>
      </c>
      <c r="H30" s="5" t="n">
        <f aca="false">ROUNDDOWN(Parametry!$C$9*Parametry!$C$10^(F30-1),0)</f>
        <v>60</v>
      </c>
      <c r="I30" s="5" t="n">
        <f aca="false">ROUNDUP((2*(0))*1,0)</f>
        <v>0</v>
      </c>
      <c r="J30" s="5" t="n">
        <f aca="false">ROUNDUP((2*(Parametry!$C$16*Parametry!$C$17*D30+Parametry!$C$16*Parametry!$C$19*D30))*1,0)</f>
        <v>384</v>
      </c>
      <c r="K30" s="5" t="n">
        <f aca="false">ROUNDUP((2*(Parametry!$C$16*Parametry!$C$18*D30))*1,0)</f>
        <v>144</v>
      </c>
      <c r="L30" s="5" t="n">
        <f aca="false">ROUNDUP((2*(0))*1,0)</f>
        <v>0</v>
      </c>
      <c r="M30" s="5" t="n">
        <f aca="false">ROUNDUP((2*(0))*1,0)</f>
        <v>0</v>
      </c>
      <c r="N30" s="5" t="n">
        <f aca="false">ROUNDUP((2*(0))*1,0)</f>
        <v>0</v>
      </c>
      <c r="O30" s="5" t="n">
        <f aca="false">ROUNDUP(J30/H30,0)</f>
        <v>7</v>
      </c>
      <c r="P30" s="5" t="n">
        <f aca="false">ROUNDUP(K30/H30,0)</f>
        <v>3</v>
      </c>
      <c r="Q30" s="5" t="n">
        <f aca="false">ROUNDUP(L30/H30,0)</f>
        <v>0</v>
      </c>
      <c r="R30" s="5" t="n">
        <f aca="false">ROUNDUP(M30/H30,0)</f>
        <v>0</v>
      </c>
      <c r="S30" s="5" t="n">
        <f aca="false">ROUNDUP(N30/H30,0)</f>
        <v>0</v>
      </c>
      <c r="T30" s="5" t="n">
        <f aca="false">SUM(O30:S30)</f>
        <v>10</v>
      </c>
      <c r="U30" s="5" t="n">
        <f aca="false">ROUNDUP(T30/G30,0)</f>
        <v>2</v>
      </c>
      <c r="V30" s="5" t="n">
        <f aca="false">U30*Parametry!$C$11</f>
        <v>10</v>
      </c>
      <c r="W30" s="5" t="n">
        <f aca="false">2</f>
        <v>2</v>
      </c>
      <c r="X30" s="5" t="n">
        <f aca="false">V30*(W30-1)</f>
        <v>10</v>
      </c>
      <c r="Y30" s="5" t="n">
        <f aca="false">V30*W30</f>
        <v>20</v>
      </c>
      <c r="Z30" s="5" t="n">
        <f aca="false">SUM(J30:N30)</f>
        <v>528</v>
      </c>
      <c r="AA30" s="5" t="s">
        <v>875</v>
      </c>
    </row>
    <row r="31" customFormat="false" ht="69.75" hidden="false" customHeight="true" outlineLevel="0" collapsed="false">
      <c r="A31" s="6" t="s">
        <v>116</v>
      </c>
      <c r="B31" s="6" t="s">
        <v>873</v>
      </c>
      <c r="C31" s="6" t="s">
        <v>876</v>
      </c>
      <c r="D31" s="6" t="n">
        <v>1</v>
      </c>
      <c r="E31" s="6" t="n">
        <f aca="false">D31+1</f>
        <v>2</v>
      </c>
      <c r="F31" s="6" t="n">
        <v>1</v>
      </c>
      <c r="G31" s="16" t="n">
        <f aca="false">Parametry!$C$12</f>
        <v>6</v>
      </c>
      <c r="H31" s="6" t="n">
        <f aca="false">ROUNDDOWN(Parametry!$C$9*Parametry!$C$10^(F31-1),0)</f>
        <v>60</v>
      </c>
      <c r="I31" s="6" t="n">
        <f aca="false">ROUNDUP((2*(0))*Parametry!$C$15,0)</f>
        <v>0</v>
      </c>
      <c r="J31" s="6" t="n">
        <f aca="false">ROUNDUP((2*(Parametry!$C$16*Parametry!$C$17*D31+Parametry!$C$16*Parametry!$C$19*D31))*Parametry!$C$15,0)</f>
        <v>423</v>
      </c>
      <c r="K31" s="6" t="n">
        <f aca="false">ROUNDUP((2*(Parametry!$C$16*Parametry!$C$18*D31))*Parametry!$C$15,0)</f>
        <v>159</v>
      </c>
      <c r="L31" s="6" t="n">
        <f aca="false">ROUNDUP((2*(0))*Parametry!$C$15,0)</f>
        <v>0</v>
      </c>
      <c r="M31" s="6" t="n">
        <f aca="false">ROUNDUP((2*(0))*Parametry!$C$15,0)</f>
        <v>0</v>
      </c>
      <c r="N31" s="6" t="n">
        <f aca="false">ROUNDUP((2*(0))*Parametry!$C$15,0)</f>
        <v>0</v>
      </c>
      <c r="O31" s="6" t="n">
        <f aca="false">ROUNDUP(J31/H31,0)</f>
        <v>8</v>
      </c>
      <c r="P31" s="6" t="n">
        <f aca="false">ROUNDUP(K31/H31,0)</f>
        <v>3</v>
      </c>
      <c r="Q31" s="6" t="n">
        <f aca="false">ROUNDUP(L31/H31,0)</f>
        <v>0</v>
      </c>
      <c r="R31" s="6" t="n">
        <f aca="false">ROUNDUP(M31/H31,0)</f>
        <v>0</v>
      </c>
      <c r="S31" s="6" t="n">
        <f aca="false">ROUNDUP(N31/H31,0)</f>
        <v>0</v>
      </c>
      <c r="T31" s="6" t="n">
        <f aca="false">SUM(O31:S31)</f>
        <v>11</v>
      </c>
      <c r="U31" s="6" t="n">
        <f aca="false">ROUNDUP(T31/G31,0)</f>
        <v>2</v>
      </c>
      <c r="V31" s="6" t="n">
        <f aca="false">U31*Parametry!$C$11</f>
        <v>10</v>
      </c>
      <c r="W31" s="6" t="n">
        <f aca="false">2</f>
        <v>2</v>
      </c>
      <c r="X31" s="6" t="n">
        <f aca="false">V31*(W31-1)</f>
        <v>10</v>
      </c>
      <c r="Y31" s="6" t="n">
        <f aca="false">V31*W31</f>
        <v>20</v>
      </c>
      <c r="Z31" s="6" t="n">
        <f aca="false">SUM(J31:N31)</f>
        <v>582</v>
      </c>
      <c r="AA31" s="6" t="s">
        <v>875</v>
      </c>
    </row>
    <row r="32" customFormat="false" ht="69.75" hidden="false" customHeight="true" outlineLevel="0" collapsed="false">
      <c r="A32" s="5" t="s">
        <v>116</v>
      </c>
      <c r="B32" s="5" t="s">
        <v>877</v>
      </c>
      <c r="C32" s="5" t="s">
        <v>874</v>
      </c>
      <c r="D32" s="5" t="n">
        <v>2</v>
      </c>
      <c r="E32" s="5" t="n">
        <f aca="false">D32+1</f>
        <v>3</v>
      </c>
      <c r="F32" s="5" t="n">
        <v>2</v>
      </c>
      <c r="G32" s="15" t="n">
        <f aca="false">Parametry!$C$12</f>
        <v>6</v>
      </c>
      <c r="H32" s="5" t="n">
        <f aca="false">ROUNDDOWN(Parametry!$C$9*Parametry!$C$10^(F32-1),0)</f>
        <v>66</v>
      </c>
      <c r="I32" s="5" t="n">
        <f aca="false">ROUNDUP((2*(0))*1,0)</f>
        <v>0</v>
      </c>
      <c r="J32" s="5" t="n">
        <f aca="false">ROUNDUP((2*(Parametry!$C$16*Parametry!$C$17*D32+Parametry!$C$16*Parametry!$C$19*D32))*1,0)</f>
        <v>768</v>
      </c>
      <c r="K32" s="5" t="n">
        <f aca="false">ROUNDUP((2*(Parametry!$C$16*Parametry!$C$18*D32))*1,0)</f>
        <v>288</v>
      </c>
      <c r="L32" s="5" t="n">
        <f aca="false">ROUNDUP((2*(0))*1,0)</f>
        <v>0</v>
      </c>
      <c r="M32" s="5" t="n">
        <f aca="false">ROUNDUP((2*(0))*1,0)</f>
        <v>0</v>
      </c>
      <c r="N32" s="5" t="n">
        <f aca="false">ROUNDUP((2*(0))*1,0)</f>
        <v>0</v>
      </c>
      <c r="O32" s="5" t="n">
        <f aca="false">ROUNDUP(J32/H32,0)</f>
        <v>12</v>
      </c>
      <c r="P32" s="5" t="n">
        <f aca="false">ROUNDUP(K32/H32,0)</f>
        <v>5</v>
      </c>
      <c r="Q32" s="5" t="n">
        <f aca="false">ROUNDUP(L32/H32,0)</f>
        <v>0</v>
      </c>
      <c r="R32" s="5" t="n">
        <f aca="false">ROUNDUP(M32/H32,0)</f>
        <v>0</v>
      </c>
      <c r="S32" s="5" t="n">
        <f aca="false">ROUNDUP(N32/H32,0)</f>
        <v>0</v>
      </c>
      <c r="T32" s="5" t="n">
        <f aca="false">SUM(O32:S32)</f>
        <v>17</v>
      </c>
      <c r="U32" s="5" t="n">
        <f aca="false">ROUNDUP(T32/G32,0)</f>
        <v>3</v>
      </c>
      <c r="V32" s="5" t="n">
        <f aca="false">U32*Parametry!$C$11</f>
        <v>15</v>
      </c>
      <c r="W32" s="5" t="n">
        <f aca="false">2</f>
        <v>2</v>
      </c>
      <c r="X32" s="5" t="n">
        <f aca="false">V32*(W32-1)</f>
        <v>15</v>
      </c>
      <c r="Y32" s="5" t="n">
        <f aca="false">V32*W32</f>
        <v>30</v>
      </c>
      <c r="Z32" s="5" t="n">
        <f aca="false">SUM(J32:N32)</f>
        <v>1056</v>
      </c>
      <c r="AA32" s="5" t="s">
        <v>875</v>
      </c>
    </row>
    <row r="33" customFormat="false" ht="69.75" hidden="false" customHeight="true" outlineLevel="0" collapsed="false">
      <c r="A33" s="6" t="s">
        <v>116</v>
      </c>
      <c r="B33" s="6" t="s">
        <v>877</v>
      </c>
      <c r="C33" s="6" t="s">
        <v>876</v>
      </c>
      <c r="D33" s="6" t="n">
        <v>2</v>
      </c>
      <c r="E33" s="6" t="n">
        <f aca="false">D33+1</f>
        <v>3</v>
      </c>
      <c r="F33" s="6" t="n">
        <v>2</v>
      </c>
      <c r="G33" s="16" t="n">
        <f aca="false">Parametry!$C$12</f>
        <v>6</v>
      </c>
      <c r="H33" s="6" t="n">
        <f aca="false">ROUNDDOWN(Parametry!$C$9*Parametry!$C$10^(F33-1),0)</f>
        <v>66</v>
      </c>
      <c r="I33" s="6" t="n">
        <f aca="false">ROUNDUP((2*(0))*Parametry!$C$15,0)</f>
        <v>0</v>
      </c>
      <c r="J33" s="6" t="n">
        <f aca="false">ROUNDUP((2*(Parametry!$C$16*Parametry!$C$17*D33+Parametry!$C$16*Parametry!$C$19*D33))*Parametry!$C$15,0)</f>
        <v>845</v>
      </c>
      <c r="K33" s="6" t="n">
        <f aca="false">ROUNDUP((2*(Parametry!$C$16*Parametry!$C$18*D33))*Parametry!$C$15,0)</f>
        <v>317</v>
      </c>
      <c r="L33" s="6" t="n">
        <f aca="false">ROUNDUP((2*(0))*Parametry!$C$15,0)</f>
        <v>0</v>
      </c>
      <c r="M33" s="6" t="n">
        <f aca="false">ROUNDUP((2*(0))*Parametry!$C$15,0)</f>
        <v>0</v>
      </c>
      <c r="N33" s="6" t="n">
        <f aca="false">ROUNDUP((2*(0))*Parametry!$C$15,0)</f>
        <v>0</v>
      </c>
      <c r="O33" s="6" t="n">
        <f aca="false">ROUNDUP(J33/H33,0)</f>
        <v>13</v>
      </c>
      <c r="P33" s="6" t="n">
        <f aca="false">ROUNDUP(K33/H33,0)</f>
        <v>5</v>
      </c>
      <c r="Q33" s="6" t="n">
        <f aca="false">ROUNDUP(L33/H33,0)</f>
        <v>0</v>
      </c>
      <c r="R33" s="6" t="n">
        <f aca="false">ROUNDUP(M33/H33,0)</f>
        <v>0</v>
      </c>
      <c r="S33" s="6" t="n">
        <f aca="false">ROUNDUP(N33/H33,0)</f>
        <v>0</v>
      </c>
      <c r="T33" s="6" t="n">
        <f aca="false">SUM(O33:S33)</f>
        <v>18</v>
      </c>
      <c r="U33" s="6" t="n">
        <f aca="false">ROUNDUP(T33/G33,0)</f>
        <v>3</v>
      </c>
      <c r="V33" s="6" t="n">
        <f aca="false">U33*Parametry!$C$11</f>
        <v>15</v>
      </c>
      <c r="W33" s="6" t="n">
        <f aca="false">2</f>
        <v>2</v>
      </c>
      <c r="X33" s="6" t="n">
        <f aca="false">V33*(W33-1)</f>
        <v>15</v>
      </c>
      <c r="Y33" s="6" t="n">
        <f aca="false">V33*W33</f>
        <v>30</v>
      </c>
      <c r="Z33" s="6" t="n">
        <f aca="false">SUM(J33:N33)</f>
        <v>1162</v>
      </c>
      <c r="AA33" s="6" t="s">
        <v>875</v>
      </c>
    </row>
    <row r="34" customFormat="false" ht="69.75" hidden="false" customHeight="true" outlineLevel="0" collapsed="false">
      <c r="A34" s="5" t="s">
        <v>116</v>
      </c>
      <c r="B34" s="5" t="s">
        <v>878</v>
      </c>
      <c r="C34" s="5" t="s">
        <v>874</v>
      </c>
      <c r="D34" s="5" t="n">
        <v>3</v>
      </c>
      <c r="E34" s="5" t="n">
        <f aca="false">D34+1</f>
        <v>4</v>
      </c>
      <c r="F34" s="5" t="n">
        <v>3</v>
      </c>
      <c r="G34" s="15" t="n">
        <f aca="false">Parametry!$C$12</f>
        <v>6</v>
      </c>
      <c r="H34" s="5" t="n">
        <f aca="false">ROUNDDOWN(Parametry!$C$9*Parametry!$C$10^(F34-1),0)</f>
        <v>72</v>
      </c>
      <c r="I34" s="5" t="n">
        <f aca="false">ROUNDUP((2*(0))*1,0)</f>
        <v>0</v>
      </c>
      <c r="J34" s="5" t="n">
        <f aca="false">ROUNDUP((2*(Parametry!$C$16*Parametry!$C$17*D34+Parametry!$C$16*Parametry!$C$19*D34))*1,0)</f>
        <v>1152</v>
      </c>
      <c r="K34" s="5" t="n">
        <f aca="false">ROUNDUP((2*(Parametry!$C$16*Parametry!$C$18*D34))*1,0)</f>
        <v>432</v>
      </c>
      <c r="L34" s="5" t="n">
        <f aca="false">ROUNDUP((2*(0))*1,0)</f>
        <v>0</v>
      </c>
      <c r="M34" s="5" t="n">
        <f aca="false">ROUNDUP((2*(0))*1,0)</f>
        <v>0</v>
      </c>
      <c r="N34" s="5" t="n">
        <f aca="false">ROUNDUP((2*(0))*1,0)</f>
        <v>0</v>
      </c>
      <c r="O34" s="5" t="n">
        <f aca="false">ROUNDUP(J34/H34,0)</f>
        <v>16</v>
      </c>
      <c r="P34" s="5" t="n">
        <f aca="false">ROUNDUP(K34/H34,0)</f>
        <v>6</v>
      </c>
      <c r="Q34" s="5" t="n">
        <f aca="false">ROUNDUP(L34/H34,0)</f>
        <v>0</v>
      </c>
      <c r="R34" s="5" t="n">
        <f aca="false">ROUNDUP(M34/H34,0)</f>
        <v>0</v>
      </c>
      <c r="S34" s="5" t="n">
        <f aca="false">ROUNDUP(N34/H34,0)</f>
        <v>0</v>
      </c>
      <c r="T34" s="5" t="n">
        <f aca="false">SUM(O34:S34)</f>
        <v>22</v>
      </c>
      <c r="U34" s="5" t="n">
        <f aca="false">ROUNDUP(T34/G34,0)</f>
        <v>4</v>
      </c>
      <c r="V34" s="5" t="n">
        <f aca="false">U34*Parametry!$C$11</f>
        <v>20</v>
      </c>
      <c r="W34" s="5" t="n">
        <f aca="false">2</f>
        <v>2</v>
      </c>
      <c r="X34" s="5" t="n">
        <f aca="false">V34*(W34-1)</f>
        <v>20</v>
      </c>
      <c r="Y34" s="5" t="n">
        <f aca="false">V34*W34</f>
        <v>40</v>
      </c>
      <c r="Z34" s="5" t="n">
        <f aca="false">SUM(J34:N34)</f>
        <v>1584</v>
      </c>
      <c r="AA34" s="5" t="s">
        <v>875</v>
      </c>
    </row>
    <row r="35" customFormat="false" ht="69.75" hidden="false" customHeight="true" outlineLevel="0" collapsed="false">
      <c r="A35" s="6" t="s">
        <v>116</v>
      </c>
      <c r="B35" s="6" t="s">
        <v>878</v>
      </c>
      <c r="C35" s="6" t="s">
        <v>876</v>
      </c>
      <c r="D35" s="6" t="n">
        <v>3</v>
      </c>
      <c r="E35" s="6" t="n">
        <f aca="false">D35+1</f>
        <v>4</v>
      </c>
      <c r="F35" s="6" t="n">
        <v>3</v>
      </c>
      <c r="G35" s="16" t="n">
        <f aca="false">Parametry!$C$12</f>
        <v>6</v>
      </c>
      <c r="H35" s="6" t="n">
        <f aca="false">ROUNDDOWN(Parametry!$C$9*Parametry!$C$10^(F35-1),0)</f>
        <v>72</v>
      </c>
      <c r="I35" s="6" t="n">
        <f aca="false">ROUNDUP((2*(0))*Parametry!$C$15,0)</f>
        <v>0</v>
      </c>
      <c r="J35" s="6" t="n">
        <f aca="false">ROUNDUP((2*(Parametry!$C$16*Parametry!$C$17*D35+Parametry!$C$16*Parametry!$C$19*D35))*Parametry!$C$15,0)</f>
        <v>1268</v>
      </c>
      <c r="K35" s="6" t="n">
        <f aca="false">ROUNDUP((2*(Parametry!$C$16*Parametry!$C$18*D35))*Parametry!$C$15,0)</f>
        <v>476</v>
      </c>
      <c r="L35" s="6" t="n">
        <f aca="false">ROUNDUP((2*(0))*Parametry!$C$15,0)</f>
        <v>0</v>
      </c>
      <c r="M35" s="6" t="n">
        <f aca="false">ROUNDUP((2*(0))*Parametry!$C$15,0)</f>
        <v>0</v>
      </c>
      <c r="N35" s="6" t="n">
        <f aca="false">ROUNDUP((2*(0))*Parametry!$C$15,0)</f>
        <v>0</v>
      </c>
      <c r="O35" s="6" t="n">
        <f aca="false">ROUNDUP(J35/H35,0)</f>
        <v>18</v>
      </c>
      <c r="P35" s="6" t="n">
        <f aca="false">ROUNDUP(K35/H35,0)</f>
        <v>7</v>
      </c>
      <c r="Q35" s="6" t="n">
        <f aca="false">ROUNDUP(L35/H35,0)</f>
        <v>0</v>
      </c>
      <c r="R35" s="6" t="n">
        <f aca="false">ROUNDUP(M35/H35,0)</f>
        <v>0</v>
      </c>
      <c r="S35" s="6" t="n">
        <f aca="false">ROUNDUP(N35/H35,0)</f>
        <v>0</v>
      </c>
      <c r="T35" s="6" t="n">
        <f aca="false">SUM(O35:S35)</f>
        <v>25</v>
      </c>
      <c r="U35" s="6" t="n">
        <f aca="false">ROUNDUP(T35/G35,0)</f>
        <v>5</v>
      </c>
      <c r="V35" s="6" t="n">
        <f aca="false">U35*Parametry!$C$11</f>
        <v>25</v>
      </c>
      <c r="W35" s="6" t="n">
        <f aca="false">2</f>
        <v>2</v>
      </c>
      <c r="X35" s="6" t="n">
        <f aca="false">V35*(W35-1)</f>
        <v>25</v>
      </c>
      <c r="Y35" s="6" t="n">
        <f aca="false">V35*W35</f>
        <v>50</v>
      </c>
      <c r="Z35" s="6" t="n">
        <f aca="false">SUM(J35:N35)</f>
        <v>1744</v>
      </c>
      <c r="AA35" s="6" t="s">
        <v>875</v>
      </c>
    </row>
    <row r="36" customFormat="false" ht="69.75" hidden="false" customHeight="true" outlineLevel="0" collapsed="false">
      <c r="A36" s="5" t="s">
        <v>120</v>
      </c>
      <c r="B36" s="5" t="s">
        <v>873</v>
      </c>
      <c r="C36" s="5" t="s">
        <v>874</v>
      </c>
      <c r="D36" s="5" t="n">
        <v>1</v>
      </c>
      <c r="E36" s="5" t="n">
        <f aca="false">D36+1</f>
        <v>2</v>
      </c>
      <c r="F36" s="5" t="n">
        <v>1</v>
      </c>
      <c r="G36" s="15" t="n">
        <f aca="false">Parametry!$C$12</f>
        <v>6</v>
      </c>
      <c r="H36" s="5" t="n">
        <f aca="false">ROUNDDOWN(Parametry!$C$9*Parametry!$C$10^(F36-1),0)</f>
        <v>60</v>
      </c>
      <c r="I36" s="5" t="n">
        <f aca="false">ROUNDUP((2*(0))*1,0)</f>
        <v>0</v>
      </c>
      <c r="J36" s="5" t="n">
        <f aca="false">ROUNDUP((2*(Parametry!$C$16*Parametry!$C$17*D36))*1,0)</f>
        <v>144</v>
      </c>
      <c r="K36" s="5" t="n">
        <f aca="false">ROUNDUP((2*(Parametry!$C$16*Parametry!$C$18*D36))*1,0)</f>
        <v>144</v>
      </c>
      <c r="L36" s="5" t="n">
        <f aca="false">ROUNDUP((2*(0))*1,0)</f>
        <v>0</v>
      </c>
      <c r="M36" s="5" t="n">
        <f aca="false">ROUNDUP((2*(0))*1,0)</f>
        <v>0</v>
      </c>
      <c r="N36" s="5" t="n">
        <f aca="false">ROUNDUP((2*(Parametry!$C$16*Parametry!$C$19*D36))*1,0)</f>
        <v>240</v>
      </c>
      <c r="O36" s="5" t="n">
        <f aca="false">ROUNDUP(J36/H36,0)</f>
        <v>3</v>
      </c>
      <c r="P36" s="5" t="n">
        <f aca="false">ROUNDUP(K36/H36,0)</f>
        <v>3</v>
      </c>
      <c r="Q36" s="5" t="n">
        <f aca="false">ROUNDUP(L36/H36,0)</f>
        <v>0</v>
      </c>
      <c r="R36" s="5" t="n">
        <f aca="false">ROUNDUP(M36/H36,0)</f>
        <v>0</v>
      </c>
      <c r="S36" s="5" t="n">
        <f aca="false">ROUNDUP(N36/H36,0)</f>
        <v>4</v>
      </c>
      <c r="T36" s="5" t="n">
        <f aca="false">SUM(O36:S36)</f>
        <v>10</v>
      </c>
      <c r="U36" s="5" t="n">
        <f aca="false">ROUNDUP(T36/G36,0)</f>
        <v>2</v>
      </c>
      <c r="V36" s="5" t="n">
        <f aca="false">U36*Parametry!$C$11</f>
        <v>10</v>
      </c>
      <c r="W36" s="5" t="n">
        <f aca="false">2</f>
        <v>2</v>
      </c>
      <c r="X36" s="5" t="n">
        <f aca="false">V36*(W36-1)</f>
        <v>10</v>
      </c>
      <c r="Y36" s="5" t="n">
        <f aca="false">V36*W36</f>
        <v>20</v>
      </c>
      <c r="Z36" s="5" t="n">
        <f aca="false">SUM(J36:N36)</f>
        <v>528</v>
      </c>
      <c r="AA36" s="5" t="s">
        <v>875</v>
      </c>
    </row>
    <row r="37" customFormat="false" ht="69.75" hidden="false" customHeight="true" outlineLevel="0" collapsed="false">
      <c r="A37" s="6" t="s">
        <v>120</v>
      </c>
      <c r="B37" s="6" t="s">
        <v>873</v>
      </c>
      <c r="C37" s="6" t="s">
        <v>876</v>
      </c>
      <c r="D37" s="6" t="n">
        <v>1</v>
      </c>
      <c r="E37" s="6" t="n">
        <f aca="false">D37+1</f>
        <v>2</v>
      </c>
      <c r="F37" s="6" t="n">
        <v>1</v>
      </c>
      <c r="G37" s="16" t="n">
        <f aca="false">Parametry!$C$12</f>
        <v>6</v>
      </c>
      <c r="H37" s="6" t="n">
        <f aca="false">ROUNDDOWN(Parametry!$C$9*Parametry!$C$10^(F37-1),0)</f>
        <v>60</v>
      </c>
      <c r="I37" s="6" t="n">
        <f aca="false">ROUNDUP((2*(0))*Parametry!$C$15,0)</f>
        <v>0</v>
      </c>
      <c r="J37" s="6" t="n">
        <f aca="false">ROUNDUP((2*(Parametry!$C$16*Parametry!$C$17*D37))*Parametry!$C$15,0)</f>
        <v>159</v>
      </c>
      <c r="K37" s="6" t="n">
        <f aca="false">ROUNDUP((2*(Parametry!$C$16*Parametry!$C$18*D37))*Parametry!$C$15,0)</f>
        <v>159</v>
      </c>
      <c r="L37" s="6" t="n">
        <f aca="false">ROUNDUP((2*(0))*Parametry!$C$15,0)</f>
        <v>0</v>
      </c>
      <c r="M37" s="6" t="n">
        <f aca="false">ROUNDUP((2*(0))*Parametry!$C$15,0)</f>
        <v>0</v>
      </c>
      <c r="N37" s="6" t="n">
        <f aca="false">ROUNDUP((2*(Parametry!$C$16*Parametry!$C$19*D37))*Parametry!$C$15,0)</f>
        <v>264</v>
      </c>
      <c r="O37" s="6" t="n">
        <f aca="false">ROUNDUP(J37/H37,0)</f>
        <v>3</v>
      </c>
      <c r="P37" s="6" t="n">
        <f aca="false">ROUNDUP(K37/H37,0)</f>
        <v>3</v>
      </c>
      <c r="Q37" s="6" t="n">
        <f aca="false">ROUNDUP(L37/H37,0)</f>
        <v>0</v>
      </c>
      <c r="R37" s="6" t="n">
        <f aca="false">ROUNDUP(M37/H37,0)</f>
        <v>0</v>
      </c>
      <c r="S37" s="6" t="n">
        <f aca="false">ROUNDUP(N37/H37,0)</f>
        <v>5</v>
      </c>
      <c r="T37" s="6" t="n">
        <f aca="false">SUM(O37:S37)</f>
        <v>11</v>
      </c>
      <c r="U37" s="6" t="n">
        <f aca="false">ROUNDUP(T37/G37,0)</f>
        <v>2</v>
      </c>
      <c r="V37" s="6" t="n">
        <f aca="false">U37*Parametry!$C$11</f>
        <v>10</v>
      </c>
      <c r="W37" s="6" t="n">
        <f aca="false">2</f>
        <v>2</v>
      </c>
      <c r="X37" s="6" t="n">
        <f aca="false">V37*(W37-1)</f>
        <v>10</v>
      </c>
      <c r="Y37" s="6" t="n">
        <f aca="false">V37*W37</f>
        <v>20</v>
      </c>
      <c r="Z37" s="6" t="n">
        <f aca="false">SUM(J37:N37)</f>
        <v>582</v>
      </c>
      <c r="AA37" s="6" t="s">
        <v>875</v>
      </c>
    </row>
    <row r="38" customFormat="false" ht="69.75" hidden="false" customHeight="true" outlineLevel="0" collapsed="false">
      <c r="A38" s="5" t="s">
        <v>120</v>
      </c>
      <c r="B38" s="5" t="s">
        <v>877</v>
      </c>
      <c r="C38" s="5" t="s">
        <v>874</v>
      </c>
      <c r="D38" s="5" t="n">
        <v>2</v>
      </c>
      <c r="E38" s="5" t="n">
        <f aca="false">D38+1</f>
        <v>3</v>
      </c>
      <c r="F38" s="5" t="n">
        <v>2</v>
      </c>
      <c r="G38" s="15" t="n">
        <f aca="false">Parametry!$C$12</f>
        <v>6</v>
      </c>
      <c r="H38" s="5" t="n">
        <f aca="false">ROUNDDOWN(Parametry!$C$9*Parametry!$C$10^(F38-1),0)</f>
        <v>66</v>
      </c>
      <c r="I38" s="5" t="n">
        <f aca="false">ROUNDUP((2*(0))*1,0)</f>
        <v>0</v>
      </c>
      <c r="J38" s="5" t="n">
        <f aca="false">ROUNDUP((2*(Parametry!$C$16*Parametry!$C$17*D38))*1,0)</f>
        <v>288</v>
      </c>
      <c r="K38" s="5" t="n">
        <f aca="false">ROUNDUP((2*(Parametry!$C$16*Parametry!$C$18*D38))*1,0)</f>
        <v>288</v>
      </c>
      <c r="L38" s="5" t="n">
        <f aca="false">ROUNDUP((2*(0))*1,0)</f>
        <v>0</v>
      </c>
      <c r="M38" s="5" t="n">
        <f aca="false">ROUNDUP((2*(0))*1,0)</f>
        <v>0</v>
      </c>
      <c r="N38" s="5" t="n">
        <f aca="false">ROUNDUP((2*(Parametry!$C$16*Parametry!$C$19*D38))*1,0)</f>
        <v>480</v>
      </c>
      <c r="O38" s="5" t="n">
        <f aca="false">ROUNDUP(J38/H38,0)</f>
        <v>5</v>
      </c>
      <c r="P38" s="5" t="n">
        <f aca="false">ROUNDUP(K38/H38,0)</f>
        <v>5</v>
      </c>
      <c r="Q38" s="5" t="n">
        <f aca="false">ROUNDUP(L38/H38,0)</f>
        <v>0</v>
      </c>
      <c r="R38" s="5" t="n">
        <f aca="false">ROUNDUP(M38/H38,0)</f>
        <v>0</v>
      </c>
      <c r="S38" s="5" t="n">
        <f aca="false">ROUNDUP(N38/H38,0)</f>
        <v>8</v>
      </c>
      <c r="T38" s="5" t="n">
        <f aca="false">SUM(O38:S38)</f>
        <v>18</v>
      </c>
      <c r="U38" s="5" t="n">
        <f aca="false">ROUNDUP(T38/G38,0)</f>
        <v>3</v>
      </c>
      <c r="V38" s="5" t="n">
        <f aca="false">U38*Parametry!$C$11</f>
        <v>15</v>
      </c>
      <c r="W38" s="5" t="n">
        <f aca="false">2</f>
        <v>2</v>
      </c>
      <c r="X38" s="5" t="n">
        <f aca="false">V38*(W38-1)</f>
        <v>15</v>
      </c>
      <c r="Y38" s="5" t="n">
        <f aca="false">V38*W38</f>
        <v>30</v>
      </c>
      <c r="Z38" s="5" t="n">
        <f aca="false">SUM(J38:N38)</f>
        <v>1056</v>
      </c>
      <c r="AA38" s="5" t="s">
        <v>875</v>
      </c>
    </row>
    <row r="39" customFormat="false" ht="69.75" hidden="false" customHeight="true" outlineLevel="0" collapsed="false">
      <c r="A39" s="6" t="s">
        <v>120</v>
      </c>
      <c r="B39" s="6" t="s">
        <v>877</v>
      </c>
      <c r="C39" s="6" t="s">
        <v>876</v>
      </c>
      <c r="D39" s="6" t="n">
        <v>2</v>
      </c>
      <c r="E39" s="6" t="n">
        <f aca="false">D39+1</f>
        <v>3</v>
      </c>
      <c r="F39" s="6" t="n">
        <v>2</v>
      </c>
      <c r="G39" s="16" t="n">
        <f aca="false">Parametry!$C$12</f>
        <v>6</v>
      </c>
      <c r="H39" s="6" t="n">
        <f aca="false">ROUNDDOWN(Parametry!$C$9*Parametry!$C$10^(F39-1),0)</f>
        <v>66</v>
      </c>
      <c r="I39" s="6" t="n">
        <f aca="false">ROUNDUP((2*(0))*Parametry!$C$15,0)</f>
        <v>0</v>
      </c>
      <c r="J39" s="6" t="n">
        <f aca="false">ROUNDUP((2*(Parametry!$C$16*Parametry!$C$17*D39))*Parametry!$C$15,0)</f>
        <v>317</v>
      </c>
      <c r="K39" s="6" t="n">
        <f aca="false">ROUNDUP((2*(Parametry!$C$16*Parametry!$C$18*D39))*Parametry!$C$15,0)</f>
        <v>317</v>
      </c>
      <c r="L39" s="6" t="n">
        <f aca="false">ROUNDUP((2*(0))*Parametry!$C$15,0)</f>
        <v>0</v>
      </c>
      <c r="M39" s="6" t="n">
        <f aca="false">ROUNDUP((2*(0))*Parametry!$C$15,0)</f>
        <v>0</v>
      </c>
      <c r="N39" s="6" t="n">
        <f aca="false">ROUNDUP((2*(Parametry!$C$16*Parametry!$C$19*D39))*Parametry!$C$15,0)</f>
        <v>528</v>
      </c>
      <c r="O39" s="6" t="n">
        <f aca="false">ROUNDUP(J39/H39,0)</f>
        <v>5</v>
      </c>
      <c r="P39" s="6" t="n">
        <f aca="false">ROUNDUP(K39/H39,0)</f>
        <v>5</v>
      </c>
      <c r="Q39" s="6" t="n">
        <f aca="false">ROUNDUP(L39/H39,0)</f>
        <v>0</v>
      </c>
      <c r="R39" s="6" t="n">
        <f aca="false">ROUNDUP(M39/H39,0)</f>
        <v>0</v>
      </c>
      <c r="S39" s="6" t="n">
        <f aca="false">ROUNDUP(N39/H39,0)</f>
        <v>8</v>
      </c>
      <c r="T39" s="6" t="n">
        <f aca="false">SUM(O39:S39)</f>
        <v>18</v>
      </c>
      <c r="U39" s="6" t="n">
        <f aca="false">ROUNDUP(T39/G39,0)</f>
        <v>3</v>
      </c>
      <c r="V39" s="6" t="n">
        <f aca="false">U39*Parametry!$C$11</f>
        <v>15</v>
      </c>
      <c r="W39" s="6" t="n">
        <f aca="false">2</f>
        <v>2</v>
      </c>
      <c r="X39" s="6" t="n">
        <f aca="false">V39*(W39-1)</f>
        <v>15</v>
      </c>
      <c r="Y39" s="6" t="n">
        <f aca="false">V39*W39</f>
        <v>30</v>
      </c>
      <c r="Z39" s="6" t="n">
        <f aca="false">SUM(J39:N39)</f>
        <v>1162</v>
      </c>
      <c r="AA39" s="6" t="s">
        <v>875</v>
      </c>
    </row>
    <row r="40" customFormat="false" ht="69.75" hidden="false" customHeight="true" outlineLevel="0" collapsed="false">
      <c r="A40" s="5" t="s">
        <v>120</v>
      </c>
      <c r="B40" s="5" t="s">
        <v>878</v>
      </c>
      <c r="C40" s="5" t="s">
        <v>874</v>
      </c>
      <c r="D40" s="5" t="n">
        <v>3</v>
      </c>
      <c r="E40" s="5" t="n">
        <f aca="false">D40+1</f>
        <v>4</v>
      </c>
      <c r="F40" s="5" t="n">
        <v>3</v>
      </c>
      <c r="G40" s="15" t="n">
        <f aca="false">Parametry!$C$12</f>
        <v>6</v>
      </c>
      <c r="H40" s="5" t="n">
        <f aca="false">ROUNDDOWN(Parametry!$C$9*Parametry!$C$10^(F40-1),0)</f>
        <v>72</v>
      </c>
      <c r="I40" s="5" t="n">
        <f aca="false">ROUNDUP((2*(0))*1,0)</f>
        <v>0</v>
      </c>
      <c r="J40" s="5" t="n">
        <f aca="false">ROUNDUP((2*(Parametry!$C$16*Parametry!$C$17*D40))*1,0)</f>
        <v>432</v>
      </c>
      <c r="K40" s="5" t="n">
        <f aca="false">ROUNDUP((2*(Parametry!$C$16*Parametry!$C$18*D40))*1,0)</f>
        <v>432</v>
      </c>
      <c r="L40" s="5" t="n">
        <f aca="false">ROUNDUP((2*(0))*1,0)</f>
        <v>0</v>
      </c>
      <c r="M40" s="5" t="n">
        <f aca="false">ROUNDUP((2*(0))*1,0)</f>
        <v>0</v>
      </c>
      <c r="N40" s="5" t="n">
        <f aca="false">ROUNDUP((2*(Parametry!$C$16*Parametry!$C$19*D40))*1,0)</f>
        <v>720</v>
      </c>
      <c r="O40" s="5" t="n">
        <f aca="false">ROUNDUP(J40/H40,0)</f>
        <v>6</v>
      </c>
      <c r="P40" s="5" t="n">
        <f aca="false">ROUNDUP(K40/H40,0)</f>
        <v>6</v>
      </c>
      <c r="Q40" s="5" t="n">
        <f aca="false">ROUNDUP(L40/H40,0)</f>
        <v>0</v>
      </c>
      <c r="R40" s="5" t="n">
        <f aca="false">ROUNDUP(M40/H40,0)</f>
        <v>0</v>
      </c>
      <c r="S40" s="5" t="n">
        <f aca="false">ROUNDUP(N40/H40,0)</f>
        <v>10</v>
      </c>
      <c r="T40" s="5" t="n">
        <f aca="false">SUM(O40:S40)</f>
        <v>22</v>
      </c>
      <c r="U40" s="5" t="n">
        <f aca="false">ROUNDUP(T40/G40,0)</f>
        <v>4</v>
      </c>
      <c r="V40" s="5" t="n">
        <f aca="false">U40*Parametry!$C$11</f>
        <v>20</v>
      </c>
      <c r="W40" s="5" t="n">
        <f aca="false">2</f>
        <v>2</v>
      </c>
      <c r="X40" s="5" t="n">
        <f aca="false">V40*(W40-1)</f>
        <v>20</v>
      </c>
      <c r="Y40" s="5" t="n">
        <f aca="false">V40*W40</f>
        <v>40</v>
      </c>
      <c r="Z40" s="5" t="n">
        <f aca="false">SUM(J40:N40)</f>
        <v>1584</v>
      </c>
      <c r="AA40" s="5" t="s">
        <v>875</v>
      </c>
    </row>
    <row r="41" customFormat="false" ht="69.75" hidden="false" customHeight="true" outlineLevel="0" collapsed="false">
      <c r="A41" s="6" t="s">
        <v>120</v>
      </c>
      <c r="B41" s="6" t="s">
        <v>878</v>
      </c>
      <c r="C41" s="6" t="s">
        <v>876</v>
      </c>
      <c r="D41" s="6" t="n">
        <v>3</v>
      </c>
      <c r="E41" s="6" t="n">
        <f aca="false">D41+1</f>
        <v>4</v>
      </c>
      <c r="F41" s="6" t="n">
        <v>3</v>
      </c>
      <c r="G41" s="16" t="n">
        <f aca="false">Parametry!$C$12</f>
        <v>6</v>
      </c>
      <c r="H41" s="6" t="n">
        <f aca="false">ROUNDDOWN(Parametry!$C$9*Parametry!$C$10^(F41-1),0)</f>
        <v>72</v>
      </c>
      <c r="I41" s="6" t="n">
        <f aca="false">ROUNDUP((2*(0))*Parametry!$C$15,0)</f>
        <v>0</v>
      </c>
      <c r="J41" s="6" t="n">
        <f aca="false">ROUNDUP((2*(Parametry!$C$16*Parametry!$C$17*D41))*Parametry!$C$15,0)</f>
        <v>476</v>
      </c>
      <c r="K41" s="6" t="n">
        <f aca="false">ROUNDUP((2*(Parametry!$C$16*Parametry!$C$18*D41))*Parametry!$C$15,0)</f>
        <v>476</v>
      </c>
      <c r="L41" s="6" t="n">
        <f aca="false">ROUNDUP((2*(0))*Parametry!$C$15,0)</f>
        <v>0</v>
      </c>
      <c r="M41" s="6" t="n">
        <f aca="false">ROUNDUP((2*(0))*Parametry!$C$15,0)</f>
        <v>0</v>
      </c>
      <c r="N41" s="6" t="n">
        <f aca="false">ROUNDUP((2*(Parametry!$C$16*Parametry!$C$19*D41))*Parametry!$C$15,0)</f>
        <v>792</v>
      </c>
      <c r="O41" s="6" t="n">
        <f aca="false">ROUNDUP(J41/H41,0)</f>
        <v>7</v>
      </c>
      <c r="P41" s="6" t="n">
        <f aca="false">ROUNDUP(K41/H41,0)</f>
        <v>7</v>
      </c>
      <c r="Q41" s="6" t="n">
        <f aca="false">ROUNDUP(L41/H41,0)</f>
        <v>0</v>
      </c>
      <c r="R41" s="6" t="n">
        <f aca="false">ROUNDUP(M41/H41,0)</f>
        <v>0</v>
      </c>
      <c r="S41" s="6" t="n">
        <f aca="false">ROUNDUP(N41/H41,0)</f>
        <v>11</v>
      </c>
      <c r="T41" s="6" t="n">
        <f aca="false">SUM(O41:S41)</f>
        <v>25</v>
      </c>
      <c r="U41" s="6" t="n">
        <f aca="false">ROUNDUP(T41/G41,0)</f>
        <v>5</v>
      </c>
      <c r="V41" s="6" t="n">
        <f aca="false">U41*Parametry!$C$11</f>
        <v>25</v>
      </c>
      <c r="W41" s="6" t="n">
        <f aca="false">2</f>
        <v>2</v>
      </c>
      <c r="X41" s="6" t="n">
        <f aca="false">V41*(W41-1)</f>
        <v>25</v>
      </c>
      <c r="Y41" s="6" t="n">
        <f aca="false">V41*W41</f>
        <v>50</v>
      </c>
      <c r="Z41" s="6" t="n">
        <f aca="false">SUM(J41:N41)</f>
        <v>1744</v>
      </c>
      <c r="AA41" s="6" t="s">
        <v>875</v>
      </c>
    </row>
    <row r="42" customFormat="false" ht="69.75" hidden="false" customHeight="true" outlineLevel="0" collapsed="false">
      <c r="A42" s="5" t="s">
        <v>124</v>
      </c>
      <c r="B42" s="5" t="s">
        <v>873</v>
      </c>
      <c r="C42" s="5" t="s">
        <v>874</v>
      </c>
      <c r="D42" s="5" t="n">
        <v>1</v>
      </c>
      <c r="E42" s="5" t="n">
        <f aca="false">D42+1</f>
        <v>2</v>
      </c>
      <c r="F42" s="5" t="n">
        <v>1</v>
      </c>
      <c r="G42" s="15" t="n">
        <f aca="false">Parametry!$C$12</f>
        <v>6</v>
      </c>
      <c r="H42" s="5" t="n">
        <f aca="false">ROUNDDOWN(Parametry!$C$9*Parametry!$C$10^(F42-1),0)</f>
        <v>60</v>
      </c>
      <c r="I42" s="5" t="n">
        <f aca="false">ROUNDUP((2*(0))*1,0)</f>
        <v>0</v>
      </c>
      <c r="J42" s="5" t="n">
        <f aca="false">ROUNDUP((2*(Parametry!$C$16*Parametry!$C$17*D42))*1,0)</f>
        <v>144</v>
      </c>
      <c r="K42" s="5" t="n">
        <f aca="false">ROUNDUP((2*(Parametry!$C$16*Parametry!$C$18*D42+Parametry!$C$16*Parametry!$C$19*D42))*1,0)</f>
        <v>384</v>
      </c>
      <c r="L42" s="5" t="n">
        <f aca="false">ROUNDUP((2*(0))*1,0)</f>
        <v>0</v>
      </c>
      <c r="M42" s="5" t="n">
        <f aca="false">ROUNDUP((2*(0))*1,0)</f>
        <v>0</v>
      </c>
      <c r="N42" s="5" t="n">
        <f aca="false">ROUNDUP((2*(0))*1,0)</f>
        <v>0</v>
      </c>
      <c r="O42" s="5" t="n">
        <f aca="false">ROUNDUP(J42/H42,0)</f>
        <v>3</v>
      </c>
      <c r="P42" s="5" t="n">
        <f aca="false">ROUNDUP(K42/H42,0)</f>
        <v>7</v>
      </c>
      <c r="Q42" s="5" t="n">
        <f aca="false">ROUNDUP(L42/H42,0)</f>
        <v>0</v>
      </c>
      <c r="R42" s="5" t="n">
        <f aca="false">ROUNDUP(M42/H42,0)</f>
        <v>0</v>
      </c>
      <c r="S42" s="5" t="n">
        <f aca="false">ROUNDUP(N42/H42,0)</f>
        <v>0</v>
      </c>
      <c r="T42" s="5" t="n">
        <f aca="false">SUM(O42:S42)</f>
        <v>10</v>
      </c>
      <c r="U42" s="5" t="n">
        <f aca="false">ROUNDUP(T42/G42,0)</f>
        <v>2</v>
      </c>
      <c r="V42" s="5" t="n">
        <f aca="false">U42*Parametry!$C$11</f>
        <v>10</v>
      </c>
      <c r="W42" s="5" t="n">
        <f aca="false">2</f>
        <v>2</v>
      </c>
      <c r="X42" s="5" t="n">
        <f aca="false">V42*(W42-1)</f>
        <v>10</v>
      </c>
      <c r="Y42" s="5" t="n">
        <f aca="false">V42*W42</f>
        <v>20</v>
      </c>
      <c r="Z42" s="5" t="n">
        <f aca="false">SUM(J42:N42)</f>
        <v>528</v>
      </c>
      <c r="AA42" s="5" t="s">
        <v>875</v>
      </c>
    </row>
    <row r="43" customFormat="false" ht="69.75" hidden="false" customHeight="true" outlineLevel="0" collapsed="false">
      <c r="A43" s="6" t="s">
        <v>124</v>
      </c>
      <c r="B43" s="6" t="s">
        <v>873</v>
      </c>
      <c r="C43" s="6" t="s">
        <v>876</v>
      </c>
      <c r="D43" s="6" t="n">
        <v>1</v>
      </c>
      <c r="E43" s="6" t="n">
        <f aca="false">D43+1</f>
        <v>2</v>
      </c>
      <c r="F43" s="6" t="n">
        <v>1</v>
      </c>
      <c r="G43" s="16" t="n">
        <f aca="false">Parametry!$C$12</f>
        <v>6</v>
      </c>
      <c r="H43" s="6" t="n">
        <f aca="false">ROUNDDOWN(Parametry!$C$9*Parametry!$C$10^(F43-1),0)</f>
        <v>60</v>
      </c>
      <c r="I43" s="6" t="n">
        <f aca="false">ROUNDUP((2*(0))*Parametry!$C$15,0)</f>
        <v>0</v>
      </c>
      <c r="J43" s="6" t="n">
        <f aca="false">ROUNDUP((2*(Parametry!$C$16*Parametry!$C$17*D43))*Parametry!$C$15,0)</f>
        <v>159</v>
      </c>
      <c r="K43" s="6" t="n">
        <f aca="false">ROUNDUP((2*(Parametry!$C$16*Parametry!$C$18*D43+Parametry!$C$16*Parametry!$C$19*D43))*Parametry!$C$15,0)</f>
        <v>423</v>
      </c>
      <c r="L43" s="6" t="n">
        <f aca="false">ROUNDUP((2*(0))*Parametry!$C$15,0)</f>
        <v>0</v>
      </c>
      <c r="M43" s="6" t="n">
        <f aca="false">ROUNDUP((2*(0))*Parametry!$C$15,0)</f>
        <v>0</v>
      </c>
      <c r="N43" s="6" t="n">
        <f aca="false">ROUNDUP((2*(0))*Parametry!$C$15,0)</f>
        <v>0</v>
      </c>
      <c r="O43" s="6" t="n">
        <f aca="false">ROUNDUP(J43/H43,0)</f>
        <v>3</v>
      </c>
      <c r="P43" s="6" t="n">
        <f aca="false">ROUNDUP(K43/H43,0)</f>
        <v>8</v>
      </c>
      <c r="Q43" s="6" t="n">
        <f aca="false">ROUNDUP(L43/H43,0)</f>
        <v>0</v>
      </c>
      <c r="R43" s="6" t="n">
        <f aca="false">ROUNDUP(M43/H43,0)</f>
        <v>0</v>
      </c>
      <c r="S43" s="6" t="n">
        <f aca="false">ROUNDUP(N43/H43,0)</f>
        <v>0</v>
      </c>
      <c r="T43" s="6" t="n">
        <f aca="false">SUM(O43:S43)</f>
        <v>11</v>
      </c>
      <c r="U43" s="6" t="n">
        <f aca="false">ROUNDUP(T43/G43,0)</f>
        <v>2</v>
      </c>
      <c r="V43" s="6" t="n">
        <f aca="false">U43*Parametry!$C$11</f>
        <v>10</v>
      </c>
      <c r="W43" s="6" t="n">
        <f aca="false">2</f>
        <v>2</v>
      </c>
      <c r="X43" s="6" t="n">
        <f aca="false">V43*(W43-1)</f>
        <v>10</v>
      </c>
      <c r="Y43" s="6" t="n">
        <f aca="false">V43*W43</f>
        <v>20</v>
      </c>
      <c r="Z43" s="6" t="n">
        <f aca="false">SUM(J43:N43)</f>
        <v>582</v>
      </c>
      <c r="AA43" s="6" t="s">
        <v>875</v>
      </c>
    </row>
    <row r="44" customFormat="false" ht="69.75" hidden="false" customHeight="true" outlineLevel="0" collapsed="false">
      <c r="A44" s="5" t="s">
        <v>124</v>
      </c>
      <c r="B44" s="5" t="s">
        <v>877</v>
      </c>
      <c r="C44" s="5" t="s">
        <v>874</v>
      </c>
      <c r="D44" s="5" t="n">
        <v>2</v>
      </c>
      <c r="E44" s="5" t="n">
        <f aca="false">D44+1</f>
        <v>3</v>
      </c>
      <c r="F44" s="5" t="n">
        <v>2</v>
      </c>
      <c r="G44" s="15" t="n">
        <f aca="false">Parametry!$C$12</f>
        <v>6</v>
      </c>
      <c r="H44" s="5" t="n">
        <f aca="false">ROUNDDOWN(Parametry!$C$9*Parametry!$C$10^(F44-1),0)</f>
        <v>66</v>
      </c>
      <c r="I44" s="5" t="n">
        <f aca="false">ROUNDUP((2*(0))*1,0)</f>
        <v>0</v>
      </c>
      <c r="J44" s="5" t="n">
        <f aca="false">ROUNDUP((2*(Parametry!$C$16*Parametry!$C$17*D44))*1,0)</f>
        <v>288</v>
      </c>
      <c r="K44" s="5" t="n">
        <f aca="false">ROUNDUP((2*(Parametry!$C$16*Parametry!$C$18*D44+Parametry!$C$16*Parametry!$C$19*D44))*1,0)</f>
        <v>768</v>
      </c>
      <c r="L44" s="5" t="n">
        <f aca="false">ROUNDUP((2*(0))*1,0)</f>
        <v>0</v>
      </c>
      <c r="M44" s="5" t="n">
        <f aca="false">ROUNDUP((2*(0))*1,0)</f>
        <v>0</v>
      </c>
      <c r="N44" s="5" t="n">
        <f aca="false">ROUNDUP((2*(0))*1,0)</f>
        <v>0</v>
      </c>
      <c r="O44" s="5" t="n">
        <f aca="false">ROUNDUP(J44/H44,0)</f>
        <v>5</v>
      </c>
      <c r="P44" s="5" t="n">
        <f aca="false">ROUNDUP(K44/H44,0)</f>
        <v>12</v>
      </c>
      <c r="Q44" s="5" t="n">
        <f aca="false">ROUNDUP(L44/H44,0)</f>
        <v>0</v>
      </c>
      <c r="R44" s="5" t="n">
        <f aca="false">ROUNDUP(M44/H44,0)</f>
        <v>0</v>
      </c>
      <c r="S44" s="5" t="n">
        <f aca="false">ROUNDUP(N44/H44,0)</f>
        <v>0</v>
      </c>
      <c r="T44" s="5" t="n">
        <f aca="false">SUM(O44:S44)</f>
        <v>17</v>
      </c>
      <c r="U44" s="5" t="n">
        <f aca="false">ROUNDUP(T44/G44,0)</f>
        <v>3</v>
      </c>
      <c r="V44" s="5" t="n">
        <f aca="false">U44*Parametry!$C$11</f>
        <v>15</v>
      </c>
      <c r="W44" s="5" t="n">
        <f aca="false">2</f>
        <v>2</v>
      </c>
      <c r="X44" s="5" t="n">
        <f aca="false">V44*(W44-1)</f>
        <v>15</v>
      </c>
      <c r="Y44" s="5" t="n">
        <f aca="false">V44*W44</f>
        <v>30</v>
      </c>
      <c r="Z44" s="5" t="n">
        <f aca="false">SUM(J44:N44)</f>
        <v>1056</v>
      </c>
      <c r="AA44" s="5" t="s">
        <v>875</v>
      </c>
    </row>
    <row r="45" customFormat="false" ht="69.75" hidden="false" customHeight="true" outlineLevel="0" collapsed="false">
      <c r="A45" s="6" t="s">
        <v>124</v>
      </c>
      <c r="B45" s="6" t="s">
        <v>877</v>
      </c>
      <c r="C45" s="6" t="s">
        <v>876</v>
      </c>
      <c r="D45" s="6" t="n">
        <v>2</v>
      </c>
      <c r="E45" s="6" t="n">
        <f aca="false">D45+1</f>
        <v>3</v>
      </c>
      <c r="F45" s="6" t="n">
        <v>2</v>
      </c>
      <c r="G45" s="16" t="n">
        <f aca="false">Parametry!$C$12</f>
        <v>6</v>
      </c>
      <c r="H45" s="6" t="n">
        <f aca="false">ROUNDDOWN(Parametry!$C$9*Parametry!$C$10^(F45-1),0)</f>
        <v>66</v>
      </c>
      <c r="I45" s="6" t="n">
        <f aca="false">ROUNDUP((2*(0))*Parametry!$C$15,0)</f>
        <v>0</v>
      </c>
      <c r="J45" s="6" t="n">
        <f aca="false">ROUNDUP((2*(Parametry!$C$16*Parametry!$C$17*D45))*Parametry!$C$15,0)</f>
        <v>317</v>
      </c>
      <c r="K45" s="6" t="n">
        <f aca="false">ROUNDUP((2*(Parametry!$C$16*Parametry!$C$18*D45+Parametry!$C$16*Parametry!$C$19*D45))*Parametry!$C$15,0)</f>
        <v>845</v>
      </c>
      <c r="L45" s="6" t="n">
        <f aca="false">ROUNDUP((2*(0))*Parametry!$C$15,0)</f>
        <v>0</v>
      </c>
      <c r="M45" s="6" t="n">
        <f aca="false">ROUNDUP((2*(0))*Parametry!$C$15,0)</f>
        <v>0</v>
      </c>
      <c r="N45" s="6" t="n">
        <f aca="false">ROUNDUP((2*(0))*Parametry!$C$15,0)</f>
        <v>0</v>
      </c>
      <c r="O45" s="6" t="n">
        <f aca="false">ROUNDUP(J45/H45,0)</f>
        <v>5</v>
      </c>
      <c r="P45" s="6" t="n">
        <f aca="false">ROUNDUP(K45/H45,0)</f>
        <v>13</v>
      </c>
      <c r="Q45" s="6" t="n">
        <f aca="false">ROUNDUP(L45/H45,0)</f>
        <v>0</v>
      </c>
      <c r="R45" s="6" t="n">
        <f aca="false">ROUNDUP(M45/H45,0)</f>
        <v>0</v>
      </c>
      <c r="S45" s="6" t="n">
        <f aca="false">ROUNDUP(N45/H45,0)</f>
        <v>0</v>
      </c>
      <c r="T45" s="6" t="n">
        <f aca="false">SUM(O45:S45)</f>
        <v>18</v>
      </c>
      <c r="U45" s="6" t="n">
        <f aca="false">ROUNDUP(T45/G45,0)</f>
        <v>3</v>
      </c>
      <c r="V45" s="6" t="n">
        <f aca="false">U45*Parametry!$C$11</f>
        <v>15</v>
      </c>
      <c r="W45" s="6" t="n">
        <f aca="false">2</f>
        <v>2</v>
      </c>
      <c r="X45" s="6" t="n">
        <f aca="false">V45*(W45-1)</f>
        <v>15</v>
      </c>
      <c r="Y45" s="6" t="n">
        <f aca="false">V45*W45</f>
        <v>30</v>
      </c>
      <c r="Z45" s="6" t="n">
        <f aca="false">SUM(J45:N45)</f>
        <v>1162</v>
      </c>
      <c r="AA45" s="6" t="s">
        <v>875</v>
      </c>
    </row>
    <row r="46" customFormat="false" ht="69.75" hidden="false" customHeight="true" outlineLevel="0" collapsed="false">
      <c r="A46" s="5" t="s">
        <v>124</v>
      </c>
      <c r="B46" s="5" t="s">
        <v>878</v>
      </c>
      <c r="C46" s="5" t="s">
        <v>874</v>
      </c>
      <c r="D46" s="5" t="n">
        <v>3</v>
      </c>
      <c r="E46" s="5" t="n">
        <f aca="false">D46+1</f>
        <v>4</v>
      </c>
      <c r="F46" s="5" t="n">
        <v>3</v>
      </c>
      <c r="G46" s="15" t="n">
        <f aca="false">Parametry!$C$12</f>
        <v>6</v>
      </c>
      <c r="H46" s="5" t="n">
        <f aca="false">ROUNDDOWN(Parametry!$C$9*Parametry!$C$10^(F46-1),0)</f>
        <v>72</v>
      </c>
      <c r="I46" s="5" t="n">
        <f aca="false">ROUNDUP((2*(0))*1,0)</f>
        <v>0</v>
      </c>
      <c r="J46" s="5" t="n">
        <f aca="false">ROUNDUP((2*(Parametry!$C$16*Parametry!$C$17*D46))*1,0)</f>
        <v>432</v>
      </c>
      <c r="K46" s="5" t="n">
        <f aca="false">ROUNDUP((2*(Parametry!$C$16*Parametry!$C$18*D46+Parametry!$C$16*Parametry!$C$19*D46))*1,0)</f>
        <v>1152</v>
      </c>
      <c r="L46" s="5" t="n">
        <f aca="false">ROUNDUP((2*(0))*1,0)</f>
        <v>0</v>
      </c>
      <c r="M46" s="5" t="n">
        <f aca="false">ROUNDUP((2*(0))*1,0)</f>
        <v>0</v>
      </c>
      <c r="N46" s="5" t="n">
        <f aca="false">ROUNDUP((2*(0))*1,0)</f>
        <v>0</v>
      </c>
      <c r="O46" s="5" t="n">
        <f aca="false">ROUNDUP(J46/H46,0)</f>
        <v>6</v>
      </c>
      <c r="P46" s="5" t="n">
        <f aca="false">ROUNDUP(K46/H46,0)</f>
        <v>16</v>
      </c>
      <c r="Q46" s="5" t="n">
        <f aca="false">ROUNDUP(L46/H46,0)</f>
        <v>0</v>
      </c>
      <c r="R46" s="5" t="n">
        <f aca="false">ROUNDUP(M46/H46,0)</f>
        <v>0</v>
      </c>
      <c r="S46" s="5" t="n">
        <f aca="false">ROUNDUP(N46/H46,0)</f>
        <v>0</v>
      </c>
      <c r="T46" s="5" t="n">
        <f aca="false">SUM(O46:S46)</f>
        <v>22</v>
      </c>
      <c r="U46" s="5" t="n">
        <f aca="false">ROUNDUP(T46/G46,0)</f>
        <v>4</v>
      </c>
      <c r="V46" s="5" t="n">
        <f aca="false">U46*Parametry!$C$11</f>
        <v>20</v>
      </c>
      <c r="W46" s="5" t="n">
        <f aca="false">2</f>
        <v>2</v>
      </c>
      <c r="X46" s="5" t="n">
        <f aca="false">V46*(W46-1)</f>
        <v>20</v>
      </c>
      <c r="Y46" s="5" t="n">
        <f aca="false">V46*W46</f>
        <v>40</v>
      </c>
      <c r="Z46" s="5" t="n">
        <f aca="false">SUM(J46:N46)</f>
        <v>1584</v>
      </c>
      <c r="AA46" s="5" t="s">
        <v>875</v>
      </c>
    </row>
    <row r="47" customFormat="false" ht="69.75" hidden="false" customHeight="true" outlineLevel="0" collapsed="false">
      <c r="A47" s="6" t="s">
        <v>124</v>
      </c>
      <c r="B47" s="6" t="s">
        <v>878</v>
      </c>
      <c r="C47" s="6" t="s">
        <v>876</v>
      </c>
      <c r="D47" s="6" t="n">
        <v>3</v>
      </c>
      <c r="E47" s="6" t="n">
        <f aca="false">D47+1</f>
        <v>4</v>
      </c>
      <c r="F47" s="6" t="n">
        <v>3</v>
      </c>
      <c r="G47" s="16" t="n">
        <f aca="false">Parametry!$C$12</f>
        <v>6</v>
      </c>
      <c r="H47" s="6" t="n">
        <f aca="false">ROUNDDOWN(Parametry!$C$9*Parametry!$C$10^(F47-1),0)</f>
        <v>72</v>
      </c>
      <c r="I47" s="6" t="n">
        <f aca="false">ROUNDUP((2*(0))*Parametry!$C$15,0)</f>
        <v>0</v>
      </c>
      <c r="J47" s="6" t="n">
        <f aca="false">ROUNDUP((2*(Parametry!$C$16*Parametry!$C$17*D47))*Parametry!$C$15,0)</f>
        <v>476</v>
      </c>
      <c r="K47" s="6" t="n">
        <f aca="false">ROUNDUP((2*(Parametry!$C$16*Parametry!$C$18*D47+Parametry!$C$16*Parametry!$C$19*D47))*Parametry!$C$15,0)</f>
        <v>1268</v>
      </c>
      <c r="L47" s="6" t="n">
        <f aca="false">ROUNDUP((2*(0))*Parametry!$C$15,0)</f>
        <v>0</v>
      </c>
      <c r="M47" s="6" t="n">
        <f aca="false">ROUNDUP((2*(0))*Parametry!$C$15,0)</f>
        <v>0</v>
      </c>
      <c r="N47" s="6" t="n">
        <f aca="false">ROUNDUP((2*(0))*Parametry!$C$15,0)</f>
        <v>0</v>
      </c>
      <c r="O47" s="6" t="n">
        <f aca="false">ROUNDUP(J47/H47,0)</f>
        <v>7</v>
      </c>
      <c r="P47" s="6" t="n">
        <f aca="false">ROUNDUP(K47/H47,0)</f>
        <v>18</v>
      </c>
      <c r="Q47" s="6" t="n">
        <f aca="false">ROUNDUP(L47/H47,0)</f>
        <v>0</v>
      </c>
      <c r="R47" s="6" t="n">
        <f aca="false">ROUNDUP(M47/H47,0)</f>
        <v>0</v>
      </c>
      <c r="S47" s="6" t="n">
        <f aca="false">ROUNDUP(N47/H47,0)</f>
        <v>0</v>
      </c>
      <c r="T47" s="6" t="n">
        <f aca="false">SUM(O47:S47)</f>
        <v>25</v>
      </c>
      <c r="U47" s="6" t="n">
        <f aca="false">ROUNDUP(T47/G47,0)</f>
        <v>5</v>
      </c>
      <c r="V47" s="6" t="n">
        <f aca="false">U47*Parametry!$C$11</f>
        <v>25</v>
      </c>
      <c r="W47" s="6" t="n">
        <f aca="false">2</f>
        <v>2</v>
      </c>
      <c r="X47" s="6" t="n">
        <f aca="false">V47*(W47-1)</f>
        <v>25</v>
      </c>
      <c r="Y47" s="6" t="n">
        <f aca="false">V47*W47</f>
        <v>50</v>
      </c>
      <c r="Z47" s="6" t="n">
        <f aca="false">SUM(J47:N47)</f>
        <v>1744</v>
      </c>
      <c r="AA47" s="6" t="s">
        <v>875</v>
      </c>
    </row>
    <row r="48" customFormat="false" ht="69.75" hidden="false" customHeight="true" outlineLevel="0" collapsed="false">
      <c r="A48" s="5" t="s">
        <v>128</v>
      </c>
      <c r="B48" s="5" t="s">
        <v>873</v>
      </c>
      <c r="C48" s="5" t="s">
        <v>874</v>
      </c>
      <c r="D48" s="5" t="n">
        <v>1</v>
      </c>
      <c r="E48" s="5" t="n">
        <f aca="false">D48+1</f>
        <v>2</v>
      </c>
      <c r="F48" s="5" t="n">
        <v>1</v>
      </c>
      <c r="G48" s="15" t="n">
        <f aca="false">Parametry!$C$12</f>
        <v>6</v>
      </c>
      <c r="H48" s="5" t="n">
        <f aca="false">ROUNDDOWN(Parametry!$C$9*Parametry!$C$10^(F48-1),0)</f>
        <v>60</v>
      </c>
      <c r="I48" s="5" t="n">
        <f aca="false">ROUNDUP((Parametry!$C$21*MAX(1,D48))*1,0)</f>
        <v>300</v>
      </c>
      <c r="J48" s="5" t="n">
        <f aca="false">ROUNDUP((Parametry!$C$21*MAX(1,D48))*1,0)</f>
        <v>300</v>
      </c>
      <c r="K48" s="5" t="n">
        <f aca="false">ROUNDUP((Parametry!$C$21*MAX(1,D48))*1,0)</f>
        <v>300</v>
      </c>
      <c r="L48" s="5" t="n">
        <f aca="false">ROUNDUP((Parametry!$C$21*MAX(1,D48))*1,0)</f>
        <v>300</v>
      </c>
      <c r="M48" s="5" t="n">
        <f aca="false">ROUNDUP((Parametry!$C$21*MAX(1,D48))*1,0)</f>
        <v>300</v>
      </c>
      <c r="N48" s="5" t="n">
        <f aca="false">ROUNDUP((Parametry!$C$21*MAX(1,D48))*1,0)</f>
        <v>300</v>
      </c>
      <c r="O48" s="5" t="n">
        <f aca="false">ROUNDUP(J48/H48,0)</f>
        <v>5</v>
      </c>
      <c r="P48" s="5" t="n">
        <f aca="false">ROUNDUP(K48/H48,0)</f>
        <v>5</v>
      </c>
      <c r="Q48" s="5" t="n">
        <f aca="false">ROUNDUP(L48/H48,0)</f>
        <v>5</v>
      </c>
      <c r="R48" s="5" t="n">
        <f aca="false">ROUNDUP(M48/H48,0)</f>
        <v>5</v>
      </c>
      <c r="S48" s="5" t="n">
        <f aca="false">ROUNDUP(N48/H48,0)</f>
        <v>5</v>
      </c>
      <c r="T48" s="5" t="n">
        <f aca="false">SUM(O48:S48)</f>
        <v>25</v>
      </c>
      <c r="U48" s="5" t="n">
        <f aca="false">ROUNDUP(T48/G48,0)</f>
        <v>5</v>
      </c>
      <c r="V48" s="5" t="n">
        <f aca="false">U48*Parametry!$C$11</f>
        <v>25</v>
      </c>
      <c r="W48" s="5" t="n">
        <f aca="false">2</f>
        <v>2</v>
      </c>
      <c r="X48" s="5" t="n">
        <f aca="false">V48*(W48-1)</f>
        <v>25</v>
      </c>
      <c r="Y48" s="5" t="n">
        <f aca="false">V48*W48</f>
        <v>50</v>
      </c>
      <c r="Z48" s="5" t="n">
        <f aca="false">SUM(J48:N48)</f>
        <v>1500</v>
      </c>
      <c r="AA48" s="5" t="s">
        <v>875</v>
      </c>
    </row>
    <row r="49" customFormat="false" ht="69.75" hidden="false" customHeight="true" outlineLevel="0" collapsed="false">
      <c r="A49" s="6" t="s">
        <v>128</v>
      </c>
      <c r="B49" s="6" t="s">
        <v>873</v>
      </c>
      <c r="C49" s="6" t="s">
        <v>876</v>
      </c>
      <c r="D49" s="6" t="n">
        <v>1</v>
      </c>
      <c r="E49" s="6" t="n">
        <f aca="false">D49+1</f>
        <v>2</v>
      </c>
      <c r="F49" s="6" t="n">
        <v>1</v>
      </c>
      <c r="G49" s="16" t="n">
        <f aca="false">Parametry!$C$12</f>
        <v>6</v>
      </c>
      <c r="H49" s="6" t="n">
        <f aca="false">ROUNDDOWN(Parametry!$C$9*Parametry!$C$10^(F49-1),0)</f>
        <v>60</v>
      </c>
      <c r="I49" s="6" t="n">
        <f aca="false">ROUNDUP((Parametry!$C$21*MAX(1,D49))*Parametry!$C$15,0)</f>
        <v>330</v>
      </c>
      <c r="J49" s="6" t="n">
        <f aca="false">ROUNDUP((Parametry!$C$21*MAX(1,D49))*Parametry!$C$15,0)</f>
        <v>330</v>
      </c>
      <c r="K49" s="6" t="n">
        <f aca="false">ROUNDUP((Parametry!$C$21*MAX(1,D49))*Parametry!$C$15,0)</f>
        <v>330</v>
      </c>
      <c r="L49" s="6" t="n">
        <f aca="false">ROUNDUP((Parametry!$C$21*MAX(1,D49))*Parametry!$C$15,0)</f>
        <v>330</v>
      </c>
      <c r="M49" s="6" t="n">
        <f aca="false">ROUNDUP((Parametry!$C$21*MAX(1,D49))*Parametry!$C$15,0)</f>
        <v>330</v>
      </c>
      <c r="N49" s="6" t="n">
        <f aca="false">ROUNDUP((Parametry!$C$21*MAX(1,D49))*Parametry!$C$15,0)</f>
        <v>330</v>
      </c>
      <c r="O49" s="6" t="n">
        <f aca="false">ROUNDUP(J49/H49,0)</f>
        <v>6</v>
      </c>
      <c r="P49" s="6" t="n">
        <f aca="false">ROUNDUP(K49/H49,0)</f>
        <v>6</v>
      </c>
      <c r="Q49" s="6" t="n">
        <f aca="false">ROUNDUP(L49/H49,0)</f>
        <v>6</v>
      </c>
      <c r="R49" s="6" t="n">
        <f aca="false">ROUNDUP(M49/H49,0)</f>
        <v>6</v>
      </c>
      <c r="S49" s="6" t="n">
        <f aca="false">ROUNDUP(N49/H49,0)</f>
        <v>6</v>
      </c>
      <c r="T49" s="6" t="n">
        <f aca="false">SUM(O49:S49)</f>
        <v>30</v>
      </c>
      <c r="U49" s="6" t="n">
        <f aca="false">ROUNDUP(T49/G49,0)</f>
        <v>5</v>
      </c>
      <c r="V49" s="6" t="n">
        <f aca="false">U49*Parametry!$C$11</f>
        <v>25</v>
      </c>
      <c r="W49" s="6" t="n">
        <f aca="false">2</f>
        <v>2</v>
      </c>
      <c r="X49" s="6" t="n">
        <f aca="false">V49*(W49-1)</f>
        <v>25</v>
      </c>
      <c r="Y49" s="6" t="n">
        <f aca="false">V49*W49</f>
        <v>50</v>
      </c>
      <c r="Z49" s="6" t="n">
        <f aca="false">SUM(J49:N49)</f>
        <v>1650</v>
      </c>
      <c r="AA49" s="6" t="s">
        <v>875</v>
      </c>
    </row>
    <row r="50" customFormat="false" ht="69.75" hidden="false" customHeight="true" outlineLevel="0" collapsed="false">
      <c r="A50" s="5" t="s">
        <v>128</v>
      </c>
      <c r="B50" s="5" t="s">
        <v>877</v>
      </c>
      <c r="C50" s="5" t="s">
        <v>874</v>
      </c>
      <c r="D50" s="5" t="n">
        <v>2</v>
      </c>
      <c r="E50" s="5" t="n">
        <f aca="false">D50+1</f>
        <v>3</v>
      </c>
      <c r="F50" s="5" t="n">
        <v>2</v>
      </c>
      <c r="G50" s="15" t="n">
        <f aca="false">Parametry!$C$12</f>
        <v>6</v>
      </c>
      <c r="H50" s="5" t="n">
        <f aca="false">ROUNDDOWN(Parametry!$C$9*Parametry!$C$10^(F50-1),0)</f>
        <v>66</v>
      </c>
      <c r="I50" s="5" t="n">
        <f aca="false">ROUNDUP((Parametry!$C$21*MAX(1,D50))*1,0)</f>
        <v>600</v>
      </c>
      <c r="J50" s="5" t="n">
        <f aca="false">ROUNDUP((Parametry!$C$21*MAX(1,D50))*1,0)</f>
        <v>600</v>
      </c>
      <c r="K50" s="5" t="n">
        <f aca="false">ROUNDUP((Parametry!$C$21*MAX(1,D50))*1,0)</f>
        <v>600</v>
      </c>
      <c r="L50" s="5" t="n">
        <f aca="false">ROUNDUP((Parametry!$C$21*MAX(1,D50))*1,0)</f>
        <v>600</v>
      </c>
      <c r="M50" s="5" t="n">
        <f aca="false">ROUNDUP((Parametry!$C$21*MAX(1,D50))*1,0)</f>
        <v>600</v>
      </c>
      <c r="N50" s="5" t="n">
        <f aca="false">ROUNDUP((Parametry!$C$21*MAX(1,D50))*1,0)</f>
        <v>600</v>
      </c>
      <c r="O50" s="5" t="n">
        <f aca="false">ROUNDUP(J50/H50,0)</f>
        <v>10</v>
      </c>
      <c r="P50" s="5" t="n">
        <f aca="false">ROUNDUP(K50/H50,0)</f>
        <v>10</v>
      </c>
      <c r="Q50" s="5" t="n">
        <f aca="false">ROUNDUP(L50/H50,0)</f>
        <v>10</v>
      </c>
      <c r="R50" s="5" t="n">
        <f aca="false">ROUNDUP(M50/H50,0)</f>
        <v>10</v>
      </c>
      <c r="S50" s="5" t="n">
        <f aca="false">ROUNDUP(N50/H50,0)</f>
        <v>10</v>
      </c>
      <c r="T50" s="5" t="n">
        <f aca="false">SUM(O50:S50)</f>
        <v>50</v>
      </c>
      <c r="U50" s="5" t="n">
        <f aca="false">ROUNDUP(T50/G50,0)</f>
        <v>9</v>
      </c>
      <c r="V50" s="5" t="n">
        <f aca="false">U50*Parametry!$C$11</f>
        <v>45</v>
      </c>
      <c r="W50" s="5" t="n">
        <f aca="false">2</f>
        <v>2</v>
      </c>
      <c r="X50" s="5" t="n">
        <f aca="false">V50*(W50-1)</f>
        <v>45</v>
      </c>
      <c r="Y50" s="5" t="n">
        <f aca="false">V50*W50</f>
        <v>90</v>
      </c>
      <c r="Z50" s="5" t="n">
        <f aca="false">SUM(J50:N50)</f>
        <v>3000</v>
      </c>
      <c r="AA50" s="5" t="s">
        <v>875</v>
      </c>
    </row>
    <row r="51" customFormat="false" ht="69.75" hidden="false" customHeight="true" outlineLevel="0" collapsed="false">
      <c r="A51" s="6" t="s">
        <v>128</v>
      </c>
      <c r="B51" s="6" t="s">
        <v>877</v>
      </c>
      <c r="C51" s="6" t="s">
        <v>876</v>
      </c>
      <c r="D51" s="6" t="n">
        <v>2</v>
      </c>
      <c r="E51" s="6" t="n">
        <f aca="false">D51+1</f>
        <v>3</v>
      </c>
      <c r="F51" s="6" t="n">
        <v>2</v>
      </c>
      <c r="G51" s="16" t="n">
        <f aca="false">Parametry!$C$12</f>
        <v>6</v>
      </c>
      <c r="H51" s="6" t="n">
        <f aca="false">ROUNDDOWN(Parametry!$C$9*Parametry!$C$10^(F51-1),0)</f>
        <v>66</v>
      </c>
      <c r="I51" s="6" t="n">
        <f aca="false">ROUNDUP((Parametry!$C$21*MAX(1,D51))*Parametry!$C$15,0)</f>
        <v>660</v>
      </c>
      <c r="J51" s="6" t="n">
        <f aca="false">ROUNDUP((Parametry!$C$21*MAX(1,D51))*Parametry!$C$15,0)</f>
        <v>660</v>
      </c>
      <c r="K51" s="6" t="n">
        <f aca="false">ROUNDUP((Parametry!$C$21*MAX(1,D51))*Parametry!$C$15,0)</f>
        <v>660</v>
      </c>
      <c r="L51" s="6" t="n">
        <f aca="false">ROUNDUP((Parametry!$C$21*MAX(1,D51))*Parametry!$C$15,0)</f>
        <v>660</v>
      </c>
      <c r="M51" s="6" t="n">
        <f aca="false">ROUNDUP((Parametry!$C$21*MAX(1,D51))*Parametry!$C$15,0)</f>
        <v>660</v>
      </c>
      <c r="N51" s="6" t="n">
        <f aca="false">ROUNDUP((Parametry!$C$21*MAX(1,D51))*Parametry!$C$15,0)</f>
        <v>660</v>
      </c>
      <c r="O51" s="6" t="n">
        <f aca="false">ROUNDUP(J51/H51,0)</f>
        <v>10</v>
      </c>
      <c r="P51" s="6" t="n">
        <f aca="false">ROUNDUP(K51/H51,0)</f>
        <v>10</v>
      </c>
      <c r="Q51" s="6" t="n">
        <f aca="false">ROUNDUP(L51/H51,0)</f>
        <v>10</v>
      </c>
      <c r="R51" s="6" t="n">
        <f aca="false">ROUNDUP(M51/H51,0)</f>
        <v>10</v>
      </c>
      <c r="S51" s="6" t="n">
        <f aca="false">ROUNDUP(N51/H51,0)</f>
        <v>10</v>
      </c>
      <c r="T51" s="6" t="n">
        <f aca="false">SUM(O51:S51)</f>
        <v>50</v>
      </c>
      <c r="U51" s="6" t="n">
        <f aca="false">ROUNDUP(T51/G51,0)</f>
        <v>9</v>
      </c>
      <c r="V51" s="6" t="n">
        <f aca="false">U51*Parametry!$C$11</f>
        <v>45</v>
      </c>
      <c r="W51" s="6" t="n">
        <f aca="false">2</f>
        <v>2</v>
      </c>
      <c r="X51" s="6" t="n">
        <f aca="false">V51*(W51-1)</f>
        <v>45</v>
      </c>
      <c r="Y51" s="6" t="n">
        <f aca="false">V51*W51</f>
        <v>90</v>
      </c>
      <c r="Z51" s="6" t="n">
        <f aca="false">SUM(J51:N51)</f>
        <v>3300</v>
      </c>
      <c r="AA51" s="6" t="s">
        <v>875</v>
      </c>
    </row>
    <row r="52" customFormat="false" ht="69.75" hidden="false" customHeight="true" outlineLevel="0" collapsed="false">
      <c r="A52" s="5" t="s">
        <v>128</v>
      </c>
      <c r="B52" s="5" t="s">
        <v>878</v>
      </c>
      <c r="C52" s="5" t="s">
        <v>874</v>
      </c>
      <c r="D52" s="5" t="n">
        <v>3</v>
      </c>
      <c r="E52" s="5" t="n">
        <f aca="false">D52+1</f>
        <v>4</v>
      </c>
      <c r="F52" s="5" t="n">
        <v>3</v>
      </c>
      <c r="G52" s="15" t="n">
        <f aca="false">Parametry!$C$12</f>
        <v>6</v>
      </c>
      <c r="H52" s="5" t="n">
        <f aca="false">ROUNDDOWN(Parametry!$C$9*Parametry!$C$10^(F52-1),0)</f>
        <v>72</v>
      </c>
      <c r="I52" s="5" t="n">
        <f aca="false">ROUNDUP((Parametry!$C$21*MAX(1,D52))*1,0)</f>
        <v>900</v>
      </c>
      <c r="J52" s="5" t="n">
        <f aca="false">ROUNDUP((Parametry!$C$21*MAX(1,D52))*1,0)</f>
        <v>900</v>
      </c>
      <c r="K52" s="5" t="n">
        <f aca="false">ROUNDUP((Parametry!$C$21*MAX(1,D52))*1,0)</f>
        <v>900</v>
      </c>
      <c r="L52" s="5" t="n">
        <f aca="false">ROUNDUP((Parametry!$C$21*MAX(1,D52))*1,0)</f>
        <v>900</v>
      </c>
      <c r="M52" s="5" t="n">
        <f aca="false">ROUNDUP((Parametry!$C$21*MAX(1,D52))*1,0)</f>
        <v>900</v>
      </c>
      <c r="N52" s="5" t="n">
        <f aca="false">ROUNDUP((Parametry!$C$21*MAX(1,D52))*1,0)</f>
        <v>900</v>
      </c>
      <c r="O52" s="5" t="n">
        <f aca="false">ROUNDUP(J52/H52,0)</f>
        <v>13</v>
      </c>
      <c r="P52" s="5" t="n">
        <f aca="false">ROUNDUP(K52/H52,0)</f>
        <v>13</v>
      </c>
      <c r="Q52" s="5" t="n">
        <f aca="false">ROUNDUP(L52/H52,0)</f>
        <v>13</v>
      </c>
      <c r="R52" s="5" t="n">
        <f aca="false">ROUNDUP(M52/H52,0)</f>
        <v>13</v>
      </c>
      <c r="S52" s="5" t="n">
        <f aca="false">ROUNDUP(N52/H52,0)</f>
        <v>13</v>
      </c>
      <c r="T52" s="5" t="n">
        <f aca="false">SUM(O52:S52)</f>
        <v>65</v>
      </c>
      <c r="U52" s="5" t="n">
        <f aca="false">ROUNDUP(T52/G52,0)</f>
        <v>11</v>
      </c>
      <c r="V52" s="5" t="n">
        <f aca="false">U52*Parametry!$C$11</f>
        <v>55</v>
      </c>
      <c r="W52" s="5" t="n">
        <f aca="false">2</f>
        <v>2</v>
      </c>
      <c r="X52" s="5" t="n">
        <f aca="false">V52*(W52-1)</f>
        <v>55</v>
      </c>
      <c r="Y52" s="5" t="n">
        <f aca="false">V52*W52</f>
        <v>110</v>
      </c>
      <c r="Z52" s="5" t="n">
        <f aca="false">SUM(J52:N52)</f>
        <v>4500</v>
      </c>
      <c r="AA52" s="5" t="s">
        <v>875</v>
      </c>
    </row>
    <row r="53" customFormat="false" ht="69.75" hidden="false" customHeight="true" outlineLevel="0" collapsed="false">
      <c r="A53" s="6" t="s">
        <v>128</v>
      </c>
      <c r="B53" s="6" t="s">
        <v>878</v>
      </c>
      <c r="C53" s="6" t="s">
        <v>876</v>
      </c>
      <c r="D53" s="6" t="n">
        <v>3</v>
      </c>
      <c r="E53" s="6" t="n">
        <f aca="false">D53+1</f>
        <v>4</v>
      </c>
      <c r="F53" s="6" t="n">
        <v>3</v>
      </c>
      <c r="G53" s="16" t="n">
        <f aca="false">Parametry!$C$12</f>
        <v>6</v>
      </c>
      <c r="H53" s="6" t="n">
        <f aca="false">ROUNDDOWN(Parametry!$C$9*Parametry!$C$10^(F53-1),0)</f>
        <v>72</v>
      </c>
      <c r="I53" s="6" t="n">
        <f aca="false">ROUNDUP((Parametry!$C$21*MAX(1,D53))*Parametry!$C$15,0)</f>
        <v>990</v>
      </c>
      <c r="J53" s="6" t="n">
        <f aca="false">ROUNDUP((Parametry!$C$21*MAX(1,D53))*Parametry!$C$15,0)</f>
        <v>990</v>
      </c>
      <c r="K53" s="6" t="n">
        <f aca="false">ROUNDUP((Parametry!$C$21*MAX(1,D53))*Parametry!$C$15,0)</f>
        <v>990</v>
      </c>
      <c r="L53" s="6" t="n">
        <f aca="false">ROUNDUP((Parametry!$C$21*MAX(1,D53))*Parametry!$C$15,0)</f>
        <v>990</v>
      </c>
      <c r="M53" s="6" t="n">
        <f aca="false">ROUNDUP((Parametry!$C$21*MAX(1,D53))*Parametry!$C$15,0)</f>
        <v>990</v>
      </c>
      <c r="N53" s="6" t="n">
        <f aca="false">ROUNDUP((Parametry!$C$21*MAX(1,D53))*Parametry!$C$15,0)</f>
        <v>990</v>
      </c>
      <c r="O53" s="6" t="n">
        <f aca="false">ROUNDUP(J53/H53,0)</f>
        <v>14</v>
      </c>
      <c r="P53" s="6" t="n">
        <f aca="false">ROUNDUP(K53/H53,0)</f>
        <v>14</v>
      </c>
      <c r="Q53" s="6" t="n">
        <f aca="false">ROUNDUP(L53/H53,0)</f>
        <v>14</v>
      </c>
      <c r="R53" s="6" t="n">
        <f aca="false">ROUNDUP(M53/H53,0)</f>
        <v>14</v>
      </c>
      <c r="S53" s="6" t="n">
        <f aca="false">ROUNDUP(N53/H53,0)</f>
        <v>14</v>
      </c>
      <c r="T53" s="6" t="n">
        <f aca="false">SUM(O53:S53)</f>
        <v>70</v>
      </c>
      <c r="U53" s="6" t="n">
        <f aca="false">ROUNDUP(T53/G53,0)</f>
        <v>12</v>
      </c>
      <c r="V53" s="6" t="n">
        <f aca="false">U53*Parametry!$C$11</f>
        <v>60</v>
      </c>
      <c r="W53" s="6" t="n">
        <f aca="false">2</f>
        <v>2</v>
      </c>
      <c r="X53" s="6" t="n">
        <f aca="false">V53*(W53-1)</f>
        <v>60</v>
      </c>
      <c r="Y53" s="6" t="n">
        <f aca="false">V53*W53</f>
        <v>120</v>
      </c>
      <c r="Z53" s="6" t="n">
        <f aca="false">SUM(J53:N53)</f>
        <v>4950</v>
      </c>
      <c r="AA53" s="6" t="s">
        <v>875</v>
      </c>
    </row>
    <row r="54" customFormat="false" ht="69.75" hidden="false" customHeight="true" outlineLevel="0" collapsed="false">
      <c r="A54" s="5" t="s">
        <v>135</v>
      </c>
      <c r="B54" s="5" t="s">
        <v>873</v>
      </c>
      <c r="C54" s="5" t="s">
        <v>874</v>
      </c>
      <c r="D54" s="5" t="n">
        <v>1</v>
      </c>
      <c r="E54" s="5" t="n">
        <f aca="false">D54+1</f>
        <v>2</v>
      </c>
      <c r="F54" s="5" t="n">
        <v>1</v>
      </c>
      <c r="G54" s="15" t="n">
        <f aca="false">Parametry!$C$12</f>
        <v>6</v>
      </c>
      <c r="H54" s="5" t="n">
        <f aca="false">ROUNDDOWN(Parametry!$C$9*Parametry!$C$10^(F54-1),0)</f>
        <v>60</v>
      </c>
      <c r="I54" s="5" t="n">
        <f aca="false">ROUNDUP((Parametry!$C$21*MAX(1,D54))*1,0)</f>
        <v>300</v>
      </c>
      <c r="J54" s="5" t="n">
        <f aca="false">ROUNDUP((Parametry!$C$21*MAX(1,D54))*1,0)</f>
        <v>300</v>
      </c>
      <c r="K54" s="5" t="n">
        <f aca="false">ROUNDUP((Parametry!$C$21*MAX(1,D54))*1,0)</f>
        <v>300</v>
      </c>
      <c r="L54" s="5" t="n">
        <f aca="false">ROUNDUP((Parametry!$C$21*MAX(1,D54))*1,0)</f>
        <v>300</v>
      </c>
      <c r="M54" s="5" t="n">
        <f aca="false">ROUNDUP((Parametry!$C$21*MAX(1,D54))*1,0)</f>
        <v>300</v>
      </c>
      <c r="N54" s="5" t="n">
        <f aca="false">ROUNDUP((Parametry!$C$21*MAX(1,D54))*1,0)</f>
        <v>300</v>
      </c>
      <c r="O54" s="5" t="n">
        <f aca="false">ROUNDUP(J54/H54,0)</f>
        <v>5</v>
      </c>
      <c r="P54" s="5" t="n">
        <f aca="false">ROUNDUP(K54/H54,0)</f>
        <v>5</v>
      </c>
      <c r="Q54" s="5" t="n">
        <f aca="false">ROUNDUP(L54/H54,0)</f>
        <v>5</v>
      </c>
      <c r="R54" s="5" t="n">
        <f aca="false">ROUNDUP(M54/H54,0)</f>
        <v>5</v>
      </c>
      <c r="S54" s="5" t="n">
        <f aca="false">ROUNDUP(N54/H54,0)</f>
        <v>5</v>
      </c>
      <c r="T54" s="5" t="n">
        <f aca="false">SUM(O54:S54)</f>
        <v>25</v>
      </c>
      <c r="U54" s="5" t="n">
        <f aca="false">ROUNDUP(T54/G54,0)</f>
        <v>5</v>
      </c>
      <c r="V54" s="5" t="n">
        <f aca="false">U54*Parametry!$C$11</f>
        <v>25</v>
      </c>
      <c r="W54" s="5" t="n">
        <f aca="false">2</f>
        <v>2</v>
      </c>
      <c r="X54" s="5" t="n">
        <f aca="false">V54*(W54-1)</f>
        <v>25</v>
      </c>
      <c r="Y54" s="5" t="n">
        <f aca="false">V54*W54</f>
        <v>50</v>
      </c>
      <c r="Z54" s="5" t="n">
        <f aca="false">SUM(J54:N54)</f>
        <v>1500</v>
      </c>
      <c r="AA54" s="5" t="s">
        <v>875</v>
      </c>
    </row>
    <row r="55" customFormat="false" ht="69.75" hidden="false" customHeight="true" outlineLevel="0" collapsed="false">
      <c r="A55" s="6" t="s">
        <v>135</v>
      </c>
      <c r="B55" s="6" t="s">
        <v>873</v>
      </c>
      <c r="C55" s="6" t="s">
        <v>876</v>
      </c>
      <c r="D55" s="6" t="n">
        <v>1</v>
      </c>
      <c r="E55" s="6" t="n">
        <f aca="false">D55+1</f>
        <v>2</v>
      </c>
      <c r="F55" s="6" t="n">
        <v>1</v>
      </c>
      <c r="G55" s="16" t="n">
        <f aca="false">Parametry!$C$12</f>
        <v>6</v>
      </c>
      <c r="H55" s="6" t="n">
        <f aca="false">ROUNDDOWN(Parametry!$C$9*Parametry!$C$10^(F55-1),0)</f>
        <v>60</v>
      </c>
      <c r="I55" s="6" t="n">
        <f aca="false">ROUNDUP((Parametry!$C$21*MAX(1,D55))*Parametry!$C$15,0)</f>
        <v>330</v>
      </c>
      <c r="J55" s="6" t="n">
        <f aca="false">ROUNDUP((Parametry!$C$21*MAX(1,D55))*Parametry!$C$15,0)</f>
        <v>330</v>
      </c>
      <c r="K55" s="6" t="n">
        <f aca="false">ROUNDUP((Parametry!$C$21*MAX(1,D55))*Parametry!$C$15,0)</f>
        <v>330</v>
      </c>
      <c r="L55" s="6" t="n">
        <f aca="false">ROUNDUP((Parametry!$C$21*MAX(1,D55))*Parametry!$C$15,0)</f>
        <v>330</v>
      </c>
      <c r="M55" s="6" t="n">
        <f aca="false">ROUNDUP((Parametry!$C$21*MAX(1,D55))*Parametry!$C$15,0)</f>
        <v>330</v>
      </c>
      <c r="N55" s="6" t="n">
        <f aca="false">ROUNDUP((Parametry!$C$21*MAX(1,D55))*Parametry!$C$15,0)</f>
        <v>330</v>
      </c>
      <c r="O55" s="6" t="n">
        <f aca="false">ROUNDUP(J55/H55,0)</f>
        <v>6</v>
      </c>
      <c r="P55" s="6" t="n">
        <f aca="false">ROUNDUP(K55/H55,0)</f>
        <v>6</v>
      </c>
      <c r="Q55" s="6" t="n">
        <f aca="false">ROUNDUP(L55/H55,0)</f>
        <v>6</v>
      </c>
      <c r="R55" s="6" t="n">
        <f aca="false">ROUNDUP(M55/H55,0)</f>
        <v>6</v>
      </c>
      <c r="S55" s="6" t="n">
        <f aca="false">ROUNDUP(N55/H55,0)</f>
        <v>6</v>
      </c>
      <c r="T55" s="6" t="n">
        <f aca="false">SUM(O55:S55)</f>
        <v>30</v>
      </c>
      <c r="U55" s="6" t="n">
        <f aca="false">ROUNDUP(T55/G55,0)</f>
        <v>5</v>
      </c>
      <c r="V55" s="6" t="n">
        <f aca="false">U55*Parametry!$C$11</f>
        <v>25</v>
      </c>
      <c r="W55" s="6" t="n">
        <f aca="false">2</f>
        <v>2</v>
      </c>
      <c r="X55" s="6" t="n">
        <f aca="false">V55*(W55-1)</f>
        <v>25</v>
      </c>
      <c r="Y55" s="6" t="n">
        <f aca="false">V55*W55</f>
        <v>50</v>
      </c>
      <c r="Z55" s="6" t="n">
        <f aca="false">SUM(J55:N55)</f>
        <v>1650</v>
      </c>
      <c r="AA55" s="6" t="s">
        <v>875</v>
      </c>
    </row>
    <row r="56" customFormat="false" ht="69.75" hidden="false" customHeight="true" outlineLevel="0" collapsed="false">
      <c r="A56" s="5" t="s">
        <v>135</v>
      </c>
      <c r="B56" s="5" t="s">
        <v>877</v>
      </c>
      <c r="C56" s="5" t="s">
        <v>874</v>
      </c>
      <c r="D56" s="5" t="n">
        <v>2</v>
      </c>
      <c r="E56" s="5" t="n">
        <f aca="false">D56+1</f>
        <v>3</v>
      </c>
      <c r="F56" s="5" t="n">
        <v>2</v>
      </c>
      <c r="G56" s="15" t="n">
        <f aca="false">Parametry!$C$12</f>
        <v>6</v>
      </c>
      <c r="H56" s="5" t="n">
        <f aca="false">ROUNDDOWN(Parametry!$C$9*Parametry!$C$10^(F56-1),0)</f>
        <v>66</v>
      </c>
      <c r="I56" s="5" t="n">
        <f aca="false">ROUNDUP((Parametry!$C$21*MAX(1,D56))*1,0)</f>
        <v>600</v>
      </c>
      <c r="J56" s="5" t="n">
        <f aca="false">ROUNDUP((Parametry!$C$21*MAX(1,D56))*1,0)</f>
        <v>600</v>
      </c>
      <c r="K56" s="5" t="n">
        <f aca="false">ROUNDUP((Parametry!$C$21*MAX(1,D56))*1,0)</f>
        <v>600</v>
      </c>
      <c r="L56" s="5" t="n">
        <f aca="false">ROUNDUP((Parametry!$C$21*MAX(1,D56))*1,0)</f>
        <v>600</v>
      </c>
      <c r="M56" s="5" t="n">
        <f aca="false">ROUNDUP((Parametry!$C$21*MAX(1,D56))*1,0)</f>
        <v>600</v>
      </c>
      <c r="N56" s="5" t="n">
        <f aca="false">ROUNDUP((Parametry!$C$21*MAX(1,D56))*1,0)</f>
        <v>600</v>
      </c>
      <c r="O56" s="5" t="n">
        <f aca="false">ROUNDUP(J56/H56,0)</f>
        <v>10</v>
      </c>
      <c r="P56" s="5" t="n">
        <f aca="false">ROUNDUP(K56/H56,0)</f>
        <v>10</v>
      </c>
      <c r="Q56" s="5" t="n">
        <f aca="false">ROUNDUP(L56/H56,0)</f>
        <v>10</v>
      </c>
      <c r="R56" s="5" t="n">
        <f aca="false">ROUNDUP(M56/H56,0)</f>
        <v>10</v>
      </c>
      <c r="S56" s="5" t="n">
        <f aca="false">ROUNDUP(N56/H56,0)</f>
        <v>10</v>
      </c>
      <c r="T56" s="5" t="n">
        <f aca="false">SUM(O56:S56)</f>
        <v>50</v>
      </c>
      <c r="U56" s="5" t="n">
        <f aca="false">ROUNDUP(T56/G56,0)</f>
        <v>9</v>
      </c>
      <c r="V56" s="5" t="n">
        <f aca="false">U56*Parametry!$C$11</f>
        <v>45</v>
      </c>
      <c r="W56" s="5" t="n">
        <f aca="false">2</f>
        <v>2</v>
      </c>
      <c r="X56" s="5" t="n">
        <f aca="false">V56*(W56-1)</f>
        <v>45</v>
      </c>
      <c r="Y56" s="5" t="n">
        <f aca="false">V56*W56</f>
        <v>90</v>
      </c>
      <c r="Z56" s="5" t="n">
        <f aca="false">SUM(J56:N56)</f>
        <v>3000</v>
      </c>
      <c r="AA56" s="5" t="s">
        <v>875</v>
      </c>
    </row>
    <row r="57" customFormat="false" ht="69.75" hidden="false" customHeight="true" outlineLevel="0" collapsed="false">
      <c r="A57" s="6" t="s">
        <v>135</v>
      </c>
      <c r="B57" s="6" t="s">
        <v>877</v>
      </c>
      <c r="C57" s="6" t="s">
        <v>876</v>
      </c>
      <c r="D57" s="6" t="n">
        <v>2</v>
      </c>
      <c r="E57" s="6" t="n">
        <f aca="false">D57+1</f>
        <v>3</v>
      </c>
      <c r="F57" s="6" t="n">
        <v>2</v>
      </c>
      <c r="G57" s="16" t="n">
        <f aca="false">Parametry!$C$12</f>
        <v>6</v>
      </c>
      <c r="H57" s="6" t="n">
        <f aca="false">ROUNDDOWN(Parametry!$C$9*Parametry!$C$10^(F57-1),0)</f>
        <v>66</v>
      </c>
      <c r="I57" s="6" t="n">
        <f aca="false">ROUNDUP((Parametry!$C$21*MAX(1,D57))*Parametry!$C$15,0)</f>
        <v>660</v>
      </c>
      <c r="J57" s="6" t="n">
        <f aca="false">ROUNDUP((Parametry!$C$21*MAX(1,D57))*Parametry!$C$15,0)</f>
        <v>660</v>
      </c>
      <c r="K57" s="6" t="n">
        <f aca="false">ROUNDUP((Parametry!$C$21*MAX(1,D57))*Parametry!$C$15,0)</f>
        <v>660</v>
      </c>
      <c r="L57" s="6" t="n">
        <f aca="false">ROUNDUP((Parametry!$C$21*MAX(1,D57))*Parametry!$C$15,0)</f>
        <v>660</v>
      </c>
      <c r="M57" s="6" t="n">
        <f aca="false">ROUNDUP((Parametry!$C$21*MAX(1,D57))*Parametry!$C$15,0)</f>
        <v>660</v>
      </c>
      <c r="N57" s="6" t="n">
        <f aca="false">ROUNDUP((Parametry!$C$21*MAX(1,D57))*Parametry!$C$15,0)</f>
        <v>660</v>
      </c>
      <c r="O57" s="6" t="n">
        <f aca="false">ROUNDUP(J57/H57,0)</f>
        <v>10</v>
      </c>
      <c r="P57" s="6" t="n">
        <f aca="false">ROUNDUP(K57/H57,0)</f>
        <v>10</v>
      </c>
      <c r="Q57" s="6" t="n">
        <f aca="false">ROUNDUP(L57/H57,0)</f>
        <v>10</v>
      </c>
      <c r="R57" s="6" t="n">
        <f aca="false">ROUNDUP(M57/H57,0)</f>
        <v>10</v>
      </c>
      <c r="S57" s="6" t="n">
        <f aca="false">ROUNDUP(N57/H57,0)</f>
        <v>10</v>
      </c>
      <c r="T57" s="6" t="n">
        <f aca="false">SUM(O57:S57)</f>
        <v>50</v>
      </c>
      <c r="U57" s="6" t="n">
        <f aca="false">ROUNDUP(T57/G57,0)</f>
        <v>9</v>
      </c>
      <c r="V57" s="6" t="n">
        <f aca="false">U57*Parametry!$C$11</f>
        <v>45</v>
      </c>
      <c r="W57" s="6" t="n">
        <f aca="false">2</f>
        <v>2</v>
      </c>
      <c r="X57" s="6" t="n">
        <f aca="false">V57*(W57-1)</f>
        <v>45</v>
      </c>
      <c r="Y57" s="6" t="n">
        <f aca="false">V57*W57</f>
        <v>90</v>
      </c>
      <c r="Z57" s="6" t="n">
        <f aca="false">SUM(J57:N57)</f>
        <v>3300</v>
      </c>
      <c r="AA57" s="6" t="s">
        <v>875</v>
      </c>
    </row>
    <row r="58" customFormat="false" ht="69.75" hidden="false" customHeight="true" outlineLevel="0" collapsed="false">
      <c r="A58" s="5" t="s">
        <v>135</v>
      </c>
      <c r="B58" s="5" t="s">
        <v>878</v>
      </c>
      <c r="C58" s="5" t="s">
        <v>874</v>
      </c>
      <c r="D58" s="5" t="n">
        <v>3</v>
      </c>
      <c r="E58" s="5" t="n">
        <f aca="false">D58+1</f>
        <v>4</v>
      </c>
      <c r="F58" s="5" t="n">
        <v>3</v>
      </c>
      <c r="G58" s="15" t="n">
        <f aca="false">Parametry!$C$12</f>
        <v>6</v>
      </c>
      <c r="H58" s="5" t="n">
        <f aca="false">ROUNDDOWN(Parametry!$C$9*Parametry!$C$10^(F58-1),0)</f>
        <v>72</v>
      </c>
      <c r="I58" s="5" t="n">
        <f aca="false">ROUNDUP((Parametry!$C$21*MAX(1,D58))*1,0)</f>
        <v>900</v>
      </c>
      <c r="J58" s="5" t="n">
        <f aca="false">ROUNDUP((Parametry!$C$21*MAX(1,D58))*1,0)</f>
        <v>900</v>
      </c>
      <c r="K58" s="5" t="n">
        <f aca="false">ROUNDUP((Parametry!$C$21*MAX(1,D58))*1,0)</f>
        <v>900</v>
      </c>
      <c r="L58" s="5" t="n">
        <f aca="false">ROUNDUP((Parametry!$C$21*MAX(1,D58))*1,0)</f>
        <v>900</v>
      </c>
      <c r="M58" s="5" t="n">
        <f aca="false">ROUNDUP((Parametry!$C$21*MAX(1,D58))*1,0)</f>
        <v>900</v>
      </c>
      <c r="N58" s="5" t="n">
        <f aca="false">ROUNDUP((Parametry!$C$21*MAX(1,D58))*1,0)</f>
        <v>900</v>
      </c>
      <c r="O58" s="5" t="n">
        <f aca="false">ROUNDUP(J58/H58,0)</f>
        <v>13</v>
      </c>
      <c r="P58" s="5" t="n">
        <f aca="false">ROUNDUP(K58/H58,0)</f>
        <v>13</v>
      </c>
      <c r="Q58" s="5" t="n">
        <f aca="false">ROUNDUP(L58/H58,0)</f>
        <v>13</v>
      </c>
      <c r="R58" s="5" t="n">
        <f aca="false">ROUNDUP(M58/H58,0)</f>
        <v>13</v>
      </c>
      <c r="S58" s="5" t="n">
        <f aca="false">ROUNDUP(N58/H58,0)</f>
        <v>13</v>
      </c>
      <c r="T58" s="5" t="n">
        <f aca="false">SUM(O58:S58)</f>
        <v>65</v>
      </c>
      <c r="U58" s="5" t="n">
        <f aca="false">ROUNDUP(T58/G58,0)</f>
        <v>11</v>
      </c>
      <c r="V58" s="5" t="n">
        <f aca="false">U58*Parametry!$C$11</f>
        <v>55</v>
      </c>
      <c r="W58" s="5" t="n">
        <f aca="false">2</f>
        <v>2</v>
      </c>
      <c r="X58" s="5" t="n">
        <f aca="false">V58*(W58-1)</f>
        <v>55</v>
      </c>
      <c r="Y58" s="5" t="n">
        <f aca="false">V58*W58</f>
        <v>110</v>
      </c>
      <c r="Z58" s="5" t="n">
        <f aca="false">SUM(J58:N58)</f>
        <v>4500</v>
      </c>
      <c r="AA58" s="5" t="s">
        <v>875</v>
      </c>
    </row>
    <row r="59" customFormat="false" ht="69.75" hidden="false" customHeight="true" outlineLevel="0" collapsed="false">
      <c r="A59" s="6" t="s">
        <v>135</v>
      </c>
      <c r="B59" s="6" t="s">
        <v>878</v>
      </c>
      <c r="C59" s="6" t="s">
        <v>876</v>
      </c>
      <c r="D59" s="6" t="n">
        <v>3</v>
      </c>
      <c r="E59" s="6" t="n">
        <f aca="false">D59+1</f>
        <v>4</v>
      </c>
      <c r="F59" s="6" t="n">
        <v>3</v>
      </c>
      <c r="G59" s="16" t="n">
        <f aca="false">Parametry!$C$12</f>
        <v>6</v>
      </c>
      <c r="H59" s="6" t="n">
        <f aca="false">ROUNDDOWN(Parametry!$C$9*Parametry!$C$10^(F59-1),0)</f>
        <v>72</v>
      </c>
      <c r="I59" s="6" t="n">
        <f aca="false">ROUNDUP((Parametry!$C$21*MAX(1,D59))*Parametry!$C$15,0)</f>
        <v>990</v>
      </c>
      <c r="J59" s="6" t="n">
        <f aca="false">ROUNDUP((Parametry!$C$21*MAX(1,D59))*Parametry!$C$15,0)</f>
        <v>990</v>
      </c>
      <c r="K59" s="6" t="n">
        <f aca="false">ROUNDUP((Parametry!$C$21*MAX(1,D59))*Parametry!$C$15,0)</f>
        <v>990</v>
      </c>
      <c r="L59" s="6" t="n">
        <f aca="false">ROUNDUP((Parametry!$C$21*MAX(1,D59))*Parametry!$C$15,0)</f>
        <v>990</v>
      </c>
      <c r="M59" s="6" t="n">
        <f aca="false">ROUNDUP((Parametry!$C$21*MAX(1,D59))*Parametry!$C$15,0)</f>
        <v>990</v>
      </c>
      <c r="N59" s="6" t="n">
        <f aca="false">ROUNDUP((Parametry!$C$21*MAX(1,D59))*Parametry!$C$15,0)</f>
        <v>990</v>
      </c>
      <c r="O59" s="6" t="n">
        <f aca="false">ROUNDUP(J59/H59,0)</f>
        <v>14</v>
      </c>
      <c r="P59" s="6" t="n">
        <f aca="false">ROUNDUP(K59/H59,0)</f>
        <v>14</v>
      </c>
      <c r="Q59" s="6" t="n">
        <f aca="false">ROUNDUP(L59/H59,0)</f>
        <v>14</v>
      </c>
      <c r="R59" s="6" t="n">
        <f aca="false">ROUNDUP(M59/H59,0)</f>
        <v>14</v>
      </c>
      <c r="S59" s="6" t="n">
        <f aca="false">ROUNDUP(N59/H59,0)</f>
        <v>14</v>
      </c>
      <c r="T59" s="6" t="n">
        <f aca="false">SUM(O59:S59)</f>
        <v>70</v>
      </c>
      <c r="U59" s="6" t="n">
        <f aca="false">ROUNDUP(T59/G59,0)</f>
        <v>12</v>
      </c>
      <c r="V59" s="6" t="n">
        <f aca="false">U59*Parametry!$C$11</f>
        <v>60</v>
      </c>
      <c r="W59" s="6" t="n">
        <f aca="false">2</f>
        <v>2</v>
      </c>
      <c r="X59" s="6" t="n">
        <f aca="false">V59*(W59-1)</f>
        <v>60</v>
      </c>
      <c r="Y59" s="6" t="n">
        <f aca="false">V59*W59</f>
        <v>120</v>
      </c>
      <c r="Z59" s="6" t="n">
        <f aca="false">SUM(J59:N59)</f>
        <v>4950</v>
      </c>
      <c r="AA59" s="6" t="s">
        <v>875</v>
      </c>
    </row>
    <row r="60" customFormat="false" ht="69.75" hidden="false" customHeight="true" outlineLevel="0" collapsed="false">
      <c r="A60" s="5" t="s">
        <v>140</v>
      </c>
      <c r="B60" s="5" t="s">
        <v>873</v>
      </c>
      <c r="C60" s="5" t="s">
        <v>874</v>
      </c>
      <c r="D60" s="5" t="n">
        <v>1</v>
      </c>
      <c r="E60" s="5" t="n">
        <f aca="false">D60+1</f>
        <v>2</v>
      </c>
      <c r="F60" s="5" t="n">
        <v>1</v>
      </c>
      <c r="G60" s="15" t="n">
        <f aca="false">Parametry!$C$12</f>
        <v>6</v>
      </c>
      <c r="H60" s="5" t="n">
        <f aca="false">ROUNDDOWN(Parametry!$C$9*Parametry!$C$10^(F60-1),0)</f>
        <v>60</v>
      </c>
      <c r="I60" s="5" t="n">
        <f aca="false">ROUNDUP((Parametry!$C$22*MAX(1,D60))*1,0)</f>
        <v>400</v>
      </c>
      <c r="J60" s="5" t="n">
        <f aca="false">ROUNDUP((Parametry!$C$22*MAX(1,D60))*1,0)</f>
        <v>400</v>
      </c>
      <c r="K60" s="5" t="n">
        <f aca="false">ROUNDUP((Parametry!$C$22*MAX(1,D60))*1,0)</f>
        <v>400</v>
      </c>
      <c r="L60" s="5" t="n">
        <f aca="false">ROUNDUP((Parametry!$C$22*MAX(1,D60))*1,0)</f>
        <v>400</v>
      </c>
      <c r="M60" s="5" t="n">
        <f aca="false">ROUNDUP((Parametry!$C$22*MAX(1,D60))*1,0)</f>
        <v>400</v>
      </c>
      <c r="N60" s="5" t="n">
        <f aca="false">ROUNDUP((Parametry!$C$22*MAX(1,D60))*1,0)</f>
        <v>400</v>
      </c>
      <c r="O60" s="5" t="n">
        <f aca="false">ROUNDUP(J60/H60,0)</f>
        <v>7</v>
      </c>
      <c r="P60" s="5" t="n">
        <f aca="false">ROUNDUP(K60/H60,0)</f>
        <v>7</v>
      </c>
      <c r="Q60" s="5" t="n">
        <f aca="false">ROUNDUP(L60/H60,0)</f>
        <v>7</v>
      </c>
      <c r="R60" s="5" t="n">
        <f aca="false">ROUNDUP(M60/H60,0)</f>
        <v>7</v>
      </c>
      <c r="S60" s="5" t="n">
        <f aca="false">ROUNDUP(N60/H60,0)</f>
        <v>7</v>
      </c>
      <c r="T60" s="5" t="n">
        <f aca="false">SUM(O60:S60)</f>
        <v>35</v>
      </c>
      <c r="U60" s="5" t="n">
        <f aca="false">ROUNDUP(T60/G60,0)</f>
        <v>6</v>
      </c>
      <c r="V60" s="5" t="n">
        <f aca="false">U60*Parametry!$C$11</f>
        <v>30</v>
      </c>
      <c r="W60" s="5" t="n">
        <f aca="false">2</f>
        <v>2</v>
      </c>
      <c r="X60" s="5" t="n">
        <f aca="false">V60*(W60-1)</f>
        <v>30</v>
      </c>
      <c r="Y60" s="5" t="n">
        <f aca="false">V60*W60</f>
        <v>60</v>
      </c>
      <c r="Z60" s="5" t="n">
        <f aca="false">SUM(J60:N60)</f>
        <v>2000</v>
      </c>
      <c r="AA60" s="5" t="s">
        <v>875</v>
      </c>
    </row>
    <row r="61" customFormat="false" ht="69.75" hidden="false" customHeight="true" outlineLevel="0" collapsed="false">
      <c r="A61" s="6" t="s">
        <v>140</v>
      </c>
      <c r="B61" s="6" t="s">
        <v>873</v>
      </c>
      <c r="C61" s="6" t="s">
        <v>876</v>
      </c>
      <c r="D61" s="6" t="n">
        <v>1</v>
      </c>
      <c r="E61" s="6" t="n">
        <f aca="false">D61+1</f>
        <v>2</v>
      </c>
      <c r="F61" s="6" t="n">
        <v>1</v>
      </c>
      <c r="G61" s="16" t="n">
        <f aca="false">Parametry!$C$12</f>
        <v>6</v>
      </c>
      <c r="H61" s="6" t="n">
        <f aca="false">ROUNDDOWN(Parametry!$C$9*Parametry!$C$10^(F61-1),0)</f>
        <v>60</v>
      </c>
      <c r="I61" s="6" t="n">
        <f aca="false">ROUNDUP((Parametry!$C$22*MAX(1,D61))*Parametry!$C$15,0)</f>
        <v>440</v>
      </c>
      <c r="J61" s="6" t="n">
        <f aca="false">ROUNDUP((Parametry!$C$22*MAX(1,D61))*Parametry!$C$15,0)</f>
        <v>440</v>
      </c>
      <c r="K61" s="6" t="n">
        <f aca="false">ROUNDUP((Parametry!$C$22*MAX(1,D61))*Parametry!$C$15,0)</f>
        <v>440</v>
      </c>
      <c r="L61" s="6" t="n">
        <f aca="false">ROUNDUP((Parametry!$C$22*MAX(1,D61))*Parametry!$C$15,0)</f>
        <v>440</v>
      </c>
      <c r="M61" s="6" t="n">
        <f aca="false">ROUNDUP((Parametry!$C$22*MAX(1,D61))*Parametry!$C$15,0)</f>
        <v>440</v>
      </c>
      <c r="N61" s="6" t="n">
        <f aca="false">ROUNDUP((Parametry!$C$22*MAX(1,D61))*Parametry!$C$15,0)</f>
        <v>440</v>
      </c>
      <c r="O61" s="6" t="n">
        <f aca="false">ROUNDUP(J61/H61,0)</f>
        <v>8</v>
      </c>
      <c r="P61" s="6" t="n">
        <f aca="false">ROUNDUP(K61/H61,0)</f>
        <v>8</v>
      </c>
      <c r="Q61" s="6" t="n">
        <f aca="false">ROUNDUP(L61/H61,0)</f>
        <v>8</v>
      </c>
      <c r="R61" s="6" t="n">
        <f aca="false">ROUNDUP(M61/H61,0)</f>
        <v>8</v>
      </c>
      <c r="S61" s="6" t="n">
        <f aca="false">ROUNDUP(N61/H61,0)</f>
        <v>8</v>
      </c>
      <c r="T61" s="6" t="n">
        <f aca="false">SUM(O61:S61)</f>
        <v>40</v>
      </c>
      <c r="U61" s="6" t="n">
        <f aca="false">ROUNDUP(T61/G61,0)</f>
        <v>7</v>
      </c>
      <c r="V61" s="6" t="n">
        <f aca="false">U61*Parametry!$C$11</f>
        <v>35</v>
      </c>
      <c r="W61" s="6" t="n">
        <f aca="false">2</f>
        <v>2</v>
      </c>
      <c r="X61" s="6" t="n">
        <f aca="false">V61*(W61-1)</f>
        <v>35</v>
      </c>
      <c r="Y61" s="6" t="n">
        <f aca="false">V61*W61</f>
        <v>70</v>
      </c>
      <c r="Z61" s="6" t="n">
        <f aca="false">SUM(J61:N61)</f>
        <v>2200</v>
      </c>
      <c r="AA61" s="6" t="s">
        <v>875</v>
      </c>
    </row>
    <row r="62" customFormat="false" ht="69.75" hidden="false" customHeight="true" outlineLevel="0" collapsed="false">
      <c r="A62" s="5" t="s">
        <v>140</v>
      </c>
      <c r="B62" s="5" t="s">
        <v>877</v>
      </c>
      <c r="C62" s="5" t="s">
        <v>874</v>
      </c>
      <c r="D62" s="5" t="n">
        <v>2</v>
      </c>
      <c r="E62" s="5" t="n">
        <f aca="false">D62+1</f>
        <v>3</v>
      </c>
      <c r="F62" s="5" t="n">
        <v>2</v>
      </c>
      <c r="G62" s="15" t="n">
        <f aca="false">Parametry!$C$12</f>
        <v>6</v>
      </c>
      <c r="H62" s="5" t="n">
        <f aca="false">ROUNDDOWN(Parametry!$C$9*Parametry!$C$10^(F62-1),0)</f>
        <v>66</v>
      </c>
      <c r="I62" s="5" t="n">
        <f aca="false">ROUNDUP((Parametry!$C$22*MAX(1,D62))*1,0)</f>
        <v>800</v>
      </c>
      <c r="J62" s="5" t="n">
        <f aca="false">ROUNDUP((Parametry!$C$22*MAX(1,D62))*1,0)</f>
        <v>800</v>
      </c>
      <c r="K62" s="5" t="n">
        <f aca="false">ROUNDUP((Parametry!$C$22*MAX(1,D62))*1,0)</f>
        <v>800</v>
      </c>
      <c r="L62" s="5" t="n">
        <f aca="false">ROUNDUP((Parametry!$C$22*MAX(1,D62))*1,0)</f>
        <v>800</v>
      </c>
      <c r="M62" s="5" t="n">
        <f aca="false">ROUNDUP((Parametry!$C$22*MAX(1,D62))*1,0)</f>
        <v>800</v>
      </c>
      <c r="N62" s="5" t="n">
        <f aca="false">ROUNDUP((Parametry!$C$22*MAX(1,D62))*1,0)</f>
        <v>800</v>
      </c>
      <c r="O62" s="5" t="n">
        <f aca="false">ROUNDUP(J62/H62,0)</f>
        <v>13</v>
      </c>
      <c r="P62" s="5" t="n">
        <f aca="false">ROUNDUP(K62/H62,0)</f>
        <v>13</v>
      </c>
      <c r="Q62" s="5" t="n">
        <f aca="false">ROUNDUP(L62/H62,0)</f>
        <v>13</v>
      </c>
      <c r="R62" s="5" t="n">
        <f aca="false">ROUNDUP(M62/H62,0)</f>
        <v>13</v>
      </c>
      <c r="S62" s="5" t="n">
        <f aca="false">ROUNDUP(N62/H62,0)</f>
        <v>13</v>
      </c>
      <c r="T62" s="5" t="n">
        <f aca="false">SUM(O62:S62)</f>
        <v>65</v>
      </c>
      <c r="U62" s="5" t="n">
        <f aca="false">ROUNDUP(T62/G62,0)</f>
        <v>11</v>
      </c>
      <c r="V62" s="5" t="n">
        <f aca="false">U62*Parametry!$C$11</f>
        <v>55</v>
      </c>
      <c r="W62" s="5" t="n">
        <f aca="false">2</f>
        <v>2</v>
      </c>
      <c r="X62" s="5" t="n">
        <f aca="false">V62*(W62-1)</f>
        <v>55</v>
      </c>
      <c r="Y62" s="5" t="n">
        <f aca="false">V62*W62</f>
        <v>110</v>
      </c>
      <c r="Z62" s="5" t="n">
        <f aca="false">SUM(J62:N62)</f>
        <v>4000</v>
      </c>
      <c r="AA62" s="5" t="s">
        <v>875</v>
      </c>
    </row>
    <row r="63" customFormat="false" ht="69.75" hidden="false" customHeight="true" outlineLevel="0" collapsed="false">
      <c r="A63" s="6" t="s">
        <v>140</v>
      </c>
      <c r="B63" s="6" t="s">
        <v>877</v>
      </c>
      <c r="C63" s="6" t="s">
        <v>876</v>
      </c>
      <c r="D63" s="6" t="n">
        <v>2</v>
      </c>
      <c r="E63" s="6" t="n">
        <f aca="false">D63+1</f>
        <v>3</v>
      </c>
      <c r="F63" s="6" t="n">
        <v>2</v>
      </c>
      <c r="G63" s="16" t="n">
        <f aca="false">Parametry!$C$12</f>
        <v>6</v>
      </c>
      <c r="H63" s="6" t="n">
        <f aca="false">ROUNDDOWN(Parametry!$C$9*Parametry!$C$10^(F63-1),0)</f>
        <v>66</v>
      </c>
      <c r="I63" s="6" t="n">
        <f aca="false">ROUNDUP((Parametry!$C$22*MAX(1,D63))*Parametry!$C$15,0)</f>
        <v>880</v>
      </c>
      <c r="J63" s="6" t="n">
        <f aca="false">ROUNDUP((Parametry!$C$22*MAX(1,D63))*Parametry!$C$15,0)</f>
        <v>880</v>
      </c>
      <c r="K63" s="6" t="n">
        <f aca="false">ROUNDUP((Parametry!$C$22*MAX(1,D63))*Parametry!$C$15,0)</f>
        <v>880</v>
      </c>
      <c r="L63" s="6" t="n">
        <f aca="false">ROUNDUP((Parametry!$C$22*MAX(1,D63))*Parametry!$C$15,0)</f>
        <v>880</v>
      </c>
      <c r="M63" s="6" t="n">
        <f aca="false">ROUNDUP((Parametry!$C$22*MAX(1,D63))*Parametry!$C$15,0)</f>
        <v>880</v>
      </c>
      <c r="N63" s="6" t="n">
        <f aca="false">ROUNDUP((Parametry!$C$22*MAX(1,D63))*Parametry!$C$15,0)</f>
        <v>880</v>
      </c>
      <c r="O63" s="6" t="n">
        <f aca="false">ROUNDUP(J63/H63,0)</f>
        <v>14</v>
      </c>
      <c r="P63" s="6" t="n">
        <f aca="false">ROUNDUP(K63/H63,0)</f>
        <v>14</v>
      </c>
      <c r="Q63" s="6" t="n">
        <f aca="false">ROUNDUP(L63/H63,0)</f>
        <v>14</v>
      </c>
      <c r="R63" s="6" t="n">
        <f aca="false">ROUNDUP(M63/H63,0)</f>
        <v>14</v>
      </c>
      <c r="S63" s="6" t="n">
        <f aca="false">ROUNDUP(N63/H63,0)</f>
        <v>14</v>
      </c>
      <c r="T63" s="6" t="n">
        <f aca="false">SUM(O63:S63)</f>
        <v>70</v>
      </c>
      <c r="U63" s="6" t="n">
        <f aca="false">ROUNDUP(T63/G63,0)</f>
        <v>12</v>
      </c>
      <c r="V63" s="6" t="n">
        <f aca="false">U63*Parametry!$C$11</f>
        <v>60</v>
      </c>
      <c r="W63" s="6" t="n">
        <f aca="false">2</f>
        <v>2</v>
      </c>
      <c r="X63" s="6" t="n">
        <f aca="false">V63*(W63-1)</f>
        <v>60</v>
      </c>
      <c r="Y63" s="6" t="n">
        <f aca="false">V63*W63</f>
        <v>120</v>
      </c>
      <c r="Z63" s="6" t="n">
        <f aca="false">SUM(J63:N63)</f>
        <v>4400</v>
      </c>
      <c r="AA63" s="6" t="s">
        <v>875</v>
      </c>
    </row>
    <row r="64" customFormat="false" ht="69.75" hidden="false" customHeight="true" outlineLevel="0" collapsed="false">
      <c r="A64" s="5" t="s">
        <v>140</v>
      </c>
      <c r="B64" s="5" t="s">
        <v>878</v>
      </c>
      <c r="C64" s="5" t="s">
        <v>874</v>
      </c>
      <c r="D64" s="5" t="n">
        <v>3</v>
      </c>
      <c r="E64" s="5" t="n">
        <f aca="false">D64+1</f>
        <v>4</v>
      </c>
      <c r="F64" s="5" t="n">
        <v>3</v>
      </c>
      <c r="G64" s="15" t="n">
        <f aca="false">Parametry!$C$12</f>
        <v>6</v>
      </c>
      <c r="H64" s="5" t="n">
        <f aca="false">ROUNDDOWN(Parametry!$C$9*Parametry!$C$10^(F64-1),0)</f>
        <v>72</v>
      </c>
      <c r="I64" s="5" t="n">
        <f aca="false">ROUNDUP((Parametry!$C$22*MAX(1,D64))*1,0)</f>
        <v>1200</v>
      </c>
      <c r="J64" s="5" t="n">
        <f aca="false">ROUNDUP((Parametry!$C$22*MAX(1,D64))*1,0)</f>
        <v>1200</v>
      </c>
      <c r="K64" s="5" t="n">
        <f aca="false">ROUNDUP((Parametry!$C$22*MAX(1,D64))*1,0)</f>
        <v>1200</v>
      </c>
      <c r="L64" s="5" t="n">
        <f aca="false">ROUNDUP((Parametry!$C$22*MAX(1,D64))*1,0)</f>
        <v>1200</v>
      </c>
      <c r="M64" s="5" t="n">
        <f aca="false">ROUNDUP((Parametry!$C$22*MAX(1,D64))*1,0)</f>
        <v>1200</v>
      </c>
      <c r="N64" s="5" t="n">
        <f aca="false">ROUNDUP((Parametry!$C$22*MAX(1,D64))*1,0)</f>
        <v>1200</v>
      </c>
      <c r="O64" s="5" t="n">
        <f aca="false">ROUNDUP(J64/H64,0)</f>
        <v>17</v>
      </c>
      <c r="P64" s="5" t="n">
        <f aca="false">ROUNDUP(K64/H64,0)</f>
        <v>17</v>
      </c>
      <c r="Q64" s="5" t="n">
        <f aca="false">ROUNDUP(L64/H64,0)</f>
        <v>17</v>
      </c>
      <c r="R64" s="5" t="n">
        <f aca="false">ROUNDUP(M64/H64,0)</f>
        <v>17</v>
      </c>
      <c r="S64" s="5" t="n">
        <f aca="false">ROUNDUP(N64/H64,0)</f>
        <v>17</v>
      </c>
      <c r="T64" s="5" t="n">
        <f aca="false">SUM(O64:S64)</f>
        <v>85</v>
      </c>
      <c r="U64" s="5" t="n">
        <f aca="false">ROUNDUP(T64/G64,0)</f>
        <v>15</v>
      </c>
      <c r="V64" s="5" t="n">
        <f aca="false">U64*Parametry!$C$11</f>
        <v>75</v>
      </c>
      <c r="W64" s="5" t="n">
        <f aca="false">2</f>
        <v>2</v>
      </c>
      <c r="X64" s="5" t="n">
        <f aca="false">V64*(W64-1)</f>
        <v>75</v>
      </c>
      <c r="Y64" s="5" t="n">
        <f aca="false">V64*W64</f>
        <v>150</v>
      </c>
      <c r="Z64" s="5" t="n">
        <f aca="false">SUM(J64:N64)</f>
        <v>6000</v>
      </c>
      <c r="AA64" s="5" t="s">
        <v>875</v>
      </c>
    </row>
    <row r="65" customFormat="false" ht="69.75" hidden="false" customHeight="true" outlineLevel="0" collapsed="false">
      <c r="A65" s="6" t="s">
        <v>140</v>
      </c>
      <c r="B65" s="6" t="s">
        <v>878</v>
      </c>
      <c r="C65" s="6" t="s">
        <v>876</v>
      </c>
      <c r="D65" s="6" t="n">
        <v>3</v>
      </c>
      <c r="E65" s="6" t="n">
        <f aca="false">D65+1</f>
        <v>4</v>
      </c>
      <c r="F65" s="6" t="n">
        <v>3</v>
      </c>
      <c r="G65" s="16" t="n">
        <f aca="false">Parametry!$C$12</f>
        <v>6</v>
      </c>
      <c r="H65" s="6" t="n">
        <f aca="false">ROUNDDOWN(Parametry!$C$9*Parametry!$C$10^(F65-1),0)</f>
        <v>72</v>
      </c>
      <c r="I65" s="6" t="n">
        <f aca="false">ROUNDUP((Parametry!$C$22*MAX(1,D65))*Parametry!$C$15,0)</f>
        <v>1320</v>
      </c>
      <c r="J65" s="6" t="n">
        <f aca="false">ROUNDUP((Parametry!$C$22*MAX(1,D65))*Parametry!$C$15,0)</f>
        <v>1320</v>
      </c>
      <c r="K65" s="6" t="n">
        <f aca="false">ROUNDUP((Parametry!$C$22*MAX(1,D65))*Parametry!$C$15,0)</f>
        <v>1320</v>
      </c>
      <c r="L65" s="6" t="n">
        <f aca="false">ROUNDUP((Parametry!$C$22*MAX(1,D65))*Parametry!$C$15,0)</f>
        <v>1320</v>
      </c>
      <c r="M65" s="6" t="n">
        <f aca="false">ROUNDUP((Parametry!$C$22*MAX(1,D65))*Parametry!$C$15,0)</f>
        <v>1320</v>
      </c>
      <c r="N65" s="6" t="n">
        <f aca="false">ROUNDUP((Parametry!$C$22*MAX(1,D65))*Parametry!$C$15,0)</f>
        <v>1320</v>
      </c>
      <c r="O65" s="6" t="n">
        <f aca="false">ROUNDUP(J65/H65,0)</f>
        <v>19</v>
      </c>
      <c r="P65" s="6" t="n">
        <f aca="false">ROUNDUP(K65/H65,0)</f>
        <v>19</v>
      </c>
      <c r="Q65" s="6" t="n">
        <f aca="false">ROUNDUP(L65/H65,0)</f>
        <v>19</v>
      </c>
      <c r="R65" s="6" t="n">
        <f aca="false">ROUNDUP(M65/H65,0)</f>
        <v>19</v>
      </c>
      <c r="S65" s="6" t="n">
        <f aca="false">ROUNDUP(N65/H65,0)</f>
        <v>19</v>
      </c>
      <c r="T65" s="6" t="n">
        <f aca="false">SUM(O65:S65)</f>
        <v>95</v>
      </c>
      <c r="U65" s="6" t="n">
        <f aca="false">ROUNDUP(T65/G65,0)</f>
        <v>16</v>
      </c>
      <c r="V65" s="6" t="n">
        <f aca="false">U65*Parametry!$C$11</f>
        <v>80</v>
      </c>
      <c r="W65" s="6" t="n">
        <f aca="false">2</f>
        <v>2</v>
      </c>
      <c r="X65" s="6" t="n">
        <f aca="false">V65*(W65-1)</f>
        <v>80</v>
      </c>
      <c r="Y65" s="6" t="n">
        <f aca="false">V65*W65</f>
        <v>160</v>
      </c>
      <c r="Z65" s="6" t="n">
        <f aca="false">SUM(J65:N65)</f>
        <v>6600</v>
      </c>
      <c r="AA65" s="6" t="s">
        <v>875</v>
      </c>
    </row>
    <row r="66" customFormat="false" ht="69.75" hidden="false" customHeight="true" outlineLevel="0" collapsed="false">
      <c r="A66" s="5" t="s">
        <v>146</v>
      </c>
      <c r="B66" s="5" t="s">
        <v>873</v>
      </c>
      <c r="C66" s="5" t="s">
        <v>874</v>
      </c>
      <c r="D66" s="5" t="n">
        <v>1</v>
      </c>
      <c r="E66" s="5" t="n">
        <f aca="false">D66+1</f>
        <v>2</v>
      </c>
      <c r="F66" s="5" t="n">
        <v>1</v>
      </c>
      <c r="G66" s="15" t="n">
        <f aca="false">Parametry!$C$12</f>
        <v>6</v>
      </c>
      <c r="H66" s="5" t="n">
        <f aca="false">ROUNDDOWN(Parametry!$C$9*Parametry!$C$10^(F66-1),0)</f>
        <v>60</v>
      </c>
      <c r="I66" s="5" t="n">
        <f aca="false">ROUNDUP((180*E66)*1,0)</f>
        <v>360</v>
      </c>
      <c r="J66" s="5" t="n">
        <f aca="false">ROUNDUP((20*E66)*1,0)</f>
        <v>40</v>
      </c>
      <c r="K66" s="5" t="n">
        <f aca="false">ROUNDUP((60*E66)*1,0)</f>
        <v>120</v>
      </c>
      <c r="L66" s="5" t="n">
        <f aca="false">ROUNDUP((0*E66)*1,0)</f>
        <v>0</v>
      </c>
      <c r="M66" s="5" t="n">
        <f aca="false">ROUNDUP((0*E66)*1,0)</f>
        <v>0</v>
      </c>
      <c r="N66" s="5" t="n">
        <f aca="false">ROUNDUP((10*E66)*1,0)</f>
        <v>20</v>
      </c>
      <c r="O66" s="5" t="n">
        <f aca="false">ROUNDUP(J66/H66,0)</f>
        <v>1</v>
      </c>
      <c r="P66" s="5" t="n">
        <f aca="false">ROUNDUP(K66/H66,0)</f>
        <v>2</v>
      </c>
      <c r="Q66" s="5" t="n">
        <f aca="false">ROUNDUP(L66/H66,0)</f>
        <v>0</v>
      </c>
      <c r="R66" s="5" t="n">
        <f aca="false">ROUNDUP(M66/H66,0)</f>
        <v>0</v>
      </c>
      <c r="S66" s="5" t="n">
        <f aca="false">ROUNDUP(N66/H66,0)</f>
        <v>1</v>
      </c>
      <c r="T66" s="5" t="n">
        <f aca="false">SUM(O66:S66)</f>
        <v>4</v>
      </c>
      <c r="U66" s="5" t="n">
        <f aca="false">ROUNDUP(T66/G66,0)</f>
        <v>1</v>
      </c>
      <c r="V66" s="5" t="n">
        <f aca="false">U66*Parametry!$C$11</f>
        <v>5</v>
      </c>
      <c r="W66" s="5" t="n">
        <f aca="false">1+3*(E66-1)</f>
        <v>4</v>
      </c>
      <c r="X66" s="5" t="n">
        <f aca="false">V66*(W66-1)</f>
        <v>15</v>
      </c>
      <c r="Y66" s="5" t="n">
        <f aca="false">V66*W66</f>
        <v>20</v>
      </c>
      <c r="Z66" s="5" t="n">
        <f aca="false">SUM(J66:N66)</f>
        <v>180</v>
      </c>
      <c r="AA66" s="5" t="s">
        <v>875</v>
      </c>
    </row>
    <row r="67" customFormat="false" ht="69.75" hidden="false" customHeight="true" outlineLevel="0" collapsed="false">
      <c r="A67" s="6" t="s">
        <v>146</v>
      </c>
      <c r="B67" s="6" t="s">
        <v>873</v>
      </c>
      <c r="C67" s="6" t="s">
        <v>876</v>
      </c>
      <c r="D67" s="6" t="n">
        <v>1</v>
      </c>
      <c r="E67" s="6" t="n">
        <f aca="false">D67+1</f>
        <v>2</v>
      </c>
      <c r="F67" s="6" t="n">
        <v>1</v>
      </c>
      <c r="G67" s="16" t="n">
        <f aca="false">Parametry!$C$12</f>
        <v>6</v>
      </c>
      <c r="H67" s="6" t="n">
        <f aca="false">ROUNDDOWN(Parametry!$C$9*Parametry!$C$10^(F67-1),0)</f>
        <v>60</v>
      </c>
      <c r="I67" s="6" t="n">
        <f aca="false">ROUNDUP((180*E67)*Parametry!$C$15,0)</f>
        <v>396</v>
      </c>
      <c r="J67" s="6" t="n">
        <f aca="false">ROUNDUP((20*E67)*Parametry!$C$15,0)</f>
        <v>44</v>
      </c>
      <c r="K67" s="6" t="n">
        <f aca="false">ROUNDUP((60*E67)*Parametry!$C$15,0)</f>
        <v>132</v>
      </c>
      <c r="L67" s="6" t="n">
        <f aca="false">ROUNDUP((0*E67)*Parametry!$C$15,0)</f>
        <v>0</v>
      </c>
      <c r="M67" s="6" t="n">
        <f aca="false">ROUNDUP((0*E67)*Parametry!$C$15,0)</f>
        <v>0</v>
      </c>
      <c r="N67" s="6" t="n">
        <f aca="false">ROUNDUP((10*E67)*Parametry!$C$15,0)</f>
        <v>22</v>
      </c>
      <c r="O67" s="6" t="n">
        <f aca="false">ROUNDUP(J67/H67,0)</f>
        <v>1</v>
      </c>
      <c r="P67" s="6" t="n">
        <f aca="false">ROUNDUP(K67/H67,0)</f>
        <v>3</v>
      </c>
      <c r="Q67" s="6" t="n">
        <f aca="false">ROUNDUP(L67/H67,0)</f>
        <v>0</v>
      </c>
      <c r="R67" s="6" t="n">
        <f aca="false">ROUNDUP(M67/H67,0)</f>
        <v>0</v>
      </c>
      <c r="S67" s="6" t="n">
        <f aca="false">ROUNDUP(N67/H67,0)</f>
        <v>1</v>
      </c>
      <c r="T67" s="6" t="n">
        <f aca="false">SUM(O67:S67)</f>
        <v>5</v>
      </c>
      <c r="U67" s="6" t="n">
        <f aca="false">ROUNDUP(T67/G67,0)</f>
        <v>1</v>
      </c>
      <c r="V67" s="6" t="n">
        <f aca="false">U67*Parametry!$C$11</f>
        <v>5</v>
      </c>
      <c r="W67" s="6" t="n">
        <f aca="false">1+3*(E67-1)</f>
        <v>4</v>
      </c>
      <c r="X67" s="6" t="n">
        <f aca="false">V67*(W67-1)</f>
        <v>15</v>
      </c>
      <c r="Y67" s="6" t="n">
        <f aca="false">V67*W67</f>
        <v>20</v>
      </c>
      <c r="Z67" s="6" t="n">
        <f aca="false">SUM(J67:N67)</f>
        <v>198</v>
      </c>
      <c r="AA67" s="6" t="s">
        <v>875</v>
      </c>
    </row>
    <row r="68" customFormat="false" ht="69.75" hidden="false" customHeight="true" outlineLevel="0" collapsed="false">
      <c r="A68" s="5" t="s">
        <v>146</v>
      </c>
      <c r="B68" s="5" t="s">
        <v>877</v>
      </c>
      <c r="C68" s="5" t="s">
        <v>874</v>
      </c>
      <c r="D68" s="5" t="n">
        <v>2</v>
      </c>
      <c r="E68" s="5" t="n">
        <f aca="false">D68+1</f>
        <v>3</v>
      </c>
      <c r="F68" s="5" t="n">
        <v>2</v>
      </c>
      <c r="G68" s="15" t="n">
        <f aca="false">Parametry!$C$12</f>
        <v>6</v>
      </c>
      <c r="H68" s="5" t="n">
        <f aca="false">ROUNDDOWN(Parametry!$C$9*Parametry!$C$10^(F68-1),0)</f>
        <v>66</v>
      </c>
      <c r="I68" s="5" t="n">
        <f aca="false">ROUNDUP((180*E68)*1,0)</f>
        <v>540</v>
      </c>
      <c r="J68" s="5" t="n">
        <f aca="false">ROUNDUP((20*E68)*1,0)</f>
        <v>60</v>
      </c>
      <c r="K68" s="5" t="n">
        <f aca="false">ROUNDUP((60*E68)*1,0)</f>
        <v>180</v>
      </c>
      <c r="L68" s="5" t="n">
        <f aca="false">ROUNDUP((0*E68)*1,0)</f>
        <v>0</v>
      </c>
      <c r="M68" s="5" t="n">
        <f aca="false">ROUNDUP((0*E68)*1,0)</f>
        <v>0</v>
      </c>
      <c r="N68" s="5" t="n">
        <f aca="false">ROUNDUP((10*E68)*1,0)</f>
        <v>30</v>
      </c>
      <c r="O68" s="5" t="n">
        <f aca="false">ROUNDUP(J68/H68,0)</f>
        <v>1</v>
      </c>
      <c r="P68" s="5" t="n">
        <f aca="false">ROUNDUP(K68/H68,0)</f>
        <v>3</v>
      </c>
      <c r="Q68" s="5" t="n">
        <f aca="false">ROUNDUP(L68/H68,0)</f>
        <v>0</v>
      </c>
      <c r="R68" s="5" t="n">
        <f aca="false">ROUNDUP(M68/H68,0)</f>
        <v>0</v>
      </c>
      <c r="S68" s="5" t="n">
        <f aca="false">ROUNDUP(N68/H68,0)</f>
        <v>1</v>
      </c>
      <c r="T68" s="5" t="n">
        <f aca="false">SUM(O68:S68)</f>
        <v>5</v>
      </c>
      <c r="U68" s="5" t="n">
        <f aca="false">ROUNDUP(T68/G68,0)</f>
        <v>1</v>
      </c>
      <c r="V68" s="5" t="n">
        <f aca="false">U68*Parametry!$C$11</f>
        <v>5</v>
      </c>
      <c r="W68" s="5" t="n">
        <f aca="false">1+3*(E68-1)</f>
        <v>7</v>
      </c>
      <c r="X68" s="5" t="n">
        <f aca="false">V68*(W68-1)</f>
        <v>30</v>
      </c>
      <c r="Y68" s="5" t="n">
        <f aca="false">V68*W68</f>
        <v>35</v>
      </c>
      <c r="Z68" s="5" t="n">
        <f aca="false">SUM(J68:N68)</f>
        <v>270</v>
      </c>
      <c r="AA68" s="5" t="s">
        <v>875</v>
      </c>
    </row>
    <row r="69" customFormat="false" ht="69.75" hidden="false" customHeight="true" outlineLevel="0" collapsed="false">
      <c r="A69" s="6" t="s">
        <v>146</v>
      </c>
      <c r="B69" s="6" t="s">
        <v>877</v>
      </c>
      <c r="C69" s="6" t="s">
        <v>876</v>
      </c>
      <c r="D69" s="6" t="n">
        <v>2</v>
      </c>
      <c r="E69" s="6" t="n">
        <f aca="false">D69+1</f>
        <v>3</v>
      </c>
      <c r="F69" s="6" t="n">
        <v>2</v>
      </c>
      <c r="G69" s="16" t="n">
        <f aca="false">Parametry!$C$12</f>
        <v>6</v>
      </c>
      <c r="H69" s="6" t="n">
        <f aca="false">ROUNDDOWN(Parametry!$C$9*Parametry!$C$10^(F69-1),0)</f>
        <v>66</v>
      </c>
      <c r="I69" s="6" t="n">
        <f aca="false">ROUNDUP((180*E69)*Parametry!$C$15,0)</f>
        <v>594</v>
      </c>
      <c r="J69" s="6" t="n">
        <f aca="false">ROUNDUP((20*E69)*Parametry!$C$15,0)</f>
        <v>66</v>
      </c>
      <c r="K69" s="6" t="n">
        <f aca="false">ROUNDUP((60*E69)*Parametry!$C$15,0)</f>
        <v>198</v>
      </c>
      <c r="L69" s="6" t="n">
        <f aca="false">ROUNDUP((0*E69)*Parametry!$C$15,0)</f>
        <v>0</v>
      </c>
      <c r="M69" s="6" t="n">
        <f aca="false">ROUNDUP((0*E69)*Parametry!$C$15,0)</f>
        <v>0</v>
      </c>
      <c r="N69" s="6" t="n">
        <f aca="false">ROUNDUP((10*E69)*Parametry!$C$15,0)</f>
        <v>33</v>
      </c>
      <c r="O69" s="6" t="n">
        <f aca="false">ROUNDUP(J69/H69,0)</f>
        <v>1</v>
      </c>
      <c r="P69" s="6" t="n">
        <f aca="false">ROUNDUP(K69/H69,0)</f>
        <v>3</v>
      </c>
      <c r="Q69" s="6" t="n">
        <f aca="false">ROUNDUP(L69/H69,0)</f>
        <v>0</v>
      </c>
      <c r="R69" s="6" t="n">
        <f aca="false">ROUNDUP(M69/H69,0)</f>
        <v>0</v>
      </c>
      <c r="S69" s="6" t="n">
        <f aca="false">ROUNDUP(N69/H69,0)</f>
        <v>1</v>
      </c>
      <c r="T69" s="6" t="n">
        <f aca="false">SUM(O69:S69)</f>
        <v>5</v>
      </c>
      <c r="U69" s="6" t="n">
        <f aca="false">ROUNDUP(T69/G69,0)</f>
        <v>1</v>
      </c>
      <c r="V69" s="6" t="n">
        <f aca="false">U69*Parametry!$C$11</f>
        <v>5</v>
      </c>
      <c r="W69" s="6" t="n">
        <f aca="false">1+3*(E69-1)</f>
        <v>7</v>
      </c>
      <c r="X69" s="6" t="n">
        <f aca="false">V69*(W69-1)</f>
        <v>30</v>
      </c>
      <c r="Y69" s="6" t="n">
        <f aca="false">V69*W69</f>
        <v>35</v>
      </c>
      <c r="Z69" s="6" t="n">
        <f aca="false">SUM(J69:N69)</f>
        <v>297</v>
      </c>
      <c r="AA69" s="6" t="s">
        <v>875</v>
      </c>
    </row>
    <row r="70" customFormat="false" ht="69.75" hidden="false" customHeight="true" outlineLevel="0" collapsed="false">
      <c r="A70" s="5" t="s">
        <v>146</v>
      </c>
      <c r="B70" s="5" t="s">
        <v>878</v>
      </c>
      <c r="C70" s="5" t="s">
        <v>874</v>
      </c>
      <c r="D70" s="5" t="n">
        <v>3</v>
      </c>
      <c r="E70" s="5" t="n">
        <f aca="false">D70+1</f>
        <v>4</v>
      </c>
      <c r="F70" s="5" t="n">
        <v>3</v>
      </c>
      <c r="G70" s="15" t="n">
        <f aca="false">Parametry!$C$12</f>
        <v>6</v>
      </c>
      <c r="H70" s="5" t="n">
        <f aca="false">ROUNDDOWN(Parametry!$C$9*Parametry!$C$10^(F70-1),0)</f>
        <v>72</v>
      </c>
      <c r="I70" s="5" t="n">
        <f aca="false">ROUNDUP((180*E70)*1,0)</f>
        <v>720</v>
      </c>
      <c r="J70" s="5" t="n">
        <f aca="false">ROUNDUP((20*E70)*1,0)</f>
        <v>80</v>
      </c>
      <c r="K70" s="5" t="n">
        <f aca="false">ROUNDUP((60*E70)*1,0)</f>
        <v>240</v>
      </c>
      <c r="L70" s="5" t="n">
        <f aca="false">ROUNDUP((0*E70)*1,0)</f>
        <v>0</v>
      </c>
      <c r="M70" s="5" t="n">
        <f aca="false">ROUNDUP((0*E70)*1,0)</f>
        <v>0</v>
      </c>
      <c r="N70" s="5" t="n">
        <f aca="false">ROUNDUP((10*E70)*1,0)</f>
        <v>40</v>
      </c>
      <c r="O70" s="5" t="n">
        <f aca="false">ROUNDUP(J70/H70,0)</f>
        <v>2</v>
      </c>
      <c r="P70" s="5" t="n">
        <f aca="false">ROUNDUP(K70/H70,0)</f>
        <v>4</v>
      </c>
      <c r="Q70" s="5" t="n">
        <f aca="false">ROUNDUP(L70/H70,0)</f>
        <v>0</v>
      </c>
      <c r="R70" s="5" t="n">
        <f aca="false">ROUNDUP(M70/H70,0)</f>
        <v>0</v>
      </c>
      <c r="S70" s="5" t="n">
        <f aca="false">ROUNDUP(N70/H70,0)</f>
        <v>1</v>
      </c>
      <c r="T70" s="5" t="n">
        <f aca="false">SUM(O70:S70)</f>
        <v>7</v>
      </c>
      <c r="U70" s="5" t="n">
        <f aca="false">ROUNDUP(T70/G70,0)</f>
        <v>2</v>
      </c>
      <c r="V70" s="5" t="n">
        <f aca="false">U70*Parametry!$C$11</f>
        <v>10</v>
      </c>
      <c r="W70" s="5" t="n">
        <f aca="false">1+3*(E70-1)</f>
        <v>10</v>
      </c>
      <c r="X70" s="5" t="n">
        <f aca="false">V70*(W70-1)</f>
        <v>90</v>
      </c>
      <c r="Y70" s="5" t="n">
        <f aca="false">V70*W70</f>
        <v>100</v>
      </c>
      <c r="Z70" s="5" t="n">
        <f aca="false">SUM(J70:N70)</f>
        <v>360</v>
      </c>
      <c r="AA70" s="5" t="s">
        <v>875</v>
      </c>
    </row>
    <row r="71" customFormat="false" ht="69.75" hidden="false" customHeight="true" outlineLevel="0" collapsed="false">
      <c r="A71" s="6" t="s">
        <v>146</v>
      </c>
      <c r="B71" s="6" t="s">
        <v>878</v>
      </c>
      <c r="C71" s="6" t="s">
        <v>876</v>
      </c>
      <c r="D71" s="6" t="n">
        <v>3</v>
      </c>
      <c r="E71" s="6" t="n">
        <f aca="false">D71+1</f>
        <v>4</v>
      </c>
      <c r="F71" s="6" t="n">
        <v>3</v>
      </c>
      <c r="G71" s="16" t="n">
        <f aca="false">Parametry!$C$12</f>
        <v>6</v>
      </c>
      <c r="H71" s="6" t="n">
        <f aca="false">ROUNDDOWN(Parametry!$C$9*Parametry!$C$10^(F71-1),0)</f>
        <v>72</v>
      </c>
      <c r="I71" s="6" t="n">
        <f aca="false">ROUNDUP((180*E71)*Parametry!$C$15,0)</f>
        <v>792</v>
      </c>
      <c r="J71" s="6" t="n">
        <f aca="false">ROUNDUP((20*E71)*Parametry!$C$15,0)</f>
        <v>88</v>
      </c>
      <c r="K71" s="6" t="n">
        <f aca="false">ROUNDUP((60*E71)*Parametry!$C$15,0)</f>
        <v>264</v>
      </c>
      <c r="L71" s="6" t="n">
        <f aca="false">ROUNDUP((0*E71)*Parametry!$C$15,0)</f>
        <v>0</v>
      </c>
      <c r="M71" s="6" t="n">
        <f aca="false">ROUNDUP((0*E71)*Parametry!$C$15,0)</f>
        <v>0</v>
      </c>
      <c r="N71" s="6" t="n">
        <f aca="false">ROUNDUP((10*E71)*Parametry!$C$15,0)</f>
        <v>44</v>
      </c>
      <c r="O71" s="6" t="n">
        <f aca="false">ROUNDUP(J71/H71,0)</f>
        <v>2</v>
      </c>
      <c r="P71" s="6" t="n">
        <f aca="false">ROUNDUP(K71/H71,0)</f>
        <v>4</v>
      </c>
      <c r="Q71" s="6" t="n">
        <f aca="false">ROUNDUP(L71/H71,0)</f>
        <v>0</v>
      </c>
      <c r="R71" s="6" t="n">
        <f aca="false">ROUNDUP(M71/H71,0)</f>
        <v>0</v>
      </c>
      <c r="S71" s="6" t="n">
        <f aca="false">ROUNDUP(N71/H71,0)</f>
        <v>1</v>
      </c>
      <c r="T71" s="6" t="n">
        <f aca="false">SUM(O71:S71)</f>
        <v>7</v>
      </c>
      <c r="U71" s="6" t="n">
        <f aca="false">ROUNDUP(T71/G71,0)</f>
        <v>2</v>
      </c>
      <c r="V71" s="6" t="n">
        <f aca="false">U71*Parametry!$C$11</f>
        <v>10</v>
      </c>
      <c r="W71" s="6" t="n">
        <f aca="false">1+3*(E71-1)</f>
        <v>10</v>
      </c>
      <c r="X71" s="6" t="n">
        <f aca="false">V71*(W71-1)</f>
        <v>90</v>
      </c>
      <c r="Y71" s="6" t="n">
        <f aca="false">V71*W71</f>
        <v>100</v>
      </c>
      <c r="Z71" s="6" t="n">
        <f aca="false">SUM(J71:N71)</f>
        <v>396</v>
      </c>
      <c r="AA71" s="6" t="s">
        <v>875</v>
      </c>
    </row>
    <row r="72" customFormat="false" ht="69.75" hidden="false" customHeight="true" outlineLevel="0" collapsed="false">
      <c r="A72" s="5" t="s">
        <v>155</v>
      </c>
      <c r="B72" s="5" t="s">
        <v>873</v>
      </c>
      <c r="C72" s="5" t="s">
        <v>874</v>
      </c>
      <c r="D72" s="5" t="n">
        <v>1</v>
      </c>
      <c r="E72" s="5" t="n">
        <f aca="false">D72+1</f>
        <v>2</v>
      </c>
      <c r="F72" s="5" t="n">
        <v>1</v>
      </c>
      <c r="G72" s="15" t="n">
        <f aca="false">Parametry!$C$12</f>
        <v>6</v>
      </c>
      <c r="H72" s="5" t="n">
        <f aca="false">ROUNDDOWN(Parametry!$C$9*Parametry!$C$10^(F72-1),0)</f>
        <v>60</v>
      </c>
      <c r="I72" s="5" t="n">
        <f aca="false">ROUNDUP((Parametry!$C$23*MAX(1,D72))*1,0)</f>
        <v>500</v>
      </c>
      <c r="J72" s="5" t="n">
        <f aca="false">ROUNDUP((Parametry!$C$23*MAX(1,D72))*1,0)</f>
        <v>500</v>
      </c>
      <c r="K72" s="5" t="n">
        <f aca="false">ROUNDUP((Parametry!$C$23*MAX(1,D72))*1,0)</f>
        <v>500</v>
      </c>
      <c r="L72" s="5" t="n">
        <f aca="false">ROUNDUP((Parametry!$C$23*MAX(1,D72))*1,0)</f>
        <v>500</v>
      </c>
      <c r="M72" s="5" t="n">
        <f aca="false">ROUNDUP((Parametry!$C$23*MAX(1,D72))*1,0)</f>
        <v>500</v>
      </c>
      <c r="N72" s="5" t="n">
        <f aca="false">ROUNDUP((Parametry!$C$23*MAX(1,D72))*1,0)</f>
        <v>500</v>
      </c>
      <c r="O72" s="5" t="n">
        <f aca="false">ROUNDUP(J72/H72,0)</f>
        <v>9</v>
      </c>
      <c r="P72" s="5" t="n">
        <f aca="false">ROUNDUP(K72/H72,0)</f>
        <v>9</v>
      </c>
      <c r="Q72" s="5" t="n">
        <f aca="false">ROUNDUP(L72/H72,0)</f>
        <v>9</v>
      </c>
      <c r="R72" s="5" t="n">
        <f aca="false">ROUNDUP(M72/H72,0)</f>
        <v>9</v>
      </c>
      <c r="S72" s="5" t="n">
        <f aca="false">ROUNDUP(N72/H72,0)</f>
        <v>9</v>
      </c>
      <c r="T72" s="5" t="n">
        <f aca="false">SUM(O72:S72)</f>
        <v>45</v>
      </c>
      <c r="U72" s="5" t="n">
        <f aca="false">ROUNDUP(T72/G72,0)</f>
        <v>8</v>
      </c>
      <c r="V72" s="5" t="n">
        <f aca="false">U72*Parametry!$C$11</f>
        <v>40</v>
      </c>
      <c r="W72" s="5" t="n">
        <f aca="false">5</f>
        <v>5</v>
      </c>
      <c r="X72" s="5" t="n">
        <f aca="false">V72*(W72-1)</f>
        <v>160</v>
      </c>
      <c r="Y72" s="5" t="n">
        <f aca="false">V72*W72</f>
        <v>200</v>
      </c>
      <c r="Z72" s="5" t="n">
        <f aca="false">SUM(J72:N72)</f>
        <v>2500</v>
      </c>
      <c r="AA72" s="5" t="s">
        <v>875</v>
      </c>
    </row>
    <row r="73" customFormat="false" ht="69.75" hidden="false" customHeight="true" outlineLevel="0" collapsed="false">
      <c r="A73" s="6" t="s">
        <v>155</v>
      </c>
      <c r="B73" s="6" t="s">
        <v>873</v>
      </c>
      <c r="C73" s="6" t="s">
        <v>876</v>
      </c>
      <c r="D73" s="6" t="n">
        <v>1</v>
      </c>
      <c r="E73" s="6" t="n">
        <f aca="false">D73+1</f>
        <v>2</v>
      </c>
      <c r="F73" s="6" t="n">
        <v>1</v>
      </c>
      <c r="G73" s="16" t="n">
        <f aca="false">Parametry!$C$12</f>
        <v>6</v>
      </c>
      <c r="H73" s="6" t="n">
        <f aca="false">ROUNDDOWN(Parametry!$C$9*Parametry!$C$10^(F73-1),0)</f>
        <v>60</v>
      </c>
      <c r="I73" s="6" t="n">
        <f aca="false">ROUNDUP((Parametry!$C$23*MAX(1,D73))*Parametry!$C$15,0)</f>
        <v>550</v>
      </c>
      <c r="J73" s="6" t="n">
        <f aca="false">ROUNDUP((Parametry!$C$23*MAX(1,D73))*Parametry!$C$15,0)</f>
        <v>550</v>
      </c>
      <c r="K73" s="6" t="n">
        <f aca="false">ROUNDUP((Parametry!$C$23*MAX(1,D73))*Parametry!$C$15,0)</f>
        <v>550</v>
      </c>
      <c r="L73" s="6" t="n">
        <f aca="false">ROUNDUP((Parametry!$C$23*MAX(1,D73))*Parametry!$C$15,0)</f>
        <v>550</v>
      </c>
      <c r="M73" s="6" t="n">
        <f aca="false">ROUNDUP((Parametry!$C$23*MAX(1,D73))*Parametry!$C$15,0)</f>
        <v>550</v>
      </c>
      <c r="N73" s="6" t="n">
        <f aca="false">ROUNDUP((Parametry!$C$23*MAX(1,D73))*Parametry!$C$15,0)</f>
        <v>550</v>
      </c>
      <c r="O73" s="6" t="n">
        <f aca="false">ROUNDUP(J73/H73,0)</f>
        <v>10</v>
      </c>
      <c r="P73" s="6" t="n">
        <f aca="false">ROUNDUP(K73/H73,0)</f>
        <v>10</v>
      </c>
      <c r="Q73" s="6" t="n">
        <f aca="false">ROUNDUP(L73/H73,0)</f>
        <v>10</v>
      </c>
      <c r="R73" s="6" t="n">
        <f aca="false">ROUNDUP(M73/H73,0)</f>
        <v>10</v>
      </c>
      <c r="S73" s="6" t="n">
        <f aca="false">ROUNDUP(N73/H73,0)</f>
        <v>10</v>
      </c>
      <c r="T73" s="6" t="n">
        <f aca="false">SUM(O73:S73)</f>
        <v>50</v>
      </c>
      <c r="U73" s="6" t="n">
        <f aca="false">ROUNDUP(T73/G73,0)</f>
        <v>9</v>
      </c>
      <c r="V73" s="6" t="n">
        <f aca="false">U73*Parametry!$C$11</f>
        <v>45</v>
      </c>
      <c r="W73" s="6" t="n">
        <f aca="false">5</f>
        <v>5</v>
      </c>
      <c r="X73" s="6" t="n">
        <f aca="false">V73*(W73-1)</f>
        <v>180</v>
      </c>
      <c r="Y73" s="6" t="n">
        <f aca="false">V73*W73</f>
        <v>225</v>
      </c>
      <c r="Z73" s="6" t="n">
        <f aca="false">SUM(J73:N73)</f>
        <v>2750</v>
      </c>
      <c r="AA73" s="6" t="s">
        <v>875</v>
      </c>
    </row>
    <row r="74" customFormat="false" ht="69.75" hidden="false" customHeight="true" outlineLevel="0" collapsed="false">
      <c r="A74" s="5" t="s">
        <v>155</v>
      </c>
      <c r="B74" s="5" t="s">
        <v>877</v>
      </c>
      <c r="C74" s="5" t="s">
        <v>874</v>
      </c>
      <c r="D74" s="5" t="n">
        <v>2</v>
      </c>
      <c r="E74" s="5" t="n">
        <f aca="false">D74+1</f>
        <v>3</v>
      </c>
      <c r="F74" s="5" t="n">
        <v>2</v>
      </c>
      <c r="G74" s="15" t="n">
        <f aca="false">Parametry!$C$12</f>
        <v>6</v>
      </c>
      <c r="H74" s="5" t="n">
        <f aca="false">ROUNDDOWN(Parametry!$C$9*Parametry!$C$10^(F74-1),0)</f>
        <v>66</v>
      </c>
      <c r="I74" s="5" t="n">
        <f aca="false">ROUNDUP((Parametry!$C$23*MAX(1,D74))*1,0)</f>
        <v>1000</v>
      </c>
      <c r="J74" s="5" t="n">
        <f aca="false">ROUNDUP((Parametry!$C$23*MAX(1,D74))*1,0)</f>
        <v>1000</v>
      </c>
      <c r="K74" s="5" t="n">
        <f aca="false">ROUNDUP((Parametry!$C$23*MAX(1,D74))*1,0)</f>
        <v>1000</v>
      </c>
      <c r="L74" s="5" t="n">
        <f aca="false">ROUNDUP((Parametry!$C$23*MAX(1,D74))*1,0)</f>
        <v>1000</v>
      </c>
      <c r="M74" s="5" t="n">
        <f aca="false">ROUNDUP((Parametry!$C$23*MAX(1,D74))*1,0)</f>
        <v>1000</v>
      </c>
      <c r="N74" s="5" t="n">
        <f aca="false">ROUNDUP((Parametry!$C$23*MAX(1,D74))*1,0)</f>
        <v>1000</v>
      </c>
      <c r="O74" s="5" t="n">
        <f aca="false">ROUNDUP(J74/H74,0)</f>
        <v>16</v>
      </c>
      <c r="P74" s="5" t="n">
        <f aca="false">ROUNDUP(K74/H74,0)</f>
        <v>16</v>
      </c>
      <c r="Q74" s="5" t="n">
        <f aca="false">ROUNDUP(L74/H74,0)</f>
        <v>16</v>
      </c>
      <c r="R74" s="5" t="n">
        <f aca="false">ROUNDUP(M74/H74,0)</f>
        <v>16</v>
      </c>
      <c r="S74" s="5" t="n">
        <f aca="false">ROUNDUP(N74/H74,0)</f>
        <v>16</v>
      </c>
      <c r="T74" s="5" t="n">
        <f aca="false">SUM(O74:S74)</f>
        <v>80</v>
      </c>
      <c r="U74" s="5" t="n">
        <f aca="false">ROUNDUP(T74/G74,0)</f>
        <v>14</v>
      </c>
      <c r="V74" s="5" t="n">
        <f aca="false">U74*Parametry!$C$11</f>
        <v>70</v>
      </c>
      <c r="W74" s="5" t="n">
        <f aca="false">5</f>
        <v>5</v>
      </c>
      <c r="X74" s="5" t="n">
        <f aca="false">V74*(W74-1)</f>
        <v>280</v>
      </c>
      <c r="Y74" s="5" t="n">
        <f aca="false">V74*W74</f>
        <v>350</v>
      </c>
      <c r="Z74" s="5" t="n">
        <f aca="false">SUM(J74:N74)</f>
        <v>5000</v>
      </c>
      <c r="AA74" s="5" t="s">
        <v>875</v>
      </c>
    </row>
    <row r="75" customFormat="false" ht="69.75" hidden="false" customHeight="true" outlineLevel="0" collapsed="false">
      <c r="A75" s="6" t="s">
        <v>155</v>
      </c>
      <c r="B75" s="6" t="s">
        <v>877</v>
      </c>
      <c r="C75" s="6" t="s">
        <v>876</v>
      </c>
      <c r="D75" s="6" t="n">
        <v>2</v>
      </c>
      <c r="E75" s="6" t="n">
        <f aca="false">D75+1</f>
        <v>3</v>
      </c>
      <c r="F75" s="6" t="n">
        <v>2</v>
      </c>
      <c r="G75" s="16" t="n">
        <f aca="false">Parametry!$C$12</f>
        <v>6</v>
      </c>
      <c r="H75" s="6" t="n">
        <f aca="false">ROUNDDOWN(Parametry!$C$9*Parametry!$C$10^(F75-1),0)</f>
        <v>66</v>
      </c>
      <c r="I75" s="6" t="n">
        <f aca="false">ROUNDUP((Parametry!$C$23*MAX(1,D75))*Parametry!$C$15,0)</f>
        <v>1100</v>
      </c>
      <c r="J75" s="6" t="n">
        <f aca="false">ROUNDUP((Parametry!$C$23*MAX(1,D75))*Parametry!$C$15,0)</f>
        <v>1100</v>
      </c>
      <c r="K75" s="6" t="n">
        <f aca="false">ROUNDUP((Parametry!$C$23*MAX(1,D75))*Parametry!$C$15,0)</f>
        <v>1100</v>
      </c>
      <c r="L75" s="6" t="n">
        <f aca="false">ROUNDUP((Parametry!$C$23*MAX(1,D75))*Parametry!$C$15,0)</f>
        <v>1100</v>
      </c>
      <c r="M75" s="6" t="n">
        <f aca="false">ROUNDUP((Parametry!$C$23*MAX(1,D75))*Parametry!$C$15,0)</f>
        <v>1100</v>
      </c>
      <c r="N75" s="6" t="n">
        <f aca="false">ROUNDUP((Parametry!$C$23*MAX(1,D75))*Parametry!$C$15,0)</f>
        <v>1100</v>
      </c>
      <c r="O75" s="6" t="n">
        <f aca="false">ROUNDUP(J75/H75,0)</f>
        <v>17</v>
      </c>
      <c r="P75" s="6" t="n">
        <f aca="false">ROUNDUP(K75/H75,0)</f>
        <v>17</v>
      </c>
      <c r="Q75" s="6" t="n">
        <f aca="false">ROUNDUP(L75/H75,0)</f>
        <v>17</v>
      </c>
      <c r="R75" s="6" t="n">
        <f aca="false">ROUNDUP(M75/H75,0)</f>
        <v>17</v>
      </c>
      <c r="S75" s="6" t="n">
        <f aca="false">ROUNDUP(N75/H75,0)</f>
        <v>17</v>
      </c>
      <c r="T75" s="6" t="n">
        <f aca="false">SUM(O75:S75)</f>
        <v>85</v>
      </c>
      <c r="U75" s="6" t="n">
        <f aca="false">ROUNDUP(T75/G75,0)</f>
        <v>15</v>
      </c>
      <c r="V75" s="6" t="n">
        <f aca="false">U75*Parametry!$C$11</f>
        <v>75</v>
      </c>
      <c r="W75" s="6" t="n">
        <f aca="false">5</f>
        <v>5</v>
      </c>
      <c r="X75" s="6" t="n">
        <f aca="false">V75*(W75-1)</f>
        <v>300</v>
      </c>
      <c r="Y75" s="6" t="n">
        <f aca="false">V75*W75</f>
        <v>375</v>
      </c>
      <c r="Z75" s="6" t="n">
        <f aca="false">SUM(J75:N75)</f>
        <v>5500</v>
      </c>
      <c r="AA75" s="6" t="s">
        <v>875</v>
      </c>
    </row>
    <row r="76" customFormat="false" ht="69.75" hidden="false" customHeight="true" outlineLevel="0" collapsed="false">
      <c r="A76" s="5" t="s">
        <v>155</v>
      </c>
      <c r="B76" s="5" t="s">
        <v>878</v>
      </c>
      <c r="C76" s="5" t="s">
        <v>874</v>
      </c>
      <c r="D76" s="5" t="n">
        <v>3</v>
      </c>
      <c r="E76" s="5" t="n">
        <f aca="false">D76+1</f>
        <v>4</v>
      </c>
      <c r="F76" s="5" t="n">
        <v>3</v>
      </c>
      <c r="G76" s="15" t="n">
        <f aca="false">Parametry!$C$12</f>
        <v>6</v>
      </c>
      <c r="H76" s="5" t="n">
        <f aca="false">ROUNDDOWN(Parametry!$C$9*Parametry!$C$10^(F76-1),0)</f>
        <v>72</v>
      </c>
      <c r="I76" s="5" t="n">
        <f aca="false">ROUNDUP((Parametry!$C$23*MAX(1,D76))*1,0)</f>
        <v>1500</v>
      </c>
      <c r="J76" s="5" t="n">
        <f aca="false">ROUNDUP((Parametry!$C$23*MAX(1,D76))*1,0)</f>
        <v>1500</v>
      </c>
      <c r="K76" s="5" t="n">
        <f aca="false">ROUNDUP((Parametry!$C$23*MAX(1,D76))*1,0)</f>
        <v>1500</v>
      </c>
      <c r="L76" s="5" t="n">
        <f aca="false">ROUNDUP((Parametry!$C$23*MAX(1,D76))*1,0)</f>
        <v>1500</v>
      </c>
      <c r="M76" s="5" t="n">
        <f aca="false">ROUNDUP((Parametry!$C$23*MAX(1,D76))*1,0)</f>
        <v>1500</v>
      </c>
      <c r="N76" s="5" t="n">
        <f aca="false">ROUNDUP((Parametry!$C$23*MAX(1,D76))*1,0)</f>
        <v>1500</v>
      </c>
      <c r="O76" s="5" t="n">
        <f aca="false">ROUNDUP(J76/H76,0)</f>
        <v>21</v>
      </c>
      <c r="P76" s="5" t="n">
        <f aca="false">ROUNDUP(K76/H76,0)</f>
        <v>21</v>
      </c>
      <c r="Q76" s="5" t="n">
        <f aca="false">ROUNDUP(L76/H76,0)</f>
        <v>21</v>
      </c>
      <c r="R76" s="5" t="n">
        <f aca="false">ROUNDUP(M76/H76,0)</f>
        <v>21</v>
      </c>
      <c r="S76" s="5" t="n">
        <f aca="false">ROUNDUP(N76/H76,0)</f>
        <v>21</v>
      </c>
      <c r="T76" s="5" t="n">
        <f aca="false">SUM(O76:S76)</f>
        <v>105</v>
      </c>
      <c r="U76" s="5" t="n">
        <f aca="false">ROUNDUP(T76/G76,0)</f>
        <v>18</v>
      </c>
      <c r="V76" s="5" t="n">
        <f aca="false">U76*Parametry!$C$11</f>
        <v>90</v>
      </c>
      <c r="W76" s="5" t="n">
        <f aca="false">5</f>
        <v>5</v>
      </c>
      <c r="X76" s="5" t="n">
        <f aca="false">V76*(W76-1)</f>
        <v>360</v>
      </c>
      <c r="Y76" s="5" t="n">
        <f aca="false">V76*W76</f>
        <v>450</v>
      </c>
      <c r="Z76" s="5" t="n">
        <f aca="false">SUM(J76:N76)</f>
        <v>7500</v>
      </c>
      <c r="AA76" s="5" t="s">
        <v>875</v>
      </c>
    </row>
    <row r="77" customFormat="false" ht="69.75" hidden="false" customHeight="true" outlineLevel="0" collapsed="false">
      <c r="A77" s="6" t="s">
        <v>155</v>
      </c>
      <c r="B77" s="6" t="s">
        <v>878</v>
      </c>
      <c r="C77" s="6" t="s">
        <v>876</v>
      </c>
      <c r="D77" s="6" t="n">
        <v>3</v>
      </c>
      <c r="E77" s="6" t="n">
        <f aca="false">D77+1</f>
        <v>4</v>
      </c>
      <c r="F77" s="6" t="n">
        <v>3</v>
      </c>
      <c r="G77" s="16" t="n">
        <f aca="false">Parametry!$C$12</f>
        <v>6</v>
      </c>
      <c r="H77" s="6" t="n">
        <f aca="false">ROUNDDOWN(Parametry!$C$9*Parametry!$C$10^(F77-1),0)</f>
        <v>72</v>
      </c>
      <c r="I77" s="6" t="n">
        <f aca="false">ROUNDUP((Parametry!$C$23*MAX(1,D77))*Parametry!$C$15,0)</f>
        <v>1650</v>
      </c>
      <c r="J77" s="6" t="n">
        <f aca="false">ROUNDUP((Parametry!$C$23*MAX(1,D77))*Parametry!$C$15,0)</f>
        <v>1650</v>
      </c>
      <c r="K77" s="6" t="n">
        <f aca="false">ROUNDUP((Parametry!$C$23*MAX(1,D77))*Parametry!$C$15,0)</f>
        <v>1650</v>
      </c>
      <c r="L77" s="6" t="n">
        <f aca="false">ROUNDUP((Parametry!$C$23*MAX(1,D77))*Parametry!$C$15,0)</f>
        <v>1650</v>
      </c>
      <c r="M77" s="6" t="n">
        <f aca="false">ROUNDUP((Parametry!$C$23*MAX(1,D77))*Parametry!$C$15,0)</f>
        <v>1650</v>
      </c>
      <c r="N77" s="6" t="n">
        <f aca="false">ROUNDUP((Parametry!$C$23*MAX(1,D77))*Parametry!$C$15,0)</f>
        <v>1650</v>
      </c>
      <c r="O77" s="6" t="n">
        <f aca="false">ROUNDUP(J77/H77,0)</f>
        <v>23</v>
      </c>
      <c r="P77" s="6" t="n">
        <f aca="false">ROUNDUP(K77/H77,0)</f>
        <v>23</v>
      </c>
      <c r="Q77" s="6" t="n">
        <f aca="false">ROUNDUP(L77/H77,0)</f>
        <v>23</v>
      </c>
      <c r="R77" s="6" t="n">
        <f aca="false">ROUNDUP(M77/H77,0)</f>
        <v>23</v>
      </c>
      <c r="S77" s="6" t="n">
        <f aca="false">ROUNDUP(N77/H77,0)</f>
        <v>23</v>
      </c>
      <c r="T77" s="6" t="n">
        <f aca="false">SUM(O77:S77)</f>
        <v>115</v>
      </c>
      <c r="U77" s="6" t="n">
        <f aca="false">ROUNDUP(T77/G77,0)</f>
        <v>20</v>
      </c>
      <c r="V77" s="6" t="n">
        <f aca="false">U77*Parametry!$C$11</f>
        <v>100</v>
      </c>
      <c r="W77" s="6" t="n">
        <f aca="false">5</f>
        <v>5</v>
      </c>
      <c r="X77" s="6" t="n">
        <f aca="false">V77*(W77-1)</f>
        <v>400</v>
      </c>
      <c r="Y77" s="6" t="n">
        <f aca="false">V77*W77</f>
        <v>500</v>
      </c>
      <c r="Z77" s="6" t="n">
        <f aca="false">SUM(J77:N77)</f>
        <v>8250</v>
      </c>
      <c r="AA77" s="6" t="s">
        <v>875</v>
      </c>
    </row>
    <row r="78" customFormat="false" ht="69.75" hidden="false" customHeight="true" outlineLevel="0" collapsed="false">
      <c r="A78" s="5" t="s">
        <v>155</v>
      </c>
      <c r="B78" s="5" t="s">
        <v>879</v>
      </c>
      <c r="C78" s="5" t="s">
        <v>874</v>
      </c>
      <c r="D78" s="5" t="n">
        <v>0</v>
      </c>
      <c r="E78" s="5" t="n">
        <f aca="false">D78+1</f>
        <v>1</v>
      </c>
      <c r="F78" s="5" t="n">
        <v>1</v>
      </c>
      <c r="G78" s="15" t="n">
        <f aca="false">Parametry!$C$12</f>
        <v>6</v>
      </c>
      <c r="H78" s="5" t="n">
        <f aca="false">ROUNDDOWN(Parametry!$C$9*Parametry!$C$10^(F78-1),0)</f>
        <v>60</v>
      </c>
      <c r="I78" s="5" t="n">
        <f aca="false">ROUNDUP((Parametry!$C$23*MAX(1,D78))*1,0)</f>
        <v>500</v>
      </c>
      <c r="J78" s="5" t="n">
        <f aca="false">ROUNDUP((Parametry!$C$23*MAX(1,D78))*1,0)</f>
        <v>500</v>
      </c>
      <c r="K78" s="5" t="n">
        <f aca="false">ROUNDUP((Parametry!$C$23*MAX(1,D78))*1,0)</f>
        <v>500</v>
      </c>
      <c r="L78" s="5" t="n">
        <f aca="false">ROUNDUP((Parametry!$C$23*MAX(1,D78))*1,0)</f>
        <v>500</v>
      </c>
      <c r="M78" s="5" t="n">
        <f aca="false">ROUNDUP((Parametry!$C$23*MAX(1,D78))*1,0)</f>
        <v>500</v>
      </c>
      <c r="N78" s="5" t="n">
        <f aca="false">ROUNDUP((Parametry!$C$23*MAX(1,D78))*1,0)</f>
        <v>500</v>
      </c>
      <c r="O78" s="5" t="n">
        <f aca="false">ROUNDUP(J78/H78,0)</f>
        <v>9</v>
      </c>
      <c r="P78" s="5" t="n">
        <f aca="false">ROUNDUP(K78/H78,0)</f>
        <v>9</v>
      </c>
      <c r="Q78" s="5" t="n">
        <f aca="false">ROUNDUP(L78/H78,0)</f>
        <v>9</v>
      </c>
      <c r="R78" s="5" t="n">
        <f aca="false">ROUNDUP(M78/H78,0)</f>
        <v>9</v>
      </c>
      <c r="S78" s="5" t="n">
        <f aca="false">ROUNDUP(N78/H78,0)</f>
        <v>9</v>
      </c>
      <c r="T78" s="5" t="n">
        <f aca="false">SUM(O78:S78)</f>
        <v>45</v>
      </c>
      <c r="U78" s="5" t="n">
        <f aca="false">ROUNDUP(T78/G78,0)</f>
        <v>8</v>
      </c>
      <c r="V78" s="5" t="n">
        <f aca="false">U78*Parametry!$C$11</f>
        <v>40</v>
      </c>
      <c r="W78" s="5" t="n">
        <f aca="false">5</f>
        <v>5</v>
      </c>
      <c r="X78" s="5" t="n">
        <f aca="false">V78*(W78-1)</f>
        <v>160</v>
      </c>
      <c r="Y78" s="5" t="n">
        <f aca="false">V78*W78</f>
        <v>200</v>
      </c>
      <c r="Z78" s="5" t="n">
        <f aca="false">SUM(J78:N78)</f>
        <v>2500</v>
      </c>
      <c r="AA78" s="5" t="s">
        <v>875</v>
      </c>
    </row>
    <row r="79" customFormat="false" ht="69.75" hidden="false" customHeight="true" outlineLevel="0" collapsed="false">
      <c r="A79" s="6" t="s">
        <v>155</v>
      </c>
      <c r="B79" s="6" t="s">
        <v>879</v>
      </c>
      <c r="C79" s="6" t="s">
        <v>876</v>
      </c>
      <c r="D79" s="6" t="n">
        <v>0</v>
      </c>
      <c r="E79" s="6" t="n">
        <f aca="false">D79+1</f>
        <v>1</v>
      </c>
      <c r="F79" s="6" t="n">
        <v>1</v>
      </c>
      <c r="G79" s="16" t="n">
        <f aca="false">Parametry!$C$12</f>
        <v>6</v>
      </c>
      <c r="H79" s="6" t="n">
        <f aca="false">ROUNDDOWN(Parametry!$C$9*Parametry!$C$10^(F79-1),0)</f>
        <v>60</v>
      </c>
      <c r="I79" s="6" t="n">
        <f aca="false">ROUNDUP((Parametry!$C$23*MAX(1,D79))*Parametry!$C$15,0)</f>
        <v>550</v>
      </c>
      <c r="J79" s="6" t="n">
        <f aca="false">ROUNDUP((Parametry!$C$23*MAX(1,D79))*Parametry!$C$15,0)</f>
        <v>550</v>
      </c>
      <c r="K79" s="6" t="n">
        <f aca="false">ROUNDUP((Parametry!$C$23*MAX(1,D79))*Parametry!$C$15,0)</f>
        <v>550</v>
      </c>
      <c r="L79" s="6" t="n">
        <f aca="false">ROUNDUP((Parametry!$C$23*MAX(1,D79))*Parametry!$C$15,0)</f>
        <v>550</v>
      </c>
      <c r="M79" s="6" t="n">
        <f aca="false">ROUNDUP((Parametry!$C$23*MAX(1,D79))*Parametry!$C$15,0)</f>
        <v>550</v>
      </c>
      <c r="N79" s="6" t="n">
        <f aca="false">ROUNDUP((Parametry!$C$23*MAX(1,D79))*Parametry!$C$15,0)</f>
        <v>550</v>
      </c>
      <c r="O79" s="6" t="n">
        <f aca="false">ROUNDUP(J79/H79,0)</f>
        <v>10</v>
      </c>
      <c r="P79" s="6" t="n">
        <f aca="false">ROUNDUP(K79/H79,0)</f>
        <v>10</v>
      </c>
      <c r="Q79" s="6" t="n">
        <f aca="false">ROUNDUP(L79/H79,0)</f>
        <v>10</v>
      </c>
      <c r="R79" s="6" t="n">
        <f aca="false">ROUNDUP(M79/H79,0)</f>
        <v>10</v>
      </c>
      <c r="S79" s="6" t="n">
        <f aca="false">ROUNDUP(N79/H79,0)</f>
        <v>10</v>
      </c>
      <c r="T79" s="6" t="n">
        <f aca="false">SUM(O79:S79)</f>
        <v>50</v>
      </c>
      <c r="U79" s="6" t="n">
        <f aca="false">ROUNDUP(T79/G79,0)</f>
        <v>9</v>
      </c>
      <c r="V79" s="6" t="n">
        <f aca="false">U79*Parametry!$C$11</f>
        <v>45</v>
      </c>
      <c r="W79" s="6" t="n">
        <f aca="false">5</f>
        <v>5</v>
      </c>
      <c r="X79" s="6" t="n">
        <f aca="false">V79*(W79-1)</f>
        <v>180</v>
      </c>
      <c r="Y79" s="6" t="n">
        <f aca="false">V79*W79</f>
        <v>225</v>
      </c>
      <c r="Z79" s="6" t="n">
        <f aca="false">SUM(J79:N79)</f>
        <v>2750</v>
      </c>
      <c r="AA79" s="6" t="s">
        <v>875</v>
      </c>
    </row>
  </sheetData>
  <autoFilter ref="A5:AA79"/>
  <mergeCells count="2">
    <mergeCell ref="A1:AA1"/>
    <mergeCell ref="A2:AA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9"/>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5"/>
    <col collapsed="false" customWidth="true" hidden="false" outlineLevel="0" max="3" min="2" style="1" width="120"/>
    <col collapsed="false" customWidth="true" hidden="false" outlineLevel="0" max="4" min="4" style="1" width="55"/>
  </cols>
  <sheetData>
    <row r="1" customFormat="false" ht="33.75" hidden="false" customHeight="true" outlineLevel="0" collapsed="false">
      <c r="A1" s="7" t="s">
        <v>880</v>
      </c>
      <c r="B1" s="7"/>
      <c r="C1" s="7"/>
      <c r="D1" s="7"/>
    </row>
    <row r="2" customFormat="false" ht="24.75" hidden="false" customHeight="true" outlineLevel="0" collapsed="false">
      <c r="A2" s="3" t="s">
        <v>881</v>
      </c>
      <c r="B2" s="3"/>
      <c r="C2" s="3"/>
      <c r="D2" s="3"/>
    </row>
    <row r="3" customFormat="false" ht="24.75" hidden="false" customHeight="true" outlineLevel="0" collapsed="false">
      <c r="A3" s="3"/>
      <c r="B3" s="3"/>
      <c r="C3" s="3"/>
      <c r="D3" s="3"/>
    </row>
    <row r="5" customFormat="false" ht="48" hidden="false" customHeight="true" outlineLevel="0" collapsed="false">
      <c r="A5" s="4" t="s">
        <v>2</v>
      </c>
      <c r="B5" s="4" t="s">
        <v>180</v>
      </c>
      <c r="C5" s="4" t="s">
        <v>882</v>
      </c>
      <c r="D5" s="4" t="s">
        <v>183</v>
      </c>
    </row>
    <row r="6" customFormat="false" ht="105" hidden="false" customHeight="true" outlineLevel="0" collapsed="false">
      <c r="A6" s="5" t="s">
        <v>883</v>
      </c>
      <c r="B6" s="5" t="s">
        <v>884</v>
      </c>
      <c r="C6" s="5" t="s">
        <v>885</v>
      </c>
      <c r="D6" s="5" t="s">
        <v>340</v>
      </c>
    </row>
    <row r="7" customFormat="false" ht="105" hidden="false" customHeight="true" outlineLevel="0" collapsed="false">
      <c r="A7" s="6" t="s">
        <v>886</v>
      </c>
      <c r="B7" s="6" t="s">
        <v>887</v>
      </c>
      <c r="C7" s="6" t="s">
        <v>888</v>
      </c>
      <c r="D7" s="6" t="s">
        <v>340</v>
      </c>
    </row>
    <row r="8" customFormat="false" ht="105" hidden="false" customHeight="true" outlineLevel="0" collapsed="false">
      <c r="A8" s="5" t="s">
        <v>889</v>
      </c>
      <c r="B8" s="5" t="s">
        <v>890</v>
      </c>
      <c r="C8" s="5" t="s">
        <v>891</v>
      </c>
      <c r="D8" s="5" t="s">
        <v>340</v>
      </c>
    </row>
    <row r="9" customFormat="false" ht="105" hidden="false" customHeight="true" outlineLevel="0" collapsed="false">
      <c r="A9" s="6" t="s">
        <v>892</v>
      </c>
      <c r="B9" s="6" t="s">
        <v>893</v>
      </c>
      <c r="C9" s="6" t="s">
        <v>894</v>
      </c>
      <c r="D9" s="6" t="s">
        <v>895</v>
      </c>
    </row>
    <row r="10" customFormat="false" ht="105" hidden="false" customHeight="true" outlineLevel="0" collapsed="false">
      <c r="A10" s="5" t="s">
        <v>896</v>
      </c>
      <c r="B10" s="5" t="s">
        <v>897</v>
      </c>
      <c r="C10" s="5" t="s">
        <v>898</v>
      </c>
      <c r="D10" s="5" t="s">
        <v>232</v>
      </c>
    </row>
    <row r="11" customFormat="false" ht="105" hidden="false" customHeight="true" outlineLevel="0" collapsed="false">
      <c r="A11" s="6" t="s">
        <v>899</v>
      </c>
      <c r="B11" s="6" t="s">
        <v>900</v>
      </c>
      <c r="C11" s="6" t="s">
        <v>901</v>
      </c>
      <c r="D11" s="6" t="s">
        <v>340</v>
      </c>
    </row>
    <row r="12" customFormat="false" ht="105" hidden="false" customHeight="true" outlineLevel="0" collapsed="false">
      <c r="A12" s="5" t="s">
        <v>902</v>
      </c>
      <c r="B12" s="5" t="s">
        <v>903</v>
      </c>
      <c r="C12" s="5" t="s">
        <v>904</v>
      </c>
      <c r="D12" s="5" t="s">
        <v>232</v>
      </c>
    </row>
    <row r="13" customFormat="false" ht="105" hidden="false" customHeight="true" outlineLevel="0" collapsed="false">
      <c r="A13" s="6" t="s">
        <v>135</v>
      </c>
      <c r="B13" s="6" t="s">
        <v>905</v>
      </c>
      <c r="C13" s="6" t="s">
        <v>906</v>
      </c>
      <c r="D13" s="6" t="s">
        <v>907</v>
      </c>
    </row>
    <row r="14" customFormat="false" ht="105" hidden="false" customHeight="true" outlineLevel="0" collapsed="false">
      <c r="A14" s="5" t="s">
        <v>908</v>
      </c>
      <c r="B14" s="5" t="s">
        <v>909</v>
      </c>
      <c r="C14" s="5" t="s">
        <v>910</v>
      </c>
      <c r="D14" s="5" t="s">
        <v>340</v>
      </c>
    </row>
    <row r="15" customFormat="false" ht="105" hidden="false" customHeight="true" outlineLevel="0" collapsed="false">
      <c r="A15" s="6" t="s">
        <v>911</v>
      </c>
      <c r="B15" s="6" t="s">
        <v>912</v>
      </c>
      <c r="C15" s="6" t="s">
        <v>913</v>
      </c>
      <c r="D15" s="6" t="s">
        <v>914</v>
      </c>
    </row>
    <row r="16" customFormat="false" ht="105" hidden="false" customHeight="true" outlineLevel="0" collapsed="false">
      <c r="A16" s="5" t="s">
        <v>915</v>
      </c>
      <c r="B16" s="5" t="s">
        <v>916</v>
      </c>
      <c r="C16" s="5" t="s">
        <v>917</v>
      </c>
      <c r="D16" s="5" t="s">
        <v>340</v>
      </c>
    </row>
    <row r="17" customFormat="false" ht="105" hidden="false" customHeight="true" outlineLevel="0" collapsed="false">
      <c r="A17" s="6" t="s">
        <v>918</v>
      </c>
      <c r="B17" s="6" t="s">
        <v>919</v>
      </c>
      <c r="C17" s="6" t="s">
        <v>920</v>
      </c>
      <c r="D17" s="6" t="s">
        <v>223</v>
      </c>
    </row>
    <row r="18" customFormat="false" ht="105" hidden="false" customHeight="true" outlineLevel="0" collapsed="false">
      <c r="A18" s="5" t="s">
        <v>921</v>
      </c>
      <c r="B18" s="5" t="s">
        <v>922</v>
      </c>
      <c r="C18" s="5" t="s">
        <v>923</v>
      </c>
      <c r="D18" s="5" t="s">
        <v>924</v>
      </c>
    </row>
    <row r="19" customFormat="false" ht="105" hidden="false" customHeight="true" outlineLevel="0" collapsed="false">
      <c r="A19" s="6" t="s">
        <v>17</v>
      </c>
      <c r="B19" s="6" t="s">
        <v>925</v>
      </c>
      <c r="C19" s="6" t="s">
        <v>926</v>
      </c>
      <c r="D19" s="6" t="s">
        <v>927</v>
      </c>
    </row>
  </sheetData>
  <autoFilter ref="A5:D19"/>
  <mergeCells count="2">
    <mergeCell ref="A1:D1"/>
    <mergeCell ref="A2:D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51"/>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3"/>
    <col collapsed="false" customWidth="true" hidden="false" outlineLevel="0" max="2" min="2" style="1" width="65"/>
    <col collapsed="false" customWidth="true" hidden="false" outlineLevel="0" max="3" min="3" style="1" width="19"/>
    <col collapsed="false" customWidth="true" hidden="false" outlineLevel="0" max="4" min="4" style="1" width="29"/>
    <col collapsed="false" customWidth="true" hidden="false" outlineLevel="0" max="5" min="5" style="1" width="40"/>
    <col collapsed="false" customWidth="true" hidden="false" outlineLevel="0" max="6" min="6" style="1" width="100"/>
  </cols>
  <sheetData>
    <row r="1" customFormat="false" ht="33.75" hidden="false" customHeight="true" outlineLevel="0" collapsed="false">
      <c r="A1" s="7" t="s">
        <v>928</v>
      </c>
      <c r="B1" s="7"/>
      <c r="C1" s="7"/>
      <c r="D1" s="7"/>
      <c r="E1" s="7"/>
      <c r="F1" s="7"/>
    </row>
    <row r="2" customFormat="false" ht="24.75" hidden="false" customHeight="true" outlineLevel="0" collapsed="false">
      <c r="A2" s="3" t="s">
        <v>929</v>
      </c>
      <c r="B2" s="3"/>
      <c r="C2" s="3"/>
      <c r="D2" s="3"/>
      <c r="E2" s="3"/>
      <c r="F2" s="3"/>
    </row>
    <row r="3" customFormat="false" ht="24.75" hidden="false" customHeight="true" outlineLevel="0" collapsed="false">
      <c r="A3" s="3"/>
      <c r="B3" s="3"/>
      <c r="C3" s="3"/>
      <c r="D3" s="3"/>
      <c r="E3" s="3"/>
      <c r="F3" s="3"/>
    </row>
    <row r="5" customFormat="false" ht="48" hidden="false" customHeight="true" outlineLevel="0" collapsed="false">
      <c r="A5" s="4" t="s">
        <v>930</v>
      </c>
      <c r="B5" s="4" t="s">
        <v>931</v>
      </c>
      <c r="C5" s="4" t="s">
        <v>932</v>
      </c>
      <c r="D5" s="4" t="s">
        <v>933</v>
      </c>
      <c r="E5" s="4" t="s">
        <v>183</v>
      </c>
      <c r="F5" s="4" t="s">
        <v>335</v>
      </c>
    </row>
    <row r="6" customFormat="false" ht="54.75" hidden="false" customHeight="true" outlineLevel="0" collapsed="false">
      <c r="A6" s="5" t="s">
        <v>934</v>
      </c>
      <c r="B6" s="5" t="s">
        <v>935</v>
      </c>
      <c r="C6" s="17" t="n">
        <v>12</v>
      </c>
      <c r="D6" s="5" t="s">
        <v>936</v>
      </c>
      <c r="E6" s="5" t="s">
        <v>937</v>
      </c>
      <c r="F6" s="5" t="s">
        <v>938</v>
      </c>
    </row>
    <row r="7" customFormat="false" ht="54.75" hidden="false" customHeight="true" outlineLevel="0" collapsed="false">
      <c r="A7" s="6" t="s">
        <v>939</v>
      </c>
      <c r="B7" s="6" t="s">
        <v>940</v>
      </c>
      <c r="C7" s="17" t="n">
        <v>24</v>
      </c>
      <c r="D7" s="6" t="s">
        <v>936</v>
      </c>
      <c r="E7" s="6" t="s">
        <v>937</v>
      </c>
      <c r="F7" s="6" t="s">
        <v>941</v>
      </c>
    </row>
    <row r="8" customFormat="false" ht="54.75" hidden="false" customHeight="true" outlineLevel="0" collapsed="false">
      <c r="A8" s="5" t="s">
        <v>942</v>
      </c>
      <c r="B8" s="5" t="s">
        <v>943</v>
      </c>
      <c r="C8" s="17" t="n">
        <v>12</v>
      </c>
      <c r="D8" s="5" t="s">
        <v>936</v>
      </c>
      <c r="E8" s="5" t="s">
        <v>944</v>
      </c>
      <c r="F8" s="5" t="s">
        <v>945</v>
      </c>
    </row>
    <row r="9" customFormat="false" ht="54.75" hidden="false" customHeight="true" outlineLevel="0" collapsed="false">
      <c r="A9" s="6" t="s">
        <v>946</v>
      </c>
      <c r="B9" s="6" t="s">
        <v>947</v>
      </c>
      <c r="C9" s="17" t="n">
        <v>60</v>
      </c>
      <c r="D9" s="6" t="s">
        <v>948</v>
      </c>
      <c r="E9" s="6" t="s">
        <v>340</v>
      </c>
      <c r="F9" s="6" t="s">
        <v>949</v>
      </c>
    </row>
    <row r="10" customFormat="false" ht="54.75" hidden="false" customHeight="true" outlineLevel="0" collapsed="false">
      <c r="A10" s="5" t="s">
        <v>950</v>
      </c>
      <c r="B10" s="5" t="s">
        <v>951</v>
      </c>
      <c r="C10" s="18" t="n">
        <v>1.1</v>
      </c>
      <c r="D10" s="5" t="s">
        <v>952</v>
      </c>
      <c r="E10" s="5" t="s">
        <v>953</v>
      </c>
      <c r="F10" s="5" t="s">
        <v>954</v>
      </c>
    </row>
    <row r="11" customFormat="false" ht="54.75" hidden="false" customHeight="true" outlineLevel="0" collapsed="false">
      <c r="A11" s="6" t="s">
        <v>955</v>
      </c>
      <c r="B11" s="6" t="s">
        <v>956</v>
      </c>
      <c r="C11" s="17" t="n">
        <v>5</v>
      </c>
      <c r="D11" s="6" t="s">
        <v>957</v>
      </c>
      <c r="E11" s="6" t="s">
        <v>927</v>
      </c>
      <c r="F11" s="6" t="s">
        <v>958</v>
      </c>
    </row>
    <row r="12" customFormat="false" ht="54.75" hidden="false" customHeight="true" outlineLevel="0" collapsed="false">
      <c r="A12" s="5" t="s">
        <v>959</v>
      </c>
      <c r="B12" s="5" t="s">
        <v>960</v>
      </c>
      <c r="C12" s="17" t="n">
        <v>6</v>
      </c>
      <c r="D12" s="5" t="s">
        <v>936</v>
      </c>
      <c r="E12" s="5" t="s">
        <v>961</v>
      </c>
      <c r="F12" s="5" t="s">
        <v>962</v>
      </c>
    </row>
    <row r="13" customFormat="false" ht="54.75" hidden="false" customHeight="true" outlineLevel="0" collapsed="false">
      <c r="A13" s="6" t="s">
        <v>963</v>
      </c>
      <c r="B13" s="6" t="s">
        <v>964</v>
      </c>
      <c r="C13" s="17" t="n">
        <v>50</v>
      </c>
      <c r="D13" s="6" t="s">
        <v>965</v>
      </c>
      <c r="E13" s="6" t="s">
        <v>966</v>
      </c>
      <c r="F13" s="6" t="s">
        <v>967</v>
      </c>
    </row>
    <row r="14" customFormat="false" ht="54.75" hidden="false" customHeight="true" outlineLevel="0" collapsed="false">
      <c r="A14" s="5" t="s">
        <v>968</v>
      </c>
      <c r="B14" s="5" t="s">
        <v>969</v>
      </c>
      <c r="C14" s="17" t="n">
        <v>5</v>
      </c>
      <c r="D14" s="5" t="s">
        <v>970</v>
      </c>
      <c r="E14" s="5" t="s">
        <v>944</v>
      </c>
      <c r="F14" s="5" t="s">
        <v>971</v>
      </c>
    </row>
    <row r="15" customFormat="false" ht="54.75" hidden="false" customHeight="true" outlineLevel="0" collapsed="false">
      <c r="A15" s="6" t="s">
        <v>972</v>
      </c>
      <c r="B15" s="6" t="s">
        <v>973</v>
      </c>
      <c r="C15" s="18" t="n">
        <v>1.1</v>
      </c>
      <c r="D15" s="6" t="s">
        <v>974</v>
      </c>
      <c r="E15" s="6" t="s">
        <v>966</v>
      </c>
      <c r="F15" s="6" t="s">
        <v>975</v>
      </c>
    </row>
    <row r="16" customFormat="false" ht="54.75" hidden="false" customHeight="true" outlineLevel="0" collapsed="false">
      <c r="A16" s="5" t="s">
        <v>976</v>
      </c>
      <c r="B16" s="5" t="s">
        <v>977</v>
      </c>
      <c r="C16" s="17" t="n">
        <v>240</v>
      </c>
      <c r="D16" s="5" t="s">
        <v>978</v>
      </c>
      <c r="E16" s="5" t="s">
        <v>937</v>
      </c>
      <c r="F16" s="5" t="s">
        <v>979</v>
      </c>
    </row>
    <row r="17" customFormat="false" ht="54.75" hidden="false" customHeight="true" outlineLevel="0" collapsed="false">
      <c r="A17" s="6" t="s">
        <v>980</v>
      </c>
      <c r="B17" s="6" t="s">
        <v>981</v>
      </c>
      <c r="C17" s="18" t="n">
        <v>0.3</v>
      </c>
      <c r="D17" s="6" t="s">
        <v>982</v>
      </c>
      <c r="E17" s="6" t="s">
        <v>937</v>
      </c>
      <c r="F17" s="6" t="s">
        <v>983</v>
      </c>
    </row>
    <row r="18" customFormat="false" ht="54.75" hidden="false" customHeight="true" outlineLevel="0" collapsed="false">
      <c r="A18" s="5" t="s">
        <v>984</v>
      </c>
      <c r="B18" s="5" t="s">
        <v>985</v>
      </c>
      <c r="C18" s="18" t="n">
        <v>0.3</v>
      </c>
      <c r="D18" s="5" t="s">
        <v>982</v>
      </c>
      <c r="E18" s="5" t="s">
        <v>937</v>
      </c>
      <c r="F18" s="5" t="s">
        <v>986</v>
      </c>
    </row>
    <row r="19" customFormat="false" ht="54.75" hidden="false" customHeight="true" outlineLevel="0" collapsed="false">
      <c r="A19" s="6" t="s">
        <v>987</v>
      </c>
      <c r="B19" s="6" t="s">
        <v>988</v>
      </c>
      <c r="C19" s="18" t="n">
        <v>0.5</v>
      </c>
      <c r="D19" s="6" t="s">
        <v>982</v>
      </c>
      <c r="E19" s="6" t="s">
        <v>937</v>
      </c>
      <c r="F19" s="6" t="s">
        <v>989</v>
      </c>
    </row>
    <row r="20" customFormat="false" ht="54.75" hidden="false" customHeight="true" outlineLevel="0" collapsed="false">
      <c r="A20" s="5" t="s">
        <v>990</v>
      </c>
      <c r="B20" s="5" t="s">
        <v>991</v>
      </c>
      <c r="C20" s="17" t="n">
        <v>500</v>
      </c>
      <c r="D20" s="5" t="s">
        <v>992</v>
      </c>
      <c r="E20" s="5" t="s">
        <v>937</v>
      </c>
      <c r="F20" s="5" t="s">
        <v>993</v>
      </c>
    </row>
    <row r="21" customFormat="false" ht="54.75" hidden="false" customHeight="true" outlineLevel="0" collapsed="false">
      <c r="A21" s="6" t="s">
        <v>994</v>
      </c>
      <c r="B21" s="6" t="s">
        <v>995</v>
      </c>
      <c r="C21" s="17" t="n">
        <v>300</v>
      </c>
      <c r="D21" s="6" t="s">
        <v>992</v>
      </c>
      <c r="E21" s="6" t="s">
        <v>996</v>
      </c>
      <c r="F21" s="6" t="s">
        <v>997</v>
      </c>
    </row>
    <row r="22" customFormat="false" ht="54.75" hidden="false" customHeight="true" outlineLevel="0" collapsed="false">
      <c r="A22" s="5" t="s">
        <v>998</v>
      </c>
      <c r="B22" s="5" t="s">
        <v>999</v>
      </c>
      <c r="C22" s="17" t="n">
        <v>400</v>
      </c>
      <c r="D22" s="5" t="s">
        <v>992</v>
      </c>
      <c r="E22" s="5" t="s">
        <v>996</v>
      </c>
      <c r="F22" s="5" t="s">
        <v>997</v>
      </c>
    </row>
    <row r="23" customFormat="false" ht="54.75" hidden="false" customHeight="true" outlineLevel="0" collapsed="false">
      <c r="A23" s="6" t="s">
        <v>1000</v>
      </c>
      <c r="B23" s="6" t="s">
        <v>1001</v>
      </c>
      <c r="C23" s="17" t="n">
        <v>500</v>
      </c>
      <c r="D23" s="6" t="s">
        <v>1002</v>
      </c>
      <c r="E23" s="6" t="s">
        <v>937</v>
      </c>
      <c r="F23" s="6" t="s">
        <v>1003</v>
      </c>
    </row>
    <row r="24" customFormat="false" ht="54.75" hidden="false" customHeight="true" outlineLevel="0" collapsed="false">
      <c r="A24" s="5" t="s">
        <v>1004</v>
      </c>
      <c r="B24" s="5" t="s">
        <v>1005</v>
      </c>
      <c r="C24" s="17" t="n">
        <v>1000</v>
      </c>
      <c r="D24" s="5" t="s">
        <v>1006</v>
      </c>
      <c r="E24" s="5" t="s">
        <v>937</v>
      </c>
      <c r="F24" s="5" t="s">
        <v>1007</v>
      </c>
    </row>
    <row r="25" customFormat="false" ht="54.75" hidden="false" customHeight="true" outlineLevel="0" collapsed="false">
      <c r="A25" s="6" t="s">
        <v>1008</v>
      </c>
      <c r="B25" s="6" t="s">
        <v>1009</v>
      </c>
      <c r="C25" s="17" t="n">
        <v>4000</v>
      </c>
      <c r="D25" s="6" t="s">
        <v>1006</v>
      </c>
      <c r="E25" s="6" t="s">
        <v>937</v>
      </c>
      <c r="F25" s="6" t="s">
        <v>1010</v>
      </c>
    </row>
    <row r="26" customFormat="false" ht="54.75" hidden="false" customHeight="true" outlineLevel="0" collapsed="false">
      <c r="A26" s="5" t="s">
        <v>1011</v>
      </c>
      <c r="B26" s="5" t="s">
        <v>1012</v>
      </c>
      <c r="C26" s="18" t="n">
        <v>1.5</v>
      </c>
      <c r="D26" s="5" t="s">
        <v>1013</v>
      </c>
      <c r="E26" s="5" t="s">
        <v>937</v>
      </c>
      <c r="F26" s="5" t="s">
        <v>1014</v>
      </c>
    </row>
    <row r="27" customFormat="false" ht="54.75" hidden="false" customHeight="true" outlineLevel="0" collapsed="false">
      <c r="A27" s="6" t="s">
        <v>1015</v>
      </c>
      <c r="B27" s="6" t="s">
        <v>1016</v>
      </c>
      <c r="C27" s="17" t="n">
        <v>1</v>
      </c>
      <c r="D27" s="6" t="s">
        <v>1017</v>
      </c>
      <c r="E27" s="6" t="s">
        <v>937</v>
      </c>
      <c r="F27" s="6" t="s">
        <v>1018</v>
      </c>
    </row>
    <row r="28" customFormat="false" ht="54.75" hidden="false" customHeight="true" outlineLevel="0" collapsed="false">
      <c r="A28" s="5" t="s">
        <v>1019</v>
      </c>
      <c r="B28" s="5" t="s">
        <v>1020</v>
      </c>
      <c r="C28" s="17" t="n">
        <v>1</v>
      </c>
      <c r="D28" s="5" t="s">
        <v>1021</v>
      </c>
      <c r="E28" s="5" t="s">
        <v>937</v>
      </c>
      <c r="F28" s="5" t="s">
        <v>1022</v>
      </c>
    </row>
    <row r="29" customFormat="false" ht="54.75" hidden="false" customHeight="true" outlineLevel="0" collapsed="false">
      <c r="A29" s="6" t="s">
        <v>1023</v>
      </c>
      <c r="B29" s="6" t="s">
        <v>1024</v>
      </c>
      <c r="C29" s="17" t="n">
        <v>12</v>
      </c>
      <c r="D29" s="6" t="s">
        <v>1025</v>
      </c>
      <c r="E29" s="6" t="s">
        <v>937</v>
      </c>
      <c r="F29" s="6" t="s">
        <v>1026</v>
      </c>
    </row>
    <row r="30" customFormat="false" ht="54.75" hidden="false" customHeight="true" outlineLevel="0" collapsed="false">
      <c r="A30" s="5" t="s">
        <v>1027</v>
      </c>
      <c r="B30" s="5" t="s">
        <v>1028</v>
      </c>
      <c r="C30" s="17" t="n">
        <v>5</v>
      </c>
      <c r="D30" s="5" t="s">
        <v>1029</v>
      </c>
      <c r="E30" s="5" t="s">
        <v>937</v>
      </c>
      <c r="F30" s="5" t="s">
        <v>1030</v>
      </c>
    </row>
    <row r="31" customFormat="false" ht="54.75" hidden="false" customHeight="true" outlineLevel="0" collapsed="false">
      <c r="A31" s="6" t="s">
        <v>1031</v>
      </c>
      <c r="B31" s="6" t="s">
        <v>1032</v>
      </c>
      <c r="C31" s="17" t="n">
        <v>40</v>
      </c>
      <c r="D31" s="6" t="s">
        <v>1033</v>
      </c>
      <c r="E31" s="6" t="s">
        <v>340</v>
      </c>
      <c r="F31" s="6" t="s">
        <v>1034</v>
      </c>
    </row>
    <row r="32" customFormat="false" ht="54.75" hidden="false" customHeight="true" outlineLevel="0" collapsed="false">
      <c r="A32" s="5" t="s">
        <v>1035</v>
      </c>
      <c r="B32" s="5" t="s">
        <v>1036</v>
      </c>
      <c r="C32" s="17" t="n">
        <v>50</v>
      </c>
      <c r="D32" s="5" t="s">
        <v>1033</v>
      </c>
      <c r="E32" s="5" t="s">
        <v>340</v>
      </c>
      <c r="F32" s="5" t="s">
        <v>1037</v>
      </c>
    </row>
    <row r="33" customFormat="false" ht="54.75" hidden="false" customHeight="true" outlineLevel="0" collapsed="false">
      <c r="A33" s="6" t="s">
        <v>1038</v>
      </c>
      <c r="B33" s="6" t="s">
        <v>1039</v>
      </c>
      <c r="C33" s="17" t="n">
        <v>140</v>
      </c>
      <c r="D33" s="6" t="s">
        <v>1033</v>
      </c>
      <c r="E33" s="6" t="s">
        <v>1040</v>
      </c>
      <c r="F33" s="6" t="s">
        <v>1041</v>
      </c>
    </row>
    <row r="34" customFormat="false" ht="54.75" hidden="false" customHeight="true" outlineLevel="0" collapsed="false">
      <c r="A34" s="5" t="s">
        <v>1042</v>
      </c>
      <c r="B34" s="5" t="s">
        <v>1043</v>
      </c>
      <c r="C34" s="17" t="n">
        <v>150</v>
      </c>
      <c r="D34" s="5" t="s">
        <v>1033</v>
      </c>
      <c r="E34" s="5" t="s">
        <v>1040</v>
      </c>
      <c r="F34" s="5" t="s">
        <v>1044</v>
      </c>
    </row>
    <row r="35" customFormat="false" ht="54.75" hidden="false" customHeight="true" outlineLevel="0" collapsed="false">
      <c r="A35" s="6" t="s">
        <v>1045</v>
      </c>
      <c r="B35" s="6" t="s">
        <v>1046</v>
      </c>
      <c r="C35" s="18" t="n">
        <v>0.1</v>
      </c>
      <c r="D35" s="6" t="s">
        <v>1047</v>
      </c>
      <c r="E35" s="6" t="s">
        <v>1048</v>
      </c>
      <c r="F35" s="6" t="s">
        <v>1049</v>
      </c>
    </row>
    <row r="36" customFormat="false" ht="54.75" hidden="false" customHeight="true" outlineLevel="0" collapsed="false">
      <c r="A36" s="5" t="s">
        <v>1050</v>
      </c>
      <c r="B36" s="5" t="s">
        <v>1051</v>
      </c>
      <c r="C36" s="17" t="n">
        <v>3</v>
      </c>
      <c r="D36" s="5" t="s">
        <v>1025</v>
      </c>
      <c r="E36" s="5" t="s">
        <v>340</v>
      </c>
      <c r="F36" s="5" t="s">
        <v>1052</v>
      </c>
    </row>
    <row r="37" customFormat="false" ht="54.75" hidden="false" customHeight="true" outlineLevel="0" collapsed="false">
      <c r="A37" s="6" t="s">
        <v>1053</v>
      </c>
      <c r="B37" s="6" t="s">
        <v>1054</v>
      </c>
      <c r="C37" s="17" t="n">
        <v>24</v>
      </c>
      <c r="D37" s="6" t="s">
        <v>1025</v>
      </c>
      <c r="E37" s="6" t="s">
        <v>966</v>
      </c>
      <c r="F37" s="6" t="s">
        <v>1055</v>
      </c>
    </row>
    <row r="38" customFormat="false" ht="54.75" hidden="false" customHeight="true" outlineLevel="0" collapsed="false">
      <c r="A38" s="5" t="s">
        <v>1056</v>
      </c>
      <c r="B38" s="5" t="s">
        <v>1057</v>
      </c>
      <c r="C38" s="18" t="n">
        <v>0.1</v>
      </c>
      <c r="D38" s="5" t="s">
        <v>982</v>
      </c>
      <c r="E38" s="5" t="s">
        <v>937</v>
      </c>
      <c r="F38" s="5" t="s">
        <v>1058</v>
      </c>
    </row>
    <row r="39" customFormat="false" ht="54.75" hidden="false" customHeight="true" outlineLevel="0" collapsed="false">
      <c r="A39" s="6" t="s">
        <v>1059</v>
      </c>
      <c r="B39" s="6" t="s">
        <v>1060</v>
      </c>
      <c r="C39" s="17" t="n">
        <v>1</v>
      </c>
      <c r="D39" s="6" t="s">
        <v>1025</v>
      </c>
      <c r="E39" s="6" t="s">
        <v>1061</v>
      </c>
      <c r="F39" s="6" t="s">
        <v>1062</v>
      </c>
    </row>
    <row r="40" customFormat="false" ht="54.75" hidden="false" customHeight="true" outlineLevel="0" collapsed="false">
      <c r="A40" s="5" t="s">
        <v>1063</v>
      </c>
      <c r="B40" s="5" t="s">
        <v>1064</v>
      </c>
      <c r="C40" s="17" t="n">
        <v>6</v>
      </c>
      <c r="D40" s="5" t="s">
        <v>936</v>
      </c>
      <c r="E40" s="5" t="s">
        <v>937</v>
      </c>
      <c r="F40" s="5" t="s">
        <v>1065</v>
      </c>
    </row>
    <row r="41" customFormat="false" ht="64.5" hidden="false" customHeight="true" outlineLevel="0" collapsed="false">
      <c r="A41" s="6" t="s">
        <v>1066</v>
      </c>
      <c r="B41" s="6" t="s">
        <v>1067</v>
      </c>
      <c r="C41" s="9" t="n">
        <v>10</v>
      </c>
      <c r="D41" s="6" t="s">
        <v>1068</v>
      </c>
      <c r="E41" s="6" t="s">
        <v>237</v>
      </c>
      <c r="F41" s="6" t="s">
        <v>1069</v>
      </c>
    </row>
    <row r="42" customFormat="false" ht="64.5" hidden="false" customHeight="true" outlineLevel="0" collapsed="false">
      <c r="A42" s="5" t="s">
        <v>1070</v>
      </c>
      <c r="B42" s="5" t="s">
        <v>1071</v>
      </c>
      <c r="C42" s="9" t="n">
        <v>1</v>
      </c>
      <c r="D42" s="5" t="s">
        <v>1072</v>
      </c>
      <c r="E42" s="5" t="s">
        <v>237</v>
      </c>
      <c r="F42" s="5" t="s">
        <v>1073</v>
      </c>
    </row>
    <row r="43" customFormat="false" ht="64.5" hidden="false" customHeight="true" outlineLevel="0" collapsed="false">
      <c r="A43" s="6" t="s">
        <v>1074</v>
      </c>
      <c r="B43" s="6" t="s">
        <v>1075</v>
      </c>
      <c r="C43" s="9" t="n">
        <v>10</v>
      </c>
      <c r="D43" s="6" t="s">
        <v>1076</v>
      </c>
      <c r="E43" s="6" t="s">
        <v>237</v>
      </c>
      <c r="F43" s="6" t="s">
        <v>1077</v>
      </c>
    </row>
    <row r="44" customFormat="false" ht="64.5" hidden="false" customHeight="true" outlineLevel="0" collapsed="false">
      <c r="A44" s="5" t="s">
        <v>1078</v>
      </c>
      <c r="B44" s="5" t="s">
        <v>1079</v>
      </c>
      <c r="C44" s="9" t="n">
        <v>1.25</v>
      </c>
      <c r="D44" s="5" t="s">
        <v>952</v>
      </c>
      <c r="E44" s="5" t="s">
        <v>237</v>
      </c>
      <c r="F44" s="5" t="s">
        <v>1080</v>
      </c>
    </row>
    <row r="45" customFormat="false" ht="64.5" hidden="false" customHeight="true" outlineLevel="0" collapsed="false">
      <c r="A45" s="6" t="s">
        <v>1081</v>
      </c>
      <c r="B45" s="6" t="s">
        <v>1082</v>
      </c>
      <c r="C45" s="9" t="n">
        <v>6</v>
      </c>
      <c r="D45" s="6" t="s">
        <v>1025</v>
      </c>
      <c r="E45" s="6" t="s">
        <v>237</v>
      </c>
      <c r="F45" s="6" t="s">
        <v>1083</v>
      </c>
    </row>
    <row r="46" customFormat="false" ht="64.5" hidden="false" customHeight="true" outlineLevel="0" collapsed="false">
      <c r="A46" s="5" t="s">
        <v>1084</v>
      </c>
      <c r="B46" s="5" t="s">
        <v>1085</v>
      </c>
      <c r="C46" s="9" t="n">
        <v>15</v>
      </c>
      <c r="D46" s="5" t="s">
        <v>1086</v>
      </c>
      <c r="E46" s="5" t="s">
        <v>237</v>
      </c>
      <c r="F46" s="5" t="s">
        <v>1087</v>
      </c>
    </row>
    <row r="47" customFormat="false" ht="64.5" hidden="false" customHeight="true" outlineLevel="0" collapsed="false">
      <c r="A47" s="6" t="s">
        <v>1088</v>
      </c>
      <c r="B47" s="6" t="s">
        <v>1089</v>
      </c>
      <c r="C47" s="9" t="n">
        <v>5</v>
      </c>
      <c r="D47" s="6" t="s">
        <v>1090</v>
      </c>
      <c r="E47" s="6" t="s">
        <v>237</v>
      </c>
      <c r="F47" s="6" t="s">
        <v>1091</v>
      </c>
    </row>
    <row r="48" customFormat="false" ht="64.5" hidden="false" customHeight="true" outlineLevel="0" collapsed="false">
      <c r="A48" s="5" t="s">
        <v>1092</v>
      </c>
      <c r="B48" s="5" t="s">
        <v>1093</v>
      </c>
      <c r="C48" s="9" t="n">
        <v>50</v>
      </c>
      <c r="D48" s="5" t="s">
        <v>1033</v>
      </c>
      <c r="E48" s="5" t="s">
        <v>237</v>
      </c>
      <c r="F48" s="5" t="s">
        <v>1094</v>
      </c>
    </row>
    <row r="49" customFormat="false" ht="64.5" hidden="false" customHeight="true" outlineLevel="0" collapsed="false">
      <c r="A49" s="6" t="s">
        <v>1095</v>
      </c>
      <c r="B49" s="6" t="s">
        <v>1096</v>
      </c>
      <c r="C49" s="9" t="n">
        <v>2</v>
      </c>
      <c r="D49" s="6" t="s">
        <v>952</v>
      </c>
      <c r="E49" s="6" t="s">
        <v>237</v>
      </c>
      <c r="F49" s="6" t="s">
        <v>1097</v>
      </c>
    </row>
    <row r="50" customFormat="false" ht="64.5" hidden="false" customHeight="true" outlineLevel="0" collapsed="false">
      <c r="A50" s="5" t="s">
        <v>1098</v>
      </c>
      <c r="B50" s="5" t="s">
        <v>1099</v>
      </c>
      <c r="C50" s="9" t="n">
        <v>30</v>
      </c>
      <c r="D50" s="5" t="s">
        <v>1086</v>
      </c>
      <c r="E50" s="5" t="s">
        <v>237</v>
      </c>
      <c r="F50" s="5" t="s">
        <v>1100</v>
      </c>
    </row>
    <row r="51" customFormat="false" ht="64.5" hidden="false" customHeight="true" outlineLevel="0" collapsed="false">
      <c r="A51" s="6" t="s">
        <v>1101</v>
      </c>
      <c r="B51" s="6" t="s">
        <v>1102</v>
      </c>
      <c r="C51" s="9" t="n">
        <v>1</v>
      </c>
      <c r="D51" s="6" t="s">
        <v>1103</v>
      </c>
      <c r="E51" s="6" t="s">
        <v>237</v>
      </c>
      <c r="F51" s="6" t="s">
        <v>1104</v>
      </c>
    </row>
  </sheetData>
  <autoFilter ref="A5:F51"/>
  <mergeCells count="2">
    <mergeCell ref="A1:F1"/>
    <mergeCell ref="A2:F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5"/>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5"/>
    <col collapsed="false" customWidth="true" hidden="false" outlineLevel="0" max="2" min="2" style="1" width="37"/>
    <col collapsed="false" customWidth="true" hidden="false" outlineLevel="0" max="3" min="3" style="1" width="39"/>
    <col collapsed="false" customWidth="true" hidden="false" outlineLevel="0" max="4" min="4" style="1" width="105"/>
    <col collapsed="false" customWidth="true" hidden="false" outlineLevel="0" max="5" min="5" style="1" width="120"/>
  </cols>
  <sheetData>
    <row r="1" customFormat="false" ht="33.75" hidden="false" customHeight="true" outlineLevel="0" collapsed="false">
      <c r="A1" s="2" t="s">
        <v>1105</v>
      </c>
      <c r="B1" s="2"/>
      <c r="C1" s="2"/>
      <c r="D1" s="2"/>
      <c r="E1" s="2"/>
    </row>
    <row r="2" customFormat="false" ht="24.75" hidden="false" customHeight="true" outlineLevel="0" collapsed="false">
      <c r="A2" s="3" t="s">
        <v>1106</v>
      </c>
      <c r="B2" s="3"/>
      <c r="C2" s="3"/>
      <c r="D2" s="3"/>
      <c r="E2" s="3"/>
    </row>
    <row r="3" customFormat="false" ht="24.75" hidden="false" customHeight="true" outlineLevel="0" collapsed="false">
      <c r="A3" s="3"/>
      <c r="B3" s="3"/>
      <c r="C3" s="3"/>
      <c r="D3" s="3"/>
      <c r="E3" s="3"/>
    </row>
    <row r="5" customFormat="false" ht="48" hidden="false" customHeight="true" outlineLevel="0" collapsed="false">
      <c r="A5" s="4" t="s">
        <v>930</v>
      </c>
      <c r="B5" s="4" t="s">
        <v>76</v>
      </c>
      <c r="C5" s="4" t="s">
        <v>805</v>
      </c>
      <c r="D5" s="4" t="s">
        <v>1107</v>
      </c>
      <c r="E5" s="4" t="s">
        <v>1108</v>
      </c>
    </row>
    <row r="6" customFormat="false" ht="105" hidden="false" customHeight="true" outlineLevel="0" collapsed="false">
      <c r="A6" s="5" t="s">
        <v>1109</v>
      </c>
      <c r="B6" s="8" t="s">
        <v>1110</v>
      </c>
      <c r="C6" s="5" t="s">
        <v>1111</v>
      </c>
      <c r="D6" s="5" t="s">
        <v>1112</v>
      </c>
      <c r="E6" s="5" t="s">
        <v>1113</v>
      </c>
    </row>
    <row r="7" customFormat="false" ht="105" hidden="false" customHeight="true" outlineLevel="0" collapsed="false">
      <c r="A7" s="6" t="s">
        <v>1114</v>
      </c>
      <c r="B7" s="8" t="s">
        <v>1110</v>
      </c>
      <c r="C7" s="6" t="s">
        <v>155</v>
      </c>
      <c r="D7" s="6" t="s">
        <v>1115</v>
      </c>
      <c r="E7" s="6" t="s">
        <v>1116</v>
      </c>
    </row>
    <row r="8" customFormat="false" ht="105" hidden="false" customHeight="true" outlineLevel="0" collapsed="false">
      <c r="A8" s="5" t="s">
        <v>1117</v>
      </c>
      <c r="B8" s="8" t="s">
        <v>1110</v>
      </c>
      <c r="C8" s="5" t="s">
        <v>146</v>
      </c>
      <c r="D8" s="5" t="s">
        <v>1118</v>
      </c>
      <c r="E8" s="5" t="s">
        <v>1116</v>
      </c>
    </row>
    <row r="9" customFormat="false" ht="105" hidden="false" customHeight="true" outlineLevel="0" collapsed="false">
      <c r="A9" s="6" t="s">
        <v>1119</v>
      </c>
      <c r="B9" s="8" t="s">
        <v>1110</v>
      </c>
      <c r="C9" s="6" t="s">
        <v>883</v>
      </c>
      <c r="D9" s="6" t="s">
        <v>1120</v>
      </c>
      <c r="E9" s="6" t="s">
        <v>1121</v>
      </c>
    </row>
    <row r="10" customFormat="false" ht="105" hidden="false" customHeight="true" outlineLevel="0" collapsed="false">
      <c r="A10" s="5" t="s">
        <v>1122</v>
      </c>
      <c r="B10" s="8" t="s">
        <v>1110</v>
      </c>
      <c r="C10" s="5" t="s">
        <v>26</v>
      </c>
      <c r="D10" s="5" t="s">
        <v>1123</v>
      </c>
      <c r="E10" s="5" t="s">
        <v>1124</v>
      </c>
    </row>
    <row r="11" customFormat="false" ht="105" hidden="false" customHeight="true" outlineLevel="0" collapsed="false">
      <c r="A11" s="6" t="s">
        <v>1125</v>
      </c>
      <c r="B11" s="8" t="s">
        <v>1110</v>
      </c>
      <c r="C11" s="6" t="s">
        <v>17</v>
      </c>
      <c r="D11" s="6" t="s">
        <v>1126</v>
      </c>
      <c r="E11" s="6" t="s">
        <v>1127</v>
      </c>
    </row>
    <row r="12" customFormat="false" ht="105" hidden="false" customHeight="true" outlineLevel="0" collapsed="false">
      <c r="A12" s="5" t="s">
        <v>1128</v>
      </c>
      <c r="B12" s="19" t="s">
        <v>1129</v>
      </c>
      <c r="C12" s="5" t="s">
        <v>1130</v>
      </c>
      <c r="D12" s="5" t="s">
        <v>1131</v>
      </c>
      <c r="E12" s="5" t="s">
        <v>1132</v>
      </c>
    </row>
    <row r="13" customFormat="false" ht="105" hidden="false" customHeight="true" outlineLevel="0" collapsed="false">
      <c r="A13" s="6" t="s">
        <v>1133</v>
      </c>
      <c r="B13" s="19" t="s">
        <v>208</v>
      </c>
      <c r="C13" s="6" t="s">
        <v>1134</v>
      </c>
      <c r="D13" s="6" t="s">
        <v>1135</v>
      </c>
      <c r="E13" s="6" t="s">
        <v>1136</v>
      </c>
    </row>
    <row r="14" customFormat="false" ht="105" hidden="false" customHeight="true" outlineLevel="0" collapsed="false">
      <c r="A14" s="5" t="s">
        <v>1137</v>
      </c>
      <c r="B14" s="19" t="s">
        <v>1129</v>
      </c>
      <c r="C14" s="5" t="s">
        <v>1138</v>
      </c>
      <c r="D14" s="5" t="s">
        <v>1139</v>
      </c>
      <c r="E14" s="5" t="s">
        <v>1140</v>
      </c>
    </row>
    <row r="15" customFormat="false" ht="105" hidden="false" customHeight="true" outlineLevel="0" collapsed="false">
      <c r="A15" s="6" t="s">
        <v>1141</v>
      </c>
      <c r="B15" s="19" t="s">
        <v>345</v>
      </c>
      <c r="C15" s="6" t="s">
        <v>1142</v>
      </c>
      <c r="D15" s="6" t="s">
        <v>1143</v>
      </c>
      <c r="E15" s="6" t="s">
        <v>1144</v>
      </c>
    </row>
    <row r="16" customFormat="false" ht="105" hidden="false" customHeight="true" outlineLevel="0" collapsed="false">
      <c r="A16" s="5" t="s">
        <v>1145</v>
      </c>
      <c r="B16" s="19" t="s">
        <v>1146</v>
      </c>
      <c r="C16" s="5" t="s">
        <v>1147</v>
      </c>
      <c r="D16" s="5" t="s">
        <v>1148</v>
      </c>
      <c r="E16" s="5" t="s">
        <v>1149</v>
      </c>
    </row>
    <row r="17" customFormat="false" ht="105" hidden="false" customHeight="true" outlineLevel="0" collapsed="false">
      <c r="A17" s="6" t="s">
        <v>1150</v>
      </c>
      <c r="B17" s="19" t="s">
        <v>598</v>
      </c>
      <c r="C17" s="6" t="s">
        <v>1151</v>
      </c>
      <c r="D17" s="6" t="s">
        <v>1152</v>
      </c>
      <c r="E17" s="6" t="s">
        <v>1153</v>
      </c>
    </row>
    <row r="18" customFormat="false" ht="105" hidden="false" customHeight="true" outlineLevel="0" collapsed="false">
      <c r="A18" s="5" t="s">
        <v>1154</v>
      </c>
      <c r="B18" s="19" t="s">
        <v>1155</v>
      </c>
      <c r="C18" s="5" t="s">
        <v>1156</v>
      </c>
      <c r="D18" s="5" t="s">
        <v>1157</v>
      </c>
      <c r="E18" s="5" t="s">
        <v>1158</v>
      </c>
    </row>
    <row r="19" customFormat="false" ht="105" hidden="false" customHeight="true" outlineLevel="0" collapsed="false">
      <c r="A19" s="6" t="s">
        <v>1159</v>
      </c>
      <c r="B19" s="19" t="s">
        <v>1155</v>
      </c>
      <c r="C19" s="6" t="s">
        <v>1160</v>
      </c>
      <c r="D19" s="6" t="s">
        <v>1161</v>
      </c>
      <c r="E19" s="6" t="s">
        <v>1162</v>
      </c>
    </row>
    <row r="20" customFormat="false" ht="99.75" hidden="false" customHeight="true" outlineLevel="0" collapsed="false">
      <c r="A20" s="5" t="s">
        <v>1163</v>
      </c>
      <c r="B20" s="5" t="s">
        <v>1164</v>
      </c>
      <c r="C20" s="5" t="s">
        <v>1165</v>
      </c>
      <c r="D20" s="5" t="s">
        <v>1166</v>
      </c>
      <c r="E20" s="5" t="s">
        <v>1167</v>
      </c>
    </row>
    <row r="21" customFormat="false" ht="99.75" hidden="false" customHeight="true" outlineLevel="0" collapsed="false">
      <c r="A21" s="6" t="s">
        <v>1168</v>
      </c>
      <c r="B21" s="6" t="s">
        <v>1164</v>
      </c>
      <c r="C21" s="6" t="s">
        <v>1169</v>
      </c>
      <c r="D21" s="6" t="s">
        <v>1170</v>
      </c>
      <c r="E21" s="6" t="s">
        <v>1171</v>
      </c>
    </row>
    <row r="22" customFormat="false" ht="99.75" hidden="false" customHeight="true" outlineLevel="0" collapsed="false">
      <c r="A22" s="5" t="s">
        <v>1172</v>
      </c>
      <c r="B22" s="5" t="s">
        <v>1173</v>
      </c>
      <c r="C22" s="5" t="s">
        <v>1174</v>
      </c>
      <c r="D22" s="5" t="s">
        <v>1175</v>
      </c>
      <c r="E22" s="5" t="s">
        <v>1176</v>
      </c>
    </row>
    <row r="23" customFormat="false" ht="99.75" hidden="false" customHeight="true" outlineLevel="0" collapsed="false">
      <c r="A23" s="6" t="s">
        <v>1177</v>
      </c>
      <c r="B23" s="6" t="s">
        <v>1110</v>
      </c>
      <c r="C23" s="6" t="s">
        <v>1178</v>
      </c>
      <c r="D23" s="6" t="s">
        <v>1179</v>
      </c>
      <c r="E23" s="6" t="s">
        <v>1180</v>
      </c>
    </row>
    <row r="24" customFormat="false" ht="99.75" hidden="false" customHeight="true" outlineLevel="0" collapsed="false">
      <c r="A24" s="5" t="s">
        <v>1181</v>
      </c>
      <c r="B24" s="5" t="s">
        <v>1182</v>
      </c>
      <c r="C24" s="5" t="s">
        <v>1183</v>
      </c>
      <c r="D24" s="5" t="s">
        <v>1184</v>
      </c>
      <c r="E24" s="5" t="s">
        <v>1185</v>
      </c>
    </row>
    <row r="25" customFormat="false" ht="99.75" hidden="false" customHeight="true" outlineLevel="0" collapsed="false">
      <c r="A25" s="6" t="s">
        <v>1186</v>
      </c>
      <c r="B25" s="6" t="s">
        <v>1110</v>
      </c>
      <c r="C25" s="6" t="s">
        <v>1187</v>
      </c>
      <c r="D25" s="6" t="s">
        <v>1188</v>
      </c>
      <c r="E25" s="6" t="s">
        <v>1189</v>
      </c>
    </row>
    <row r="26" customFormat="false" ht="99.75" hidden="false" customHeight="true" outlineLevel="0" collapsed="false">
      <c r="A26" s="5" t="s">
        <v>1190</v>
      </c>
      <c r="B26" s="5" t="s">
        <v>1164</v>
      </c>
      <c r="C26" s="5" t="s">
        <v>1191</v>
      </c>
      <c r="D26" s="5" t="s">
        <v>1192</v>
      </c>
      <c r="E26" s="5" t="s">
        <v>1193</v>
      </c>
    </row>
    <row r="27" customFormat="false" ht="99.75" hidden="false" customHeight="true" outlineLevel="0" collapsed="false">
      <c r="A27" s="6" t="s">
        <v>1194</v>
      </c>
      <c r="B27" s="6" t="s">
        <v>1173</v>
      </c>
      <c r="C27" s="6" t="s">
        <v>1195</v>
      </c>
      <c r="D27" s="6" t="s">
        <v>1196</v>
      </c>
      <c r="E27" s="6" t="s">
        <v>1197</v>
      </c>
    </row>
    <row r="28" customFormat="false" ht="99.75" hidden="false" customHeight="true" outlineLevel="0" collapsed="false">
      <c r="A28" s="5" t="s">
        <v>1198</v>
      </c>
      <c r="B28" s="5" t="s">
        <v>1164</v>
      </c>
      <c r="C28" s="5" t="s">
        <v>1199</v>
      </c>
      <c r="D28" s="5" t="s">
        <v>1200</v>
      </c>
      <c r="E28" s="5" t="s">
        <v>1201</v>
      </c>
    </row>
    <row r="29" customFormat="false" ht="99.75" hidden="false" customHeight="true" outlineLevel="0" collapsed="false">
      <c r="A29" s="6" t="s">
        <v>1202</v>
      </c>
      <c r="B29" s="6" t="s">
        <v>1173</v>
      </c>
      <c r="C29" s="6" t="s">
        <v>1203</v>
      </c>
      <c r="D29" s="6" t="s">
        <v>1204</v>
      </c>
      <c r="E29" s="6" t="s">
        <v>1205</v>
      </c>
    </row>
    <row r="30" customFormat="false" ht="99.75" hidden="false" customHeight="true" outlineLevel="0" collapsed="false">
      <c r="A30" s="5" t="s">
        <v>1206</v>
      </c>
      <c r="B30" s="5" t="s">
        <v>1173</v>
      </c>
      <c r="C30" s="5" t="s">
        <v>1207</v>
      </c>
      <c r="D30" s="5" t="s">
        <v>1208</v>
      </c>
      <c r="E30" s="5" t="s">
        <v>1209</v>
      </c>
    </row>
    <row r="31" customFormat="false" ht="99.75" hidden="false" customHeight="true" outlineLevel="0" collapsed="false">
      <c r="A31" s="6" t="s">
        <v>1210</v>
      </c>
      <c r="B31" s="6" t="s">
        <v>1211</v>
      </c>
      <c r="C31" s="6" t="s">
        <v>1212</v>
      </c>
      <c r="D31" s="6" t="s">
        <v>1213</v>
      </c>
      <c r="E31" s="6" t="s">
        <v>1214</v>
      </c>
    </row>
    <row r="32" customFormat="false" ht="99.75" hidden="false" customHeight="true" outlineLevel="0" collapsed="false">
      <c r="A32" s="5" t="s">
        <v>1215</v>
      </c>
      <c r="B32" s="5" t="s">
        <v>1211</v>
      </c>
      <c r="C32" s="5" t="s">
        <v>1216</v>
      </c>
      <c r="D32" s="5" t="s">
        <v>1217</v>
      </c>
      <c r="E32" s="5" t="s">
        <v>1218</v>
      </c>
    </row>
    <row r="33" customFormat="false" ht="99.75" hidden="false" customHeight="true" outlineLevel="0" collapsed="false">
      <c r="A33" s="6" t="s">
        <v>1219</v>
      </c>
      <c r="B33" s="6" t="s">
        <v>1211</v>
      </c>
      <c r="C33" s="6" t="s">
        <v>1220</v>
      </c>
      <c r="D33" s="6" t="s">
        <v>1221</v>
      </c>
      <c r="E33" s="6" t="s">
        <v>1222</v>
      </c>
    </row>
    <row r="34" customFormat="false" ht="99.75" hidden="false" customHeight="true" outlineLevel="0" collapsed="false">
      <c r="A34" s="5" t="s">
        <v>1223</v>
      </c>
      <c r="B34" s="5" t="s">
        <v>1110</v>
      </c>
      <c r="C34" s="5" t="s">
        <v>1224</v>
      </c>
      <c r="D34" s="5" t="s">
        <v>1225</v>
      </c>
      <c r="E34" s="5" t="s">
        <v>1226</v>
      </c>
    </row>
    <row r="35" customFormat="false" ht="99.75" hidden="false" customHeight="true" outlineLevel="0" collapsed="false">
      <c r="A35" s="6" t="s">
        <v>1227</v>
      </c>
      <c r="B35" s="6" t="s">
        <v>1211</v>
      </c>
      <c r="C35" s="6" t="s">
        <v>1228</v>
      </c>
      <c r="D35" s="6" t="s">
        <v>1229</v>
      </c>
      <c r="E35" s="6" t="s">
        <v>1230</v>
      </c>
    </row>
    <row r="36" customFormat="false" ht="99.75" hidden="false" customHeight="true" outlineLevel="0" collapsed="false">
      <c r="A36" s="5" t="s">
        <v>1231</v>
      </c>
      <c r="B36" s="5" t="s">
        <v>1211</v>
      </c>
      <c r="C36" s="5" t="s">
        <v>1232</v>
      </c>
      <c r="D36" s="5" t="s">
        <v>1233</v>
      </c>
      <c r="E36" s="5" t="s">
        <v>1234</v>
      </c>
    </row>
    <row r="37" customFormat="false" ht="99.75" hidden="false" customHeight="true" outlineLevel="0" collapsed="false">
      <c r="A37" s="6" t="s">
        <v>1235</v>
      </c>
      <c r="B37" s="6" t="s">
        <v>1211</v>
      </c>
      <c r="C37" s="6" t="s">
        <v>1236</v>
      </c>
      <c r="D37" s="6" t="s">
        <v>1237</v>
      </c>
      <c r="E37" s="6" t="s">
        <v>1238</v>
      </c>
    </row>
    <row r="38" customFormat="false" ht="99.75" hidden="false" customHeight="true" outlineLevel="0" collapsed="false">
      <c r="A38" s="5" t="s">
        <v>1239</v>
      </c>
      <c r="B38" s="5" t="s">
        <v>1211</v>
      </c>
      <c r="C38" s="5" t="s">
        <v>1240</v>
      </c>
      <c r="D38" s="5" t="s">
        <v>1241</v>
      </c>
      <c r="E38" s="5" t="s">
        <v>1242</v>
      </c>
    </row>
    <row r="39" customFormat="false" ht="120" hidden="false" customHeight="true" outlineLevel="0" collapsed="false">
      <c r="A39" s="6" t="s">
        <v>1243</v>
      </c>
      <c r="B39" s="6" t="s">
        <v>1244</v>
      </c>
      <c r="C39" s="6" t="s">
        <v>1245</v>
      </c>
      <c r="D39" s="6" t="s">
        <v>1246</v>
      </c>
      <c r="E39" s="6" t="s">
        <v>1247</v>
      </c>
    </row>
    <row r="40" customFormat="false" ht="120" hidden="false" customHeight="true" outlineLevel="0" collapsed="false">
      <c r="A40" s="5" t="s">
        <v>1248</v>
      </c>
      <c r="B40" s="5" t="s">
        <v>1244</v>
      </c>
      <c r="C40" s="5" t="s">
        <v>1249</v>
      </c>
      <c r="D40" s="5" t="s">
        <v>1250</v>
      </c>
      <c r="E40" s="5" t="s">
        <v>1251</v>
      </c>
    </row>
    <row r="41" customFormat="false" ht="120" hidden="false" customHeight="true" outlineLevel="0" collapsed="false">
      <c r="A41" s="6" t="s">
        <v>1252</v>
      </c>
      <c r="B41" s="6" t="s">
        <v>1244</v>
      </c>
      <c r="C41" s="6" t="s">
        <v>1253</v>
      </c>
      <c r="D41" s="6" t="s">
        <v>1254</v>
      </c>
      <c r="E41" s="6" t="s">
        <v>1255</v>
      </c>
    </row>
    <row r="42" customFormat="false" ht="120" hidden="false" customHeight="true" outlineLevel="0" collapsed="false">
      <c r="A42" s="5" t="s">
        <v>1256</v>
      </c>
      <c r="B42" s="5" t="s">
        <v>1244</v>
      </c>
      <c r="C42" s="5" t="s">
        <v>1257</v>
      </c>
      <c r="D42" s="5" t="s">
        <v>1258</v>
      </c>
      <c r="E42" s="5" t="s">
        <v>1259</v>
      </c>
    </row>
    <row r="43" customFormat="false" ht="120" hidden="false" customHeight="true" outlineLevel="0" collapsed="false">
      <c r="A43" s="6" t="s">
        <v>1260</v>
      </c>
      <c r="B43" s="6" t="s">
        <v>1244</v>
      </c>
      <c r="C43" s="6" t="s">
        <v>1261</v>
      </c>
      <c r="D43" s="6" t="s">
        <v>1262</v>
      </c>
      <c r="E43" s="6" t="s">
        <v>1263</v>
      </c>
    </row>
    <row r="44" customFormat="false" ht="120" hidden="false" customHeight="true" outlineLevel="0" collapsed="false">
      <c r="A44" s="5" t="s">
        <v>1264</v>
      </c>
      <c r="B44" s="5" t="s">
        <v>1244</v>
      </c>
      <c r="C44" s="5" t="s">
        <v>1265</v>
      </c>
      <c r="D44" s="5" t="s">
        <v>1266</v>
      </c>
      <c r="E44" s="5" t="s">
        <v>1267</v>
      </c>
    </row>
    <row r="45" customFormat="false" ht="120" hidden="false" customHeight="true" outlineLevel="0" collapsed="false">
      <c r="A45" s="6" t="s">
        <v>1268</v>
      </c>
      <c r="B45" s="6" t="s">
        <v>1244</v>
      </c>
      <c r="C45" s="6" t="s">
        <v>1269</v>
      </c>
      <c r="D45" s="6" t="s">
        <v>1270</v>
      </c>
      <c r="E45" s="6" t="s">
        <v>1271</v>
      </c>
    </row>
  </sheetData>
  <autoFilter ref="A5:E45"/>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05"/>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3"/>
    <col collapsed="false" customWidth="true" hidden="false" outlineLevel="0" max="2" min="2" style="1" width="29"/>
    <col collapsed="false" customWidth="true" hidden="false" outlineLevel="0" max="3" min="3" style="1" width="53"/>
    <col collapsed="false" customWidth="true" hidden="false" outlineLevel="0" max="4" min="4" style="1" width="48"/>
    <col collapsed="false" customWidth="true" hidden="false" outlineLevel="0" max="6" min="5" style="1" width="115"/>
  </cols>
  <sheetData>
    <row r="1" customFormat="false" ht="33.75" hidden="false" customHeight="true" outlineLevel="0" collapsed="false">
      <c r="A1" s="7" t="s">
        <v>1272</v>
      </c>
      <c r="B1" s="7"/>
      <c r="C1" s="7"/>
      <c r="D1" s="7"/>
      <c r="E1" s="7"/>
      <c r="F1" s="7"/>
    </row>
    <row r="2" customFormat="false" ht="24.75" hidden="false" customHeight="true" outlineLevel="0" collapsed="false">
      <c r="A2" s="3" t="s">
        <v>1273</v>
      </c>
      <c r="B2" s="3"/>
      <c r="C2" s="3"/>
      <c r="D2" s="3"/>
      <c r="E2" s="3"/>
      <c r="F2" s="3"/>
    </row>
    <row r="3" customFormat="false" ht="24.75" hidden="false" customHeight="true" outlineLevel="0" collapsed="false">
      <c r="A3" s="3"/>
      <c r="B3" s="3"/>
      <c r="C3" s="3"/>
      <c r="D3" s="3"/>
      <c r="E3" s="3"/>
      <c r="F3" s="3"/>
    </row>
    <row r="5" customFormat="false" ht="48" hidden="false" customHeight="true" outlineLevel="0" collapsed="false">
      <c r="A5" s="4" t="s">
        <v>930</v>
      </c>
      <c r="B5" s="4" t="s">
        <v>2</v>
      </c>
      <c r="C5" s="4" t="s">
        <v>1274</v>
      </c>
      <c r="D5" s="4" t="s">
        <v>183</v>
      </c>
      <c r="E5" s="4" t="s">
        <v>180</v>
      </c>
      <c r="F5" s="4" t="s">
        <v>1275</v>
      </c>
    </row>
    <row r="6" customFormat="false" ht="99.75" hidden="false" customHeight="true" outlineLevel="0" collapsed="false">
      <c r="A6" s="5" t="s">
        <v>1276</v>
      </c>
      <c r="B6" s="5" t="s">
        <v>1277</v>
      </c>
      <c r="C6" s="5" t="s">
        <v>1278</v>
      </c>
      <c r="D6" s="5" t="s">
        <v>937</v>
      </c>
      <c r="E6" s="5" t="s">
        <v>1279</v>
      </c>
      <c r="F6" s="5" t="s">
        <v>1280</v>
      </c>
    </row>
    <row r="7" customFormat="false" ht="99.75" hidden="false" customHeight="true" outlineLevel="0" collapsed="false">
      <c r="A7" s="6" t="s">
        <v>1281</v>
      </c>
      <c r="B7" s="6" t="s">
        <v>1277</v>
      </c>
      <c r="C7" s="6" t="s">
        <v>1282</v>
      </c>
      <c r="D7" s="6" t="s">
        <v>1283</v>
      </c>
      <c r="E7" s="6" t="s">
        <v>1284</v>
      </c>
      <c r="F7" s="6" t="s">
        <v>1285</v>
      </c>
    </row>
    <row r="8" customFormat="false" ht="99.75" hidden="false" customHeight="true" outlineLevel="0" collapsed="false">
      <c r="A8" s="5" t="s">
        <v>1286</v>
      </c>
      <c r="B8" s="5" t="s">
        <v>1277</v>
      </c>
      <c r="C8" s="5" t="s">
        <v>1278</v>
      </c>
      <c r="D8" s="5" t="s">
        <v>937</v>
      </c>
      <c r="E8" s="5" t="s">
        <v>1287</v>
      </c>
      <c r="F8" s="5" t="s">
        <v>1288</v>
      </c>
    </row>
    <row r="9" customFormat="false" ht="99.75" hidden="false" customHeight="true" outlineLevel="0" collapsed="false">
      <c r="A9" s="6" t="s">
        <v>1289</v>
      </c>
      <c r="B9" s="6" t="s">
        <v>1290</v>
      </c>
      <c r="C9" s="6" t="s">
        <v>84</v>
      </c>
      <c r="D9" s="6" t="s">
        <v>937</v>
      </c>
      <c r="E9" s="6" t="s">
        <v>1291</v>
      </c>
      <c r="F9" s="6" t="s">
        <v>1292</v>
      </c>
    </row>
    <row r="10" customFormat="false" ht="99.75" hidden="false" customHeight="true" outlineLevel="0" collapsed="false">
      <c r="A10" s="5" t="s">
        <v>1293</v>
      </c>
      <c r="B10" s="5" t="s">
        <v>1290</v>
      </c>
      <c r="C10" s="5" t="s">
        <v>1278</v>
      </c>
      <c r="D10" s="5" t="s">
        <v>937</v>
      </c>
      <c r="E10" s="5" t="s">
        <v>1294</v>
      </c>
      <c r="F10" s="5" t="s">
        <v>1295</v>
      </c>
    </row>
    <row r="11" customFormat="false" ht="99.75" hidden="false" customHeight="true" outlineLevel="0" collapsed="false">
      <c r="A11" s="6" t="s">
        <v>1296</v>
      </c>
      <c r="B11" s="6" t="s">
        <v>1297</v>
      </c>
      <c r="C11" s="6" t="s">
        <v>84</v>
      </c>
      <c r="D11" s="6" t="s">
        <v>937</v>
      </c>
      <c r="E11" s="6" t="s">
        <v>1298</v>
      </c>
      <c r="F11" s="6" t="s">
        <v>1299</v>
      </c>
    </row>
    <row r="12" customFormat="false" ht="99.75" hidden="false" customHeight="true" outlineLevel="0" collapsed="false">
      <c r="A12" s="5" t="s">
        <v>1300</v>
      </c>
      <c r="B12" s="5" t="s">
        <v>1301</v>
      </c>
      <c r="C12" s="5" t="s">
        <v>96</v>
      </c>
      <c r="D12" s="5" t="s">
        <v>937</v>
      </c>
      <c r="E12" s="5" t="s">
        <v>1302</v>
      </c>
      <c r="F12" s="5" t="s">
        <v>1303</v>
      </c>
    </row>
    <row r="13" customFormat="false" ht="99.75" hidden="false" customHeight="true" outlineLevel="0" collapsed="false">
      <c r="A13" s="6" t="s">
        <v>1304</v>
      </c>
      <c r="B13" s="6" t="s">
        <v>1301</v>
      </c>
      <c r="C13" s="6" t="s">
        <v>1305</v>
      </c>
      <c r="D13" s="6" t="s">
        <v>937</v>
      </c>
      <c r="E13" s="6" t="s">
        <v>1306</v>
      </c>
      <c r="F13" s="6" t="s">
        <v>1307</v>
      </c>
    </row>
    <row r="14" customFormat="false" ht="99.75" hidden="false" customHeight="true" outlineLevel="0" collapsed="false">
      <c r="A14" s="5" t="s">
        <v>1308</v>
      </c>
      <c r="B14" s="5" t="s">
        <v>1301</v>
      </c>
      <c r="C14" s="5" t="s">
        <v>1305</v>
      </c>
      <c r="D14" s="5" t="s">
        <v>937</v>
      </c>
      <c r="E14" s="5" t="s">
        <v>1309</v>
      </c>
      <c r="F14" s="5" t="s">
        <v>1310</v>
      </c>
    </row>
    <row r="15" customFormat="false" ht="99.75" hidden="false" customHeight="true" outlineLevel="0" collapsed="false">
      <c r="A15" s="6" t="s">
        <v>1311</v>
      </c>
      <c r="B15" s="6" t="s">
        <v>1312</v>
      </c>
      <c r="C15" s="6" t="s">
        <v>1313</v>
      </c>
      <c r="D15" s="6" t="s">
        <v>1314</v>
      </c>
      <c r="E15" s="6" t="s">
        <v>1315</v>
      </c>
      <c r="F15" s="6" t="s">
        <v>1316</v>
      </c>
    </row>
    <row r="16" customFormat="false" ht="99.75" hidden="false" customHeight="true" outlineLevel="0" collapsed="false">
      <c r="A16" s="5" t="s">
        <v>1317</v>
      </c>
      <c r="B16" s="5" t="s">
        <v>1312</v>
      </c>
      <c r="C16" s="5" t="s">
        <v>1313</v>
      </c>
      <c r="D16" s="5" t="s">
        <v>1318</v>
      </c>
      <c r="E16" s="5" t="s">
        <v>1319</v>
      </c>
      <c r="F16" s="5" t="s">
        <v>1320</v>
      </c>
    </row>
    <row r="17" customFormat="false" ht="99.75" hidden="false" customHeight="true" outlineLevel="0" collapsed="false">
      <c r="A17" s="6" t="s">
        <v>1321</v>
      </c>
      <c r="B17" s="6" t="s">
        <v>1322</v>
      </c>
      <c r="C17" s="6" t="s">
        <v>1282</v>
      </c>
      <c r="D17" s="6" t="s">
        <v>937</v>
      </c>
      <c r="E17" s="6" t="s">
        <v>1323</v>
      </c>
      <c r="F17" s="6" t="s">
        <v>1324</v>
      </c>
    </row>
    <row r="18" customFormat="false" ht="99.75" hidden="false" customHeight="true" outlineLevel="0" collapsed="false">
      <c r="A18" s="5" t="s">
        <v>1325</v>
      </c>
      <c r="B18" s="5" t="s">
        <v>1326</v>
      </c>
      <c r="C18" s="5" t="s">
        <v>1282</v>
      </c>
      <c r="D18" s="5" t="s">
        <v>937</v>
      </c>
      <c r="E18" s="5" t="s">
        <v>1327</v>
      </c>
      <c r="F18" s="5" t="s">
        <v>1328</v>
      </c>
    </row>
    <row r="19" customFormat="false" ht="99.75" hidden="false" customHeight="true" outlineLevel="0" collapsed="false">
      <c r="A19" s="6" t="s">
        <v>1329</v>
      </c>
      <c r="B19" s="6" t="s">
        <v>1330</v>
      </c>
      <c r="C19" s="6" t="s">
        <v>1282</v>
      </c>
      <c r="D19" s="6" t="s">
        <v>1314</v>
      </c>
      <c r="E19" s="6" t="s">
        <v>1331</v>
      </c>
      <c r="F19" s="6" t="s">
        <v>1332</v>
      </c>
    </row>
    <row r="20" customFormat="false" ht="99.75" hidden="false" customHeight="true" outlineLevel="0" collapsed="false">
      <c r="A20" s="5" t="s">
        <v>1333</v>
      </c>
      <c r="B20" s="5" t="s">
        <v>1334</v>
      </c>
      <c r="C20" s="5" t="s">
        <v>1282</v>
      </c>
      <c r="D20" s="5" t="s">
        <v>1318</v>
      </c>
      <c r="E20" s="5" t="s">
        <v>1335</v>
      </c>
      <c r="F20" s="5" t="s">
        <v>1336</v>
      </c>
    </row>
    <row r="21" customFormat="false" ht="99.75" hidden="false" customHeight="true" outlineLevel="0" collapsed="false">
      <c r="A21" s="6" t="s">
        <v>1337</v>
      </c>
      <c r="B21" s="6" t="s">
        <v>1338</v>
      </c>
      <c r="C21" s="6" t="s">
        <v>1339</v>
      </c>
      <c r="D21" s="6" t="s">
        <v>927</v>
      </c>
      <c r="E21" s="6" t="s">
        <v>1340</v>
      </c>
      <c r="F21" s="6" t="s">
        <v>1341</v>
      </c>
    </row>
    <row r="22" customFormat="false" ht="99.75" hidden="false" customHeight="true" outlineLevel="0" collapsed="false">
      <c r="A22" s="5" t="s">
        <v>1342</v>
      </c>
      <c r="B22" s="5" t="s">
        <v>1338</v>
      </c>
      <c r="C22" s="5" t="s">
        <v>1343</v>
      </c>
      <c r="D22" s="5" t="s">
        <v>937</v>
      </c>
      <c r="E22" s="5" t="s">
        <v>1344</v>
      </c>
      <c r="F22" s="5" t="s">
        <v>1345</v>
      </c>
    </row>
    <row r="23" customFormat="false" ht="99.75" hidden="false" customHeight="true" outlineLevel="0" collapsed="false">
      <c r="A23" s="6" t="s">
        <v>1346</v>
      </c>
      <c r="B23" s="6" t="s">
        <v>1347</v>
      </c>
      <c r="C23" s="6" t="s">
        <v>103</v>
      </c>
      <c r="D23" s="6" t="s">
        <v>937</v>
      </c>
      <c r="E23" s="6" t="s">
        <v>1348</v>
      </c>
      <c r="F23" s="6" t="s">
        <v>1349</v>
      </c>
    </row>
    <row r="24" customFormat="false" ht="99.75" hidden="false" customHeight="true" outlineLevel="0" collapsed="false">
      <c r="A24" s="5" t="s">
        <v>1350</v>
      </c>
      <c r="B24" s="5" t="s">
        <v>219</v>
      </c>
      <c r="C24" s="5" t="s">
        <v>112</v>
      </c>
      <c r="D24" s="5" t="s">
        <v>937</v>
      </c>
      <c r="E24" s="5" t="s">
        <v>1351</v>
      </c>
      <c r="F24" s="5" t="s">
        <v>1352</v>
      </c>
    </row>
    <row r="25" customFormat="false" ht="99.75" hidden="false" customHeight="true" outlineLevel="0" collapsed="false">
      <c r="A25" s="6" t="s">
        <v>1353</v>
      </c>
      <c r="B25" s="6" t="s">
        <v>219</v>
      </c>
      <c r="C25" s="6" t="s">
        <v>120</v>
      </c>
      <c r="D25" s="6" t="s">
        <v>937</v>
      </c>
      <c r="E25" s="6" t="s">
        <v>1354</v>
      </c>
      <c r="F25" s="6" t="s">
        <v>1352</v>
      </c>
    </row>
    <row r="26" customFormat="false" ht="99.75" hidden="false" customHeight="true" outlineLevel="0" collapsed="false">
      <c r="A26" s="5" t="s">
        <v>1355</v>
      </c>
      <c r="B26" s="5" t="s">
        <v>1347</v>
      </c>
      <c r="C26" s="5" t="s">
        <v>1356</v>
      </c>
      <c r="D26" s="5" t="s">
        <v>937</v>
      </c>
      <c r="E26" s="5" t="s">
        <v>1357</v>
      </c>
      <c r="F26" s="5" t="s">
        <v>1358</v>
      </c>
    </row>
    <row r="27" customFormat="false" ht="99.75" hidden="false" customHeight="true" outlineLevel="0" collapsed="false">
      <c r="A27" s="6" t="s">
        <v>1359</v>
      </c>
      <c r="B27" s="6" t="s">
        <v>1360</v>
      </c>
      <c r="C27" s="6" t="s">
        <v>1339</v>
      </c>
      <c r="D27" s="6" t="s">
        <v>937</v>
      </c>
      <c r="E27" s="6" t="s">
        <v>1361</v>
      </c>
      <c r="F27" s="6" t="s">
        <v>1362</v>
      </c>
    </row>
    <row r="28" customFormat="false" ht="99.75" hidden="false" customHeight="true" outlineLevel="0" collapsed="false">
      <c r="A28" s="5" t="s">
        <v>1363</v>
      </c>
      <c r="B28" s="5" t="s">
        <v>1364</v>
      </c>
      <c r="C28" s="5" t="s">
        <v>1365</v>
      </c>
      <c r="D28" s="5" t="s">
        <v>937</v>
      </c>
      <c r="E28" s="5" t="s">
        <v>1366</v>
      </c>
      <c r="F28" s="5" t="s">
        <v>1367</v>
      </c>
    </row>
    <row r="29" customFormat="false" ht="99.75" hidden="false" customHeight="true" outlineLevel="0" collapsed="false">
      <c r="A29" s="6" t="s">
        <v>1368</v>
      </c>
      <c r="B29" s="6" t="s">
        <v>1364</v>
      </c>
      <c r="C29" s="6" t="s">
        <v>1365</v>
      </c>
      <c r="D29" s="6" t="s">
        <v>223</v>
      </c>
      <c r="E29" s="6" t="s">
        <v>1369</v>
      </c>
      <c r="F29" s="6" t="s">
        <v>1370</v>
      </c>
    </row>
    <row r="30" customFormat="false" ht="99.75" hidden="false" customHeight="true" outlineLevel="0" collapsed="false">
      <c r="A30" s="5" t="s">
        <v>1371</v>
      </c>
      <c r="B30" s="5" t="s">
        <v>77</v>
      </c>
      <c r="C30" s="5" t="s">
        <v>1372</v>
      </c>
      <c r="D30" s="5" t="s">
        <v>1373</v>
      </c>
      <c r="E30" s="5" t="s">
        <v>1374</v>
      </c>
      <c r="F30" s="5" t="s">
        <v>1375</v>
      </c>
    </row>
    <row r="31" customFormat="false" ht="99.75" hidden="false" customHeight="true" outlineLevel="0" collapsed="false">
      <c r="A31" s="6" t="s">
        <v>1376</v>
      </c>
      <c r="B31" s="6" t="s">
        <v>128</v>
      </c>
      <c r="C31" s="6" t="s">
        <v>128</v>
      </c>
      <c r="D31" s="6" t="s">
        <v>937</v>
      </c>
      <c r="E31" s="6" t="s">
        <v>1377</v>
      </c>
      <c r="F31" s="6" t="s">
        <v>1378</v>
      </c>
    </row>
    <row r="32" customFormat="false" ht="99.75" hidden="false" customHeight="true" outlineLevel="0" collapsed="false">
      <c r="A32" s="5" t="s">
        <v>1379</v>
      </c>
      <c r="B32" s="5" t="s">
        <v>128</v>
      </c>
      <c r="C32" s="5" t="s">
        <v>128</v>
      </c>
      <c r="D32" s="5" t="s">
        <v>937</v>
      </c>
      <c r="E32" s="5" t="s">
        <v>1380</v>
      </c>
      <c r="F32" s="5" t="s">
        <v>1381</v>
      </c>
    </row>
    <row r="33" customFormat="false" ht="99.75" hidden="false" customHeight="true" outlineLevel="0" collapsed="false">
      <c r="A33" s="6" t="s">
        <v>1382</v>
      </c>
      <c r="B33" s="6" t="s">
        <v>23</v>
      </c>
      <c r="C33" s="6" t="s">
        <v>128</v>
      </c>
      <c r="D33" s="6" t="s">
        <v>1314</v>
      </c>
      <c r="E33" s="6" t="s">
        <v>1383</v>
      </c>
      <c r="F33" s="6" t="s">
        <v>1384</v>
      </c>
    </row>
    <row r="34" customFormat="false" ht="99.75" hidden="false" customHeight="true" outlineLevel="0" collapsed="false">
      <c r="A34" s="5" t="s">
        <v>1385</v>
      </c>
      <c r="B34" s="5" t="s">
        <v>23</v>
      </c>
      <c r="C34" s="5" t="s">
        <v>128</v>
      </c>
      <c r="D34" s="5" t="s">
        <v>1386</v>
      </c>
      <c r="E34" s="5" t="s">
        <v>1387</v>
      </c>
      <c r="F34" s="5" t="s">
        <v>1388</v>
      </c>
    </row>
    <row r="35" customFormat="false" ht="99.75" hidden="false" customHeight="true" outlineLevel="0" collapsed="false">
      <c r="A35" s="6" t="s">
        <v>1389</v>
      </c>
      <c r="B35" s="6" t="s">
        <v>23</v>
      </c>
      <c r="C35" s="6" t="s">
        <v>1390</v>
      </c>
      <c r="D35" s="6" t="s">
        <v>1314</v>
      </c>
      <c r="E35" s="6" t="s">
        <v>1391</v>
      </c>
      <c r="F35" s="6" t="s">
        <v>1392</v>
      </c>
    </row>
    <row r="36" customFormat="false" ht="99.75" hidden="false" customHeight="true" outlineLevel="0" collapsed="false">
      <c r="A36" s="5" t="s">
        <v>1393</v>
      </c>
      <c r="B36" s="5" t="s">
        <v>199</v>
      </c>
      <c r="C36" s="5" t="s">
        <v>1394</v>
      </c>
      <c r="D36" s="5" t="s">
        <v>937</v>
      </c>
      <c r="E36" s="5" t="s">
        <v>1395</v>
      </c>
      <c r="F36" s="5" t="s">
        <v>1396</v>
      </c>
    </row>
    <row r="37" customFormat="false" ht="99.75" hidden="false" customHeight="true" outlineLevel="0" collapsed="false">
      <c r="A37" s="6" t="s">
        <v>1397</v>
      </c>
      <c r="B37" s="6" t="s">
        <v>1398</v>
      </c>
      <c r="C37" s="6" t="s">
        <v>1399</v>
      </c>
      <c r="D37" s="6" t="s">
        <v>1314</v>
      </c>
      <c r="E37" s="6" t="s">
        <v>1400</v>
      </c>
      <c r="F37" s="6" t="s">
        <v>1401</v>
      </c>
    </row>
    <row r="38" customFormat="false" ht="99.75" hidden="false" customHeight="true" outlineLevel="0" collapsed="false">
      <c r="A38" s="5" t="s">
        <v>1402</v>
      </c>
      <c r="B38" s="5" t="s">
        <v>1398</v>
      </c>
      <c r="C38" s="5" t="s">
        <v>1403</v>
      </c>
      <c r="D38" s="5" t="s">
        <v>1404</v>
      </c>
      <c r="E38" s="5" t="s">
        <v>1405</v>
      </c>
      <c r="F38" s="5" t="s">
        <v>1406</v>
      </c>
    </row>
    <row r="39" customFormat="false" ht="99.75" hidden="false" customHeight="true" outlineLevel="0" collapsed="false">
      <c r="A39" s="6" t="s">
        <v>1407</v>
      </c>
      <c r="B39" s="6" t="s">
        <v>1408</v>
      </c>
      <c r="C39" s="6" t="s">
        <v>1282</v>
      </c>
      <c r="D39" s="6" t="s">
        <v>937</v>
      </c>
      <c r="E39" s="6" t="s">
        <v>1409</v>
      </c>
      <c r="F39" s="6" t="s">
        <v>1410</v>
      </c>
    </row>
    <row r="40" customFormat="false" ht="99.75" hidden="false" customHeight="true" outlineLevel="0" collapsed="false">
      <c r="A40" s="5" t="s">
        <v>1411</v>
      </c>
      <c r="B40" s="5" t="s">
        <v>1408</v>
      </c>
      <c r="C40" s="5" t="s">
        <v>1282</v>
      </c>
      <c r="D40" s="5" t="s">
        <v>1412</v>
      </c>
      <c r="E40" s="5" t="s">
        <v>1413</v>
      </c>
      <c r="F40" s="5" t="s">
        <v>1414</v>
      </c>
    </row>
    <row r="41" customFormat="false" ht="99.75" hidden="false" customHeight="true" outlineLevel="0" collapsed="false">
      <c r="A41" s="6" t="s">
        <v>1415</v>
      </c>
      <c r="B41" s="6" t="s">
        <v>1408</v>
      </c>
      <c r="C41" s="6" t="s">
        <v>1282</v>
      </c>
      <c r="D41" s="6" t="s">
        <v>937</v>
      </c>
      <c r="E41" s="6" t="s">
        <v>1416</v>
      </c>
      <c r="F41" s="6" t="s">
        <v>1417</v>
      </c>
    </row>
    <row r="42" customFormat="false" ht="99.75" hidden="false" customHeight="true" outlineLevel="0" collapsed="false">
      <c r="A42" s="5" t="s">
        <v>1418</v>
      </c>
      <c r="B42" s="5" t="s">
        <v>1408</v>
      </c>
      <c r="C42" s="5" t="s">
        <v>1282</v>
      </c>
      <c r="D42" s="5" t="s">
        <v>937</v>
      </c>
      <c r="E42" s="5" t="s">
        <v>1419</v>
      </c>
      <c r="F42" s="5" t="s">
        <v>1420</v>
      </c>
    </row>
    <row r="43" customFormat="false" ht="99.75" hidden="false" customHeight="true" outlineLevel="0" collapsed="false">
      <c r="A43" s="6" t="s">
        <v>1421</v>
      </c>
      <c r="B43" s="6" t="s">
        <v>1408</v>
      </c>
      <c r="C43" s="6" t="s">
        <v>1282</v>
      </c>
      <c r="D43" s="6" t="s">
        <v>937</v>
      </c>
      <c r="E43" s="6" t="s">
        <v>1422</v>
      </c>
      <c r="F43" s="6" t="s">
        <v>1423</v>
      </c>
    </row>
    <row r="44" customFormat="false" ht="99.75" hidden="false" customHeight="true" outlineLevel="0" collapsed="false">
      <c r="A44" s="5" t="s">
        <v>1424</v>
      </c>
      <c r="B44" s="5" t="s">
        <v>1408</v>
      </c>
      <c r="C44" s="5" t="s">
        <v>1282</v>
      </c>
      <c r="D44" s="5" t="s">
        <v>937</v>
      </c>
      <c r="E44" s="5" t="s">
        <v>1425</v>
      </c>
      <c r="F44" s="5" t="s">
        <v>1426</v>
      </c>
    </row>
    <row r="45" customFormat="false" ht="99.75" hidden="false" customHeight="true" outlineLevel="0" collapsed="false">
      <c r="A45" s="6" t="s">
        <v>1427</v>
      </c>
      <c r="B45" s="6" t="s">
        <v>258</v>
      </c>
      <c r="C45" s="6" t="s">
        <v>1282</v>
      </c>
      <c r="D45" s="6" t="s">
        <v>937</v>
      </c>
      <c r="E45" s="6" t="s">
        <v>1428</v>
      </c>
      <c r="F45" s="6" t="s">
        <v>1429</v>
      </c>
    </row>
    <row r="46" customFormat="false" ht="99.75" hidden="false" customHeight="true" outlineLevel="0" collapsed="false">
      <c r="A46" s="5" t="s">
        <v>1430</v>
      </c>
      <c r="B46" s="5" t="s">
        <v>1111</v>
      </c>
      <c r="C46" s="5" t="s">
        <v>1431</v>
      </c>
      <c r="D46" s="5" t="s">
        <v>937</v>
      </c>
      <c r="E46" s="5" t="s">
        <v>1432</v>
      </c>
      <c r="F46" s="5" t="s">
        <v>1433</v>
      </c>
    </row>
    <row r="47" customFormat="false" ht="99.75" hidden="false" customHeight="true" outlineLevel="0" collapsed="false">
      <c r="A47" s="6" t="s">
        <v>1434</v>
      </c>
      <c r="B47" s="6" t="s">
        <v>1435</v>
      </c>
      <c r="C47" s="6" t="s">
        <v>1436</v>
      </c>
      <c r="D47" s="6" t="s">
        <v>232</v>
      </c>
      <c r="E47" s="6" t="s">
        <v>1437</v>
      </c>
      <c r="F47" s="6" t="s">
        <v>1438</v>
      </c>
    </row>
    <row r="48" customFormat="false" ht="99.75" hidden="false" customHeight="true" outlineLevel="0" collapsed="false">
      <c r="A48" s="5" t="s">
        <v>1439</v>
      </c>
      <c r="B48" s="5" t="s">
        <v>1435</v>
      </c>
      <c r="C48" s="5" t="s">
        <v>1440</v>
      </c>
      <c r="D48" s="5" t="s">
        <v>937</v>
      </c>
      <c r="E48" s="5" t="s">
        <v>1441</v>
      </c>
      <c r="F48" s="5" t="s">
        <v>1442</v>
      </c>
    </row>
    <row r="49" customFormat="false" ht="99.75" hidden="false" customHeight="true" outlineLevel="0" collapsed="false">
      <c r="A49" s="6" t="s">
        <v>1443</v>
      </c>
      <c r="B49" s="6" t="s">
        <v>1444</v>
      </c>
      <c r="C49" s="6" t="s">
        <v>1282</v>
      </c>
      <c r="D49" s="6" t="s">
        <v>937</v>
      </c>
      <c r="E49" s="6" t="s">
        <v>1445</v>
      </c>
      <c r="F49" s="6" t="s">
        <v>1446</v>
      </c>
    </row>
    <row r="50" customFormat="false" ht="99.75" hidden="false" customHeight="true" outlineLevel="0" collapsed="false">
      <c r="A50" s="5" t="s">
        <v>1447</v>
      </c>
      <c r="B50" s="5" t="s">
        <v>1448</v>
      </c>
      <c r="C50" s="5" t="s">
        <v>1436</v>
      </c>
      <c r="D50" s="5" t="s">
        <v>937</v>
      </c>
      <c r="E50" s="5" t="s">
        <v>1449</v>
      </c>
      <c r="F50" s="5" t="s">
        <v>1450</v>
      </c>
    </row>
    <row r="51" customFormat="false" ht="99.75" hidden="false" customHeight="true" outlineLevel="0" collapsed="false">
      <c r="A51" s="6" t="s">
        <v>1451</v>
      </c>
      <c r="B51" s="6" t="s">
        <v>1448</v>
      </c>
      <c r="C51" s="6" t="s">
        <v>1282</v>
      </c>
      <c r="D51" s="6" t="s">
        <v>937</v>
      </c>
      <c r="E51" s="6" t="s">
        <v>1452</v>
      </c>
      <c r="F51" s="6" t="s">
        <v>1453</v>
      </c>
    </row>
    <row r="52" customFormat="false" ht="99.75" hidden="false" customHeight="true" outlineLevel="0" collapsed="false">
      <c r="A52" s="5" t="s">
        <v>1454</v>
      </c>
      <c r="B52" s="5" t="s">
        <v>1448</v>
      </c>
      <c r="C52" s="5" t="s">
        <v>1282</v>
      </c>
      <c r="D52" s="5" t="s">
        <v>937</v>
      </c>
      <c r="E52" s="5" t="s">
        <v>1455</v>
      </c>
      <c r="F52" s="5" t="s">
        <v>1456</v>
      </c>
    </row>
    <row r="53" customFormat="false" ht="99.75" hidden="false" customHeight="true" outlineLevel="0" collapsed="false">
      <c r="A53" s="6" t="s">
        <v>1457</v>
      </c>
      <c r="B53" s="6" t="s">
        <v>1448</v>
      </c>
      <c r="C53" s="6" t="s">
        <v>1436</v>
      </c>
      <c r="D53" s="6" t="s">
        <v>937</v>
      </c>
      <c r="E53" s="6" t="s">
        <v>1458</v>
      </c>
      <c r="F53" s="6" t="s">
        <v>1459</v>
      </c>
    </row>
    <row r="54" customFormat="false" ht="99.75" hidden="false" customHeight="true" outlineLevel="0" collapsed="false">
      <c r="A54" s="5" t="s">
        <v>1460</v>
      </c>
      <c r="B54" s="5" t="s">
        <v>1461</v>
      </c>
      <c r="C54" s="5" t="s">
        <v>1278</v>
      </c>
      <c r="D54" s="5" t="s">
        <v>927</v>
      </c>
      <c r="E54" s="5" t="s">
        <v>1462</v>
      </c>
      <c r="F54" s="5" t="s">
        <v>1463</v>
      </c>
    </row>
    <row r="55" customFormat="false" ht="99.75" hidden="false" customHeight="true" outlineLevel="0" collapsed="false">
      <c r="A55" s="6" t="s">
        <v>1464</v>
      </c>
      <c r="B55" s="6" t="s">
        <v>135</v>
      </c>
      <c r="C55" s="6" t="s">
        <v>135</v>
      </c>
      <c r="D55" s="6" t="s">
        <v>937</v>
      </c>
      <c r="E55" s="6" t="s">
        <v>1465</v>
      </c>
      <c r="F55" s="6" t="s">
        <v>1466</v>
      </c>
    </row>
    <row r="56" customFormat="false" ht="99.75" hidden="false" customHeight="true" outlineLevel="0" collapsed="false">
      <c r="A56" s="5" t="s">
        <v>1467</v>
      </c>
      <c r="B56" s="5" t="s">
        <v>135</v>
      </c>
      <c r="C56" s="5" t="s">
        <v>135</v>
      </c>
      <c r="D56" s="5" t="s">
        <v>937</v>
      </c>
      <c r="E56" s="5" t="s">
        <v>1468</v>
      </c>
      <c r="F56" s="5" t="s">
        <v>1469</v>
      </c>
    </row>
    <row r="57" customFormat="false" ht="99.75" hidden="false" customHeight="true" outlineLevel="0" collapsed="false">
      <c r="A57" s="6" t="s">
        <v>1470</v>
      </c>
      <c r="B57" s="6" t="s">
        <v>135</v>
      </c>
      <c r="C57" s="6" t="s">
        <v>135</v>
      </c>
      <c r="D57" s="6" t="s">
        <v>937</v>
      </c>
      <c r="E57" s="6" t="s">
        <v>1471</v>
      </c>
      <c r="F57" s="6" t="s">
        <v>1472</v>
      </c>
    </row>
    <row r="58" customFormat="false" ht="99.75" hidden="false" customHeight="true" outlineLevel="0" collapsed="false">
      <c r="A58" s="5" t="s">
        <v>1473</v>
      </c>
      <c r="B58" s="5" t="s">
        <v>135</v>
      </c>
      <c r="C58" s="5" t="s">
        <v>135</v>
      </c>
      <c r="D58" s="5" t="s">
        <v>937</v>
      </c>
      <c r="E58" s="5" t="s">
        <v>1474</v>
      </c>
      <c r="F58" s="5" t="s">
        <v>1475</v>
      </c>
    </row>
    <row r="59" customFormat="false" ht="99.75" hidden="false" customHeight="true" outlineLevel="0" collapsed="false">
      <c r="A59" s="6" t="s">
        <v>1476</v>
      </c>
      <c r="B59" s="6" t="s">
        <v>135</v>
      </c>
      <c r="C59" s="6" t="s">
        <v>1477</v>
      </c>
      <c r="D59" s="6" t="s">
        <v>1314</v>
      </c>
      <c r="E59" s="6" t="s">
        <v>1478</v>
      </c>
      <c r="F59" s="6" t="s">
        <v>1479</v>
      </c>
    </row>
    <row r="60" customFormat="false" ht="99.75" hidden="false" customHeight="true" outlineLevel="0" collapsed="false">
      <c r="A60" s="5" t="s">
        <v>1480</v>
      </c>
      <c r="B60" s="5" t="s">
        <v>135</v>
      </c>
      <c r="C60" s="5" t="s">
        <v>1477</v>
      </c>
      <c r="D60" s="5" t="s">
        <v>1314</v>
      </c>
      <c r="E60" s="5" t="s">
        <v>1481</v>
      </c>
      <c r="F60" s="5" t="s">
        <v>1482</v>
      </c>
    </row>
    <row r="61" customFormat="false" ht="99.75" hidden="false" customHeight="true" outlineLevel="0" collapsed="false">
      <c r="A61" s="6" t="s">
        <v>1483</v>
      </c>
      <c r="B61" s="6" t="s">
        <v>146</v>
      </c>
      <c r="C61" s="6" t="s">
        <v>146</v>
      </c>
      <c r="D61" s="6" t="s">
        <v>937</v>
      </c>
      <c r="E61" s="6" t="s">
        <v>1484</v>
      </c>
      <c r="F61" s="6" t="s">
        <v>1485</v>
      </c>
    </row>
    <row r="62" customFormat="false" ht="99.75" hidden="false" customHeight="true" outlineLevel="0" collapsed="false">
      <c r="A62" s="5" t="s">
        <v>1486</v>
      </c>
      <c r="B62" s="5" t="s">
        <v>1487</v>
      </c>
      <c r="C62" s="5" t="s">
        <v>1488</v>
      </c>
      <c r="D62" s="5" t="s">
        <v>1489</v>
      </c>
      <c r="E62" s="5" t="s">
        <v>1490</v>
      </c>
      <c r="F62" s="5" t="s">
        <v>1491</v>
      </c>
    </row>
    <row r="63" customFormat="false" ht="99.75" hidden="false" customHeight="true" outlineLevel="0" collapsed="false">
      <c r="A63" s="6" t="s">
        <v>1492</v>
      </c>
      <c r="B63" s="6" t="s">
        <v>1487</v>
      </c>
      <c r="C63" s="6" t="s">
        <v>1493</v>
      </c>
      <c r="D63" s="6" t="s">
        <v>419</v>
      </c>
      <c r="E63" s="6" t="s">
        <v>1494</v>
      </c>
      <c r="F63" s="6" t="s">
        <v>1495</v>
      </c>
    </row>
    <row r="64" customFormat="false" ht="99.75" hidden="false" customHeight="true" outlineLevel="0" collapsed="false">
      <c r="A64" s="5" t="s">
        <v>1496</v>
      </c>
      <c r="B64" s="5" t="s">
        <v>1497</v>
      </c>
      <c r="C64" s="5" t="s">
        <v>1493</v>
      </c>
      <c r="D64" s="5" t="s">
        <v>419</v>
      </c>
      <c r="E64" s="5" t="s">
        <v>1498</v>
      </c>
      <c r="F64" s="5" t="s">
        <v>1499</v>
      </c>
    </row>
    <row r="65" customFormat="false" ht="99.75" hidden="false" customHeight="true" outlineLevel="0" collapsed="false">
      <c r="A65" s="6" t="s">
        <v>1500</v>
      </c>
      <c r="B65" s="6" t="s">
        <v>1501</v>
      </c>
      <c r="C65" s="6" t="s">
        <v>1313</v>
      </c>
      <c r="D65" s="6" t="s">
        <v>1502</v>
      </c>
      <c r="E65" s="6" t="s">
        <v>1503</v>
      </c>
      <c r="F65" s="6" t="s">
        <v>1504</v>
      </c>
    </row>
    <row r="66" customFormat="false" ht="99.75" hidden="false" customHeight="true" outlineLevel="0" collapsed="false">
      <c r="A66" s="5" t="s">
        <v>1505</v>
      </c>
      <c r="B66" s="5" t="s">
        <v>1506</v>
      </c>
      <c r="C66" s="5" t="s">
        <v>1339</v>
      </c>
      <c r="D66" s="5" t="s">
        <v>1507</v>
      </c>
      <c r="E66" s="5" t="s">
        <v>1508</v>
      </c>
      <c r="F66" s="5" t="s">
        <v>1509</v>
      </c>
    </row>
    <row r="67" customFormat="false" ht="99.75" hidden="false" customHeight="true" outlineLevel="0" collapsed="false">
      <c r="A67" s="6" t="s">
        <v>1510</v>
      </c>
      <c r="B67" s="6" t="s">
        <v>1506</v>
      </c>
      <c r="C67" s="6" t="s">
        <v>1356</v>
      </c>
      <c r="D67" s="6" t="s">
        <v>1507</v>
      </c>
      <c r="E67" s="6" t="s">
        <v>1511</v>
      </c>
      <c r="F67" s="6" t="s">
        <v>1512</v>
      </c>
    </row>
    <row r="68" customFormat="false" ht="99.75" hidden="false" customHeight="true" outlineLevel="0" collapsed="false">
      <c r="A68" s="5" t="s">
        <v>1513</v>
      </c>
      <c r="B68" s="5" t="s">
        <v>20</v>
      </c>
      <c r="C68" s="5" t="s">
        <v>1514</v>
      </c>
      <c r="D68" s="5" t="s">
        <v>1314</v>
      </c>
      <c r="E68" s="5" t="s">
        <v>1515</v>
      </c>
      <c r="F68" s="5" t="s">
        <v>1516</v>
      </c>
    </row>
    <row r="69" customFormat="false" ht="99.75" hidden="false" customHeight="true" outlineLevel="0" collapsed="false">
      <c r="A69" s="6" t="s">
        <v>1517</v>
      </c>
      <c r="B69" s="6" t="s">
        <v>20</v>
      </c>
      <c r="C69" s="6" t="s">
        <v>146</v>
      </c>
      <c r="D69" s="6" t="s">
        <v>1518</v>
      </c>
      <c r="E69" s="6" t="s">
        <v>1519</v>
      </c>
      <c r="F69" s="6" t="s">
        <v>1520</v>
      </c>
    </row>
    <row r="70" customFormat="false" ht="99.75" hidden="false" customHeight="true" outlineLevel="0" collapsed="false">
      <c r="A70" s="5" t="s">
        <v>1521</v>
      </c>
      <c r="B70" s="5" t="s">
        <v>20</v>
      </c>
      <c r="C70" s="5" t="s">
        <v>155</v>
      </c>
      <c r="D70" s="5" t="s">
        <v>937</v>
      </c>
      <c r="E70" s="5" t="s">
        <v>1522</v>
      </c>
      <c r="F70" s="5" t="s">
        <v>1523</v>
      </c>
    </row>
    <row r="71" customFormat="false" ht="99.75" hidden="false" customHeight="true" outlineLevel="0" collapsed="false">
      <c r="A71" s="6" t="s">
        <v>1524</v>
      </c>
      <c r="B71" s="6" t="s">
        <v>1525</v>
      </c>
      <c r="C71" s="6" t="s">
        <v>1278</v>
      </c>
      <c r="D71" s="6" t="s">
        <v>937</v>
      </c>
      <c r="E71" s="6" t="s">
        <v>1526</v>
      </c>
      <c r="F71" s="6" t="s">
        <v>1527</v>
      </c>
    </row>
    <row r="72" customFormat="false" ht="99.75" hidden="false" customHeight="true" outlineLevel="0" collapsed="false">
      <c r="A72" s="5" t="s">
        <v>1528</v>
      </c>
      <c r="B72" s="5" t="s">
        <v>1529</v>
      </c>
      <c r="C72" s="5" t="s">
        <v>1278</v>
      </c>
      <c r="D72" s="5" t="s">
        <v>937</v>
      </c>
      <c r="E72" s="5" t="s">
        <v>1530</v>
      </c>
      <c r="F72" s="5" t="s">
        <v>1531</v>
      </c>
    </row>
    <row r="73" customFormat="false" ht="99.75" hidden="false" customHeight="true" outlineLevel="0" collapsed="false">
      <c r="A73" s="6" t="s">
        <v>1532</v>
      </c>
      <c r="B73" s="6" t="s">
        <v>1533</v>
      </c>
      <c r="C73" s="6" t="s">
        <v>1278</v>
      </c>
      <c r="D73" s="6" t="s">
        <v>1283</v>
      </c>
      <c r="E73" s="6" t="s">
        <v>1534</v>
      </c>
      <c r="F73" s="6" t="s">
        <v>1535</v>
      </c>
    </row>
    <row r="74" customFormat="false" ht="99.75" hidden="false" customHeight="true" outlineLevel="0" collapsed="false">
      <c r="A74" s="5" t="s">
        <v>1536</v>
      </c>
      <c r="B74" s="5" t="s">
        <v>1533</v>
      </c>
      <c r="C74" s="5" t="s">
        <v>1537</v>
      </c>
      <c r="D74" s="5" t="s">
        <v>1314</v>
      </c>
      <c r="E74" s="5" t="s">
        <v>1538</v>
      </c>
      <c r="F74" s="5" t="s">
        <v>1539</v>
      </c>
    </row>
    <row r="75" customFormat="false" ht="99.75" hidden="false" customHeight="true" outlineLevel="0" collapsed="false">
      <c r="A75" s="6" t="s">
        <v>1540</v>
      </c>
      <c r="B75" s="6" t="s">
        <v>1533</v>
      </c>
      <c r="C75" s="6" t="s">
        <v>1372</v>
      </c>
      <c r="D75" s="6" t="s">
        <v>937</v>
      </c>
      <c r="E75" s="6" t="s">
        <v>1541</v>
      </c>
      <c r="F75" s="6" t="s">
        <v>1542</v>
      </c>
    </row>
    <row r="76" customFormat="false" ht="99.75" hidden="false" customHeight="true" outlineLevel="0" collapsed="false">
      <c r="A76" s="5" t="s">
        <v>1543</v>
      </c>
      <c r="B76" s="5" t="s">
        <v>1533</v>
      </c>
      <c r="C76" s="5" t="s">
        <v>146</v>
      </c>
      <c r="D76" s="5" t="s">
        <v>927</v>
      </c>
      <c r="E76" s="5" t="s">
        <v>1544</v>
      </c>
      <c r="F76" s="5" t="s">
        <v>1545</v>
      </c>
    </row>
    <row r="77" customFormat="false" ht="99.75" hidden="false" customHeight="true" outlineLevel="0" collapsed="false">
      <c r="A77" s="6" t="s">
        <v>1546</v>
      </c>
      <c r="B77" s="6" t="s">
        <v>1533</v>
      </c>
      <c r="C77" s="6" t="s">
        <v>155</v>
      </c>
      <c r="D77" s="6" t="s">
        <v>927</v>
      </c>
      <c r="E77" s="6" t="s">
        <v>1547</v>
      </c>
      <c r="F77" s="6" t="s">
        <v>1548</v>
      </c>
    </row>
    <row r="78" customFormat="false" ht="99.75" hidden="false" customHeight="true" outlineLevel="0" collapsed="false">
      <c r="A78" s="5" t="s">
        <v>1549</v>
      </c>
      <c r="B78" s="5" t="s">
        <v>1550</v>
      </c>
      <c r="C78" s="5" t="s">
        <v>1278</v>
      </c>
      <c r="D78" s="5" t="s">
        <v>937</v>
      </c>
      <c r="E78" s="5" t="s">
        <v>1551</v>
      </c>
      <c r="F78" s="5" t="s">
        <v>1552</v>
      </c>
    </row>
    <row r="79" customFormat="false" ht="99.75" hidden="false" customHeight="true" outlineLevel="0" collapsed="false">
      <c r="A79" s="6" t="s">
        <v>1553</v>
      </c>
      <c r="B79" s="6" t="s">
        <v>11</v>
      </c>
      <c r="C79" s="6" t="s">
        <v>1554</v>
      </c>
      <c r="D79" s="6" t="s">
        <v>937</v>
      </c>
      <c r="E79" s="6" t="s">
        <v>1555</v>
      </c>
      <c r="F79" s="6" t="s">
        <v>1556</v>
      </c>
    </row>
    <row r="80" customFormat="false" ht="99.75" hidden="false" customHeight="true" outlineLevel="0" collapsed="false">
      <c r="A80" s="5" t="s">
        <v>1557</v>
      </c>
      <c r="B80" s="5" t="s">
        <v>11</v>
      </c>
      <c r="C80" s="5" t="s">
        <v>1278</v>
      </c>
      <c r="D80" s="5" t="s">
        <v>937</v>
      </c>
      <c r="E80" s="5" t="s">
        <v>1558</v>
      </c>
      <c r="F80" s="5" t="s">
        <v>1559</v>
      </c>
    </row>
    <row r="81" customFormat="false" ht="99.75" hidden="false" customHeight="true" outlineLevel="0" collapsed="false">
      <c r="A81" s="6" t="s">
        <v>1560</v>
      </c>
      <c r="B81" s="6" t="s">
        <v>1561</v>
      </c>
      <c r="C81" s="6" t="s">
        <v>1278</v>
      </c>
      <c r="D81" s="6" t="s">
        <v>1562</v>
      </c>
      <c r="E81" s="6" t="s">
        <v>1563</v>
      </c>
      <c r="F81" s="6" t="s">
        <v>1564</v>
      </c>
    </row>
    <row r="82" customFormat="false" ht="99.75" hidden="false" customHeight="true" outlineLevel="0" collapsed="false">
      <c r="A82" s="5" t="s">
        <v>1565</v>
      </c>
      <c r="B82" s="5" t="s">
        <v>1561</v>
      </c>
      <c r="C82" s="5" t="s">
        <v>1278</v>
      </c>
      <c r="D82" s="5" t="s">
        <v>1566</v>
      </c>
      <c r="E82" s="5" t="s">
        <v>1567</v>
      </c>
      <c r="F82" s="5" t="s">
        <v>1568</v>
      </c>
    </row>
    <row r="83" customFormat="false" ht="99.75" hidden="false" customHeight="true" outlineLevel="0" collapsed="false">
      <c r="A83" s="6" t="s">
        <v>1569</v>
      </c>
      <c r="B83" s="6" t="s">
        <v>1561</v>
      </c>
      <c r="C83" s="6" t="s">
        <v>1278</v>
      </c>
      <c r="D83" s="6" t="s">
        <v>1570</v>
      </c>
      <c r="E83" s="6" t="s">
        <v>1571</v>
      </c>
      <c r="F83" s="6" t="s">
        <v>1572</v>
      </c>
    </row>
    <row r="84" customFormat="false" ht="99.75" hidden="false" customHeight="true" outlineLevel="0" collapsed="false">
      <c r="A84" s="5" t="s">
        <v>1573</v>
      </c>
      <c r="B84" s="5" t="s">
        <v>155</v>
      </c>
      <c r="C84" s="5" t="s">
        <v>1574</v>
      </c>
      <c r="D84" s="5" t="s">
        <v>1314</v>
      </c>
      <c r="E84" s="5" t="s">
        <v>1575</v>
      </c>
      <c r="F84" s="5" t="s">
        <v>1576</v>
      </c>
    </row>
    <row r="85" customFormat="false" ht="99.75" hidden="false" customHeight="true" outlineLevel="0" collapsed="false">
      <c r="A85" s="6" t="s">
        <v>1577</v>
      </c>
      <c r="B85" s="6" t="s">
        <v>155</v>
      </c>
      <c r="C85" s="6" t="s">
        <v>155</v>
      </c>
      <c r="D85" s="6" t="s">
        <v>937</v>
      </c>
      <c r="E85" s="6" t="s">
        <v>1578</v>
      </c>
      <c r="F85" s="6" t="s">
        <v>1579</v>
      </c>
    </row>
    <row r="86" customFormat="false" ht="99.75" hidden="false" customHeight="true" outlineLevel="0" collapsed="false">
      <c r="A86" s="5" t="s">
        <v>1580</v>
      </c>
      <c r="B86" s="5" t="s">
        <v>140</v>
      </c>
      <c r="C86" s="5" t="s">
        <v>140</v>
      </c>
      <c r="D86" s="5" t="s">
        <v>895</v>
      </c>
      <c r="E86" s="5" t="s">
        <v>1581</v>
      </c>
      <c r="F86" s="5" t="s">
        <v>1582</v>
      </c>
    </row>
    <row r="87" customFormat="false" ht="99.75" hidden="false" customHeight="true" outlineLevel="0" collapsed="false">
      <c r="A87" s="6" t="s">
        <v>1583</v>
      </c>
      <c r="B87" s="6" t="s">
        <v>140</v>
      </c>
      <c r="C87" s="6" t="s">
        <v>140</v>
      </c>
      <c r="D87" s="6" t="s">
        <v>1584</v>
      </c>
      <c r="E87" s="6" t="s">
        <v>1585</v>
      </c>
      <c r="F87" s="6" t="s">
        <v>1586</v>
      </c>
    </row>
    <row r="88" customFormat="false" ht="99.75" hidden="false" customHeight="true" outlineLevel="0" collapsed="false">
      <c r="A88" s="5" t="s">
        <v>1587</v>
      </c>
      <c r="B88" s="5" t="s">
        <v>140</v>
      </c>
      <c r="C88" s="5" t="s">
        <v>140</v>
      </c>
      <c r="D88" s="5" t="s">
        <v>1048</v>
      </c>
      <c r="E88" s="5" t="s">
        <v>1588</v>
      </c>
      <c r="F88" s="5" t="s">
        <v>1589</v>
      </c>
    </row>
    <row r="89" customFormat="false" ht="99.75" hidden="false" customHeight="true" outlineLevel="0" collapsed="false">
      <c r="A89" s="6" t="s">
        <v>1590</v>
      </c>
      <c r="B89" s="6" t="s">
        <v>140</v>
      </c>
      <c r="C89" s="6" t="s">
        <v>140</v>
      </c>
      <c r="D89" s="6" t="s">
        <v>1507</v>
      </c>
      <c r="E89" s="6" t="s">
        <v>1591</v>
      </c>
      <c r="F89" s="6" t="s">
        <v>1592</v>
      </c>
    </row>
    <row r="90" customFormat="false" ht="99.75" hidden="false" customHeight="true" outlineLevel="0" collapsed="false">
      <c r="A90" s="5" t="s">
        <v>1593</v>
      </c>
      <c r="B90" s="5" t="s">
        <v>140</v>
      </c>
      <c r="C90" s="5" t="s">
        <v>140</v>
      </c>
      <c r="D90" s="5" t="s">
        <v>895</v>
      </c>
      <c r="E90" s="5" t="s">
        <v>1594</v>
      </c>
      <c r="F90" s="5" t="s">
        <v>1595</v>
      </c>
    </row>
    <row r="91" customFormat="false" ht="99.75" hidden="false" customHeight="true" outlineLevel="0" collapsed="false">
      <c r="A91" s="6" t="s">
        <v>1596</v>
      </c>
      <c r="B91" s="6" t="s">
        <v>140</v>
      </c>
      <c r="C91" s="6" t="s">
        <v>140</v>
      </c>
      <c r="D91" s="6" t="s">
        <v>1318</v>
      </c>
      <c r="E91" s="6" t="s">
        <v>1597</v>
      </c>
      <c r="F91" s="6" t="s">
        <v>1598</v>
      </c>
    </row>
    <row r="92" customFormat="false" ht="99.75" hidden="false" customHeight="true" outlineLevel="0" collapsed="false">
      <c r="A92" s="5" t="s">
        <v>1599</v>
      </c>
      <c r="B92" s="5" t="s">
        <v>140</v>
      </c>
      <c r="C92" s="5" t="s">
        <v>140</v>
      </c>
      <c r="D92" s="5" t="s">
        <v>1600</v>
      </c>
      <c r="E92" s="5" t="s">
        <v>1601</v>
      </c>
      <c r="F92" s="5" t="s">
        <v>1602</v>
      </c>
    </row>
    <row r="93" customFormat="false" ht="99.75" hidden="false" customHeight="true" outlineLevel="0" collapsed="false">
      <c r="A93" s="6" t="s">
        <v>1603</v>
      </c>
      <c r="B93" s="6" t="s">
        <v>1604</v>
      </c>
      <c r="C93" s="6" t="s">
        <v>1278</v>
      </c>
      <c r="D93" s="6" t="s">
        <v>1605</v>
      </c>
      <c r="E93" s="6" t="s">
        <v>1606</v>
      </c>
      <c r="F93" s="6" t="s">
        <v>1607</v>
      </c>
    </row>
    <row r="94" customFormat="false" ht="99.75" hidden="false" customHeight="true" outlineLevel="0" collapsed="false">
      <c r="A94" s="5" t="s">
        <v>1608</v>
      </c>
      <c r="B94" s="5" t="s">
        <v>1604</v>
      </c>
      <c r="C94" s="5" t="s">
        <v>1305</v>
      </c>
      <c r="D94" s="5" t="s">
        <v>895</v>
      </c>
      <c r="E94" s="5" t="s">
        <v>1609</v>
      </c>
      <c r="F94" s="5" t="s">
        <v>1610</v>
      </c>
    </row>
    <row r="95" customFormat="false" ht="99.75" hidden="false" customHeight="true" outlineLevel="0" collapsed="false">
      <c r="A95" s="6" t="s">
        <v>1611</v>
      </c>
      <c r="B95" s="6" t="s">
        <v>1612</v>
      </c>
      <c r="C95" s="6" t="s">
        <v>1613</v>
      </c>
      <c r="D95" s="6" t="s">
        <v>1614</v>
      </c>
      <c r="E95" s="6" t="s">
        <v>1615</v>
      </c>
      <c r="F95" s="6" t="s">
        <v>1616</v>
      </c>
    </row>
    <row r="96" customFormat="false" ht="99.75" hidden="false" customHeight="true" outlineLevel="0" collapsed="false">
      <c r="A96" s="5" t="s">
        <v>1617</v>
      </c>
      <c r="B96" s="5" t="s">
        <v>1618</v>
      </c>
      <c r="C96" s="5" t="s">
        <v>1339</v>
      </c>
      <c r="D96" s="5" t="s">
        <v>1619</v>
      </c>
      <c r="E96" s="5" t="s">
        <v>1620</v>
      </c>
      <c r="F96" s="5" t="s">
        <v>1621</v>
      </c>
    </row>
    <row r="97" customFormat="false" ht="99.75" hidden="false" customHeight="true" outlineLevel="0" collapsed="false">
      <c r="A97" s="6" t="s">
        <v>1622</v>
      </c>
      <c r="B97" s="6" t="s">
        <v>1618</v>
      </c>
      <c r="C97" s="6" t="s">
        <v>1278</v>
      </c>
      <c r="D97" s="6" t="s">
        <v>1623</v>
      </c>
      <c r="E97" s="6" t="s">
        <v>1624</v>
      </c>
      <c r="F97" s="6" t="s">
        <v>1625</v>
      </c>
    </row>
    <row r="98" customFormat="false" ht="114.75" hidden="false" customHeight="true" outlineLevel="0" collapsed="false">
      <c r="A98" s="5" t="s">
        <v>1626</v>
      </c>
      <c r="B98" s="5" t="s">
        <v>1627</v>
      </c>
      <c r="C98" s="5" t="s">
        <v>1278</v>
      </c>
      <c r="D98" s="5" t="s">
        <v>1628</v>
      </c>
      <c r="E98" s="5" t="s">
        <v>1629</v>
      </c>
      <c r="F98" s="5" t="s">
        <v>1630</v>
      </c>
    </row>
    <row r="99" customFormat="false" ht="114.75" hidden="false" customHeight="true" outlineLevel="0" collapsed="false">
      <c r="A99" s="6" t="s">
        <v>1631</v>
      </c>
      <c r="B99" s="6" t="s">
        <v>1632</v>
      </c>
      <c r="C99" s="6" t="s">
        <v>1633</v>
      </c>
      <c r="D99" s="6" t="s">
        <v>198</v>
      </c>
      <c r="E99" s="6" t="s">
        <v>1634</v>
      </c>
      <c r="F99" s="6" t="s">
        <v>1635</v>
      </c>
    </row>
    <row r="100" customFormat="false" ht="114.75" hidden="false" customHeight="true" outlineLevel="0" collapsed="false">
      <c r="A100" s="5" t="s">
        <v>1636</v>
      </c>
      <c r="B100" s="5" t="s">
        <v>96</v>
      </c>
      <c r="C100" s="5" t="s">
        <v>1305</v>
      </c>
      <c r="D100" s="5" t="s">
        <v>895</v>
      </c>
      <c r="E100" s="5" t="s">
        <v>1637</v>
      </c>
      <c r="F100" s="5" t="s">
        <v>1638</v>
      </c>
    </row>
    <row r="101" customFormat="false" ht="114.75" hidden="false" customHeight="true" outlineLevel="0" collapsed="false">
      <c r="A101" s="6" t="s">
        <v>1639</v>
      </c>
      <c r="B101" s="6" t="s">
        <v>1338</v>
      </c>
      <c r="C101" s="6" t="s">
        <v>1339</v>
      </c>
      <c r="D101" s="6" t="s">
        <v>213</v>
      </c>
      <c r="E101" s="6" t="s">
        <v>1640</v>
      </c>
      <c r="F101" s="6" t="s">
        <v>1641</v>
      </c>
    </row>
    <row r="102" customFormat="false" ht="114.75" hidden="false" customHeight="true" outlineLevel="0" collapsed="false">
      <c r="A102" s="5" t="s">
        <v>1642</v>
      </c>
      <c r="B102" s="5" t="s">
        <v>1643</v>
      </c>
      <c r="C102" s="5" t="s">
        <v>1644</v>
      </c>
      <c r="D102" s="5" t="s">
        <v>223</v>
      </c>
      <c r="E102" s="5" t="s">
        <v>1645</v>
      </c>
      <c r="F102" s="5" t="s">
        <v>1646</v>
      </c>
    </row>
    <row r="103" customFormat="false" ht="114.75" hidden="false" customHeight="true" outlineLevel="0" collapsed="false">
      <c r="A103" s="6" t="s">
        <v>1647</v>
      </c>
      <c r="B103" s="6" t="s">
        <v>1648</v>
      </c>
      <c r="C103" s="6" t="s">
        <v>1282</v>
      </c>
      <c r="D103" s="6" t="s">
        <v>223</v>
      </c>
      <c r="E103" s="6" t="s">
        <v>1649</v>
      </c>
      <c r="F103" s="6" t="s">
        <v>1650</v>
      </c>
    </row>
    <row r="104" customFormat="false" ht="114.75" hidden="false" customHeight="true" outlineLevel="0" collapsed="false">
      <c r="A104" s="5" t="s">
        <v>1651</v>
      </c>
      <c r="B104" s="5" t="s">
        <v>23</v>
      </c>
      <c r="C104" s="5" t="s">
        <v>1652</v>
      </c>
      <c r="D104" s="5" t="s">
        <v>213</v>
      </c>
      <c r="E104" s="5" t="s">
        <v>1653</v>
      </c>
      <c r="F104" s="5" t="s">
        <v>1654</v>
      </c>
    </row>
    <row r="105" customFormat="false" ht="114.75" hidden="false" customHeight="true" outlineLevel="0" collapsed="false">
      <c r="A105" s="6" t="s">
        <v>1655</v>
      </c>
      <c r="B105" s="6" t="s">
        <v>1656</v>
      </c>
      <c r="C105" s="6" t="s">
        <v>1652</v>
      </c>
      <c r="D105" s="6" t="s">
        <v>1657</v>
      </c>
      <c r="E105" s="6" t="s">
        <v>1658</v>
      </c>
      <c r="F105" s="6" t="s">
        <v>1659</v>
      </c>
    </row>
    <row r="106" customFormat="false" ht="114.75" hidden="false" customHeight="true" outlineLevel="0" collapsed="false">
      <c r="A106" s="5" t="s">
        <v>1660</v>
      </c>
      <c r="B106" s="5" t="s">
        <v>1661</v>
      </c>
      <c r="C106" s="5" t="s">
        <v>128</v>
      </c>
      <c r="D106" s="5" t="s">
        <v>895</v>
      </c>
      <c r="E106" s="5" t="s">
        <v>1662</v>
      </c>
      <c r="F106" s="5" t="s">
        <v>1663</v>
      </c>
    </row>
    <row r="107" customFormat="false" ht="114.75" hidden="false" customHeight="true" outlineLevel="0" collapsed="false">
      <c r="A107" s="6" t="s">
        <v>1664</v>
      </c>
      <c r="B107" s="6" t="s">
        <v>1665</v>
      </c>
      <c r="C107" s="6" t="s">
        <v>128</v>
      </c>
      <c r="D107" s="6" t="s">
        <v>208</v>
      </c>
      <c r="E107" s="6" t="s">
        <v>1666</v>
      </c>
      <c r="F107" s="6" t="s">
        <v>1667</v>
      </c>
    </row>
    <row r="108" customFormat="false" ht="114.75" hidden="false" customHeight="true" outlineLevel="0" collapsed="false">
      <c r="A108" s="5" t="s">
        <v>1668</v>
      </c>
      <c r="B108" s="5" t="s">
        <v>1398</v>
      </c>
      <c r="C108" s="5" t="s">
        <v>1669</v>
      </c>
      <c r="D108" s="5" t="s">
        <v>1670</v>
      </c>
      <c r="E108" s="5" t="s">
        <v>1671</v>
      </c>
      <c r="F108" s="5" t="s">
        <v>1672</v>
      </c>
    </row>
    <row r="109" customFormat="false" ht="114.75" hidden="false" customHeight="true" outlineLevel="0" collapsed="false">
      <c r="A109" s="6" t="s">
        <v>1673</v>
      </c>
      <c r="B109" s="6" t="s">
        <v>1674</v>
      </c>
      <c r="C109" s="6" t="s">
        <v>128</v>
      </c>
      <c r="D109" s="6" t="s">
        <v>1670</v>
      </c>
      <c r="E109" s="6" t="s">
        <v>1675</v>
      </c>
      <c r="F109" s="6" t="s">
        <v>1676</v>
      </c>
    </row>
    <row r="110" customFormat="false" ht="114.75" hidden="false" customHeight="true" outlineLevel="0" collapsed="false">
      <c r="A110" s="5" t="s">
        <v>1677</v>
      </c>
      <c r="B110" s="5" t="s">
        <v>1674</v>
      </c>
      <c r="C110" s="5" t="s">
        <v>135</v>
      </c>
      <c r="D110" s="5" t="s">
        <v>1670</v>
      </c>
      <c r="E110" s="5" t="s">
        <v>1678</v>
      </c>
      <c r="F110" s="5" t="s">
        <v>1679</v>
      </c>
    </row>
    <row r="111" customFormat="false" ht="114.75" hidden="false" customHeight="true" outlineLevel="0" collapsed="false">
      <c r="A111" s="6" t="s">
        <v>1680</v>
      </c>
      <c r="B111" s="6" t="s">
        <v>1674</v>
      </c>
      <c r="C111" s="6" t="s">
        <v>140</v>
      </c>
      <c r="D111" s="6" t="s">
        <v>1670</v>
      </c>
      <c r="E111" s="6" t="s">
        <v>1681</v>
      </c>
      <c r="F111" s="6" t="s">
        <v>1682</v>
      </c>
    </row>
    <row r="112" customFormat="false" ht="114.75" hidden="false" customHeight="true" outlineLevel="0" collapsed="false">
      <c r="A112" s="5" t="s">
        <v>1683</v>
      </c>
      <c r="B112" s="5" t="s">
        <v>11</v>
      </c>
      <c r="C112" s="5" t="s">
        <v>1554</v>
      </c>
      <c r="D112" s="5" t="s">
        <v>895</v>
      </c>
      <c r="E112" s="5" t="s">
        <v>1684</v>
      </c>
      <c r="F112" s="5" t="s">
        <v>1685</v>
      </c>
    </row>
    <row r="113" customFormat="false" ht="114.75" hidden="false" customHeight="true" outlineLevel="0" collapsed="false">
      <c r="A113" s="6" t="s">
        <v>1686</v>
      </c>
      <c r="B113" s="6" t="s">
        <v>1687</v>
      </c>
      <c r="C113" s="6" t="s">
        <v>84</v>
      </c>
      <c r="D113" s="6" t="s">
        <v>340</v>
      </c>
      <c r="E113" s="6" t="s">
        <v>1688</v>
      </c>
      <c r="F113" s="6" t="s">
        <v>1689</v>
      </c>
    </row>
    <row r="114" customFormat="false" ht="114.75" hidden="false" customHeight="true" outlineLevel="0" collapsed="false">
      <c r="A114" s="5" t="s">
        <v>1690</v>
      </c>
      <c r="B114" s="5" t="s">
        <v>1691</v>
      </c>
      <c r="C114" s="5" t="s">
        <v>1278</v>
      </c>
      <c r="D114" s="5" t="s">
        <v>895</v>
      </c>
      <c r="E114" s="5" t="s">
        <v>1692</v>
      </c>
      <c r="F114" s="5" t="s">
        <v>1693</v>
      </c>
    </row>
    <row r="115" customFormat="false" ht="114.75" hidden="false" customHeight="true" outlineLevel="0" collapsed="false">
      <c r="A115" s="6" t="s">
        <v>1694</v>
      </c>
      <c r="B115" s="6" t="s">
        <v>1461</v>
      </c>
      <c r="C115" s="6" t="s">
        <v>1537</v>
      </c>
      <c r="D115" s="6" t="s">
        <v>1670</v>
      </c>
      <c r="E115" s="6" t="s">
        <v>1695</v>
      </c>
      <c r="F115" s="6" t="s">
        <v>1696</v>
      </c>
    </row>
    <row r="116" customFormat="false" ht="114.75" hidden="false" customHeight="true" outlineLevel="0" collapsed="false">
      <c r="A116" s="5" t="s">
        <v>1697</v>
      </c>
      <c r="B116" s="5" t="s">
        <v>1461</v>
      </c>
      <c r="C116" s="5" t="s">
        <v>146</v>
      </c>
      <c r="D116" s="5" t="s">
        <v>213</v>
      </c>
      <c r="E116" s="5" t="s">
        <v>1698</v>
      </c>
      <c r="F116" s="5" t="s">
        <v>1699</v>
      </c>
    </row>
    <row r="117" customFormat="false" ht="114.75" hidden="false" customHeight="true" outlineLevel="0" collapsed="false">
      <c r="A117" s="6" t="s">
        <v>1700</v>
      </c>
      <c r="B117" s="6" t="s">
        <v>1461</v>
      </c>
      <c r="C117" s="6" t="s">
        <v>155</v>
      </c>
      <c r="D117" s="6" t="s">
        <v>213</v>
      </c>
      <c r="E117" s="6" t="s">
        <v>1701</v>
      </c>
      <c r="F117" s="6" t="s">
        <v>1702</v>
      </c>
    </row>
    <row r="118" customFormat="false" ht="114.75" hidden="false" customHeight="true" outlineLevel="0" collapsed="false">
      <c r="A118" s="5" t="s">
        <v>1703</v>
      </c>
      <c r="B118" s="5" t="s">
        <v>322</v>
      </c>
      <c r="C118" s="5" t="s">
        <v>1278</v>
      </c>
      <c r="D118" s="5" t="s">
        <v>213</v>
      </c>
      <c r="E118" s="5" t="s">
        <v>1704</v>
      </c>
      <c r="F118" s="5" t="s">
        <v>1705</v>
      </c>
    </row>
    <row r="119" customFormat="false" ht="114.75" hidden="false" customHeight="true" outlineLevel="0" collapsed="false">
      <c r="A119" s="6" t="s">
        <v>1706</v>
      </c>
      <c r="B119" s="6" t="s">
        <v>1147</v>
      </c>
      <c r="C119" s="6" t="s">
        <v>1278</v>
      </c>
      <c r="D119" s="6" t="s">
        <v>1707</v>
      </c>
      <c r="E119" s="6" t="s">
        <v>66</v>
      </c>
      <c r="F119" s="6" t="s">
        <v>1708</v>
      </c>
    </row>
    <row r="120" customFormat="false" ht="114.75" hidden="false" customHeight="true" outlineLevel="0" collapsed="false">
      <c r="A120" s="5" t="s">
        <v>1709</v>
      </c>
      <c r="B120" s="5" t="s">
        <v>135</v>
      </c>
      <c r="C120" s="5" t="s">
        <v>1477</v>
      </c>
      <c r="D120" s="5" t="s">
        <v>1670</v>
      </c>
      <c r="E120" s="5" t="s">
        <v>1710</v>
      </c>
      <c r="F120" s="5" t="s">
        <v>1711</v>
      </c>
    </row>
    <row r="121" customFormat="false" ht="114.75" hidden="false" customHeight="true" outlineLevel="0" collapsed="false">
      <c r="A121" s="6" t="s">
        <v>1712</v>
      </c>
      <c r="B121" s="6" t="s">
        <v>1713</v>
      </c>
      <c r="C121" s="6" t="s">
        <v>135</v>
      </c>
      <c r="D121" s="6" t="s">
        <v>895</v>
      </c>
      <c r="E121" s="6" t="s">
        <v>1714</v>
      </c>
      <c r="F121" s="6" t="s">
        <v>1715</v>
      </c>
    </row>
    <row r="122" customFormat="false" ht="114.75" hidden="false" customHeight="true" outlineLevel="0" collapsed="false">
      <c r="A122" s="5" t="s">
        <v>1716</v>
      </c>
      <c r="B122" s="5" t="s">
        <v>1717</v>
      </c>
      <c r="C122" s="5" t="s">
        <v>135</v>
      </c>
      <c r="D122" s="5" t="s">
        <v>1718</v>
      </c>
      <c r="E122" s="5" t="s">
        <v>1719</v>
      </c>
      <c r="F122" s="5" t="s">
        <v>1720</v>
      </c>
    </row>
    <row r="123" customFormat="false" ht="114.75" hidden="false" customHeight="true" outlineLevel="0" collapsed="false">
      <c r="A123" s="6" t="s">
        <v>1721</v>
      </c>
      <c r="B123" s="6" t="s">
        <v>1722</v>
      </c>
      <c r="C123" s="6" t="s">
        <v>140</v>
      </c>
      <c r="D123" s="6" t="s">
        <v>1507</v>
      </c>
      <c r="E123" s="6" t="s">
        <v>1723</v>
      </c>
      <c r="F123" s="6" t="s">
        <v>1724</v>
      </c>
    </row>
    <row r="124" customFormat="false" ht="114.75" hidden="false" customHeight="true" outlineLevel="0" collapsed="false">
      <c r="A124" s="5" t="s">
        <v>1725</v>
      </c>
      <c r="B124" s="5" t="s">
        <v>1726</v>
      </c>
      <c r="C124" s="5" t="s">
        <v>140</v>
      </c>
      <c r="D124" s="5" t="s">
        <v>895</v>
      </c>
      <c r="E124" s="5" t="s">
        <v>1727</v>
      </c>
      <c r="F124" s="5" t="s">
        <v>1728</v>
      </c>
    </row>
    <row r="125" customFormat="false" ht="114.75" hidden="false" customHeight="true" outlineLevel="0" collapsed="false">
      <c r="A125" s="6" t="s">
        <v>1729</v>
      </c>
      <c r="B125" s="6" t="s">
        <v>1730</v>
      </c>
      <c r="C125" s="6" t="s">
        <v>140</v>
      </c>
      <c r="D125" s="6" t="s">
        <v>1731</v>
      </c>
      <c r="E125" s="6" t="s">
        <v>1732</v>
      </c>
      <c r="F125" s="6" t="s">
        <v>1733</v>
      </c>
    </row>
    <row r="126" customFormat="false" ht="114.75" hidden="false" customHeight="true" outlineLevel="0" collapsed="false">
      <c r="A126" s="5" t="s">
        <v>1734</v>
      </c>
      <c r="B126" s="5" t="s">
        <v>1735</v>
      </c>
      <c r="C126" s="5" t="s">
        <v>140</v>
      </c>
      <c r="D126" s="5" t="s">
        <v>1736</v>
      </c>
      <c r="E126" s="5" t="s">
        <v>1737</v>
      </c>
      <c r="F126" s="5" t="s">
        <v>1738</v>
      </c>
    </row>
    <row r="127" customFormat="false" ht="114.75" hidden="false" customHeight="true" outlineLevel="0" collapsed="false">
      <c r="A127" s="6" t="s">
        <v>1739</v>
      </c>
      <c r="B127" s="6" t="s">
        <v>1740</v>
      </c>
      <c r="C127" s="6" t="s">
        <v>140</v>
      </c>
      <c r="D127" s="6" t="s">
        <v>1670</v>
      </c>
      <c r="E127" s="6" t="s">
        <v>1741</v>
      </c>
      <c r="F127" s="6" t="s">
        <v>1742</v>
      </c>
    </row>
    <row r="128" customFormat="false" ht="114.75" hidden="false" customHeight="true" outlineLevel="0" collapsed="false">
      <c r="A128" s="5" t="s">
        <v>1743</v>
      </c>
      <c r="B128" s="5" t="s">
        <v>1744</v>
      </c>
      <c r="C128" s="5" t="s">
        <v>1493</v>
      </c>
      <c r="D128" s="5" t="s">
        <v>1745</v>
      </c>
      <c r="E128" s="5" t="s">
        <v>1746</v>
      </c>
      <c r="F128" s="5" t="s">
        <v>1747</v>
      </c>
    </row>
    <row r="129" customFormat="false" ht="114.75" hidden="false" customHeight="true" outlineLevel="0" collapsed="false">
      <c r="A129" s="6" t="s">
        <v>1748</v>
      </c>
      <c r="B129" s="6" t="s">
        <v>1749</v>
      </c>
      <c r="C129" s="6" t="s">
        <v>1574</v>
      </c>
      <c r="D129" s="6" t="s">
        <v>223</v>
      </c>
      <c r="E129" s="6" t="s">
        <v>1750</v>
      </c>
      <c r="F129" s="6" t="s">
        <v>1751</v>
      </c>
    </row>
    <row r="130" customFormat="false" ht="114.75" hidden="false" customHeight="true" outlineLevel="0" collapsed="false">
      <c r="A130" s="5" t="s">
        <v>1752</v>
      </c>
      <c r="B130" s="5" t="s">
        <v>326</v>
      </c>
      <c r="C130" s="5" t="s">
        <v>1554</v>
      </c>
      <c r="D130" s="5" t="s">
        <v>223</v>
      </c>
      <c r="E130" s="5" t="s">
        <v>1753</v>
      </c>
      <c r="F130" s="5" t="s">
        <v>1754</v>
      </c>
    </row>
    <row r="131" customFormat="false" ht="114.75" hidden="false" customHeight="true" outlineLevel="0" collapsed="false">
      <c r="A131" s="6" t="s">
        <v>1755</v>
      </c>
      <c r="B131" s="6" t="s">
        <v>1756</v>
      </c>
      <c r="C131" s="6" t="s">
        <v>1305</v>
      </c>
      <c r="D131" s="6" t="s">
        <v>895</v>
      </c>
      <c r="E131" s="6" t="s">
        <v>1757</v>
      </c>
      <c r="F131" s="6" t="s">
        <v>1758</v>
      </c>
    </row>
    <row r="132" customFormat="false" ht="114.75" hidden="false" customHeight="true" outlineLevel="0" collapsed="false">
      <c r="A132" s="5" t="s">
        <v>1759</v>
      </c>
      <c r="B132" s="5" t="s">
        <v>1138</v>
      </c>
      <c r="C132" s="5" t="s">
        <v>1282</v>
      </c>
      <c r="D132" s="5" t="s">
        <v>1745</v>
      </c>
      <c r="E132" s="5" t="s">
        <v>1760</v>
      </c>
      <c r="F132" s="5" t="s">
        <v>1761</v>
      </c>
    </row>
    <row r="133" customFormat="false" ht="114.75" hidden="false" customHeight="true" outlineLevel="0" collapsed="false">
      <c r="A133" s="6" t="s">
        <v>1762</v>
      </c>
      <c r="B133" s="6" t="s">
        <v>1763</v>
      </c>
      <c r="C133" s="6" t="s">
        <v>1764</v>
      </c>
      <c r="D133" s="6" t="s">
        <v>1507</v>
      </c>
      <c r="E133" s="6" t="s">
        <v>1765</v>
      </c>
      <c r="F133" s="6" t="s">
        <v>1766</v>
      </c>
    </row>
    <row r="134" customFormat="false" ht="114.75" hidden="false" customHeight="true" outlineLevel="0" collapsed="false">
      <c r="A134" s="5" t="s">
        <v>1767</v>
      </c>
      <c r="B134" s="5" t="s">
        <v>35</v>
      </c>
      <c r="C134" s="5" t="s">
        <v>1278</v>
      </c>
      <c r="D134" s="5" t="s">
        <v>1768</v>
      </c>
      <c r="E134" s="5" t="s">
        <v>1769</v>
      </c>
      <c r="F134" s="5" t="s">
        <v>1770</v>
      </c>
    </row>
    <row r="135" customFormat="false" ht="114.75" hidden="false" customHeight="true" outlineLevel="0" collapsed="false">
      <c r="A135" s="6" t="s">
        <v>1771</v>
      </c>
      <c r="B135" s="6" t="s">
        <v>1772</v>
      </c>
      <c r="C135" s="6" t="s">
        <v>1773</v>
      </c>
      <c r="D135" s="6" t="s">
        <v>1774</v>
      </c>
      <c r="E135" s="6" t="s">
        <v>1775</v>
      </c>
      <c r="F135" s="6" t="s">
        <v>1776</v>
      </c>
    </row>
    <row r="136" customFormat="false" ht="114.75" hidden="false" customHeight="true" outlineLevel="0" collapsed="false">
      <c r="A136" s="5" t="s">
        <v>1777</v>
      </c>
      <c r="B136" s="5" t="s">
        <v>35</v>
      </c>
      <c r="C136" s="5" t="s">
        <v>1778</v>
      </c>
      <c r="D136" s="5" t="s">
        <v>340</v>
      </c>
      <c r="E136" s="5" t="s">
        <v>1779</v>
      </c>
      <c r="F136" s="5" t="s">
        <v>1780</v>
      </c>
    </row>
    <row r="137" customFormat="false" ht="114.75" hidden="false" customHeight="true" outlineLevel="0" collapsed="false">
      <c r="A137" s="6" t="s">
        <v>1781</v>
      </c>
      <c r="B137" s="6" t="s">
        <v>35</v>
      </c>
      <c r="C137" s="6" t="s">
        <v>1778</v>
      </c>
      <c r="D137" s="6" t="s">
        <v>345</v>
      </c>
      <c r="E137" s="6" t="s">
        <v>1782</v>
      </c>
      <c r="F137" s="6" t="s">
        <v>1783</v>
      </c>
    </row>
    <row r="138" customFormat="false" ht="114.75" hidden="false" customHeight="true" outlineLevel="0" collapsed="false">
      <c r="A138" s="5" t="s">
        <v>1784</v>
      </c>
      <c r="B138" s="5" t="s">
        <v>35</v>
      </c>
      <c r="C138" s="5" t="s">
        <v>1778</v>
      </c>
      <c r="D138" s="5" t="s">
        <v>350</v>
      </c>
      <c r="E138" s="5" t="s">
        <v>1785</v>
      </c>
      <c r="F138" s="5" t="s">
        <v>1786</v>
      </c>
    </row>
    <row r="139" customFormat="false" ht="114.75" hidden="false" customHeight="true" outlineLevel="0" collapsed="false">
      <c r="A139" s="6" t="s">
        <v>1787</v>
      </c>
      <c r="B139" s="6" t="s">
        <v>35</v>
      </c>
      <c r="C139" s="6" t="s">
        <v>1778</v>
      </c>
      <c r="D139" s="6" t="s">
        <v>355</v>
      </c>
      <c r="E139" s="6" t="s">
        <v>1788</v>
      </c>
      <c r="F139" s="6" t="s">
        <v>1789</v>
      </c>
    </row>
    <row r="140" customFormat="false" ht="114.75" hidden="false" customHeight="true" outlineLevel="0" collapsed="false">
      <c r="A140" s="5" t="s">
        <v>1790</v>
      </c>
      <c r="B140" s="5" t="s">
        <v>35</v>
      </c>
      <c r="C140" s="5" t="s">
        <v>1778</v>
      </c>
      <c r="D140" s="5" t="s">
        <v>355</v>
      </c>
      <c r="E140" s="5" t="s">
        <v>1791</v>
      </c>
      <c r="F140" s="5" t="s">
        <v>1792</v>
      </c>
    </row>
    <row r="141" customFormat="false" ht="114.75" hidden="false" customHeight="true" outlineLevel="0" collapsed="false">
      <c r="A141" s="6" t="s">
        <v>1793</v>
      </c>
      <c r="B141" s="6" t="s">
        <v>35</v>
      </c>
      <c r="C141" s="6" t="s">
        <v>1778</v>
      </c>
      <c r="D141" s="6" t="s">
        <v>345</v>
      </c>
      <c r="E141" s="6" t="s">
        <v>1794</v>
      </c>
      <c r="F141" s="6" t="s">
        <v>1795</v>
      </c>
    </row>
    <row r="142" customFormat="false" ht="114.75" hidden="false" customHeight="true" outlineLevel="0" collapsed="false">
      <c r="A142" s="5" t="s">
        <v>1796</v>
      </c>
      <c r="B142" s="5" t="s">
        <v>35</v>
      </c>
      <c r="C142" s="5" t="s">
        <v>1778</v>
      </c>
      <c r="D142" s="5" t="s">
        <v>340</v>
      </c>
      <c r="E142" s="5" t="s">
        <v>1797</v>
      </c>
      <c r="F142" s="5" t="s">
        <v>1798</v>
      </c>
    </row>
    <row r="143" customFormat="false" ht="114.75" hidden="false" customHeight="true" outlineLevel="0" collapsed="false">
      <c r="A143" s="6" t="s">
        <v>1799</v>
      </c>
      <c r="B143" s="6" t="s">
        <v>35</v>
      </c>
      <c r="C143" s="6" t="s">
        <v>1778</v>
      </c>
      <c r="D143" s="6" t="s">
        <v>372</v>
      </c>
      <c r="E143" s="6" t="s">
        <v>1800</v>
      </c>
      <c r="F143" s="6" t="s">
        <v>1801</v>
      </c>
    </row>
    <row r="144" customFormat="false" ht="114.75" hidden="false" customHeight="true" outlineLevel="0" collapsed="false">
      <c r="A144" s="5" t="s">
        <v>1802</v>
      </c>
      <c r="B144" s="5" t="s">
        <v>35</v>
      </c>
      <c r="C144" s="5" t="s">
        <v>1778</v>
      </c>
      <c r="D144" s="5" t="s">
        <v>377</v>
      </c>
      <c r="E144" s="5" t="s">
        <v>1803</v>
      </c>
      <c r="F144" s="5" t="s">
        <v>1804</v>
      </c>
    </row>
    <row r="145" customFormat="false" ht="114.75" hidden="false" customHeight="true" outlineLevel="0" collapsed="false">
      <c r="A145" s="6" t="s">
        <v>1805</v>
      </c>
      <c r="B145" s="6" t="s">
        <v>35</v>
      </c>
      <c r="C145" s="6" t="s">
        <v>1778</v>
      </c>
      <c r="D145" s="6" t="s">
        <v>380</v>
      </c>
      <c r="E145" s="6" t="s">
        <v>1803</v>
      </c>
      <c r="F145" s="6" t="s">
        <v>1806</v>
      </c>
    </row>
    <row r="146" customFormat="false" ht="114.75" hidden="false" customHeight="true" outlineLevel="0" collapsed="false">
      <c r="A146" s="5" t="s">
        <v>1807</v>
      </c>
      <c r="B146" s="5" t="s">
        <v>35</v>
      </c>
      <c r="C146" s="5" t="s">
        <v>1778</v>
      </c>
      <c r="D146" s="5" t="s">
        <v>1808</v>
      </c>
      <c r="E146" s="5" t="s">
        <v>1809</v>
      </c>
      <c r="F146" s="5" t="s">
        <v>1810</v>
      </c>
    </row>
    <row r="147" customFormat="false" ht="114.75" hidden="false" customHeight="true" outlineLevel="0" collapsed="false">
      <c r="A147" s="6" t="s">
        <v>1811</v>
      </c>
      <c r="B147" s="6" t="s">
        <v>35</v>
      </c>
      <c r="C147" s="6" t="s">
        <v>1778</v>
      </c>
      <c r="D147" s="6" t="s">
        <v>340</v>
      </c>
      <c r="E147" s="6" t="s">
        <v>1812</v>
      </c>
      <c r="F147" s="6" t="s">
        <v>1189</v>
      </c>
    </row>
    <row r="148" customFormat="false" ht="114.75" hidden="false" customHeight="true" outlineLevel="0" collapsed="false">
      <c r="A148" s="5" t="s">
        <v>1813</v>
      </c>
      <c r="B148" s="5" t="s">
        <v>35</v>
      </c>
      <c r="C148" s="5" t="s">
        <v>1778</v>
      </c>
      <c r="D148" s="5" t="s">
        <v>394</v>
      </c>
      <c r="E148" s="5" t="s">
        <v>1814</v>
      </c>
      <c r="F148" s="5" t="s">
        <v>1815</v>
      </c>
    </row>
    <row r="149" customFormat="false" ht="114.75" hidden="false" customHeight="true" outlineLevel="0" collapsed="false">
      <c r="A149" s="6" t="s">
        <v>1816</v>
      </c>
      <c r="B149" s="6" t="s">
        <v>35</v>
      </c>
      <c r="C149" s="6" t="s">
        <v>1778</v>
      </c>
      <c r="D149" s="6" t="s">
        <v>419</v>
      </c>
      <c r="E149" s="6" t="s">
        <v>1817</v>
      </c>
      <c r="F149" s="6" t="s">
        <v>1818</v>
      </c>
    </row>
    <row r="150" customFormat="false" ht="114.75" hidden="false" customHeight="true" outlineLevel="0" collapsed="false">
      <c r="A150" s="5" t="s">
        <v>1819</v>
      </c>
      <c r="B150" s="5" t="s">
        <v>1820</v>
      </c>
      <c r="C150" s="5" t="s">
        <v>1821</v>
      </c>
      <c r="D150" s="5" t="s">
        <v>1822</v>
      </c>
      <c r="E150" s="5" t="s">
        <v>1823</v>
      </c>
      <c r="F150" s="5" t="s">
        <v>1824</v>
      </c>
    </row>
    <row r="151" customFormat="false" ht="114.75" hidden="false" customHeight="true" outlineLevel="0" collapsed="false">
      <c r="A151" s="6" t="s">
        <v>1825</v>
      </c>
      <c r="B151" s="6" t="s">
        <v>1820</v>
      </c>
      <c r="C151" s="6" t="s">
        <v>1821</v>
      </c>
      <c r="D151" s="6" t="s">
        <v>1822</v>
      </c>
      <c r="E151" s="6" t="s">
        <v>1826</v>
      </c>
      <c r="F151" s="6" t="s">
        <v>1827</v>
      </c>
    </row>
    <row r="152" customFormat="false" ht="114.75" hidden="false" customHeight="true" outlineLevel="0" collapsed="false">
      <c r="A152" s="5" t="s">
        <v>1828</v>
      </c>
      <c r="B152" s="5" t="s">
        <v>1820</v>
      </c>
      <c r="C152" s="5" t="s">
        <v>1821</v>
      </c>
      <c r="D152" s="5" t="s">
        <v>1822</v>
      </c>
      <c r="E152" s="5" t="s">
        <v>1829</v>
      </c>
      <c r="F152" s="5" t="s">
        <v>1830</v>
      </c>
    </row>
    <row r="153" customFormat="false" ht="114.75" hidden="false" customHeight="true" outlineLevel="0" collapsed="false">
      <c r="A153" s="6" t="s">
        <v>1831</v>
      </c>
      <c r="B153" s="6" t="s">
        <v>1820</v>
      </c>
      <c r="C153" s="6" t="s">
        <v>1821</v>
      </c>
      <c r="D153" s="6" t="s">
        <v>1822</v>
      </c>
      <c r="E153" s="6" t="s">
        <v>1832</v>
      </c>
      <c r="F153" s="6" t="s">
        <v>1833</v>
      </c>
    </row>
    <row r="154" customFormat="false" ht="114.75" hidden="false" customHeight="true" outlineLevel="0" collapsed="false">
      <c r="A154" s="5" t="s">
        <v>1834</v>
      </c>
      <c r="B154" s="5" t="s">
        <v>1820</v>
      </c>
      <c r="C154" s="5" t="s">
        <v>1821</v>
      </c>
      <c r="D154" s="5" t="s">
        <v>1822</v>
      </c>
      <c r="E154" s="5" t="s">
        <v>1835</v>
      </c>
      <c r="F154" s="5" t="s">
        <v>1836</v>
      </c>
    </row>
    <row r="155" customFormat="false" ht="114.75" hidden="false" customHeight="true" outlineLevel="0" collapsed="false">
      <c r="A155" s="6" t="s">
        <v>1837</v>
      </c>
      <c r="B155" s="6" t="s">
        <v>50</v>
      </c>
      <c r="C155" s="6" t="s">
        <v>155</v>
      </c>
      <c r="D155" s="6" t="s">
        <v>237</v>
      </c>
      <c r="E155" s="6" t="s">
        <v>1838</v>
      </c>
      <c r="F155" s="6" t="s">
        <v>1839</v>
      </c>
    </row>
    <row r="156" customFormat="false" ht="114.75" hidden="false" customHeight="true" outlineLevel="0" collapsed="false">
      <c r="A156" s="5" t="s">
        <v>1840</v>
      </c>
      <c r="B156" s="5" t="s">
        <v>50</v>
      </c>
      <c r="C156" s="5" t="s">
        <v>155</v>
      </c>
      <c r="D156" s="5" t="s">
        <v>237</v>
      </c>
      <c r="E156" s="5" t="s">
        <v>1841</v>
      </c>
      <c r="F156" s="5" t="s">
        <v>1842</v>
      </c>
    </row>
    <row r="157" customFormat="false" ht="114.75" hidden="false" customHeight="true" outlineLevel="0" collapsed="false">
      <c r="A157" s="6" t="s">
        <v>1843</v>
      </c>
      <c r="B157" s="6" t="s">
        <v>50</v>
      </c>
      <c r="C157" s="6" t="s">
        <v>155</v>
      </c>
      <c r="D157" s="6" t="s">
        <v>598</v>
      </c>
      <c r="E157" s="6" t="s">
        <v>1844</v>
      </c>
      <c r="F157" s="6" t="s">
        <v>1845</v>
      </c>
    </row>
    <row r="158" customFormat="false" ht="114.75" hidden="false" customHeight="true" outlineLevel="0" collapsed="false">
      <c r="A158" s="5" t="s">
        <v>1846</v>
      </c>
      <c r="B158" s="5" t="s">
        <v>50</v>
      </c>
      <c r="C158" s="5" t="s">
        <v>155</v>
      </c>
      <c r="D158" s="5" t="s">
        <v>237</v>
      </c>
      <c r="E158" s="5" t="s">
        <v>1847</v>
      </c>
      <c r="F158" s="5" t="s">
        <v>1848</v>
      </c>
    </row>
    <row r="159" customFormat="false" ht="114.75" hidden="false" customHeight="true" outlineLevel="0" collapsed="false">
      <c r="A159" s="6" t="s">
        <v>1849</v>
      </c>
      <c r="B159" s="6" t="s">
        <v>50</v>
      </c>
      <c r="C159" s="6" t="s">
        <v>155</v>
      </c>
      <c r="D159" s="6" t="s">
        <v>237</v>
      </c>
      <c r="E159" s="6" t="s">
        <v>1850</v>
      </c>
      <c r="F159" s="6" t="s">
        <v>1851</v>
      </c>
    </row>
    <row r="160" customFormat="false" ht="114.75" hidden="false" customHeight="true" outlineLevel="0" collapsed="false">
      <c r="A160" s="5" t="s">
        <v>1852</v>
      </c>
      <c r="B160" s="5" t="s">
        <v>50</v>
      </c>
      <c r="C160" s="5" t="s">
        <v>155</v>
      </c>
      <c r="D160" s="5" t="s">
        <v>237</v>
      </c>
      <c r="E160" s="5" t="s">
        <v>1853</v>
      </c>
      <c r="F160" s="5" t="s">
        <v>1854</v>
      </c>
    </row>
    <row r="161" customFormat="false" ht="114.75" hidden="false" customHeight="true" outlineLevel="0" collapsed="false">
      <c r="A161" s="6" t="s">
        <v>1855</v>
      </c>
      <c r="B161" s="6" t="s">
        <v>50</v>
      </c>
      <c r="C161" s="6" t="s">
        <v>155</v>
      </c>
      <c r="D161" s="6" t="s">
        <v>615</v>
      </c>
      <c r="E161" s="6" t="s">
        <v>1856</v>
      </c>
      <c r="F161" s="6" t="s">
        <v>1857</v>
      </c>
    </row>
    <row r="162" customFormat="false" ht="114.75" hidden="false" customHeight="true" outlineLevel="0" collapsed="false">
      <c r="A162" s="5" t="s">
        <v>1858</v>
      </c>
      <c r="B162" s="5" t="s">
        <v>50</v>
      </c>
      <c r="C162" s="5" t="s">
        <v>155</v>
      </c>
      <c r="D162" s="5" t="s">
        <v>620</v>
      </c>
      <c r="E162" s="5" t="s">
        <v>1859</v>
      </c>
      <c r="F162" s="5" t="s">
        <v>1860</v>
      </c>
    </row>
    <row r="163" customFormat="false" ht="114.75" hidden="false" customHeight="true" outlineLevel="0" collapsed="false">
      <c r="A163" s="6" t="s">
        <v>1861</v>
      </c>
      <c r="B163" s="6" t="s">
        <v>50</v>
      </c>
      <c r="C163" s="6" t="s">
        <v>155</v>
      </c>
      <c r="D163" s="6" t="s">
        <v>625</v>
      </c>
      <c r="E163" s="6" t="s">
        <v>1862</v>
      </c>
      <c r="F163" s="6" t="s">
        <v>1863</v>
      </c>
    </row>
    <row r="164" customFormat="false" ht="114.75" hidden="false" customHeight="true" outlineLevel="0" collapsed="false">
      <c r="A164" s="5" t="s">
        <v>1864</v>
      </c>
      <c r="B164" s="5" t="s">
        <v>50</v>
      </c>
      <c r="C164" s="5" t="s">
        <v>155</v>
      </c>
      <c r="D164" s="5" t="s">
        <v>237</v>
      </c>
      <c r="E164" s="5" t="s">
        <v>1865</v>
      </c>
      <c r="F164" s="5" t="s">
        <v>1866</v>
      </c>
    </row>
    <row r="165" customFormat="false" ht="114.75" hidden="false" customHeight="true" outlineLevel="0" collapsed="false">
      <c r="A165" s="6" t="s">
        <v>1867</v>
      </c>
      <c r="B165" s="6" t="s">
        <v>50</v>
      </c>
      <c r="C165" s="6" t="s">
        <v>155</v>
      </c>
      <c r="D165" s="6" t="s">
        <v>340</v>
      </c>
      <c r="E165" s="6" t="s">
        <v>1868</v>
      </c>
      <c r="F165" s="6" t="s">
        <v>1869</v>
      </c>
    </row>
    <row r="166" customFormat="false" ht="114.75" hidden="false" customHeight="true" outlineLevel="0" collapsed="false">
      <c r="A166" s="5" t="s">
        <v>1870</v>
      </c>
      <c r="B166" s="5" t="s">
        <v>50</v>
      </c>
      <c r="C166" s="5" t="s">
        <v>155</v>
      </c>
      <c r="D166" s="5" t="s">
        <v>237</v>
      </c>
      <c r="E166" s="5" t="s">
        <v>1871</v>
      </c>
      <c r="F166" s="5" t="s">
        <v>1872</v>
      </c>
    </row>
    <row r="167" customFormat="false" ht="114.75" hidden="false" customHeight="true" outlineLevel="0" collapsed="false">
      <c r="A167" s="6" t="s">
        <v>1873</v>
      </c>
      <c r="B167" s="6" t="s">
        <v>50</v>
      </c>
      <c r="C167" s="6" t="s">
        <v>155</v>
      </c>
      <c r="D167" s="6" t="s">
        <v>642</v>
      </c>
      <c r="E167" s="6" t="s">
        <v>1874</v>
      </c>
      <c r="F167" s="6" t="s">
        <v>1875</v>
      </c>
    </row>
    <row r="168" customFormat="false" ht="114.75" hidden="false" customHeight="true" outlineLevel="0" collapsed="false">
      <c r="A168" s="5" t="s">
        <v>1876</v>
      </c>
      <c r="B168" s="5" t="s">
        <v>50</v>
      </c>
      <c r="C168" s="5" t="s">
        <v>155</v>
      </c>
      <c r="D168" s="5" t="s">
        <v>647</v>
      </c>
      <c r="E168" s="5" t="s">
        <v>1877</v>
      </c>
      <c r="F168" s="5" t="s">
        <v>1878</v>
      </c>
    </row>
    <row r="169" customFormat="false" ht="114.75" hidden="false" customHeight="true" outlineLevel="0" collapsed="false">
      <c r="A169" s="6" t="s">
        <v>1879</v>
      </c>
      <c r="B169" s="6" t="s">
        <v>50</v>
      </c>
      <c r="C169" s="6" t="s">
        <v>155</v>
      </c>
      <c r="D169" s="6" t="s">
        <v>237</v>
      </c>
      <c r="E169" s="6" t="s">
        <v>1880</v>
      </c>
      <c r="F169" s="6" t="s">
        <v>1881</v>
      </c>
    </row>
    <row r="170" customFormat="false" ht="114.75" hidden="false" customHeight="true" outlineLevel="0" collapsed="false">
      <c r="A170" s="5" t="s">
        <v>1882</v>
      </c>
      <c r="B170" s="5" t="s">
        <v>50</v>
      </c>
      <c r="C170" s="5" t="s">
        <v>155</v>
      </c>
      <c r="D170" s="5" t="s">
        <v>237</v>
      </c>
      <c r="E170" s="5" t="s">
        <v>1883</v>
      </c>
      <c r="F170" s="5" t="s">
        <v>1884</v>
      </c>
    </row>
    <row r="171" customFormat="false" ht="114.75" hidden="false" customHeight="true" outlineLevel="0" collapsed="false">
      <c r="A171" s="6" t="s">
        <v>1885</v>
      </c>
      <c r="B171" s="6" t="s">
        <v>50</v>
      </c>
      <c r="C171" s="6" t="s">
        <v>155</v>
      </c>
      <c r="D171" s="6" t="s">
        <v>647</v>
      </c>
      <c r="E171" s="6" t="s">
        <v>1886</v>
      </c>
      <c r="F171" s="6" t="s">
        <v>1887</v>
      </c>
    </row>
    <row r="172" customFormat="false" ht="114.75" hidden="false" customHeight="true" outlineLevel="0" collapsed="false">
      <c r="A172" s="5" t="s">
        <v>1888</v>
      </c>
      <c r="B172" s="5" t="s">
        <v>50</v>
      </c>
      <c r="C172" s="5" t="s">
        <v>155</v>
      </c>
      <c r="D172" s="5" t="s">
        <v>647</v>
      </c>
      <c r="E172" s="5" t="s">
        <v>1889</v>
      </c>
      <c r="F172" s="5" t="s">
        <v>1890</v>
      </c>
    </row>
    <row r="173" customFormat="false" ht="114.75" hidden="false" customHeight="true" outlineLevel="0" collapsed="false">
      <c r="A173" s="6" t="s">
        <v>1891</v>
      </c>
      <c r="B173" s="6" t="s">
        <v>50</v>
      </c>
      <c r="C173" s="6" t="s">
        <v>155</v>
      </c>
      <c r="D173" s="6" t="s">
        <v>667</v>
      </c>
      <c r="E173" s="6" t="s">
        <v>1892</v>
      </c>
      <c r="F173" s="6" t="s">
        <v>1893</v>
      </c>
    </row>
    <row r="174" customFormat="false" ht="114.75" hidden="false" customHeight="true" outlineLevel="0" collapsed="false">
      <c r="A174" s="5" t="s">
        <v>1894</v>
      </c>
      <c r="B174" s="5" t="s">
        <v>50</v>
      </c>
      <c r="C174" s="5" t="s">
        <v>155</v>
      </c>
      <c r="D174" s="5" t="s">
        <v>672</v>
      </c>
      <c r="E174" s="5" t="s">
        <v>1895</v>
      </c>
      <c r="F174" s="5" t="s">
        <v>1896</v>
      </c>
    </row>
    <row r="175" customFormat="false" ht="114.75" hidden="false" customHeight="true" outlineLevel="0" collapsed="false">
      <c r="A175" s="6" t="s">
        <v>1897</v>
      </c>
      <c r="B175" s="6" t="s">
        <v>50</v>
      </c>
      <c r="C175" s="6" t="s">
        <v>155</v>
      </c>
      <c r="D175" s="6" t="s">
        <v>672</v>
      </c>
      <c r="E175" s="6" t="s">
        <v>1898</v>
      </c>
      <c r="F175" s="6" t="s">
        <v>1899</v>
      </c>
    </row>
    <row r="176" customFormat="false" ht="114.75" hidden="false" customHeight="true" outlineLevel="0" collapsed="false">
      <c r="A176" s="5" t="s">
        <v>1900</v>
      </c>
      <c r="B176" s="5" t="s">
        <v>53</v>
      </c>
      <c r="C176" s="5" t="s">
        <v>1901</v>
      </c>
      <c r="D176" s="5" t="s">
        <v>753</v>
      </c>
      <c r="E176" s="5" t="s">
        <v>751</v>
      </c>
      <c r="F176" s="5" t="s">
        <v>1902</v>
      </c>
    </row>
    <row r="177" customFormat="false" ht="114.75" hidden="false" customHeight="true" outlineLevel="0" collapsed="false">
      <c r="A177" s="6" t="s">
        <v>1903</v>
      </c>
      <c r="B177" s="6" t="s">
        <v>53</v>
      </c>
      <c r="C177" s="6" t="s">
        <v>1901</v>
      </c>
      <c r="D177" s="6" t="s">
        <v>757</v>
      </c>
      <c r="E177" s="6" t="s">
        <v>755</v>
      </c>
      <c r="F177" s="6" t="s">
        <v>1904</v>
      </c>
    </row>
    <row r="178" customFormat="false" ht="114.75" hidden="false" customHeight="true" outlineLevel="0" collapsed="false">
      <c r="A178" s="5" t="s">
        <v>1905</v>
      </c>
      <c r="B178" s="5" t="s">
        <v>53</v>
      </c>
      <c r="C178" s="5" t="s">
        <v>1901</v>
      </c>
      <c r="D178" s="5" t="s">
        <v>340</v>
      </c>
      <c r="E178" s="5" t="s">
        <v>758</v>
      </c>
      <c r="F178" s="5" t="s">
        <v>1906</v>
      </c>
    </row>
    <row r="179" customFormat="false" ht="114.75" hidden="false" customHeight="true" outlineLevel="0" collapsed="false">
      <c r="A179" s="6" t="s">
        <v>1907</v>
      </c>
      <c r="B179" s="6" t="s">
        <v>53</v>
      </c>
      <c r="C179" s="6" t="s">
        <v>1901</v>
      </c>
      <c r="D179" s="6" t="s">
        <v>340</v>
      </c>
      <c r="E179" s="6" t="s">
        <v>761</v>
      </c>
      <c r="F179" s="6" t="s">
        <v>1908</v>
      </c>
    </row>
    <row r="180" customFormat="false" ht="114.75" hidden="false" customHeight="true" outlineLevel="0" collapsed="false">
      <c r="A180" s="5" t="s">
        <v>1909</v>
      </c>
      <c r="B180" s="5" t="s">
        <v>53</v>
      </c>
      <c r="C180" s="5" t="s">
        <v>1901</v>
      </c>
      <c r="D180" s="5" t="s">
        <v>340</v>
      </c>
      <c r="E180" s="5" t="s">
        <v>764</v>
      </c>
      <c r="F180" s="5" t="s">
        <v>1910</v>
      </c>
    </row>
    <row r="181" customFormat="false" ht="114.75" hidden="false" customHeight="true" outlineLevel="0" collapsed="false">
      <c r="A181" s="6" t="s">
        <v>1911</v>
      </c>
      <c r="B181" s="6" t="s">
        <v>53</v>
      </c>
      <c r="C181" s="6" t="s">
        <v>1901</v>
      </c>
      <c r="D181" s="6" t="s">
        <v>769</v>
      </c>
      <c r="E181" s="6" t="s">
        <v>767</v>
      </c>
      <c r="F181" s="6" t="s">
        <v>1912</v>
      </c>
    </row>
    <row r="182" customFormat="false" ht="114.75" hidden="false" customHeight="true" outlineLevel="0" collapsed="false">
      <c r="A182" s="5" t="s">
        <v>1913</v>
      </c>
      <c r="B182" s="5" t="s">
        <v>53</v>
      </c>
      <c r="C182" s="5" t="s">
        <v>1901</v>
      </c>
      <c r="D182" s="5" t="s">
        <v>773</v>
      </c>
      <c r="E182" s="5" t="s">
        <v>771</v>
      </c>
      <c r="F182" s="5" t="s">
        <v>1914</v>
      </c>
    </row>
    <row r="183" customFormat="false" ht="114.75" hidden="false" customHeight="true" outlineLevel="0" collapsed="false">
      <c r="A183" s="6" t="s">
        <v>1915</v>
      </c>
      <c r="B183" s="6" t="s">
        <v>53</v>
      </c>
      <c r="C183" s="6" t="s">
        <v>1901</v>
      </c>
      <c r="D183" s="6" t="s">
        <v>777</v>
      </c>
      <c r="E183" s="6" t="s">
        <v>775</v>
      </c>
      <c r="F183" s="6" t="s">
        <v>1916</v>
      </c>
    </row>
    <row r="184" customFormat="false" ht="114.75" hidden="false" customHeight="true" outlineLevel="0" collapsed="false">
      <c r="A184" s="5" t="s">
        <v>1917</v>
      </c>
      <c r="B184" s="5" t="s">
        <v>53</v>
      </c>
      <c r="C184" s="5" t="s">
        <v>1901</v>
      </c>
      <c r="D184" s="5" t="s">
        <v>781</v>
      </c>
      <c r="E184" s="5" t="s">
        <v>779</v>
      </c>
      <c r="F184" s="5" t="s">
        <v>1918</v>
      </c>
    </row>
    <row r="185" customFormat="false" ht="114.75" hidden="false" customHeight="true" outlineLevel="0" collapsed="false">
      <c r="A185" s="6" t="s">
        <v>1919</v>
      </c>
      <c r="B185" s="6" t="s">
        <v>53</v>
      </c>
      <c r="C185" s="6" t="s">
        <v>1901</v>
      </c>
      <c r="D185" s="6" t="s">
        <v>340</v>
      </c>
      <c r="E185" s="6" t="s">
        <v>783</v>
      </c>
      <c r="F185" s="6" t="s">
        <v>1920</v>
      </c>
    </row>
    <row r="186" customFormat="false" ht="114.75" hidden="false" customHeight="true" outlineLevel="0" collapsed="false">
      <c r="A186" s="5" t="s">
        <v>1921</v>
      </c>
      <c r="B186" s="5" t="s">
        <v>53</v>
      </c>
      <c r="C186" s="5" t="s">
        <v>1901</v>
      </c>
      <c r="D186" s="5" t="s">
        <v>788</v>
      </c>
      <c r="E186" s="5" t="s">
        <v>786</v>
      </c>
      <c r="F186" s="5" t="s">
        <v>1922</v>
      </c>
    </row>
    <row r="187" customFormat="false" ht="114.75" hidden="false" customHeight="true" outlineLevel="0" collapsed="false">
      <c r="A187" s="6" t="s">
        <v>1923</v>
      </c>
      <c r="B187" s="6" t="s">
        <v>53</v>
      </c>
      <c r="C187" s="6" t="s">
        <v>1901</v>
      </c>
      <c r="D187" s="6" t="s">
        <v>792</v>
      </c>
      <c r="E187" s="6" t="s">
        <v>790</v>
      </c>
      <c r="F187" s="6" t="s">
        <v>1924</v>
      </c>
    </row>
    <row r="188" customFormat="false" ht="120" hidden="false" customHeight="true" outlineLevel="0" collapsed="false">
      <c r="A188" s="5" t="s">
        <v>1925</v>
      </c>
      <c r="B188" s="5" t="s">
        <v>1926</v>
      </c>
      <c r="C188" s="5" t="s">
        <v>1927</v>
      </c>
      <c r="D188" s="5" t="s">
        <v>1928</v>
      </c>
      <c r="E188" s="5" t="s">
        <v>1929</v>
      </c>
      <c r="F188" s="5" t="s">
        <v>1930</v>
      </c>
    </row>
    <row r="189" customFormat="false" ht="120" hidden="false" customHeight="true" outlineLevel="0" collapsed="false">
      <c r="A189" s="6" t="s">
        <v>1931</v>
      </c>
      <c r="B189" s="6" t="s">
        <v>35</v>
      </c>
      <c r="C189" s="6" t="s">
        <v>1927</v>
      </c>
      <c r="D189" s="6" t="s">
        <v>1932</v>
      </c>
      <c r="E189" s="6" t="s">
        <v>1933</v>
      </c>
      <c r="F189" s="6" t="s">
        <v>1934</v>
      </c>
    </row>
    <row r="190" customFormat="false" ht="120" hidden="false" customHeight="true" outlineLevel="0" collapsed="false">
      <c r="A190" s="5" t="s">
        <v>1935</v>
      </c>
      <c r="B190" s="5" t="s">
        <v>1936</v>
      </c>
      <c r="C190" s="5" t="s">
        <v>1927</v>
      </c>
      <c r="D190" s="5" t="s">
        <v>1937</v>
      </c>
      <c r="E190" s="5" t="s">
        <v>1938</v>
      </c>
      <c r="F190" s="5" t="s">
        <v>1939</v>
      </c>
    </row>
    <row r="191" customFormat="false" ht="120" hidden="false" customHeight="true" outlineLevel="0" collapsed="false">
      <c r="A191" s="6" t="s">
        <v>1940</v>
      </c>
      <c r="B191" s="6" t="s">
        <v>1941</v>
      </c>
      <c r="C191" s="6" t="s">
        <v>1927</v>
      </c>
      <c r="D191" s="6" t="s">
        <v>1110</v>
      </c>
      <c r="E191" s="6" t="s">
        <v>1942</v>
      </c>
      <c r="F191" s="6" t="s">
        <v>1943</v>
      </c>
    </row>
    <row r="192" customFormat="false" ht="120" hidden="false" customHeight="true" outlineLevel="0" collapsed="false">
      <c r="A192" s="5" t="s">
        <v>1944</v>
      </c>
      <c r="B192" s="5" t="s">
        <v>1945</v>
      </c>
      <c r="C192" s="5" t="s">
        <v>1927</v>
      </c>
      <c r="D192" s="5" t="s">
        <v>1110</v>
      </c>
      <c r="E192" s="5" t="s">
        <v>1946</v>
      </c>
      <c r="F192" s="5" t="s">
        <v>1947</v>
      </c>
    </row>
    <row r="193" customFormat="false" ht="120" hidden="false" customHeight="true" outlineLevel="0" collapsed="false">
      <c r="A193" s="6" t="s">
        <v>1948</v>
      </c>
      <c r="B193" s="6" t="s">
        <v>1949</v>
      </c>
      <c r="C193" s="6" t="s">
        <v>1927</v>
      </c>
      <c r="D193" s="6" t="s">
        <v>1110</v>
      </c>
      <c r="E193" s="6" t="s">
        <v>1950</v>
      </c>
      <c r="F193" s="6" t="s">
        <v>1951</v>
      </c>
    </row>
    <row r="194" customFormat="false" ht="120" hidden="false" customHeight="true" outlineLevel="0" collapsed="false">
      <c r="A194" s="5" t="s">
        <v>1952</v>
      </c>
      <c r="B194" s="5" t="s">
        <v>1953</v>
      </c>
      <c r="C194" s="5" t="s">
        <v>1927</v>
      </c>
      <c r="D194" s="5" t="s">
        <v>1937</v>
      </c>
      <c r="E194" s="5" t="s">
        <v>1954</v>
      </c>
      <c r="F194" s="5" t="s">
        <v>1955</v>
      </c>
    </row>
    <row r="195" customFormat="false" ht="120" hidden="false" customHeight="true" outlineLevel="0" collapsed="false">
      <c r="A195" s="6" t="s">
        <v>1956</v>
      </c>
      <c r="B195" s="6" t="s">
        <v>1957</v>
      </c>
      <c r="C195" s="6" t="s">
        <v>1927</v>
      </c>
      <c r="D195" s="6" t="s">
        <v>1958</v>
      </c>
      <c r="E195" s="6" t="s">
        <v>1959</v>
      </c>
      <c r="F195" s="6" t="s">
        <v>1960</v>
      </c>
    </row>
    <row r="196" customFormat="false" ht="120" hidden="false" customHeight="true" outlineLevel="0" collapsed="false">
      <c r="A196" s="5" t="s">
        <v>1961</v>
      </c>
      <c r="B196" s="5" t="s">
        <v>1962</v>
      </c>
      <c r="C196" s="5" t="s">
        <v>1927</v>
      </c>
      <c r="D196" s="5" t="s">
        <v>1963</v>
      </c>
      <c r="E196" s="5" t="s">
        <v>1964</v>
      </c>
      <c r="F196" s="5" t="s">
        <v>1965</v>
      </c>
    </row>
    <row r="197" customFormat="false" ht="120" hidden="false" customHeight="true" outlineLevel="0" collapsed="false">
      <c r="A197" s="6" t="s">
        <v>1966</v>
      </c>
      <c r="B197" s="6" t="s">
        <v>1967</v>
      </c>
      <c r="C197" s="6" t="s">
        <v>1927</v>
      </c>
      <c r="D197" s="6" t="s">
        <v>1958</v>
      </c>
      <c r="E197" s="6" t="s">
        <v>1968</v>
      </c>
      <c r="F197" s="6" t="s">
        <v>1969</v>
      </c>
    </row>
    <row r="198" customFormat="false" ht="120" hidden="false" customHeight="true" outlineLevel="0" collapsed="false">
      <c r="A198" s="5" t="s">
        <v>1970</v>
      </c>
      <c r="B198" s="5" t="s">
        <v>902</v>
      </c>
      <c r="C198" s="5" t="s">
        <v>1927</v>
      </c>
      <c r="D198" s="5" t="s">
        <v>340</v>
      </c>
      <c r="E198" s="5" t="s">
        <v>1971</v>
      </c>
      <c r="F198" s="5" t="s">
        <v>1972</v>
      </c>
    </row>
    <row r="199" customFormat="false" ht="120" hidden="false" customHeight="true" outlineLevel="0" collapsed="false">
      <c r="A199" s="6" t="s">
        <v>1973</v>
      </c>
      <c r="B199" s="6" t="s">
        <v>1974</v>
      </c>
      <c r="C199" s="6" t="s">
        <v>1927</v>
      </c>
      <c r="D199" s="6" t="s">
        <v>1958</v>
      </c>
      <c r="E199" s="6" t="s">
        <v>1975</v>
      </c>
      <c r="F199" s="6" t="s">
        <v>1976</v>
      </c>
    </row>
    <row r="200" customFormat="false" ht="120" hidden="false" customHeight="true" outlineLevel="0" collapsed="false">
      <c r="A200" s="5" t="s">
        <v>1977</v>
      </c>
      <c r="B200" s="5" t="s">
        <v>1978</v>
      </c>
      <c r="C200" s="5" t="s">
        <v>1927</v>
      </c>
      <c r="D200" s="5" t="s">
        <v>1979</v>
      </c>
      <c r="E200" s="5" t="s">
        <v>1980</v>
      </c>
      <c r="F200" s="5" t="s">
        <v>1981</v>
      </c>
    </row>
    <row r="201" customFormat="false" ht="120" hidden="false" customHeight="true" outlineLevel="0" collapsed="false">
      <c r="A201" s="6" t="s">
        <v>1982</v>
      </c>
      <c r="B201" s="6" t="s">
        <v>1983</v>
      </c>
      <c r="C201" s="6" t="s">
        <v>1927</v>
      </c>
      <c r="D201" s="6" t="s">
        <v>1958</v>
      </c>
      <c r="E201" s="6" t="s">
        <v>1984</v>
      </c>
      <c r="F201" s="6" t="s">
        <v>1985</v>
      </c>
    </row>
    <row r="202" customFormat="false" ht="120" hidden="false" customHeight="true" outlineLevel="0" collapsed="false">
      <c r="A202" s="5" t="s">
        <v>1986</v>
      </c>
      <c r="B202" s="5" t="s">
        <v>1987</v>
      </c>
      <c r="C202" s="5" t="s">
        <v>1927</v>
      </c>
      <c r="D202" s="5" t="s">
        <v>1110</v>
      </c>
      <c r="E202" s="5" t="s">
        <v>1988</v>
      </c>
      <c r="F202" s="5" t="s">
        <v>1989</v>
      </c>
    </row>
    <row r="203" customFormat="false" ht="120" hidden="false" customHeight="true" outlineLevel="0" collapsed="false">
      <c r="A203" s="6" t="s">
        <v>1990</v>
      </c>
      <c r="B203" s="6" t="s">
        <v>1991</v>
      </c>
      <c r="C203" s="6" t="s">
        <v>1927</v>
      </c>
      <c r="D203" s="6" t="s">
        <v>1958</v>
      </c>
      <c r="E203" s="6" t="s">
        <v>1992</v>
      </c>
      <c r="F203" s="6" t="s">
        <v>1993</v>
      </c>
    </row>
    <row r="204" customFormat="false" ht="120" hidden="false" customHeight="true" outlineLevel="0" collapsed="false">
      <c r="A204" s="5" t="s">
        <v>1994</v>
      </c>
      <c r="B204" s="5" t="s">
        <v>1995</v>
      </c>
      <c r="C204" s="5" t="s">
        <v>1927</v>
      </c>
      <c r="D204" s="5" t="s">
        <v>1996</v>
      </c>
      <c r="E204" s="5" t="s">
        <v>1997</v>
      </c>
      <c r="F204" s="5" t="s">
        <v>1998</v>
      </c>
    </row>
    <row r="205" customFormat="false" ht="120" hidden="false" customHeight="true" outlineLevel="0" collapsed="false">
      <c r="A205" s="6" t="s">
        <v>1999</v>
      </c>
      <c r="B205" s="6" t="s">
        <v>326</v>
      </c>
      <c r="C205" s="6" t="s">
        <v>1927</v>
      </c>
      <c r="D205" s="6" t="s">
        <v>1958</v>
      </c>
      <c r="E205" s="6" t="s">
        <v>2000</v>
      </c>
      <c r="F205" s="6" t="s">
        <v>2001</v>
      </c>
    </row>
  </sheetData>
  <autoFilter ref="A5:F205"/>
  <mergeCells count="2">
    <mergeCell ref="A1:F1"/>
    <mergeCell ref="A2:F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E19"/>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5" topLeftCell="C10" activePane="bottomRight" state="frozen"/>
      <selection pane="topLeft" activeCell="A1" activeCellId="0" sqref="A1"/>
      <selection pane="topRight" activeCell="C1" activeCellId="0" sqref="C1"/>
      <selection pane="bottomLeft" activeCell="A10" activeCellId="0" sqref="A10"/>
      <selection pane="bottomRight" activeCell="E16" activeCellId="0" sqref="E16"/>
    </sheetView>
  </sheetViews>
  <sheetFormatPr defaultColWidth="8.6796875" defaultRowHeight="14.25" customHeight="false" zeroHeight="false" outlineLevelRow="0" outlineLevelCol="0"/>
  <cols>
    <col collapsed="false" customWidth="true" hidden="false" outlineLevel="0" max="1" min="1" style="1" width="28.67"/>
    <col collapsed="false" customWidth="true" hidden="false" outlineLevel="0" max="2" min="2" style="1" width="24.67"/>
    <col collapsed="false" customWidth="true" hidden="false" outlineLevel="0" max="3" min="3" style="1" width="26.67"/>
    <col collapsed="false" customWidth="true" hidden="false" outlineLevel="0" max="4" min="4" style="1" width="65.67"/>
    <col collapsed="false" customWidth="true" hidden="false" outlineLevel="0" max="5" min="5" style="1" width="110.67"/>
  </cols>
  <sheetData>
    <row r="1" customFormat="false" ht="33.75" hidden="false" customHeight="true" outlineLevel="0" collapsed="false">
      <c r="A1" s="20" t="s">
        <v>2002</v>
      </c>
      <c r="B1" s="20"/>
      <c r="C1" s="20"/>
      <c r="D1" s="20"/>
      <c r="E1" s="20"/>
    </row>
    <row r="2" customFormat="false" ht="24.75" hidden="false" customHeight="true" outlineLevel="0" collapsed="false">
      <c r="A2" s="21" t="s">
        <v>2003</v>
      </c>
      <c r="B2" s="21"/>
      <c r="C2" s="21"/>
      <c r="D2" s="21"/>
      <c r="E2" s="21"/>
    </row>
    <row r="3" customFormat="false" ht="24.75" hidden="false" customHeight="true" outlineLevel="0" collapsed="false">
      <c r="A3" s="21"/>
      <c r="B3" s="21"/>
      <c r="C3" s="21"/>
      <c r="D3" s="21"/>
      <c r="E3" s="21"/>
    </row>
    <row r="5" customFormat="false" ht="48" hidden="false" customHeight="true" outlineLevel="0" collapsed="false">
      <c r="A5" s="22" t="s">
        <v>2004</v>
      </c>
      <c r="B5" s="22" t="s">
        <v>2005</v>
      </c>
      <c r="C5" s="22" t="s">
        <v>2006</v>
      </c>
      <c r="D5" s="22" t="s">
        <v>2007</v>
      </c>
      <c r="E5" s="22" t="s">
        <v>335</v>
      </c>
    </row>
    <row r="6" customFormat="false" ht="51.75" hidden="false" customHeight="true" outlineLevel="0" collapsed="false">
      <c r="A6" s="23" t="n">
        <v>-100</v>
      </c>
      <c r="B6" s="23" t="n">
        <f aca="false">SIGN(A6)*IF(ABS(A6)&lt;=50,ABS(A6)/300,1/6+(ABS(A6)-50)/60)</f>
        <v>-1</v>
      </c>
      <c r="C6" s="24" t="n">
        <f aca="false">IF(B6=0,"brak zmiany",1/ABS(B6))</f>
        <v>1</v>
      </c>
      <c r="D6" s="25" t="s">
        <v>2008</v>
      </c>
      <c r="E6" s="25" t="s">
        <v>2009</v>
      </c>
    </row>
    <row r="7" customFormat="false" ht="51.75" hidden="false" customHeight="true" outlineLevel="0" collapsed="false">
      <c r="A7" s="23" t="n">
        <v>-75</v>
      </c>
      <c r="B7" s="23" t="n">
        <f aca="false">SIGN(A7)*IF(ABS(A7)&lt;=50,ABS(A7)/300,1/6+(ABS(A7)-50)/60)</f>
        <v>-0.583333333333333</v>
      </c>
      <c r="C7" s="24" t="n">
        <f aca="false">IF(B7=0,"brak zmiany",1/ABS(B7))</f>
        <v>1.71428571428571</v>
      </c>
      <c r="D7" s="26" t="s">
        <v>2008</v>
      </c>
      <c r="E7" s="26" t="s">
        <v>2009</v>
      </c>
    </row>
    <row r="8" customFormat="false" ht="51.75" hidden="false" customHeight="true" outlineLevel="0" collapsed="false">
      <c r="A8" s="23" t="n">
        <v>-50</v>
      </c>
      <c r="B8" s="23" t="n">
        <f aca="false">SIGN(A8)*IF(ABS(A8)&lt;=50,ABS(A8)/300,1/6+(ABS(A8)-50)/60)</f>
        <v>-0.166666666666667</v>
      </c>
      <c r="C8" s="24" t="n">
        <f aca="false">IF(B8=0,"brak zmiany",1/ABS(B8))</f>
        <v>6</v>
      </c>
      <c r="D8" s="25" t="s">
        <v>2008</v>
      </c>
      <c r="E8" s="25" t="s">
        <v>2009</v>
      </c>
    </row>
    <row r="9" customFormat="false" ht="51.75" hidden="false" customHeight="true" outlineLevel="0" collapsed="false">
      <c r="A9" s="23" t="n">
        <v>-25</v>
      </c>
      <c r="B9" s="23" t="n">
        <f aca="false">SIGN(A9)*IF(ABS(A9)&lt;=50,ABS(A9)/300,1/6+(ABS(A9)-50)/60)</f>
        <v>-0.0833333333333333</v>
      </c>
      <c r="C9" s="24" t="n">
        <f aca="false">IF(B9=0,"brak zmiany",1/ABS(B9))</f>
        <v>12</v>
      </c>
      <c r="D9" s="26" t="s">
        <v>2008</v>
      </c>
      <c r="E9" s="26" t="s">
        <v>2009</v>
      </c>
    </row>
    <row r="10" customFormat="false" ht="51.75" hidden="false" customHeight="true" outlineLevel="0" collapsed="false">
      <c r="A10" s="23" t="n">
        <v>0</v>
      </c>
      <c r="B10" s="23" t="n">
        <f aca="false">SIGN(A10)*IF(ABS(A10)&lt;=50,ABS(A10)/300,1/6+(ABS(A10)-50)/60)</f>
        <v>0</v>
      </c>
      <c r="C10" s="24" t="str">
        <f aca="false">IF(B10=0,"brak zmiany",1/ABS(B10))</f>
        <v>brak zmiany</v>
      </c>
      <c r="D10" s="25" t="s">
        <v>2010</v>
      </c>
      <c r="E10" s="25" t="s">
        <v>2009</v>
      </c>
    </row>
    <row r="11" customFormat="false" ht="51.75" hidden="false" customHeight="true" outlineLevel="0" collapsed="false">
      <c r="A11" s="23" t="n">
        <v>25</v>
      </c>
      <c r="B11" s="23" t="n">
        <f aca="false">SIGN(A11)*IF(ABS(A11)&lt;=50,ABS(A11)/300,1/6+(ABS(A11)-50)/60)</f>
        <v>0.0833333333333333</v>
      </c>
      <c r="C11" s="24" t="n">
        <f aca="false">IF(B11=0,"brak zmiany",1/ABS(B11))</f>
        <v>12</v>
      </c>
      <c r="D11" s="26" t="s">
        <v>2011</v>
      </c>
      <c r="E11" s="26" t="s">
        <v>2009</v>
      </c>
    </row>
    <row r="12" customFormat="false" ht="51.75" hidden="false" customHeight="true" outlineLevel="0" collapsed="false">
      <c r="A12" s="23" t="n">
        <v>50</v>
      </c>
      <c r="B12" s="23" t="n">
        <f aca="false">SIGN(A12)*IF(ABS(A12)&lt;=50,ABS(A12)/300,1/6+(ABS(A12)-50)/60)</f>
        <v>0.166666666666667</v>
      </c>
      <c r="C12" s="24" t="n">
        <f aca="false">IF(B12=0,"brak zmiany",1/ABS(B12))</f>
        <v>6</v>
      </c>
      <c r="D12" s="25" t="s">
        <v>2011</v>
      </c>
      <c r="E12" s="25" t="s">
        <v>2009</v>
      </c>
    </row>
    <row r="13" customFormat="false" ht="51.75" hidden="false" customHeight="true" outlineLevel="0" collapsed="false">
      <c r="A13" s="23" t="n">
        <v>75</v>
      </c>
      <c r="B13" s="23" t="n">
        <f aca="false">SIGN(A13)*IF(ABS(A13)&lt;=50,ABS(A13)/300,1/6+(ABS(A13)-50)/60)</f>
        <v>0.583333333333333</v>
      </c>
      <c r="C13" s="24" t="n">
        <f aca="false">IF(B13=0,"brak zmiany",1/ABS(B13))</f>
        <v>1.71428571428571</v>
      </c>
      <c r="D13" s="26" t="s">
        <v>2011</v>
      </c>
      <c r="E13" s="26" t="s">
        <v>2009</v>
      </c>
    </row>
    <row r="14" customFormat="false" ht="51.75" hidden="false" customHeight="true" outlineLevel="0" collapsed="false">
      <c r="A14" s="23" t="n">
        <v>100</v>
      </c>
      <c r="B14" s="23" t="n">
        <f aca="false">SIGN(A14)*IF(ABS(A14)&lt;=50,ABS(A14)/300,1/6+(ABS(A14)-50)/60)</f>
        <v>1</v>
      </c>
      <c r="C14" s="24" t="n">
        <f aca="false">IF(B14=0,"brak zmiany",1/ABS(B14))</f>
        <v>1</v>
      </c>
      <c r="D14" s="25" t="s">
        <v>2011</v>
      </c>
      <c r="E14" s="25" t="s">
        <v>2009</v>
      </c>
    </row>
    <row r="17" customFormat="false" ht="14.25" hidden="false" customHeight="true" outlineLevel="0" collapsed="false">
      <c r="A17" s="22" t="s">
        <v>2012</v>
      </c>
      <c r="B17" s="22"/>
      <c r="C17" s="22"/>
      <c r="D17" s="22"/>
      <c r="E17" s="22"/>
    </row>
    <row r="18" customFormat="false" ht="14.25" hidden="false" customHeight="true" outlineLevel="0" collapsed="false">
      <c r="A18" s="21" t="s">
        <v>2013</v>
      </c>
      <c r="B18" s="21"/>
      <c r="C18" s="21"/>
      <c r="D18" s="21"/>
      <c r="E18" s="21"/>
    </row>
    <row r="19" customFormat="false" ht="14.25" hidden="false" customHeight="true" outlineLevel="0" collapsed="false">
      <c r="A19" s="21"/>
      <c r="B19" s="21"/>
      <c r="C19" s="21"/>
      <c r="D19" s="21"/>
      <c r="E19" s="21"/>
    </row>
  </sheetData>
  <autoFilter ref="A5:E14"/>
  <mergeCells count="4">
    <mergeCell ref="A1:E1"/>
    <mergeCell ref="A2:E3"/>
    <mergeCell ref="A17:E17"/>
    <mergeCell ref="A18:E19"/>
  </mergeCells>
  <printOptions headings="false" gridLines="false" gridLinesSet="true" horizontalCentered="false" verticalCentered="false"/>
  <pageMargins left="0.3" right="0.3" top="0.4" bottom="0.4" header="0.511811023622047" footer="0.3"/>
  <pageSetup paperSize="8" scale="100" fitToWidth="1" fitToHeight="0" pageOrder="downThenOver" orientation="landscape" blackAndWhite="false" draft="false" cellComments="none" horizontalDpi="300" verticalDpi="300" copies="1"/>
  <headerFooter differentFirst="false" differentOddEven="false">
    <oddHeader/>
    <oddFooter>&amp;LHARBORLIGHT — projekt zasad, bez wdrożenia&amp;R&amp;P / &amp;N</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8"/>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3"/>
    <col collapsed="false" customWidth="true" hidden="false" outlineLevel="0" max="2" min="2" style="1" width="26"/>
    <col collapsed="false" customWidth="true" hidden="false" outlineLevel="0" max="3" min="3" style="1" width="28"/>
    <col collapsed="false" customWidth="true" hidden="false" outlineLevel="0" max="4" min="4" style="1" width="27"/>
    <col collapsed="false" customWidth="true" hidden="false" outlineLevel="0" max="5" min="5" style="1" width="28"/>
    <col collapsed="false" customWidth="true" hidden="false" outlineLevel="0" max="6" min="6" style="1" width="31"/>
    <col collapsed="false" customWidth="true" hidden="false" outlineLevel="0" max="7" min="7" style="1" width="32"/>
    <col collapsed="false" customWidth="true" hidden="false" outlineLevel="0" max="8" min="8" style="1" width="115"/>
  </cols>
  <sheetData>
    <row r="1" customFormat="false" ht="33.75" hidden="false" customHeight="true" outlineLevel="0" collapsed="false">
      <c r="A1" s="7" t="s">
        <v>2014</v>
      </c>
      <c r="B1" s="7"/>
      <c r="C1" s="7"/>
      <c r="D1" s="7"/>
      <c r="E1" s="7"/>
      <c r="F1" s="7"/>
      <c r="G1" s="7"/>
      <c r="H1" s="7"/>
    </row>
    <row r="2" customFormat="false" ht="24.75" hidden="false" customHeight="true" outlineLevel="0" collapsed="false">
      <c r="A2" s="3" t="s">
        <v>2015</v>
      </c>
      <c r="B2" s="3"/>
      <c r="C2" s="3"/>
      <c r="D2" s="3"/>
      <c r="E2" s="3"/>
      <c r="F2" s="3"/>
      <c r="G2" s="3"/>
      <c r="H2" s="3"/>
    </row>
    <row r="3" customFormat="false" ht="24.75" hidden="false" customHeight="true" outlineLevel="0" collapsed="false">
      <c r="A3" s="3"/>
      <c r="B3" s="3"/>
      <c r="C3" s="3"/>
      <c r="D3" s="3"/>
      <c r="E3" s="3"/>
      <c r="F3" s="3"/>
      <c r="G3" s="3"/>
      <c r="H3" s="3"/>
    </row>
    <row r="5" customFormat="false" ht="48" hidden="false" customHeight="true" outlineLevel="0" collapsed="false">
      <c r="A5" s="4" t="s">
        <v>2016</v>
      </c>
      <c r="B5" s="4" t="s">
        <v>2017</v>
      </c>
      <c r="C5" s="4" t="s">
        <v>2018</v>
      </c>
      <c r="D5" s="4" t="s">
        <v>2019</v>
      </c>
      <c r="E5" s="4" t="s">
        <v>2020</v>
      </c>
      <c r="F5" s="4" t="s">
        <v>2021</v>
      </c>
      <c r="G5" s="4" t="s">
        <v>2022</v>
      </c>
      <c r="H5" s="4" t="s">
        <v>335</v>
      </c>
    </row>
    <row r="6" customFormat="false" ht="64.5" hidden="false" customHeight="true" outlineLevel="0" collapsed="false">
      <c r="A6" s="5" t="n">
        <v>1</v>
      </c>
      <c r="B6" s="5" t="n">
        <f aca="false">Parametry!$C$32*(1+Parametry!$C$35*(A6-1))</f>
        <v>50</v>
      </c>
      <c r="C6" s="5" t="n">
        <f aca="false">Parametry!$C$34*(1+Parametry!$C$35*(A6-1))</f>
        <v>150</v>
      </c>
      <c r="D6" s="15" t="n">
        <f aca="false">Parametry!$C$31</f>
        <v>40</v>
      </c>
      <c r="E6" s="15" t="n">
        <f aca="false">Parametry!$C$33</f>
        <v>140</v>
      </c>
      <c r="F6" s="5" t="n">
        <f aca="false">Parametry!$C$32*(A6+Parametry!$C$35*A6*(A6-1)/2)</f>
        <v>50</v>
      </c>
      <c r="G6" s="5" t="n">
        <f aca="false">Parametry!$C$34*(A6+Parametry!$C$35*A6*(A6-1)/2)</f>
        <v>150</v>
      </c>
      <c r="H6" s="5" t="s">
        <v>2023</v>
      </c>
    </row>
    <row r="7" customFormat="false" ht="64.5" hidden="false" customHeight="true" outlineLevel="0" collapsed="false">
      <c r="A7" s="6" t="n">
        <v>2</v>
      </c>
      <c r="B7" s="6" t="n">
        <f aca="false">Parametry!$C$32*(1+Parametry!$C$35*(A7-1))</f>
        <v>55</v>
      </c>
      <c r="C7" s="6" t="n">
        <f aca="false">Parametry!$C$34*(1+Parametry!$C$35*(A7-1))</f>
        <v>165</v>
      </c>
      <c r="D7" s="16" t="n">
        <f aca="false">Parametry!$C$31</f>
        <v>40</v>
      </c>
      <c r="E7" s="16" t="n">
        <f aca="false">Parametry!$C$33</f>
        <v>140</v>
      </c>
      <c r="F7" s="6" t="n">
        <f aca="false">Parametry!$C$32*(A7+Parametry!$C$35*A7*(A7-1)/2)</f>
        <v>105</v>
      </c>
      <c r="G7" s="6" t="n">
        <f aca="false">Parametry!$C$34*(A7+Parametry!$C$35*A7*(A7-1)/2)</f>
        <v>315</v>
      </c>
      <c r="H7" s="6" t="s">
        <v>2023</v>
      </c>
    </row>
    <row r="8" customFormat="false" ht="64.5" hidden="false" customHeight="true" outlineLevel="0" collapsed="false">
      <c r="A8" s="5" t="n">
        <v>3</v>
      </c>
      <c r="B8" s="5" t="n">
        <f aca="false">Parametry!$C$32*(1+Parametry!$C$35*(A8-1))</f>
        <v>60</v>
      </c>
      <c r="C8" s="5" t="n">
        <f aca="false">Parametry!$C$34*(1+Parametry!$C$35*(A8-1))</f>
        <v>180</v>
      </c>
      <c r="D8" s="15" t="n">
        <f aca="false">Parametry!$C$31</f>
        <v>40</v>
      </c>
      <c r="E8" s="15" t="n">
        <f aca="false">Parametry!$C$33</f>
        <v>140</v>
      </c>
      <c r="F8" s="5" t="n">
        <f aca="false">Parametry!$C$32*(A8+Parametry!$C$35*A8*(A8-1)/2)</f>
        <v>165</v>
      </c>
      <c r="G8" s="5" t="n">
        <f aca="false">Parametry!$C$34*(A8+Parametry!$C$35*A8*(A8-1)/2)</f>
        <v>495</v>
      </c>
      <c r="H8" s="5" t="s">
        <v>2023</v>
      </c>
    </row>
    <row r="9" customFormat="false" ht="64.5" hidden="false" customHeight="true" outlineLevel="0" collapsed="false">
      <c r="A9" s="6" t="n">
        <v>4</v>
      </c>
      <c r="B9" s="6" t="n">
        <f aca="false">Parametry!$C$32*(1+Parametry!$C$35*(A9-1))</f>
        <v>65</v>
      </c>
      <c r="C9" s="6" t="n">
        <f aca="false">Parametry!$C$34*(1+Parametry!$C$35*(A9-1))</f>
        <v>195</v>
      </c>
      <c r="D9" s="16" t="n">
        <f aca="false">Parametry!$C$31</f>
        <v>40</v>
      </c>
      <c r="E9" s="16" t="n">
        <f aca="false">Parametry!$C$33</f>
        <v>140</v>
      </c>
      <c r="F9" s="6" t="n">
        <f aca="false">Parametry!$C$32*(A9+Parametry!$C$35*A9*(A9-1)/2)</f>
        <v>230</v>
      </c>
      <c r="G9" s="6" t="n">
        <f aca="false">Parametry!$C$34*(A9+Parametry!$C$35*A9*(A9-1)/2)</f>
        <v>690</v>
      </c>
      <c r="H9" s="6" t="s">
        <v>2023</v>
      </c>
    </row>
    <row r="10" customFormat="false" ht="64.5" hidden="false" customHeight="true" outlineLevel="0" collapsed="false">
      <c r="A10" s="5" t="n">
        <v>5</v>
      </c>
      <c r="B10" s="5" t="n">
        <f aca="false">Parametry!$C$32*(1+Parametry!$C$35*(A10-1))</f>
        <v>70</v>
      </c>
      <c r="C10" s="5" t="n">
        <f aca="false">Parametry!$C$34*(1+Parametry!$C$35*(A10-1))</f>
        <v>210</v>
      </c>
      <c r="D10" s="15" t="n">
        <f aca="false">Parametry!$C$31</f>
        <v>40</v>
      </c>
      <c r="E10" s="15" t="n">
        <f aca="false">Parametry!$C$33</f>
        <v>140</v>
      </c>
      <c r="F10" s="5" t="n">
        <f aca="false">Parametry!$C$32*(A10+Parametry!$C$35*A10*(A10-1)/2)</f>
        <v>300</v>
      </c>
      <c r="G10" s="5" t="n">
        <f aca="false">Parametry!$C$34*(A10+Parametry!$C$35*A10*(A10-1)/2)</f>
        <v>900</v>
      </c>
      <c r="H10" s="5" t="s">
        <v>2023</v>
      </c>
    </row>
    <row r="11" customFormat="false" ht="64.5" hidden="false" customHeight="true" outlineLevel="0" collapsed="false">
      <c r="A11" s="6" t="n">
        <v>6</v>
      </c>
      <c r="B11" s="6" t="n">
        <f aca="false">Parametry!$C$32*(1+Parametry!$C$35*(A11-1))</f>
        <v>75</v>
      </c>
      <c r="C11" s="6" t="n">
        <f aca="false">Parametry!$C$34*(1+Parametry!$C$35*(A11-1))</f>
        <v>225</v>
      </c>
      <c r="D11" s="16" t="n">
        <f aca="false">Parametry!$C$31</f>
        <v>40</v>
      </c>
      <c r="E11" s="16" t="n">
        <f aca="false">Parametry!$C$33</f>
        <v>140</v>
      </c>
      <c r="F11" s="6" t="n">
        <f aca="false">Parametry!$C$32*(A11+Parametry!$C$35*A11*(A11-1)/2)</f>
        <v>375</v>
      </c>
      <c r="G11" s="6" t="n">
        <f aca="false">Parametry!$C$34*(A11+Parametry!$C$35*A11*(A11-1)/2)</f>
        <v>1125</v>
      </c>
      <c r="H11" s="6" t="s">
        <v>2023</v>
      </c>
    </row>
    <row r="12" customFormat="false" ht="64.5" hidden="false" customHeight="true" outlineLevel="0" collapsed="false">
      <c r="A12" s="5" t="n">
        <v>7</v>
      </c>
      <c r="B12" s="5" t="n">
        <f aca="false">Parametry!$C$32*(1+Parametry!$C$35*(A12-1))</f>
        <v>80</v>
      </c>
      <c r="C12" s="5" t="n">
        <f aca="false">Parametry!$C$34*(1+Parametry!$C$35*(A12-1))</f>
        <v>240</v>
      </c>
      <c r="D12" s="15" t="n">
        <f aca="false">Parametry!$C$31</f>
        <v>40</v>
      </c>
      <c r="E12" s="15" t="n">
        <f aca="false">Parametry!$C$33</f>
        <v>140</v>
      </c>
      <c r="F12" s="5" t="n">
        <f aca="false">Parametry!$C$32*(A12+Parametry!$C$35*A12*(A12-1)/2)</f>
        <v>455</v>
      </c>
      <c r="G12" s="5" t="n">
        <f aca="false">Parametry!$C$34*(A12+Parametry!$C$35*A12*(A12-1)/2)</f>
        <v>1365</v>
      </c>
      <c r="H12" s="5" t="s">
        <v>2023</v>
      </c>
    </row>
    <row r="13" customFormat="false" ht="64.5" hidden="false" customHeight="true" outlineLevel="0" collapsed="false">
      <c r="A13" s="6" t="n">
        <v>8</v>
      </c>
      <c r="B13" s="6" t="n">
        <f aca="false">Parametry!$C$32*(1+Parametry!$C$35*(A13-1))</f>
        <v>85</v>
      </c>
      <c r="C13" s="6" t="n">
        <f aca="false">Parametry!$C$34*(1+Parametry!$C$35*(A13-1))</f>
        <v>255</v>
      </c>
      <c r="D13" s="16" t="n">
        <f aca="false">Parametry!$C$31</f>
        <v>40</v>
      </c>
      <c r="E13" s="16" t="n">
        <f aca="false">Parametry!$C$33</f>
        <v>140</v>
      </c>
      <c r="F13" s="6" t="n">
        <f aca="false">Parametry!$C$32*(A13+Parametry!$C$35*A13*(A13-1)/2)</f>
        <v>540</v>
      </c>
      <c r="G13" s="6" t="n">
        <f aca="false">Parametry!$C$34*(A13+Parametry!$C$35*A13*(A13-1)/2)</f>
        <v>1620</v>
      </c>
      <c r="H13" s="6" t="s">
        <v>2023</v>
      </c>
    </row>
    <row r="14" customFormat="false" ht="64.5" hidden="false" customHeight="true" outlineLevel="0" collapsed="false">
      <c r="A14" s="5" t="n">
        <v>9</v>
      </c>
      <c r="B14" s="5" t="n">
        <f aca="false">Parametry!$C$32*(1+Parametry!$C$35*(A14-1))</f>
        <v>90</v>
      </c>
      <c r="C14" s="5" t="n">
        <f aca="false">Parametry!$C$34*(1+Parametry!$C$35*(A14-1))</f>
        <v>270</v>
      </c>
      <c r="D14" s="15" t="n">
        <f aca="false">Parametry!$C$31</f>
        <v>40</v>
      </c>
      <c r="E14" s="15" t="n">
        <f aca="false">Parametry!$C$33</f>
        <v>140</v>
      </c>
      <c r="F14" s="5" t="n">
        <f aca="false">Parametry!$C$32*(A14+Parametry!$C$35*A14*(A14-1)/2)</f>
        <v>630</v>
      </c>
      <c r="G14" s="5" t="n">
        <f aca="false">Parametry!$C$34*(A14+Parametry!$C$35*A14*(A14-1)/2)</f>
        <v>1890</v>
      </c>
      <c r="H14" s="5" t="s">
        <v>2023</v>
      </c>
    </row>
    <row r="15" customFormat="false" ht="64.5" hidden="false" customHeight="true" outlineLevel="0" collapsed="false">
      <c r="A15" s="6" t="n">
        <v>10</v>
      </c>
      <c r="B15" s="6" t="n">
        <f aca="false">Parametry!$C$32*(1+Parametry!$C$35*(A15-1))</f>
        <v>95</v>
      </c>
      <c r="C15" s="6" t="n">
        <f aca="false">Parametry!$C$34*(1+Parametry!$C$35*(A15-1))</f>
        <v>285</v>
      </c>
      <c r="D15" s="16" t="n">
        <f aca="false">Parametry!$C$31</f>
        <v>40</v>
      </c>
      <c r="E15" s="16" t="n">
        <f aca="false">Parametry!$C$33</f>
        <v>140</v>
      </c>
      <c r="F15" s="6" t="n">
        <f aca="false">Parametry!$C$32*(A15+Parametry!$C$35*A15*(A15-1)/2)</f>
        <v>725</v>
      </c>
      <c r="G15" s="6" t="n">
        <f aca="false">Parametry!$C$34*(A15+Parametry!$C$35*A15*(A15-1)/2)</f>
        <v>2175</v>
      </c>
      <c r="H15" s="6" t="s">
        <v>2023</v>
      </c>
    </row>
    <row r="17" customFormat="false" ht="99.75" hidden="false" customHeight="true" outlineLevel="0" collapsed="false">
      <c r="A17" s="6" t="s">
        <v>2024</v>
      </c>
      <c r="B17" s="6"/>
      <c r="C17" s="6"/>
      <c r="D17" s="6"/>
      <c r="E17" s="6"/>
      <c r="F17" s="6"/>
      <c r="G17" s="6"/>
      <c r="H17" s="6" t="s">
        <v>2025</v>
      </c>
    </row>
    <row r="18" customFormat="false" ht="109.5" hidden="false" customHeight="true" outlineLevel="0" collapsed="false">
      <c r="A18" s="5" t="s">
        <v>2026</v>
      </c>
      <c r="B18" s="5"/>
      <c r="C18" s="5"/>
      <c r="D18" s="5"/>
      <c r="E18" s="5"/>
      <c r="F18" s="5"/>
      <c r="G18" s="5"/>
      <c r="H18" s="5" t="s">
        <v>2027</v>
      </c>
    </row>
  </sheetData>
  <autoFilter ref="A5:H18"/>
  <mergeCells count="2">
    <mergeCell ref="A1:H1"/>
    <mergeCell ref="A2:H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8"/>
    <col collapsed="false" customWidth="true" hidden="false" outlineLevel="0" max="2" min="2" style="1" width="140"/>
    <col collapsed="false" customWidth="true" hidden="false" outlineLevel="0" max="3" min="3" style="1" width="135"/>
  </cols>
  <sheetData>
    <row r="1" customFormat="false" ht="33.75" hidden="false" customHeight="true" outlineLevel="0" collapsed="false">
      <c r="A1" s="7" t="s">
        <v>2028</v>
      </c>
      <c r="B1" s="7"/>
      <c r="C1" s="7"/>
    </row>
    <row r="2" customFormat="false" ht="24.75" hidden="false" customHeight="true" outlineLevel="0" collapsed="false">
      <c r="A2" s="3" t="s">
        <v>2029</v>
      </c>
      <c r="B2" s="3"/>
      <c r="C2" s="3"/>
    </row>
    <row r="3" customFormat="false" ht="24.75" hidden="false" customHeight="true" outlineLevel="0" collapsed="false">
      <c r="A3" s="3"/>
      <c r="B3" s="3"/>
      <c r="C3" s="3"/>
    </row>
    <row r="5" customFormat="false" ht="48" hidden="false" customHeight="true" outlineLevel="0" collapsed="false">
      <c r="A5" s="4" t="s">
        <v>2030</v>
      </c>
      <c r="B5" s="4" t="s">
        <v>2031</v>
      </c>
      <c r="C5" s="4" t="s">
        <v>2032</v>
      </c>
    </row>
    <row r="6" customFormat="false" ht="105" hidden="false" customHeight="true" outlineLevel="0" collapsed="false">
      <c r="A6" s="5" t="s">
        <v>2033</v>
      </c>
      <c r="B6" s="5" t="s">
        <v>2034</v>
      </c>
      <c r="C6" s="5" t="s">
        <v>2035</v>
      </c>
    </row>
    <row r="7" customFormat="false" ht="105" hidden="false" customHeight="true" outlineLevel="0" collapsed="false">
      <c r="A7" s="6" t="s">
        <v>288</v>
      </c>
      <c r="B7" s="6" t="s">
        <v>2036</v>
      </c>
      <c r="C7" s="6" t="s">
        <v>2037</v>
      </c>
    </row>
    <row r="8" customFormat="false" ht="105" hidden="false" customHeight="true" outlineLevel="0" collapsed="false">
      <c r="A8" s="5" t="s">
        <v>2038</v>
      </c>
      <c r="B8" s="5" t="s">
        <v>2039</v>
      </c>
      <c r="C8" s="5" t="s">
        <v>2040</v>
      </c>
    </row>
    <row r="9" customFormat="false" ht="105" hidden="false" customHeight="true" outlineLevel="0" collapsed="false">
      <c r="A9" s="6" t="s">
        <v>298</v>
      </c>
      <c r="B9" s="6" t="s">
        <v>2041</v>
      </c>
      <c r="C9" s="6" t="s">
        <v>2042</v>
      </c>
    </row>
    <row r="10" customFormat="false" ht="105" hidden="false" customHeight="true" outlineLevel="0" collapsed="false">
      <c r="A10" s="5" t="s">
        <v>2043</v>
      </c>
      <c r="B10" s="5" t="s">
        <v>2044</v>
      </c>
      <c r="C10" s="5" t="s">
        <v>2045</v>
      </c>
    </row>
  </sheetData>
  <autoFilter ref="A5:C10"/>
  <mergeCells count="2">
    <mergeCell ref="A1:C1"/>
    <mergeCell ref="A2:C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5"/>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8"/>
    <col collapsed="false" customWidth="true" hidden="false" outlineLevel="0" max="2" min="2" style="1" width="140"/>
    <col collapsed="false" customWidth="true" hidden="false" outlineLevel="0" max="3" min="3" style="1" width="100"/>
  </cols>
  <sheetData>
    <row r="1" customFormat="false" ht="33.75" hidden="false" customHeight="true" outlineLevel="0" collapsed="false">
      <c r="A1" s="7" t="s">
        <v>2046</v>
      </c>
      <c r="B1" s="7"/>
      <c r="C1" s="7"/>
    </row>
    <row r="2" customFormat="false" ht="24.75" hidden="false" customHeight="true" outlineLevel="0" collapsed="false">
      <c r="A2" s="3" t="s">
        <v>2047</v>
      </c>
      <c r="B2" s="3"/>
      <c r="C2" s="3"/>
    </row>
    <row r="3" customFormat="false" ht="24.75" hidden="false" customHeight="true" outlineLevel="0" collapsed="false">
      <c r="A3" s="3"/>
      <c r="B3" s="3"/>
      <c r="C3" s="3"/>
    </row>
    <row r="5" customFormat="false" ht="48" hidden="false" customHeight="true" outlineLevel="0" collapsed="false">
      <c r="A5" s="4" t="s">
        <v>805</v>
      </c>
      <c r="B5" s="4" t="s">
        <v>2048</v>
      </c>
      <c r="C5" s="4" t="s">
        <v>516</v>
      </c>
    </row>
    <row r="6" customFormat="false" ht="90" hidden="false" customHeight="true" outlineLevel="0" collapsed="false">
      <c r="A6" s="5" t="s">
        <v>1338</v>
      </c>
      <c r="B6" s="5" t="s">
        <v>1112</v>
      </c>
      <c r="C6" s="5" t="s">
        <v>2049</v>
      </c>
    </row>
    <row r="7" customFormat="false" ht="90" hidden="false" customHeight="true" outlineLevel="0" collapsed="false">
      <c r="A7" s="6" t="s">
        <v>155</v>
      </c>
      <c r="B7" s="6" t="s">
        <v>2050</v>
      </c>
      <c r="C7" s="6" t="s">
        <v>2051</v>
      </c>
    </row>
    <row r="8" customFormat="false" ht="90" hidden="false" customHeight="true" outlineLevel="0" collapsed="false">
      <c r="A8" s="5" t="s">
        <v>146</v>
      </c>
      <c r="B8" s="5" t="s">
        <v>2052</v>
      </c>
      <c r="C8" s="5" t="s">
        <v>2051</v>
      </c>
    </row>
    <row r="9" customFormat="false" ht="90" hidden="false" customHeight="true" outlineLevel="0" collapsed="false">
      <c r="A9" s="6" t="s">
        <v>23</v>
      </c>
      <c r="B9" s="6" t="s">
        <v>2053</v>
      </c>
      <c r="C9" s="6" t="s">
        <v>2054</v>
      </c>
    </row>
    <row r="10" customFormat="false" ht="90" hidden="false" customHeight="true" outlineLevel="0" collapsed="false">
      <c r="A10" s="5" t="s">
        <v>2055</v>
      </c>
      <c r="B10" s="5" t="s">
        <v>2056</v>
      </c>
      <c r="C10" s="5" t="s">
        <v>2057</v>
      </c>
    </row>
    <row r="11" customFormat="false" ht="90" hidden="false" customHeight="true" outlineLevel="0" collapsed="false">
      <c r="A11" s="6" t="s">
        <v>17</v>
      </c>
      <c r="B11" s="6" t="s">
        <v>2058</v>
      </c>
      <c r="C11" s="6" t="s">
        <v>2059</v>
      </c>
    </row>
    <row r="12" customFormat="false" ht="90" hidden="false" customHeight="true" outlineLevel="0" collapsed="false">
      <c r="A12" s="5" t="s">
        <v>1627</v>
      </c>
      <c r="B12" s="5" t="s">
        <v>2060</v>
      </c>
      <c r="C12" s="5" t="s">
        <v>2061</v>
      </c>
    </row>
    <row r="13" customFormat="false" ht="99.75" hidden="false" customHeight="true" outlineLevel="0" collapsed="false">
      <c r="A13" s="6" t="s">
        <v>2062</v>
      </c>
      <c r="B13" s="6" t="s">
        <v>2063</v>
      </c>
      <c r="C13" s="6" t="s">
        <v>2064</v>
      </c>
    </row>
    <row r="14" customFormat="false" ht="99.75" hidden="false" customHeight="true" outlineLevel="0" collapsed="false">
      <c r="A14" s="5" t="s">
        <v>2065</v>
      </c>
      <c r="B14" s="5" t="s">
        <v>2066</v>
      </c>
      <c r="C14" s="5" t="s">
        <v>2067</v>
      </c>
    </row>
    <row r="15" customFormat="false" ht="99.75" hidden="false" customHeight="true" outlineLevel="0" collapsed="false">
      <c r="A15" s="6" t="s">
        <v>2068</v>
      </c>
      <c r="B15" s="6" t="s">
        <v>2069</v>
      </c>
      <c r="C15" s="6" t="s">
        <v>2070</v>
      </c>
    </row>
  </sheetData>
  <autoFilter ref="A5:C15"/>
  <mergeCells count="2">
    <mergeCell ref="A1:C1"/>
    <mergeCell ref="A2:C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8"/>
    <col collapsed="false" customWidth="true" hidden="false" outlineLevel="0" max="2" min="2" style="1" width="140"/>
    <col collapsed="false" customWidth="true" hidden="false" outlineLevel="0" max="3" min="3" style="1" width="100"/>
  </cols>
  <sheetData>
    <row r="1" customFormat="false" ht="33.75" hidden="false" customHeight="true" outlineLevel="0" collapsed="false">
      <c r="A1" s="7" t="s">
        <v>2071</v>
      </c>
      <c r="B1" s="7"/>
      <c r="C1" s="7"/>
    </row>
    <row r="2" customFormat="false" ht="24.75" hidden="false" customHeight="true" outlineLevel="0" collapsed="false">
      <c r="A2" s="3" t="s">
        <v>2072</v>
      </c>
      <c r="B2" s="3"/>
      <c r="C2" s="3"/>
    </row>
    <row r="3" customFormat="false" ht="24.75" hidden="false" customHeight="true" outlineLevel="0" collapsed="false">
      <c r="A3" s="3"/>
      <c r="B3" s="3"/>
      <c r="C3" s="3"/>
    </row>
    <row r="5" customFormat="false" ht="48" hidden="false" customHeight="true" outlineLevel="0" collapsed="false">
      <c r="A5" s="4" t="s">
        <v>2073</v>
      </c>
      <c r="B5" s="4" t="s">
        <v>1627</v>
      </c>
      <c r="C5" s="4" t="s">
        <v>2074</v>
      </c>
    </row>
    <row r="6" customFormat="false" ht="90" hidden="false" customHeight="true" outlineLevel="0" collapsed="false">
      <c r="A6" s="5" t="s">
        <v>2075</v>
      </c>
      <c r="B6" s="5" t="s">
        <v>2076</v>
      </c>
      <c r="C6" s="5" t="s">
        <v>2077</v>
      </c>
    </row>
    <row r="7" customFormat="false" ht="90" hidden="false" customHeight="true" outlineLevel="0" collapsed="false">
      <c r="A7" s="5" t="s">
        <v>2078</v>
      </c>
      <c r="B7" s="5" t="s">
        <v>2076</v>
      </c>
      <c r="C7" s="5" t="s">
        <v>2079</v>
      </c>
    </row>
    <row r="8" customFormat="false" ht="90" hidden="false" customHeight="true" outlineLevel="0" collapsed="false">
      <c r="A8" s="5" t="s">
        <v>2080</v>
      </c>
      <c r="B8" s="5" t="s">
        <v>2076</v>
      </c>
      <c r="C8" s="5" t="s">
        <v>2081</v>
      </c>
    </row>
    <row r="9" customFormat="false" ht="90" hidden="false" customHeight="true" outlineLevel="0" collapsed="false"/>
    <row r="10" customFormat="false" ht="90" hidden="false" customHeight="true" outlineLevel="0" collapsed="false"/>
    <row r="11" customFormat="false" ht="90" hidden="false" customHeight="true" outlineLevel="0" collapsed="false"/>
    <row r="12" customFormat="false" ht="90" hidden="false" customHeight="true" outlineLevel="0" collapsed="false"/>
  </sheetData>
  <autoFilter ref="A5:C8"/>
  <mergeCells count="2">
    <mergeCell ref="A1:C1"/>
    <mergeCell ref="A2:C3"/>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8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3"/>
    <col collapsed="false" customWidth="true" hidden="false" outlineLevel="0" max="2" min="2" style="1" width="80"/>
    <col collapsed="false" customWidth="true" hidden="false" outlineLevel="0" max="3" min="3" style="1" width="145"/>
    <col collapsed="false" customWidth="true" hidden="false" outlineLevel="0" max="4" min="4" style="1" width="70"/>
  </cols>
  <sheetData>
    <row r="1" customFormat="false" ht="33.75" hidden="false" customHeight="true" outlineLevel="0" collapsed="false">
      <c r="A1" s="7" t="s">
        <v>2082</v>
      </c>
      <c r="B1" s="7"/>
      <c r="C1" s="7"/>
      <c r="D1" s="7"/>
    </row>
    <row r="2" customFormat="false" ht="24.75" hidden="false" customHeight="true" outlineLevel="0" collapsed="false">
      <c r="A2" s="3" t="s">
        <v>2083</v>
      </c>
      <c r="B2" s="3"/>
      <c r="C2" s="3"/>
      <c r="D2" s="3"/>
    </row>
    <row r="3" customFormat="false" ht="24.75" hidden="false" customHeight="true" outlineLevel="0" collapsed="false">
      <c r="A3" s="3"/>
      <c r="B3" s="3"/>
      <c r="C3" s="3"/>
      <c r="D3" s="3"/>
    </row>
    <row r="5" customFormat="false" ht="48" hidden="false" customHeight="true" outlineLevel="0" collapsed="false">
      <c r="A5" s="4" t="s">
        <v>1627</v>
      </c>
      <c r="B5" s="4" t="s">
        <v>2084</v>
      </c>
      <c r="C5" s="4" t="s">
        <v>2085</v>
      </c>
      <c r="D5" s="4" t="s">
        <v>2086</v>
      </c>
    </row>
    <row r="6" customFormat="false" ht="135" hidden="false" customHeight="true" outlineLevel="0" collapsed="false">
      <c r="A6" s="5" t="s">
        <v>2087</v>
      </c>
      <c r="B6" s="5"/>
      <c r="C6" s="5" t="s">
        <v>2088</v>
      </c>
      <c r="D6" s="5" t="s">
        <v>2089</v>
      </c>
    </row>
    <row r="7" customFormat="false" ht="135" hidden="false" customHeight="true" outlineLevel="0" collapsed="false">
      <c r="A7" s="6" t="s">
        <v>2090</v>
      </c>
      <c r="B7" s="6"/>
      <c r="C7" s="6" t="s">
        <v>2091</v>
      </c>
      <c r="D7" s="6" t="s">
        <v>2089</v>
      </c>
    </row>
    <row r="8" customFormat="false" ht="135" hidden="false" customHeight="true" outlineLevel="0" collapsed="false">
      <c r="A8" s="5" t="s">
        <v>2092</v>
      </c>
      <c r="B8" s="5"/>
      <c r="C8" s="5" t="s">
        <v>2093</v>
      </c>
      <c r="D8" s="5" t="s">
        <v>2089</v>
      </c>
    </row>
    <row r="9" customFormat="false" ht="135" hidden="false" customHeight="true" outlineLevel="0" collapsed="false">
      <c r="A9" s="6" t="s">
        <v>2094</v>
      </c>
      <c r="B9" s="6"/>
      <c r="C9" s="6" t="s">
        <v>2095</v>
      </c>
      <c r="D9" s="6" t="s">
        <v>2089</v>
      </c>
    </row>
    <row r="10" customFormat="false" ht="135" hidden="false" customHeight="true" outlineLevel="0" collapsed="false">
      <c r="A10" s="5" t="s">
        <v>2096</v>
      </c>
      <c r="B10" s="5" t="s">
        <v>2097</v>
      </c>
      <c r="C10" s="5" t="s">
        <v>2098</v>
      </c>
      <c r="D10" s="5" t="s">
        <v>2089</v>
      </c>
    </row>
    <row r="11" customFormat="false" ht="135" hidden="false" customHeight="true" outlineLevel="0" collapsed="false">
      <c r="A11" s="6" t="s">
        <v>2099</v>
      </c>
      <c r="B11" s="6" t="s">
        <v>2100</v>
      </c>
      <c r="C11" s="6" t="s">
        <v>2097</v>
      </c>
      <c r="D11" s="6" t="s">
        <v>2089</v>
      </c>
    </row>
    <row r="12" customFormat="false" ht="135" hidden="false" customHeight="true" outlineLevel="0" collapsed="false">
      <c r="A12" s="5" t="s">
        <v>2101</v>
      </c>
      <c r="B12" s="5"/>
      <c r="C12" s="5" t="s">
        <v>2102</v>
      </c>
      <c r="D12" s="5" t="s">
        <v>2089</v>
      </c>
    </row>
    <row r="13" customFormat="false" ht="135" hidden="false" customHeight="true" outlineLevel="0" collapsed="false">
      <c r="A13" s="6" t="s">
        <v>2103</v>
      </c>
      <c r="B13" s="6"/>
      <c r="C13" s="6" t="s">
        <v>2100</v>
      </c>
      <c r="D13" s="6" t="s">
        <v>2089</v>
      </c>
    </row>
    <row r="14" customFormat="false" ht="135" hidden="false" customHeight="true" outlineLevel="0" collapsed="false">
      <c r="A14" s="5" t="s">
        <v>2104</v>
      </c>
      <c r="B14" s="5" t="s">
        <v>2105</v>
      </c>
      <c r="C14" s="5" t="s">
        <v>2106</v>
      </c>
      <c r="D14" s="5" t="s">
        <v>2089</v>
      </c>
    </row>
    <row r="15" customFormat="false" ht="135" hidden="false" customHeight="true" outlineLevel="0" collapsed="false">
      <c r="A15" s="6" t="s">
        <v>2107</v>
      </c>
      <c r="B15" s="6" t="s">
        <v>2108</v>
      </c>
      <c r="C15" s="6" t="s">
        <v>2109</v>
      </c>
      <c r="D15" s="6" t="s">
        <v>2089</v>
      </c>
    </row>
    <row r="16" customFormat="false" ht="135" hidden="false" customHeight="true" outlineLevel="0" collapsed="false">
      <c r="A16" s="5" t="s">
        <v>2110</v>
      </c>
      <c r="B16" s="5" t="s">
        <v>2111</v>
      </c>
      <c r="C16" s="5" t="s">
        <v>94</v>
      </c>
      <c r="D16" s="5" t="s">
        <v>2089</v>
      </c>
    </row>
    <row r="17" customFormat="false" ht="135" hidden="false" customHeight="true" outlineLevel="0" collapsed="false">
      <c r="A17" s="6" t="s">
        <v>2112</v>
      </c>
      <c r="B17" s="6" t="s">
        <v>2105</v>
      </c>
      <c r="C17" s="6" t="s">
        <v>2106</v>
      </c>
      <c r="D17" s="6" t="s">
        <v>2089</v>
      </c>
    </row>
    <row r="18" customFormat="false" ht="135" hidden="false" customHeight="true" outlineLevel="0" collapsed="false">
      <c r="A18" s="5" t="s">
        <v>2113</v>
      </c>
      <c r="B18" s="5" t="s">
        <v>2108</v>
      </c>
      <c r="C18" s="5" t="s">
        <v>2109</v>
      </c>
      <c r="D18" s="5" t="s">
        <v>2089</v>
      </c>
    </row>
    <row r="19" customFormat="false" ht="135" hidden="false" customHeight="true" outlineLevel="0" collapsed="false">
      <c r="A19" s="6" t="s">
        <v>2114</v>
      </c>
      <c r="B19" s="6" t="s">
        <v>2115</v>
      </c>
      <c r="C19" s="6" t="s">
        <v>101</v>
      </c>
      <c r="D19" s="6" t="s">
        <v>2089</v>
      </c>
    </row>
    <row r="20" customFormat="false" ht="135" hidden="false" customHeight="true" outlineLevel="0" collapsed="false">
      <c r="A20" s="5" t="s">
        <v>2116</v>
      </c>
      <c r="B20" s="5" t="s">
        <v>2117</v>
      </c>
      <c r="C20" s="5" t="s">
        <v>2118</v>
      </c>
      <c r="D20" s="5" t="s">
        <v>2089</v>
      </c>
    </row>
    <row r="21" customFormat="false" ht="135" hidden="false" customHeight="true" outlineLevel="0" collapsed="false">
      <c r="A21" s="6" t="s">
        <v>2119</v>
      </c>
      <c r="B21" s="6" t="s">
        <v>2120</v>
      </c>
      <c r="C21" s="6" t="s">
        <v>2121</v>
      </c>
      <c r="D21" s="6" t="s">
        <v>2089</v>
      </c>
    </row>
    <row r="22" customFormat="false" ht="135" hidden="false" customHeight="true" outlineLevel="0" collapsed="false">
      <c r="A22" s="5" t="s">
        <v>2122</v>
      </c>
      <c r="B22" s="5" t="s">
        <v>2108</v>
      </c>
      <c r="C22" s="5" t="s">
        <v>2109</v>
      </c>
      <c r="D22" s="5" t="s">
        <v>2089</v>
      </c>
    </row>
    <row r="23" customFormat="false" ht="135" hidden="false" customHeight="true" outlineLevel="0" collapsed="false">
      <c r="A23" s="6" t="s">
        <v>2123</v>
      </c>
      <c r="B23" s="6" t="s">
        <v>2124</v>
      </c>
      <c r="C23" s="6" t="s">
        <v>110</v>
      </c>
      <c r="D23" s="6" t="s">
        <v>2089</v>
      </c>
    </row>
    <row r="24" customFormat="false" ht="135" hidden="false" customHeight="true" outlineLevel="0" collapsed="false">
      <c r="A24" s="5" t="s">
        <v>2125</v>
      </c>
      <c r="B24" s="5" t="s">
        <v>2108</v>
      </c>
      <c r="C24" s="5" t="s">
        <v>2109</v>
      </c>
      <c r="D24" s="5" t="s">
        <v>2089</v>
      </c>
    </row>
    <row r="25" customFormat="false" ht="135" hidden="false" customHeight="true" outlineLevel="0" collapsed="false">
      <c r="A25" s="6" t="s">
        <v>2126</v>
      </c>
      <c r="B25" s="6" t="s">
        <v>2108</v>
      </c>
      <c r="C25" s="6" t="s">
        <v>2109</v>
      </c>
      <c r="D25" s="6" t="s">
        <v>2089</v>
      </c>
    </row>
    <row r="26" customFormat="false" ht="135" hidden="false" customHeight="true" outlineLevel="0" collapsed="false">
      <c r="A26" s="5" t="s">
        <v>2127</v>
      </c>
      <c r="B26" s="5" t="s">
        <v>2108</v>
      </c>
      <c r="C26" s="5" t="s">
        <v>2109</v>
      </c>
      <c r="D26" s="5" t="s">
        <v>2089</v>
      </c>
    </row>
    <row r="27" customFormat="false" ht="135" hidden="false" customHeight="true" outlineLevel="0" collapsed="false">
      <c r="A27" s="6" t="s">
        <v>2128</v>
      </c>
      <c r="B27" s="6" t="s">
        <v>2108</v>
      </c>
      <c r="C27" s="6" t="s">
        <v>2109</v>
      </c>
      <c r="D27" s="6" t="s">
        <v>2089</v>
      </c>
    </row>
    <row r="28" customFormat="false" ht="135" hidden="false" customHeight="true" outlineLevel="0" collapsed="false">
      <c r="A28" s="5" t="s">
        <v>2129</v>
      </c>
      <c r="B28" s="5" t="s">
        <v>2130</v>
      </c>
      <c r="C28" s="5" t="s">
        <v>2131</v>
      </c>
      <c r="D28" s="5" t="s">
        <v>2089</v>
      </c>
    </row>
    <row r="29" customFormat="false" ht="135" hidden="false" customHeight="true" outlineLevel="0" collapsed="false">
      <c r="A29" s="6" t="s">
        <v>2132</v>
      </c>
      <c r="B29" s="6" t="s">
        <v>2108</v>
      </c>
      <c r="C29" s="6" t="s">
        <v>2109</v>
      </c>
      <c r="D29" s="6" t="s">
        <v>2089</v>
      </c>
    </row>
    <row r="30" customFormat="false" ht="135" hidden="false" customHeight="true" outlineLevel="0" collapsed="false">
      <c r="A30" s="5" t="s">
        <v>2133</v>
      </c>
      <c r="B30" s="5" t="s">
        <v>2134</v>
      </c>
      <c r="C30" s="5" t="s">
        <v>133</v>
      </c>
      <c r="D30" s="5" t="s">
        <v>2089</v>
      </c>
    </row>
    <row r="31" customFormat="false" ht="135" hidden="false" customHeight="true" outlineLevel="0" collapsed="false">
      <c r="A31" s="6" t="s">
        <v>2135</v>
      </c>
      <c r="B31" s="6" t="s">
        <v>2136</v>
      </c>
      <c r="C31" s="6" t="s">
        <v>2137</v>
      </c>
      <c r="D31" s="6" t="s">
        <v>2089</v>
      </c>
    </row>
    <row r="32" customFormat="false" ht="135" hidden="false" customHeight="true" outlineLevel="0" collapsed="false">
      <c r="A32" s="5" t="s">
        <v>2138</v>
      </c>
      <c r="B32" s="5" t="s">
        <v>2130</v>
      </c>
      <c r="C32" s="5" t="s">
        <v>2131</v>
      </c>
      <c r="D32" s="5" t="s">
        <v>2089</v>
      </c>
    </row>
    <row r="33" customFormat="false" ht="135" hidden="false" customHeight="true" outlineLevel="0" collapsed="false">
      <c r="A33" s="6" t="s">
        <v>2139</v>
      </c>
      <c r="B33" s="6" t="s">
        <v>2108</v>
      </c>
      <c r="C33" s="6" t="s">
        <v>2109</v>
      </c>
      <c r="D33" s="6" t="s">
        <v>2089</v>
      </c>
    </row>
    <row r="34" customFormat="false" ht="135" hidden="false" customHeight="true" outlineLevel="0" collapsed="false">
      <c r="A34" s="5" t="s">
        <v>2140</v>
      </c>
      <c r="B34" s="5" t="s">
        <v>2141</v>
      </c>
      <c r="C34" s="5" t="s">
        <v>138</v>
      </c>
      <c r="D34" s="5" t="s">
        <v>2089</v>
      </c>
    </row>
    <row r="35" customFormat="false" ht="135" hidden="false" customHeight="true" outlineLevel="0" collapsed="false">
      <c r="A35" s="6" t="s">
        <v>2142</v>
      </c>
      <c r="B35" s="6" t="s">
        <v>2130</v>
      </c>
      <c r="C35" s="6" t="s">
        <v>2143</v>
      </c>
      <c r="D35" s="6" t="s">
        <v>2089</v>
      </c>
    </row>
    <row r="36" customFormat="false" ht="135" hidden="false" customHeight="true" outlineLevel="0" collapsed="false">
      <c r="A36" s="5" t="s">
        <v>2144</v>
      </c>
      <c r="B36" s="5" t="s">
        <v>2108</v>
      </c>
      <c r="C36" s="5" t="s">
        <v>2109</v>
      </c>
      <c r="D36" s="5" t="s">
        <v>2089</v>
      </c>
    </row>
    <row r="37" customFormat="false" ht="135" hidden="false" customHeight="true" outlineLevel="0" collapsed="false">
      <c r="A37" s="6" t="s">
        <v>2145</v>
      </c>
      <c r="B37" s="6" t="s">
        <v>2146</v>
      </c>
      <c r="C37" s="6" t="s">
        <v>144</v>
      </c>
      <c r="D37" s="6" t="s">
        <v>2089</v>
      </c>
    </row>
    <row r="38" customFormat="false" ht="135" hidden="false" customHeight="true" outlineLevel="0" collapsed="false">
      <c r="A38" s="5" t="s">
        <v>2147</v>
      </c>
      <c r="B38" s="5" t="s">
        <v>2148</v>
      </c>
      <c r="C38" s="5" t="s">
        <v>2149</v>
      </c>
      <c r="D38" s="5" t="s">
        <v>2089</v>
      </c>
    </row>
    <row r="39" customFormat="false" ht="135" hidden="false" customHeight="true" outlineLevel="0" collapsed="false">
      <c r="A39" s="6" t="s">
        <v>2150</v>
      </c>
      <c r="B39" s="6" t="s">
        <v>162</v>
      </c>
      <c r="C39" s="6" t="s">
        <v>2151</v>
      </c>
      <c r="D39" s="6" t="s">
        <v>2089</v>
      </c>
    </row>
    <row r="40" customFormat="false" ht="135" hidden="false" customHeight="true" outlineLevel="0" collapsed="false">
      <c r="A40" s="5" t="s">
        <v>2152</v>
      </c>
      <c r="B40" s="5" t="s">
        <v>2153</v>
      </c>
      <c r="C40" s="5" t="s">
        <v>2154</v>
      </c>
      <c r="D40" s="5" t="s">
        <v>2089</v>
      </c>
    </row>
    <row r="41" customFormat="false" ht="135" hidden="false" customHeight="true" outlineLevel="0" collapsed="false">
      <c r="A41" s="6" t="s">
        <v>2155</v>
      </c>
      <c r="B41" s="6" t="s">
        <v>162</v>
      </c>
      <c r="C41" s="6" t="s">
        <v>2151</v>
      </c>
      <c r="D41" s="6" t="s">
        <v>2089</v>
      </c>
    </row>
    <row r="42" customFormat="false" ht="135" hidden="false" customHeight="true" outlineLevel="0" collapsed="false">
      <c r="A42" s="5" t="s">
        <v>2156</v>
      </c>
      <c r="B42" s="5" t="s">
        <v>2157</v>
      </c>
      <c r="C42" s="5" t="s">
        <v>162</v>
      </c>
      <c r="D42" s="5" t="s">
        <v>2089</v>
      </c>
    </row>
    <row r="43" customFormat="false" ht="135" hidden="false" customHeight="true" outlineLevel="0" collapsed="false">
      <c r="A43" s="6" t="s">
        <v>2158</v>
      </c>
      <c r="B43" s="6" t="s">
        <v>176</v>
      </c>
      <c r="C43" s="6" t="s">
        <v>2159</v>
      </c>
      <c r="D43" s="6" t="s">
        <v>2089</v>
      </c>
    </row>
    <row r="44" customFormat="false" ht="135" hidden="false" customHeight="true" outlineLevel="0" collapsed="false">
      <c r="A44" s="5" t="s">
        <v>2160</v>
      </c>
      <c r="B44" s="5"/>
      <c r="C44" s="5" t="s">
        <v>176</v>
      </c>
      <c r="D44" s="5" t="s">
        <v>2089</v>
      </c>
    </row>
    <row r="45" customFormat="false" ht="135" hidden="false" customHeight="true" outlineLevel="0" collapsed="false">
      <c r="A45" s="6" t="s">
        <v>2161</v>
      </c>
      <c r="B45" s="6"/>
      <c r="C45" s="6" t="s">
        <v>176</v>
      </c>
      <c r="D45" s="6" t="s">
        <v>2089</v>
      </c>
    </row>
    <row r="46" customFormat="false" ht="135" hidden="false" customHeight="true" outlineLevel="0" collapsed="false">
      <c r="A46" s="5" t="s">
        <v>2162</v>
      </c>
      <c r="B46" s="5" t="s">
        <v>2163</v>
      </c>
      <c r="C46" s="5" t="s">
        <v>2164</v>
      </c>
      <c r="D46" s="5" t="s">
        <v>2089</v>
      </c>
    </row>
    <row r="47" customFormat="false" ht="135" hidden="false" customHeight="true" outlineLevel="0" collapsed="false">
      <c r="A47" s="6" t="s">
        <v>2165</v>
      </c>
      <c r="B47" s="6" t="s">
        <v>2166</v>
      </c>
      <c r="C47" s="6" t="s">
        <v>2167</v>
      </c>
      <c r="D47" s="6" t="s">
        <v>2089</v>
      </c>
    </row>
    <row r="48" customFormat="false" ht="135" hidden="false" customHeight="true" outlineLevel="0" collapsed="false">
      <c r="A48" s="5" t="s">
        <v>2168</v>
      </c>
      <c r="B48" s="5" t="s">
        <v>2169</v>
      </c>
      <c r="C48" s="5" t="s">
        <v>2170</v>
      </c>
      <c r="D48" s="5" t="s">
        <v>2089</v>
      </c>
    </row>
    <row r="49" customFormat="false" ht="135" hidden="false" customHeight="true" outlineLevel="0" collapsed="false">
      <c r="A49" s="6" t="s">
        <v>2171</v>
      </c>
      <c r="B49" s="6" t="s">
        <v>2172</v>
      </c>
      <c r="C49" s="6" t="s">
        <v>2173</v>
      </c>
      <c r="D49" s="6" t="s">
        <v>2089</v>
      </c>
    </row>
    <row r="50" customFormat="false" ht="135" hidden="false" customHeight="true" outlineLevel="0" collapsed="false">
      <c r="A50" s="5" t="s">
        <v>2174</v>
      </c>
      <c r="B50" s="5" t="s">
        <v>2175</v>
      </c>
      <c r="C50" s="5" t="s">
        <v>2176</v>
      </c>
      <c r="D50" s="5" t="s">
        <v>2089</v>
      </c>
    </row>
    <row r="51" customFormat="false" ht="135" hidden="false" customHeight="true" outlineLevel="0" collapsed="false">
      <c r="A51" s="6" t="s">
        <v>2177</v>
      </c>
      <c r="B51" s="6" t="s">
        <v>2178</v>
      </c>
      <c r="C51" s="6" t="s">
        <v>2179</v>
      </c>
      <c r="D51" s="6" t="s">
        <v>2089</v>
      </c>
    </row>
    <row r="52" customFormat="false" ht="135" hidden="false" customHeight="true" outlineLevel="0" collapsed="false">
      <c r="A52" s="5" t="s">
        <v>2180</v>
      </c>
      <c r="B52" s="5" t="s">
        <v>2181</v>
      </c>
      <c r="C52" s="5" t="s">
        <v>2182</v>
      </c>
      <c r="D52" s="5" t="s">
        <v>2089</v>
      </c>
    </row>
    <row r="53" customFormat="false" ht="135" hidden="false" customHeight="true" outlineLevel="0" collapsed="false">
      <c r="A53" s="6" t="s">
        <v>2183</v>
      </c>
      <c r="B53" s="6" t="s">
        <v>2184</v>
      </c>
      <c r="C53" s="6" t="s">
        <v>2185</v>
      </c>
      <c r="D53" s="6" t="s">
        <v>2089</v>
      </c>
    </row>
    <row r="54" customFormat="false" ht="135" hidden="false" customHeight="true" outlineLevel="0" collapsed="false">
      <c r="A54" s="5" t="s">
        <v>2186</v>
      </c>
      <c r="B54" s="5" t="s">
        <v>2187</v>
      </c>
      <c r="C54" s="5" t="s">
        <v>2188</v>
      </c>
      <c r="D54" s="5" t="s">
        <v>2089</v>
      </c>
    </row>
    <row r="55" customFormat="false" ht="135" hidden="false" customHeight="true" outlineLevel="0" collapsed="false">
      <c r="A55" s="6" t="s">
        <v>2189</v>
      </c>
      <c r="B55" s="6" t="s">
        <v>1291</v>
      </c>
      <c r="C55" s="6" t="s">
        <v>2190</v>
      </c>
      <c r="D55" s="6" t="s">
        <v>2089</v>
      </c>
    </row>
    <row r="56" customFormat="false" ht="135" hidden="false" customHeight="true" outlineLevel="0" collapsed="false">
      <c r="A56" s="5" t="s">
        <v>2191</v>
      </c>
      <c r="B56" s="5" t="s">
        <v>2192</v>
      </c>
      <c r="C56" s="5" t="s">
        <v>2193</v>
      </c>
      <c r="D56" s="5" t="s">
        <v>2089</v>
      </c>
    </row>
    <row r="57" customFormat="false" ht="135" hidden="false" customHeight="true" outlineLevel="0" collapsed="false">
      <c r="A57" s="6" t="s">
        <v>2194</v>
      </c>
      <c r="B57" s="6" t="s">
        <v>2195</v>
      </c>
      <c r="C57" s="6" t="s">
        <v>2196</v>
      </c>
      <c r="D57" s="6" t="s">
        <v>2089</v>
      </c>
    </row>
    <row r="58" customFormat="false" ht="135" hidden="false" customHeight="true" outlineLevel="0" collapsed="false">
      <c r="A58" s="5" t="s">
        <v>2197</v>
      </c>
      <c r="B58" s="5" t="s">
        <v>1349</v>
      </c>
      <c r="C58" s="5" t="s">
        <v>2198</v>
      </c>
      <c r="D58" s="5" t="s">
        <v>2089</v>
      </c>
    </row>
    <row r="59" customFormat="false" ht="135" hidden="false" customHeight="true" outlineLevel="0" collapsed="false">
      <c r="A59" s="6" t="s">
        <v>2199</v>
      </c>
      <c r="B59" s="6" t="s">
        <v>1352</v>
      </c>
      <c r="C59" s="6" t="s">
        <v>2200</v>
      </c>
      <c r="D59" s="6" t="s">
        <v>2089</v>
      </c>
    </row>
    <row r="60" customFormat="false" ht="135" hidden="false" customHeight="true" outlineLevel="0" collapsed="false">
      <c r="A60" s="5" t="s">
        <v>2201</v>
      </c>
      <c r="B60" s="5" t="s">
        <v>1352</v>
      </c>
      <c r="C60" s="5" t="s">
        <v>2200</v>
      </c>
      <c r="D60" s="5" t="s">
        <v>2089</v>
      </c>
    </row>
    <row r="61" customFormat="false" ht="135" hidden="false" customHeight="true" outlineLevel="0" collapsed="false">
      <c r="A61" s="6" t="s">
        <v>2202</v>
      </c>
      <c r="B61" s="6" t="s">
        <v>1373</v>
      </c>
      <c r="C61" s="6" t="s">
        <v>2203</v>
      </c>
      <c r="D61" s="6" t="s">
        <v>2089</v>
      </c>
    </row>
    <row r="62" customFormat="false" ht="135" hidden="false" customHeight="true" outlineLevel="0" collapsed="false">
      <c r="A62" s="5" t="s">
        <v>2204</v>
      </c>
      <c r="B62" s="5" t="s">
        <v>2205</v>
      </c>
      <c r="C62" s="5" t="s">
        <v>2206</v>
      </c>
      <c r="D62" s="5" t="s">
        <v>2089</v>
      </c>
    </row>
    <row r="63" customFormat="false" ht="135" hidden="false" customHeight="true" outlineLevel="0" collapsed="false">
      <c r="A63" s="6" t="s">
        <v>2207</v>
      </c>
      <c r="B63" s="6" t="s">
        <v>2208</v>
      </c>
      <c r="C63" s="6" t="s">
        <v>2209</v>
      </c>
      <c r="D63" s="6" t="s">
        <v>2089</v>
      </c>
    </row>
    <row r="64" customFormat="false" ht="135" hidden="false" customHeight="true" outlineLevel="0" collapsed="false">
      <c r="A64" s="5" t="s">
        <v>2210</v>
      </c>
      <c r="B64" s="5" t="s">
        <v>2211</v>
      </c>
      <c r="C64" s="5" t="s">
        <v>2212</v>
      </c>
      <c r="D64" s="5" t="s">
        <v>2089</v>
      </c>
    </row>
    <row r="65" customFormat="false" ht="135" hidden="false" customHeight="true" outlineLevel="0" collapsed="false">
      <c r="A65" s="6" t="s">
        <v>2213</v>
      </c>
      <c r="B65" s="6"/>
      <c r="C65" s="6" t="s">
        <v>2214</v>
      </c>
      <c r="D65" s="6" t="s">
        <v>2089</v>
      </c>
    </row>
    <row r="66" customFormat="false" ht="135" hidden="false" customHeight="true" outlineLevel="0" collapsed="false">
      <c r="A66" s="5" t="s">
        <v>2215</v>
      </c>
      <c r="B66" s="5"/>
      <c r="C66" s="5" t="s">
        <v>2216</v>
      </c>
      <c r="D66" s="5" t="s">
        <v>2089</v>
      </c>
    </row>
    <row r="67" customFormat="false" ht="135" hidden="false" customHeight="true" outlineLevel="0" collapsed="false">
      <c r="A67" s="6" t="s">
        <v>2217</v>
      </c>
      <c r="B67" s="6"/>
      <c r="C67" s="6" t="s">
        <v>2218</v>
      </c>
      <c r="D67" s="6" t="s">
        <v>2089</v>
      </c>
    </row>
    <row r="68" customFormat="false" ht="135" hidden="false" customHeight="true" outlineLevel="0" collapsed="false">
      <c r="A68" s="5" t="s">
        <v>2219</v>
      </c>
      <c r="B68" s="5"/>
      <c r="C68" s="5" t="s">
        <v>2220</v>
      </c>
      <c r="D68" s="5" t="s">
        <v>2089</v>
      </c>
    </row>
    <row r="69" customFormat="false" ht="135" hidden="false" customHeight="true" outlineLevel="0" collapsed="false">
      <c r="A69" s="6" t="s">
        <v>2221</v>
      </c>
      <c r="B69" s="6"/>
      <c r="C69" s="6" t="s">
        <v>2222</v>
      </c>
      <c r="D69" s="6" t="s">
        <v>2089</v>
      </c>
    </row>
    <row r="70" customFormat="false" ht="135" hidden="false" customHeight="true" outlineLevel="0" collapsed="false">
      <c r="A70" s="5" t="s">
        <v>2223</v>
      </c>
      <c r="B70" s="5"/>
      <c r="C70" s="5" t="s">
        <v>2224</v>
      </c>
      <c r="D70" s="5" t="s">
        <v>2089</v>
      </c>
    </row>
    <row r="71" customFormat="false" ht="135" hidden="false" customHeight="true" outlineLevel="0" collapsed="false">
      <c r="A71" s="6" t="s">
        <v>2225</v>
      </c>
      <c r="B71" s="6"/>
      <c r="C71" s="6" t="s">
        <v>2226</v>
      </c>
      <c r="D71" s="6" t="s">
        <v>2089</v>
      </c>
    </row>
    <row r="72" customFormat="false" ht="135" hidden="false" customHeight="true" outlineLevel="0" collapsed="false">
      <c r="A72" s="5" t="s">
        <v>2227</v>
      </c>
      <c r="B72" s="5"/>
      <c r="C72" s="5" t="s">
        <v>2228</v>
      </c>
      <c r="D72" s="5" t="s">
        <v>2089</v>
      </c>
    </row>
    <row r="73" customFormat="false" ht="135" hidden="false" customHeight="true" outlineLevel="0" collapsed="false">
      <c r="A73" s="6" t="s">
        <v>2229</v>
      </c>
      <c r="B73" s="6"/>
      <c r="C73" s="6" t="s">
        <v>2230</v>
      </c>
      <c r="D73" s="6" t="s">
        <v>2089</v>
      </c>
    </row>
    <row r="74" customFormat="false" ht="135" hidden="false" customHeight="true" outlineLevel="0" collapsed="false">
      <c r="A74" s="5" t="s">
        <v>2231</v>
      </c>
      <c r="B74" s="5"/>
      <c r="C74" s="5" t="s">
        <v>2232</v>
      </c>
      <c r="D74" s="5" t="s">
        <v>2089</v>
      </c>
    </row>
    <row r="75" customFormat="false" ht="135" hidden="false" customHeight="true" outlineLevel="0" collapsed="false">
      <c r="A75" s="6" t="s">
        <v>2233</v>
      </c>
      <c r="B75" s="6"/>
      <c r="C75" s="6" t="s">
        <v>2226</v>
      </c>
      <c r="D75" s="6" t="s">
        <v>2089</v>
      </c>
    </row>
    <row r="76" customFormat="false" ht="135" hidden="false" customHeight="true" outlineLevel="0" collapsed="false">
      <c r="A76" s="5" t="s">
        <v>2234</v>
      </c>
      <c r="B76" s="5"/>
      <c r="C76" s="5" t="s">
        <v>2232</v>
      </c>
      <c r="D76" s="5" t="s">
        <v>2089</v>
      </c>
    </row>
    <row r="77" customFormat="false" ht="135" hidden="false" customHeight="true" outlineLevel="0" collapsed="false">
      <c r="A77" s="6" t="s">
        <v>2235</v>
      </c>
      <c r="B77" s="6"/>
      <c r="C77" s="6" t="s">
        <v>2236</v>
      </c>
      <c r="D77" s="6" t="s">
        <v>2089</v>
      </c>
    </row>
    <row r="78" customFormat="false" ht="135" hidden="false" customHeight="true" outlineLevel="0" collapsed="false">
      <c r="A78" s="5" t="s">
        <v>2237</v>
      </c>
      <c r="B78" s="5" t="s">
        <v>2238</v>
      </c>
      <c r="C78" s="5" t="s">
        <v>2239</v>
      </c>
      <c r="D78" s="5" t="s">
        <v>2089</v>
      </c>
    </row>
    <row r="79" customFormat="false" ht="135" hidden="false" customHeight="true" outlineLevel="0" collapsed="false">
      <c r="A79" s="6" t="s">
        <v>2240</v>
      </c>
      <c r="B79" s="6" t="s">
        <v>2238</v>
      </c>
      <c r="C79" s="6" t="s">
        <v>2241</v>
      </c>
      <c r="D79" s="6" t="s">
        <v>2089</v>
      </c>
    </row>
    <row r="80" customFormat="false" ht="135" hidden="false" customHeight="true" outlineLevel="0" collapsed="false">
      <c r="A80" s="5" t="s">
        <v>2242</v>
      </c>
      <c r="B80" s="5" t="s">
        <v>2243</v>
      </c>
      <c r="C80" s="5" t="s">
        <v>2244</v>
      </c>
      <c r="D80" s="5" t="s">
        <v>2089</v>
      </c>
    </row>
  </sheetData>
  <autoFilter ref="A5:D80"/>
  <mergeCells count="2">
    <mergeCell ref="A1:D1"/>
    <mergeCell ref="A2:D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M19"/>
  <sheetViews>
    <sheetView showFormulas="false" showGridLines="false" showRowColHeaders="true" showZeros="true" rightToLeft="false" tabSelected="false" showOutlineSymbols="true" defaultGridColor="true" view="normal" topLeftCell="A1" colorId="64" zoomScale="60" zoomScaleNormal="6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4.25" customHeight="false" zeroHeight="false" outlineLevelRow="0" outlineLevelCol="0"/>
  <cols>
    <col collapsed="false" customWidth="true" hidden="false" outlineLevel="0" max="1" min="1" style="1" width="24.67"/>
    <col collapsed="false" customWidth="true" hidden="false" outlineLevel="0" max="2" min="2" style="1" width="44.66"/>
    <col collapsed="false" customWidth="true" hidden="false" outlineLevel="0" max="3" min="3" style="1" width="50.67"/>
    <col collapsed="false" customWidth="true" hidden="false" outlineLevel="0" max="4" min="4" style="1" width="55.67"/>
    <col collapsed="false" customWidth="true" hidden="false" outlineLevel="0" max="5" min="5" style="1" width="48.67"/>
    <col collapsed="false" customWidth="true" hidden="false" outlineLevel="0" max="6" min="6" style="1" width="22.67"/>
    <col collapsed="false" customWidth="true" hidden="false" outlineLevel="0" max="7" min="7" style="1" width="90.67"/>
    <col collapsed="false" customWidth="true" hidden="false" outlineLevel="0" max="8" min="8" style="1" width="65.67"/>
    <col collapsed="false" customWidth="true" hidden="false" outlineLevel="0" max="9" min="9" style="1" width="90.67"/>
    <col collapsed="false" customWidth="true" hidden="false" outlineLevel="0" max="10" min="10" style="1" width="65.67"/>
    <col collapsed="false" customWidth="true" hidden="false" outlineLevel="0" max="13" min="11" style="1" width="36.67"/>
  </cols>
  <sheetData>
    <row r="1" customFormat="false" ht="33.75" hidden="false" customHeight="true" outlineLevel="0" collapsed="false">
      <c r="A1" s="20" t="s">
        <v>2245</v>
      </c>
      <c r="B1" s="20"/>
      <c r="C1" s="20"/>
      <c r="D1" s="20"/>
      <c r="E1" s="20"/>
      <c r="F1" s="20"/>
      <c r="G1" s="20"/>
      <c r="H1" s="20"/>
      <c r="I1" s="20"/>
      <c r="J1" s="20"/>
      <c r="K1" s="20"/>
      <c r="L1" s="20"/>
      <c r="M1" s="20"/>
    </row>
    <row r="2" customFormat="false" ht="24.75" hidden="false" customHeight="true" outlineLevel="0" collapsed="false">
      <c r="A2" s="21" t="s">
        <v>2246</v>
      </c>
      <c r="B2" s="21"/>
      <c r="C2" s="21"/>
      <c r="D2" s="21"/>
      <c r="E2" s="21"/>
      <c r="F2" s="21"/>
      <c r="G2" s="21"/>
      <c r="H2" s="21"/>
      <c r="I2" s="21"/>
      <c r="J2" s="21"/>
      <c r="K2" s="21"/>
      <c r="L2" s="21"/>
      <c r="M2" s="21"/>
    </row>
    <row r="3" customFormat="false" ht="24.75" hidden="false" customHeight="true" outlineLevel="0" collapsed="false">
      <c r="A3" s="21"/>
      <c r="B3" s="21"/>
      <c r="C3" s="21"/>
      <c r="D3" s="21"/>
      <c r="E3" s="21"/>
      <c r="F3" s="21"/>
      <c r="G3" s="21"/>
      <c r="H3" s="21"/>
      <c r="I3" s="21"/>
      <c r="J3" s="21"/>
      <c r="K3" s="21"/>
      <c r="L3" s="21"/>
      <c r="M3" s="21"/>
    </row>
    <row r="5" customFormat="false" ht="48" hidden="false" customHeight="true" outlineLevel="0" collapsed="false">
      <c r="A5" s="22" t="s">
        <v>853</v>
      </c>
      <c r="B5" s="22" t="s">
        <v>2247</v>
      </c>
      <c r="C5" s="22" t="s">
        <v>2248</v>
      </c>
      <c r="D5" s="22" t="s">
        <v>73</v>
      </c>
      <c r="E5" s="22" t="s">
        <v>2249</v>
      </c>
      <c r="F5" s="22" t="s">
        <v>2250</v>
      </c>
      <c r="G5" s="22" t="s">
        <v>76</v>
      </c>
      <c r="H5" s="22" t="s">
        <v>2251</v>
      </c>
      <c r="I5" s="22" t="s">
        <v>2252</v>
      </c>
      <c r="J5" s="22" t="s">
        <v>2253</v>
      </c>
      <c r="K5" s="22" t="s">
        <v>2254</v>
      </c>
      <c r="L5" s="22" t="s">
        <v>2255</v>
      </c>
      <c r="M5" s="22" t="s">
        <v>2256</v>
      </c>
    </row>
    <row r="6" customFormat="false" ht="159.75" hidden="false" customHeight="true" outlineLevel="0" collapsed="false">
      <c r="A6" s="25" t="s">
        <v>84</v>
      </c>
      <c r="B6" s="25" t="s">
        <v>2257</v>
      </c>
      <c r="C6" s="25" t="s">
        <v>2258</v>
      </c>
      <c r="D6" s="25" t="s">
        <v>2259</v>
      </c>
      <c r="E6" s="25" t="s">
        <v>2260</v>
      </c>
      <c r="F6" s="25" t="s">
        <v>2261</v>
      </c>
      <c r="G6" s="25" t="s">
        <v>2262</v>
      </c>
      <c r="H6" s="25" t="s">
        <v>2263</v>
      </c>
      <c r="I6" s="25"/>
      <c r="J6" s="25" t="s">
        <v>2264</v>
      </c>
      <c r="K6" s="25"/>
      <c r="L6" s="25"/>
      <c r="M6" s="25"/>
    </row>
    <row r="7" customFormat="false" ht="159.75" hidden="false" customHeight="true" outlineLevel="0" collapsed="false">
      <c r="A7" s="26" t="s">
        <v>96</v>
      </c>
      <c r="B7" s="26" t="s">
        <v>2265</v>
      </c>
      <c r="C7" s="26" t="s">
        <v>2266</v>
      </c>
      <c r="D7" s="26" t="s">
        <v>2267</v>
      </c>
      <c r="E7" s="26" t="s">
        <v>2260</v>
      </c>
      <c r="F7" s="26" t="s">
        <v>2261</v>
      </c>
      <c r="G7" s="26" t="s">
        <v>2262</v>
      </c>
      <c r="H7" s="26" t="s">
        <v>2268</v>
      </c>
      <c r="I7" s="26"/>
      <c r="J7" s="26" t="s">
        <v>2264</v>
      </c>
      <c r="K7" s="26"/>
      <c r="L7" s="26"/>
      <c r="M7" s="26"/>
    </row>
    <row r="8" customFormat="false" ht="159.75" hidden="false" customHeight="true" outlineLevel="0" collapsed="false">
      <c r="A8" s="25" t="s">
        <v>103</v>
      </c>
      <c r="B8" s="25" t="s">
        <v>2269</v>
      </c>
      <c r="C8" s="25" t="s">
        <v>2270</v>
      </c>
      <c r="D8" s="25" t="s">
        <v>2271</v>
      </c>
      <c r="E8" s="25" t="s">
        <v>2272</v>
      </c>
      <c r="F8" s="25" t="s">
        <v>2273</v>
      </c>
      <c r="G8" s="25" t="s">
        <v>2274</v>
      </c>
      <c r="H8" s="25" t="s">
        <v>2275</v>
      </c>
      <c r="I8" s="25" t="s">
        <v>2276</v>
      </c>
      <c r="J8" s="25" t="s">
        <v>2264</v>
      </c>
      <c r="K8" s="25"/>
      <c r="L8" s="25"/>
      <c r="M8" s="25"/>
    </row>
    <row r="9" customFormat="false" ht="159.75" hidden="false" customHeight="true" outlineLevel="0" collapsed="false">
      <c r="A9" s="26" t="s">
        <v>112</v>
      </c>
      <c r="B9" s="26" t="s">
        <v>2277</v>
      </c>
      <c r="C9" s="26" t="s">
        <v>2270</v>
      </c>
      <c r="D9" s="26" t="s">
        <v>2271</v>
      </c>
      <c r="E9" s="26" t="s">
        <v>2278</v>
      </c>
      <c r="F9" s="26" t="s">
        <v>2273</v>
      </c>
      <c r="G9" s="26" t="s">
        <v>2279</v>
      </c>
      <c r="H9" s="26" t="s">
        <v>2275</v>
      </c>
      <c r="I9" s="26" t="s">
        <v>2276</v>
      </c>
      <c r="J9" s="26" t="s">
        <v>2264</v>
      </c>
      <c r="K9" s="26"/>
      <c r="L9" s="26"/>
      <c r="M9" s="26"/>
    </row>
    <row r="10" customFormat="false" ht="159.75" hidden="false" customHeight="true" outlineLevel="0" collapsed="false">
      <c r="A10" s="25" t="s">
        <v>116</v>
      </c>
      <c r="B10" s="25" t="s">
        <v>2280</v>
      </c>
      <c r="C10" s="25" t="s">
        <v>2270</v>
      </c>
      <c r="D10" s="25" t="s">
        <v>2271</v>
      </c>
      <c r="E10" s="25" t="s">
        <v>2281</v>
      </c>
      <c r="F10" s="25" t="s">
        <v>2273</v>
      </c>
      <c r="G10" s="25" t="s">
        <v>2279</v>
      </c>
      <c r="H10" s="25" t="s">
        <v>2275</v>
      </c>
      <c r="I10" s="25" t="s">
        <v>2276</v>
      </c>
      <c r="J10" s="25" t="s">
        <v>2264</v>
      </c>
      <c r="K10" s="25"/>
      <c r="L10" s="25"/>
      <c r="M10" s="25"/>
    </row>
    <row r="11" customFormat="false" ht="159.75" hidden="false" customHeight="true" outlineLevel="0" collapsed="false">
      <c r="A11" s="26" t="s">
        <v>120</v>
      </c>
      <c r="B11" s="26" t="s">
        <v>2282</v>
      </c>
      <c r="C11" s="26" t="s">
        <v>2270</v>
      </c>
      <c r="D11" s="26" t="s">
        <v>2271</v>
      </c>
      <c r="E11" s="26" t="s">
        <v>2283</v>
      </c>
      <c r="F11" s="26" t="s">
        <v>2273</v>
      </c>
      <c r="G11" s="26" t="s">
        <v>2279</v>
      </c>
      <c r="H11" s="26" t="s">
        <v>2275</v>
      </c>
      <c r="I11" s="26" t="s">
        <v>2276</v>
      </c>
      <c r="J11" s="26" t="s">
        <v>2264</v>
      </c>
      <c r="K11" s="26"/>
      <c r="L11" s="26"/>
      <c r="M11" s="26"/>
    </row>
    <row r="12" customFormat="false" ht="159.75" hidden="false" customHeight="true" outlineLevel="0" collapsed="false">
      <c r="A12" s="25" t="s">
        <v>124</v>
      </c>
      <c r="B12" s="25" t="s">
        <v>2284</v>
      </c>
      <c r="C12" s="25" t="s">
        <v>2270</v>
      </c>
      <c r="D12" s="25" t="s">
        <v>2271</v>
      </c>
      <c r="E12" s="25" t="s">
        <v>2285</v>
      </c>
      <c r="F12" s="25" t="s">
        <v>2273</v>
      </c>
      <c r="G12" s="25" t="s">
        <v>2279</v>
      </c>
      <c r="H12" s="25" t="s">
        <v>2275</v>
      </c>
      <c r="I12" s="25" t="s">
        <v>2276</v>
      </c>
      <c r="J12" s="25" t="s">
        <v>2264</v>
      </c>
      <c r="K12" s="25"/>
      <c r="L12" s="25"/>
      <c r="M12" s="25"/>
    </row>
    <row r="13" customFormat="false" ht="159.75" hidden="false" customHeight="true" outlineLevel="0" collapsed="false">
      <c r="A13" s="26" t="s">
        <v>128</v>
      </c>
      <c r="B13" s="26" t="s">
        <v>2286</v>
      </c>
      <c r="C13" s="26" t="s">
        <v>2270</v>
      </c>
      <c r="D13" s="26" t="s">
        <v>2287</v>
      </c>
      <c r="E13" s="26" t="s">
        <v>2260</v>
      </c>
      <c r="F13" s="26" t="s">
        <v>2273</v>
      </c>
      <c r="G13" s="26" t="s">
        <v>2288</v>
      </c>
      <c r="H13" s="26" t="s">
        <v>2289</v>
      </c>
      <c r="I13" s="26" t="s">
        <v>2290</v>
      </c>
      <c r="J13" s="26" t="s">
        <v>2264</v>
      </c>
      <c r="K13" s="26"/>
      <c r="L13" s="26"/>
      <c r="M13" s="26"/>
    </row>
    <row r="14" customFormat="false" ht="159.75" hidden="false" customHeight="true" outlineLevel="0" collapsed="false">
      <c r="A14" s="25" t="s">
        <v>135</v>
      </c>
      <c r="B14" s="25" t="s">
        <v>2291</v>
      </c>
      <c r="C14" s="25" t="s">
        <v>2292</v>
      </c>
      <c r="D14" s="25" t="s">
        <v>2293</v>
      </c>
      <c r="E14" s="25" t="s">
        <v>2260</v>
      </c>
      <c r="F14" s="25" t="s">
        <v>2273</v>
      </c>
      <c r="G14" s="25" t="s">
        <v>2262</v>
      </c>
      <c r="H14" s="25" t="s">
        <v>2275</v>
      </c>
      <c r="I14" s="25"/>
      <c r="J14" s="25" t="s">
        <v>2264</v>
      </c>
      <c r="K14" s="25"/>
      <c r="L14" s="25"/>
      <c r="M14" s="25"/>
    </row>
    <row r="15" customFormat="false" ht="159.75" hidden="false" customHeight="true" outlineLevel="0" collapsed="false">
      <c r="A15" s="26" t="s">
        <v>140</v>
      </c>
      <c r="B15" s="26" t="s">
        <v>2294</v>
      </c>
      <c r="C15" s="26" t="s">
        <v>2292</v>
      </c>
      <c r="D15" s="26" t="s">
        <v>2295</v>
      </c>
      <c r="E15" s="26" t="s">
        <v>2260</v>
      </c>
      <c r="F15" s="26" t="s">
        <v>2273</v>
      </c>
      <c r="G15" s="26" t="s">
        <v>2296</v>
      </c>
      <c r="H15" s="26" t="s">
        <v>2297</v>
      </c>
      <c r="I15" s="26"/>
      <c r="J15" s="26" t="s">
        <v>2264</v>
      </c>
      <c r="K15" s="26"/>
      <c r="L15" s="26"/>
      <c r="M15" s="26"/>
    </row>
    <row r="16" customFormat="false" ht="159.75" hidden="false" customHeight="true" outlineLevel="0" collapsed="false">
      <c r="A16" s="25" t="s">
        <v>146</v>
      </c>
      <c r="B16" s="25" t="s">
        <v>2298</v>
      </c>
      <c r="C16" s="25" t="s">
        <v>2299</v>
      </c>
      <c r="D16" s="25" t="s">
        <v>2300</v>
      </c>
      <c r="E16" s="25" t="s">
        <v>2301</v>
      </c>
      <c r="F16" s="25" t="s">
        <v>2302</v>
      </c>
      <c r="G16" s="25" t="s">
        <v>2303</v>
      </c>
      <c r="H16" s="25" t="s">
        <v>2304</v>
      </c>
      <c r="I16" s="25" t="s">
        <v>2305</v>
      </c>
      <c r="J16" s="25" t="s">
        <v>2264</v>
      </c>
      <c r="K16" s="25"/>
      <c r="L16" s="25"/>
      <c r="M16" s="25"/>
    </row>
    <row r="17" customFormat="false" ht="159.75" hidden="false" customHeight="true" outlineLevel="0" collapsed="false">
      <c r="A17" s="26" t="s">
        <v>155</v>
      </c>
      <c r="B17" s="26" t="s">
        <v>2306</v>
      </c>
      <c r="C17" s="26" t="s">
        <v>2299</v>
      </c>
      <c r="D17" s="26" t="s">
        <v>2307</v>
      </c>
      <c r="E17" s="26" t="s">
        <v>2308</v>
      </c>
      <c r="F17" s="26" t="s">
        <v>2309</v>
      </c>
      <c r="G17" s="26" t="s">
        <v>2262</v>
      </c>
      <c r="H17" s="26" t="s">
        <v>2310</v>
      </c>
      <c r="I17" s="26" t="s">
        <v>2311</v>
      </c>
      <c r="J17" s="26" t="s">
        <v>2264</v>
      </c>
      <c r="K17" s="26"/>
      <c r="L17" s="26"/>
      <c r="M17" s="26"/>
    </row>
    <row r="18" customFormat="false" ht="159.75" hidden="false" customHeight="true" outlineLevel="0" collapsed="false">
      <c r="A18" s="25"/>
      <c r="B18" s="25"/>
      <c r="C18" s="25"/>
      <c r="D18" s="25"/>
      <c r="E18" s="25"/>
      <c r="F18" s="25"/>
      <c r="G18" s="25"/>
      <c r="H18" s="25"/>
      <c r="I18" s="25"/>
      <c r="J18" s="25"/>
      <c r="K18" s="25"/>
      <c r="L18" s="25"/>
      <c r="M18" s="25"/>
    </row>
    <row r="19" customFormat="false" ht="159.75" hidden="false" customHeight="true" outlineLevel="0" collapsed="false">
      <c r="A19" s="26" t="s">
        <v>2312</v>
      </c>
      <c r="B19" s="26"/>
      <c r="C19" s="26"/>
      <c r="D19" s="26"/>
      <c r="E19" s="26"/>
      <c r="F19" s="26"/>
      <c r="G19" s="26"/>
      <c r="H19" s="26"/>
      <c r="I19" s="26"/>
      <c r="J19" s="26"/>
      <c r="K19" s="26"/>
      <c r="L19" s="26"/>
      <c r="M19" s="26"/>
    </row>
  </sheetData>
  <autoFilter ref="A5:M19"/>
  <mergeCells count="2">
    <mergeCell ref="A1:M1"/>
    <mergeCell ref="A2:M3"/>
  </mergeCells>
  <printOptions headings="false" gridLines="false" gridLinesSet="true" horizontalCentered="false" verticalCentered="false"/>
  <pageMargins left="0.3" right="0.3" top="0.4" bottom="0.4" header="0.511811023622047" footer="0.3"/>
  <pageSetup paperSize="8" scale="100" fitToWidth="1" fitToHeight="0" pageOrder="downThenOver" orientation="landscape" blackAndWhite="false" draft="false" cellComments="none" horizontalDpi="300" verticalDpi="300" copies="1"/>
  <headerFooter differentFirst="false" differentOddEven="false">
    <oddHeader/>
    <oddFooter>&amp;LHARBORLIGHT — projekt zasad, bez wdrożenia&amp;R&amp;P / &amp;N</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43"/>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165"/>
    <col collapsed="false" customWidth="true" hidden="false" outlineLevel="0" max="3" min="3" style="1" width="75"/>
  </cols>
  <sheetData>
    <row r="1" customFormat="false" ht="33.75" hidden="false" customHeight="true" outlineLevel="0" collapsed="false">
      <c r="A1" s="7" t="s">
        <v>2313</v>
      </c>
      <c r="B1" s="7"/>
      <c r="C1" s="7"/>
    </row>
    <row r="2" customFormat="false" ht="27" hidden="false" customHeight="true" outlineLevel="0" collapsed="false">
      <c r="A2" s="3" t="s">
        <v>2314</v>
      </c>
      <c r="B2" s="3"/>
      <c r="C2" s="3"/>
    </row>
    <row r="3" customFormat="false" ht="27" hidden="false" customHeight="true" outlineLevel="0" collapsed="false">
      <c r="A3" s="3"/>
      <c r="B3" s="3"/>
      <c r="C3" s="3"/>
    </row>
    <row r="5" customFormat="false" ht="45" hidden="false" customHeight="true" outlineLevel="0" collapsed="false">
      <c r="A5" s="4" t="s">
        <v>2315</v>
      </c>
      <c r="B5" s="4" t="s">
        <v>2316</v>
      </c>
      <c r="C5" s="4" t="s">
        <v>2317</v>
      </c>
    </row>
    <row r="6" customFormat="false" ht="90" hidden="false" customHeight="true" outlineLevel="0" collapsed="false">
      <c r="A6" s="5" t="n">
        <v>1</v>
      </c>
      <c r="B6" s="5" t="s">
        <v>2318</v>
      </c>
      <c r="C6" s="5" t="s">
        <v>2319</v>
      </c>
    </row>
    <row r="7" customFormat="false" ht="90" hidden="false" customHeight="true" outlineLevel="0" collapsed="false">
      <c r="A7" s="6" t="n">
        <v>2</v>
      </c>
      <c r="B7" s="6" t="s">
        <v>2320</v>
      </c>
      <c r="C7" s="6" t="s">
        <v>2319</v>
      </c>
    </row>
    <row r="8" customFormat="false" ht="90" hidden="false" customHeight="true" outlineLevel="0" collapsed="false">
      <c r="A8" s="5" t="n">
        <v>3</v>
      </c>
      <c r="B8" s="5" t="s">
        <v>2321</v>
      </c>
      <c r="C8" s="5" t="s">
        <v>2319</v>
      </c>
    </row>
    <row r="9" customFormat="false" ht="90" hidden="false" customHeight="true" outlineLevel="0" collapsed="false">
      <c r="A9" s="6" t="n">
        <v>4</v>
      </c>
      <c r="B9" s="6" t="s">
        <v>2322</v>
      </c>
      <c r="C9" s="6" t="s">
        <v>2319</v>
      </c>
    </row>
    <row r="10" customFormat="false" ht="90" hidden="false" customHeight="true" outlineLevel="0" collapsed="false">
      <c r="A10" s="5" t="n">
        <v>5</v>
      </c>
      <c r="B10" s="5" t="s">
        <v>2323</v>
      </c>
      <c r="C10" s="5" t="s">
        <v>2319</v>
      </c>
    </row>
    <row r="11" customFormat="false" ht="90" hidden="false" customHeight="true" outlineLevel="0" collapsed="false">
      <c r="A11" s="6" t="n">
        <v>6</v>
      </c>
      <c r="B11" s="6" t="s">
        <v>2324</v>
      </c>
      <c r="C11" s="6" t="s">
        <v>2319</v>
      </c>
    </row>
    <row r="12" customFormat="false" ht="90" hidden="false" customHeight="true" outlineLevel="0" collapsed="false">
      <c r="A12" s="5" t="n">
        <v>7</v>
      </c>
      <c r="B12" s="5" t="s">
        <v>2325</v>
      </c>
      <c r="C12" s="5" t="s">
        <v>2319</v>
      </c>
    </row>
    <row r="13" customFormat="false" ht="90" hidden="false" customHeight="true" outlineLevel="0" collapsed="false">
      <c r="A13" s="6" t="n">
        <v>8</v>
      </c>
      <c r="B13" s="6" t="s">
        <v>2326</v>
      </c>
      <c r="C13" s="6" t="s">
        <v>2319</v>
      </c>
    </row>
    <row r="14" customFormat="false" ht="90" hidden="false" customHeight="true" outlineLevel="0" collapsed="false">
      <c r="A14" s="5" t="n">
        <v>9</v>
      </c>
      <c r="B14" s="5" t="s">
        <v>2327</v>
      </c>
      <c r="C14" s="5" t="s">
        <v>2319</v>
      </c>
    </row>
    <row r="15" customFormat="false" ht="90" hidden="false" customHeight="true" outlineLevel="0" collapsed="false">
      <c r="A15" s="6" t="n">
        <v>10</v>
      </c>
      <c r="B15" s="6" t="s">
        <v>2328</v>
      </c>
      <c r="C15" s="6" t="s">
        <v>2319</v>
      </c>
    </row>
    <row r="16" customFormat="false" ht="90" hidden="false" customHeight="true" outlineLevel="0" collapsed="false">
      <c r="A16" s="5" t="n">
        <v>11</v>
      </c>
      <c r="B16" s="5" t="s">
        <v>2329</v>
      </c>
      <c r="C16" s="5" t="s">
        <v>2319</v>
      </c>
    </row>
    <row r="17" customFormat="false" ht="90" hidden="false" customHeight="true" outlineLevel="0" collapsed="false">
      <c r="A17" s="6" t="n">
        <v>12</v>
      </c>
      <c r="B17" s="6" t="s">
        <v>2330</v>
      </c>
      <c r="C17" s="6" t="s">
        <v>2319</v>
      </c>
    </row>
    <row r="18" customFormat="false" ht="90" hidden="false" customHeight="true" outlineLevel="0" collapsed="false">
      <c r="A18" s="5" t="n">
        <v>13</v>
      </c>
      <c r="B18" s="5" t="s">
        <v>2331</v>
      </c>
      <c r="C18" s="5" t="s">
        <v>2319</v>
      </c>
    </row>
    <row r="19" customFormat="false" ht="90" hidden="false" customHeight="true" outlineLevel="0" collapsed="false">
      <c r="A19" s="6" t="n">
        <v>14</v>
      </c>
      <c r="B19" s="6" t="s">
        <v>2332</v>
      </c>
      <c r="C19" s="6" t="s">
        <v>2319</v>
      </c>
    </row>
    <row r="20" customFormat="false" ht="90" hidden="false" customHeight="true" outlineLevel="0" collapsed="false">
      <c r="A20" s="5" t="n">
        <v>15</v>
      </c>
      <c r="B20" s="5"/>
      <c r="C20" s="5" t="s">
        <v>2319</v>
      </c>
    </row>
    <row r="21" customFormat="false" ht="90" hidden="false" customHeight="true" outlineLevel="0" collapsed="false">
      <c r="A21" s="6" t="n">
        <v>16</v>
      </c>
      <c r="B21" s="6" t="s">
        <v>2333</v>
      </c>
      <c r="C21" s="6" t="s">
        <v>2319</v>
      </c>
    </row>
    <row r="22" customFormat="false" ht="90" hidden="false" customHeight="true" outlineLevel="0" collapsed="false">
      <c r="A22" s="5" t="n">
        <v>17</v>
      </c>
      <c r="B22" s="5" t="s">
        <v>2334</v>
      </c>
      <c r="C22" s="5" t="s">
        <v>2319</v>
      </c>
    </row>
    <row r="23" customFormat="false" ht="90" hidden="false" customHeight="true" outlineLevel="0" collapsed="false">
      <c r="A23" s="6" t="n">
        <v>18</v>
      </c>
      <c r="B23" s="6" t="s">
        <v>2335</v>
      </c>
      <c r="C23" s="6" t="s">
        <v>2319</v>
      </c>
    </row>
    <row r="24" customFormat="false" ht="90" hidden="false" customHeight="true" outlineLevel="0" collapsed="false">
      <c r="A24" s="5" t="n">
        <v>19</v>
      </c>
      <c r="B24" s="5" t="s">
        <v>2336</v>
      </c>
      <c r="C24" s="5" t="s">
        <v>2319</v>
      </c>
    </row>
    <row r="25" customFormat="false" ht="90" hidden="false" customHeight="true" outlineLevel="0" collapsed="false">
      <c r="A25" s="6" t="n">
        <v>20</v>
      </c>
      <c r="B25" s="6" t="s">
        <v>2337</v>
      </c>
      <c r="C25" s="6" t="s">
        <v>2319</v>
      </c>
    </row>
    <row r="26" customFormat="false" ht="90" hidden="false" customHeight="true" outlineLevel="0" collapsed="false">
      <c r="A26" s="5" t="n">
        <v>21</v>
      </c>
      <c r="B26" s="5" t="s">
        <v>2338</v>
      </c>
      <c r="C26" s="5" t="s">
        <v>2319</v>
      </c>
    </row>
    <row r="27" customFormat="false" ht="90" hidden="false" customHeight="true" outlineLevel="0" collapsed="false">
      <c r="A27" s="6" t="n">
        <v>22</v>
      </c>
      <c r="B27" s="6" t="s">
        <v>2339</v>
      </c>
      <c r="C27" s="6" t="s">
        <v>2319</v>
      </c>
    </row>
    <row r="28" customFormat="false" ht="90" hidden="false" customHeight="true" outlineLevel="0" collapsed="false">
      <c r="A28" s="5" t="n">
        <v>23</v>
      </c>
      <c r="B28" s="5" t="s">
        <v>2340</v>
      </c>
      <c r="C28" s="5" t="s">
        <v>2319</v>
      </c>
    </row>
    <row r="29" customFormat="false" ht="90" hidden="false" customHeight="true" outlineLevel="0" collapsed="false">
      <c r="A29" s="6" t="n">
        <v>24</v>
      </c>
      <c r="B29" s="6" t="s">
        <v>2341</v>
      </c>
      <c r="C29" s="6" t="s">
        <v>2319</v>
      </c>
    </row>
    <row r="30" customFormat="false" ht="90" hidden="false" customHeight="true" outlineLevel="0" collapsed="false">
      <c r="A30" s="5" t="n">
        <v>25</v>
      </c>
      <c r="B30" s="5" t="s">
        <v>2342</v>
      </c>
      <c r="C30" s="5" t="s">
        <v>2319</v>
      </c>
    </row>
    <row r="31" customFormat="false" ht="90" hidden="false" customHeight="true" outlineLevel="0" collapsed="false">
      <c r="A31" s="6" t="n">
        <v>26</v>
      </c>
      <c r="B31" s="6" t="s">
        <v>2343</v>
      </c>
      <c r="C31" s="6" t="s">
        <v>2319</v>
      </c>
    </row>
    <row r="32" customFormat="false" ht="90" hidden="false" customHeight="true" outlineLevel="0" collapsed="false">
      <c r="A32" s="5" t="n">
        <v>27</v>
      </c>
      <c r="B32" s="5"/>
      <c r="C32" s="5" t="s">
        <v>2319</v>
      </c>
    </row>
    <row r="33" customFormat="false" ht="90" hidden="false" customHeight="true" outlineLevel="0" collapsed="false">
      <c r="A33" s="6" t="n">
        <v>28</v>
      </c>
      <c r="B33" s="6" t="s">
        <v>2344</v>
      </c>
      <c r="C33" s="6" t="s">
        <v>2319</v>
      </c>
    </row>
    <row r="34" customFormat="false" ht="90" hidden="false" customHeight="true" outlineLevel="0" collapsed="false">
      <c r="A34" s="5" t="n">
        <v>29</v>
      </c>
      <c r="B34" s="5" t="s">
        <v>2345</v>
      </c>
      <c r="C34" s="5" t="s">
        <v>2319</v>
      </c>
    </row>
    <row r="35" customFormat="false" ht="90" hidden="false" customHeight="true" outlineLevel="0" collapsed="false">
      <c r="A35" s="6" t="n">
        <v>30</v>
      </c>
      <c r="B35" s="6" t="s">
        <v>2346</v>
      </c>
      <c r="C35" s="6" t="s">
        <v>2319</v>
      </c>
    </row>
    <row r="36" customFormat="false" ht="90" hidden="false" customHeight="true" outlineLevel="0" collapsed="false">
      <c r="A36" s="5" t="n">
        <v>31</v>
      </c>
      <c r="B36" s="5" t="s">
        <v>2347</v>
      </c>
      <c r="C36" s="5" t="s">
        <v>2319</v>
      </c>
    </row>
    <row r="37" customFormat="false" ht="90" hidden="false" customHeight="true" outlineLevel="0" collapsed="false">
      <c r="A37" s="6" t="n">
        <v>32</v>
      </c>
      <c r="B37" s="6" t="s">
        <v>2348</v>
      </c>
      <c r="C37" s="6" t="s">
        <v>2319</v>
      </c>
    </row>
    <row r="38" customFormat="false" ht="90" hidden="false" customHeight="true" outlineLevel="0" collapsed="false">
      <c r="A38" s="5" t="n">
        <v>33</v>
      </c>
      <c r="B38" s="5" t="s">
        <v>2349</v>
      </c>
      <c r="C38" s="5" t="s">
        <v>2319</v>
      </c>
    </row>
    <row r="39" customFormat="false" ht="90" hidden="false" customHeight="true" outlineLevel="0" collapsed="false">
      <c r="A39" s="6" t="n">
        <v>34</v>
      </c>
      <c r="B39" s="6" t="s">
        <v>2350</v>
      </c>
      <c r="C39" s="6" t="s">
        <v>2319</v>
      </c>
    </row>
    <row r="40" customFormat="false" ht="90" hidden="false" customHeight="true" outlineLevel="0" collapsed="false">
      <c r="A40" s="5" t="n">
        <v>35</v>
      </c>
      <c r="B40" s="5" t="s">
        <v>2351</v>
      </c>
      <c r="C40" s="5" t="s">
        <v>2319</v>
      </c>
    </row>
    <row r="41" customFormat="false" ht="90" hidden="false" customHeight="true" outlineLevel="0" collapsed="false">
      <c r="A41" s="6" t="n">
        <v>36</v>
      </c>
      <c r="B41" s="6" t="s">
        <v>2352</v>
      </c>
      <c r="C41" s="6" t="s">
        <v>2319</v>
      </c>
    </row>
    <row r="42" customFormat="false" ht="90" hidden="false" customHeight="true" outlineLevel="0" collapsed="false">
      <c r="A42" s="5" t="n">
        <v>37</v>
      </c>
      <c r="B42" s="5" t="s">
        <v>2353</v>
      </c>
      <c r="C42" s="5" t="s">
        <v>2319</v>
      </c>
    </row>
    <row r="43" customFormat="false" ht="90" hidden="false" customHeight="true" outlineLevel="0" collapsed="false">
      <c r="A43" s="6" t="n">
        <v>38</v>
      </c>
      <c r="B43" s="6" t="s">
        <v>2354</v>
      </c>
      <c r="C43" s="6" t="s">
        <v>2319</v>
      </c>
    </row>
  </sheetData>
  <autoFilter ref="A5:C43"/>
  <mergeCells count="2">
    <mergeCell ref="A1:C1"/>
    <mergeCell ref="A2:C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3"/>
    <col collapsed="false" customWidth="true" hidden="false" outlineLevel="0" max="2" min="2" style="1" width="80"/>
    <col collapsed="false" customWidth="true" hidden="false" outlineLevel="0" max="3" min="3" style="1" width="145"/>
    <col collapsed="false" customWidth="true" hidden="false" outlineLevel="0" max="4" min="4" style="1" width="70"/>
  </cols>
  <sheetData>
    <row r="1" customFormat="false" ht="33.75" hidden="false" customHeight="true" outlineLevel="0" collapsed="false">
      <c r="A1" s="7" t="s">
        <v>2355</v>
      </c>
      <c r="B1" s="7"/>
      <c r="C1" s="7"/>
      <c r="D1" s="7"/>
    </row>
    <row r="2" customFormat="false" ht="24.75" hidden="false" customHeight="true" outlineLevel="0" collapsed="false">
      <c r="A2" s="3" t="s">
        <v>2356</v>
      </c>
      <c r="B2" s="3"/>
      <c r="C2" s="3"/>
      <c r="D2" s="3"/>
    </row>
    <row r="3" customFormat="false" ht="24.75" hidden="false" customHeight="true" outlineLevel="0" collapsed="false">
      <c r="A3" s="3"/>
      <c r="B3" s="3"/>
      <c r="C3" s="3"/>
      <c r="D3" s="3"/>
    </row>
    <row r="5" customFormat="false" ht="48" hidden="false" customHeight="true" outlineLevel="0" collapsed="false">
      <c r="A5" s="4" t="s">
        <v>1627</v>
      </c>
      <c r="B5" s="4" t="s">
        <v>2084</v>
      </c>
      <c r="C5" s="4" t="s">
        <v>2357</v>
      </c>
      <c r="D5" s="4" t="s">
        <v>2358</v>
      </c>
    </row>
    <row r="6" customFormat="false" ht="129.75" hidden="false" customHeight="true" outlineLevel="0" collapsed="false">
      <c r="A6" s="5" t="s">
        <v>2359</v>
      </c>
      <c r="B6" s="5"/>
      <c r="C6" s="5" t="s">
        <v>2360</v>
      </c>
      <c r="D6" s="5" t="s">
        <v>2361</v>
      </c>
    </row>
    <row r="7" customFormat="false" ht="129.75" hidden="false" customHeight="true" outlineLevel="0" collapsed="false">
      <c r="A7" s="6" t="s">
        <v>2362</v>
      </c>
      <c r="B7" s="6"/>
      <c r="C7" s="6" t="s">
        <v>2363</v>
      </c>
      <c r="D7" s="6" t="s">
        <v>2361</v>
      </c>
    </row>
    <row r="8" customFormat="false" ht="129.75" hidden="false" customHeight="true" outlineLevel="0" collapsed="false">
      <c r="A8" s="5" t="s">
        <v>2364</v>
      </c>
      <c r="B8" s="5"/>
      <c r="C8" s="5" t="s">
        <v>2365</v>
      </c>
      <c r="D8" s="5" t="s">
        <v>2361</v>
      </c>
    </row>
    <row r="9" customFormat="false" ht="129.75" hidden="false" customHeight="true" outlineLevel="0" collapsed="false">
      <c r="A9" s="6" t="s">
        <v>2107</v>
      </c>
      <c r="B9" s="6" t="s">
        <v>2366</v>
      </c>
      <c r="C9" s="6" t="s">
        <v>2367</v>
      </c>
      <c r="D9" s="6" t="s">
        <v>2361</v>
      </c>
    </row>
    <row r="10" customFormat="false" ht="129.75" hidden="false" customHeight="true" outlineLevel="0" collapsed="false">
      <c r="A10" s="5" t="s">
        <v>2113</v>
      </c>
      <c r="B10" s="5" t="s">
        <v>2366</v>
      </c>
      <c r="C10" s="5" t="s">
        <v>2367</v>
      </c>
      <c r="D10" s="5" t="s">
        <v>2361</v>
      </c>
    </row>
    <row r="11" customFormat="false" ht="129.75" hidden="false" customHeight="true" outlineLevel="0" collapsed="false">
      <c r="A11" s="6" t="s">
        <v>2122</v>
      </c>
      <c r="B11" s="6" t="s">
        <v>2368</v>
      </c>
      <c r="C11" s="6" t="s">
        <v>2367</v>
      </c>
      <c r="D11" s="6" t="s">
        <v>2361</v>
      </c>
    </row>
    <row r="12" customFormat="false" ht="129.75" hidden="false" customHeight="true" outlineLevel="0" collapsed="false">
      <c r="A12" s="5" t="s">
        <v>2369</v>
      </c>
      <c r="B12" s="5" t="s">
        <v>2370</v>
      </c>
      <c r="C12" s="5" t="s">
        <v>114</v>
      </c>
      <c r="D12" s="5" t="s">
        <v>2361</v>
      </c>
    </row>
    <row r="13" customFormat="false" ht="129.75" hidden="false" customHeight="true" outlineLevel="0" collapsed="false">
      <c r="A13" s="6" t="s">
        <v>2125</v>
      </c>
      <c r="B13" s="6" t="s">
        <v>2368</v>
      </c>
      <c r="C13" s="6" t="s">
        <v>2367</v>
      </c>
      <c r="D13" s="6" t="s">
        <v>2361</v>
      </c>
    </row>
    <row r="14" customFormat="false" ht="129.75" hidden="false" customHeight="true" outlineLevel="0" collapsed="false">
      <c r="A14" s="5" t="s">
        <v>2371</v>
      </c>
      <c r="B14" s="5" t="s">
        <v>2372</v>
      </c>
      <c r="C14" s="5" t="s">
        <v>118</v>
      </c>
      <c r="D14" s="5" t="s">
        <v>2361</v>
      </c>
    </row>
    <row r="15" customFormat="false" ht="129.75" hidden="false" customHeight="true" outlineLevel="0" collapsed="false">
      <c r="A15" s="6" t="s">
        <v>2126</v>
      </c>
      <c r="B15" s="6" t="s">
        <v>2368</v>
      </c>
      <c r="C15" s="6" t="s">
        <v>2367</v>
      </c>
      <c r="D15" s="6" t="s">
        <v>2361</v>
      </c>
    </row>
    <row r="16" customFormat="false" ht="129.75" hidden="false" customHeight="true" outlineLevel="0" collapsed="false">
      <c r="A16" s="5" t="s">
        <v>2373</v>
      </c>
      <c r="B16" s="5" t="s">
        <v>2374</v>
      </c>
      <c r="C16" s="5" t="s">
        <v>122</v>
      </c>
      <c r="D16" s="5" t="s">
        <v>2361</v>
      </c>
    </row>
    <row r="17" customFormat="false" ht="129.75" hidden="false" customHeight="true" outlineLevel="0" collapsed="false">
      <c r="A17" s="6" t="s">
        <v>2127</v>
      </c>
      <c r="B17" s="6" t="s">
        <v>2368</v>
      </c>
      <c r="C17" s="6" t="s">
        <v>2367</v>
      </c>
      <c r="D17" s="6" t="s">
        <v>2361</v>
      </c>
    </row>
    <row r="18" customFormat="false" ht="129.75" hidden="false" customHeight="true" outlineLevel="0" collapsed="false">
      <c r="A18" s="5" t="s">
        <v>2375</v>
      </c>
      <c r="B18" s="5" t="s">
        <v>2376</v>
      </c>
      <c r="C18" s="5" t="s">
        <v>126</v>
      </c>
      <c r="D18" s="5" t="s">
        <v>2361</v>
      </c>
    </row>
    <row r="19" customFormat="false" ht="129.75" hidden="false" customHeight="true" outlineLevel="0" collapsed="false">
      <c r="A19" s="6" t="s">
        <v>2128</v>
      </c>
      <c r="B19" s="6" t="s">
        <v>2368</v>
      </c>
      <c r="C19" s="6" t="s">
        <v>2367</v>
      </c>
      <c r="D19" s="6" t="s">
        <v>2361</v>
      </c>
    </row>
    <row r="20" customFormat="false" ht="129.75" hidden="false" customHeight="true" outlineLevel="0" collapsed="false">
      <c r="A20" s="5" t="s">
        <v>2132</v>
      </c>
      <c r="B20" s="5" t="s">
        <v>2368</v>
      </c>
      <c r="C20" s="5" t="s">
        <v>2367</v>
      </c>
      <c r="D20" s="5" t="s">
        <v>2361</v>
      </c>
    </row>
    <row r="21" customFormat="false" ht="129.75" hidden="false" customHeight="true" outlineLevel="0" collapsed="false">
      <c r="A21" s="6" t="s">
        <v>2139</v>
      </c>
      <c r="B21" s="6" t="s">
        <v>2368</v>
      </c>
      <c r="C21" s="6" t="s">
        <v>2367</v>
      </c>
      <c r="D21" s="6" t="s">
        <v>2361</v>
      </c>
    </row>
    <row r="22" customFormat="false" ht="129.75" hidden="false" customHeight="true" outlineLevel="0" collapsed="false">
      <c r="A22" s="5" t="s">
        <v>2144</v>
      </c>
      <c r="B22" s="5" t="s">
        <v>2368</v>
      </c>
      <c r="C22" s="5" t="s">
        <v>2367</v>
      </c>
      <c r="D22" s="5" t="s">
        <v>2361</v>
      </c>
    </row>
    <row r="23" customFormat="false" ht="129.75" hidden="false" customHeight="true" outlineLevel="0" collapsed="false">
      <c r="A23" s="6" t="s">
        <v>2150</v>
      </c>
      <c r="B23" s="6" t="s">
        <v>2366</v>
      </c>
      <c r="C23" s="6" t="s">
        <v>2367</v>
      </c>
      <c r="D23" s="6" t="s">
        <v>2361</v>
      </c>
    </row>
    <row r="24" customFormat="false" ht="129.75" hidden="false" customHeight="true" outlineLevel="0" collapsed="false">
      <c r="A24" s="5" t="s">
        <v>2155</v>
      </c>
      <c r="B24" s="5" t="s">
        <v>2366</v>
      </c>
      <c r="C24" s="5" t="s">
        <v>2367</v>
      </c>
      <c r="D24" s="5" t="s">
        <v>2361</v>
      </c>
    </row>
    <row r="25" customFormat="false" ht="129.75" hidden="false" customHeight="true" outlineLevel="0" collapsed="false">
      <c r="A25" s="6" t="s">
        <v>2377</v>
      </c>
      <c r="B25" s="6"/>
      <c r="C25" s="6" t="s">
        <v>2378</v>
      </c>
      <c r="D25" s="6" t="s">
        <v>2361</v>
      </c>
    </row>
    <row r="26" customFormat="false" ht="129.75" hidden="false" customHeight="true" outlineLevel="0" collapsed="false">
      <c r="A26" s="5" t="s">
        <v>2379</v>
      </c>
      <c r="B26" s="5"/>
      <c r="C26" s="5" t="s">
        <v>2380</v>
      </c>
      <c r="D26" s="5" t="s">
        <v>2361</v>
      </c>
    </row>
    <row r="27" customFormat="false" ht="129.75" hidden="false" customHeight="true" outlineLevel="0" collapsed="false">
      <c r="A27" s="6" t="s">
        <v>2381</v>
      </c>
      <c r="B27" s="6"/>
      <c r="C27" s="6" t="s">
        <v>2382</v>
      </c>
      <c r="D27" s="6" t="s">
        <v>2361</v>
      </c>
    </row>
    <row r="28" customFormat="false" ht="129.75" hidden="false" customHeight="true" outlineLevel="0" collapsed="false">
      <c r="A28" s="5" t="s">
        <v>2383</v>
      </c>
      <c r="B28" s="5"/>
      <c r="C28" s="5" t="s">
        <v>2384</v>
      </c>
      <c r="D28" s="5" t="s">
        <v>2361</v>
      </c>
    </row>
    <row r="29" customFormat="false" ht="129.75" hidden="false" customHeight="true" outlineLevel="0" collapsed="false">
      <c r="A29" s="6" t="s">
        <v>2385</v>
      </c>
      <c r="B29" s="6"/>
      <c r="C29" s="6" t="s">
        <v>2386</v>
      </c>
      <c r="D29" s="6" t="s">
        <v>2361</v>
      </c>
    </row>
    <row r="30" customFormat="false" ht="129.75" hidden="false" customHeight="true" outlineLevel="0" collapsed="false">
      <c r="A30" s="5" t="s">
        <v>2387</v>
      </c>
      <c r="B30" s="5"/>
      <c r="C30" s="5" t="s">
        <v>2388</v>
      </c>
      <c r="D30" s="5" t="s">
        <v>2361</v>
      </c>
    </row>
    <row r="31" customFormat="false" ht="129.75" hidden="false" customHeight="true" outlineLevel="0" collapsed="false">
      <c r="A31" s="6" t="s">
        <v>2389</v>
      </c>
      <c r="B31" s="6"/>
      <c r="C31" s="6" t="s">
        <v>2390</v>
      </c>
      <c r="D31" s="6" t="s">
        <v>2361</v>
      </c>
    </row>
    <row r="32" customFormat="false" ht="129.75" hidden="false" customHeight="true" outlineLevel="0" collapsed="false">
      <c r="A32" s="5" t="s">
        <v>2391</v>
      </c>
      <c r="B32" s="5"/>
      <c r="C32" s="5" t="s">
        <v>2392</v>
      </c>
      <c r="D32" s="5" t="s">
        <v>2361</v>
      </c>
    </row>
    <row r="33" customFormat="false" ht="129.75" hidden="false" customHeight="true" outlineLevel="0" collapsed="false">
      <c r="A33" s="6" t="s">
        <v>2393</v>
      </c>
      <c r="B33" s="6"/>
      <c r="C33" s="6" t="s">
        <v>2394</v>
      </c>
      <c r="D33" s="6" t="s">
        <v>2361</v>
      </c>
    </row>
    <row r="34" customFormat="false" ht="129.75" hidden="false" customHeight="true" outlineLevel="0" collapsed="false">
      <c r="A34" s="5" t="s">
        <v>2395</v>
      </c>
      <c r="B34" s="5"/>
      <c r="C34" s="5" t="s">
        <v>2396</v>
      </c>
      <c r="D34" s="5" t="s">
        <v>2361</v>
      </c>
    </row>
    <row r="35" customFormat="false" ht="129.75" hidden="false" customHeight="true" outlineLevel="0" collapsed="false">
      <c r="A35" s="6" t="s">
        <v>2397</v>
      </c>
      <c r="B35" s="6"/>
      <c r="C35" s="6" t="s">
        <v>2398</v>
      </c>
      <c r="D35" s="6" t="s">
        <v>2361</v>
      </c>
    </row>
    <row r="36" customFormat="false" ht="129.75" hidden="false" customHeight="true" outlineLevel="0" collapsed="false">
      <c r="A36" s="5" t="s">
        <v>2399</v>
      </c>
      <c r="B36" s="5"/>
      <c r="C36" s="5" t="s">
        <v>2400</v>
      </c>
      <c r="D36" s="5" t="s">
        <v>2361</v>
      </c>
    </row>
    <row r="37" customFormat="false" ht="129.75" hidden="false" customHeight="true" outlineLevel="0" collapsed="false">
      <c r="A37" s="6" t="s">
        <v>2401</v>
      </c>
      <c r="B37" s="6"/>
      <c r="C37" s="6" t="s">
        <v>2402</v>
      </c>
      <c r="D37" s="6" t="s">
        <v>2361</v>
      </c>
    </row>
    <row r="38" customFormat="false" ht="129.75" hidden="false" customHeight="true" outlineLevel="0" collapsed="false">
      <c r="A38" s="5" t="s">
        <v>2403</v>
      </c>
      <c r="B38" s="5"/>
      <c r="C38" s="5" t="s">
        <v>2404</v>
      </c>
      <c r="D38" s="5" t="s">
        <v>2361</v>
      </c>
    </row>
    <row r="39" customFormat="false" ht="129.75" hidden="false" customHeight="true" outlineLevel="0" collapsed="false">
      <c r="A39" s="6" t="s">
        <v>2405</v>
      </c>
      <c r="B39" s="6"/>
      <c r="C39" s="6" t="s">
        <v>2406</v>
      </c>
      <c r="D39" s="6" t="s">
        <v>2361</v>
      </c>
    </row>
    <row r="40" customFormat="false" ht="129.75" hidden="false" customHeight="true" outlineLevel="0" collapsed="false">
      <c r="A40" s="5" t="s">
        <v>2407</v>
      </c>
      <c r="B40" s="5"/>
      <c r="C40" s="5" t="s">
        <v>2408</v>
      </c>
      <c r="D40" s="5" t="s">
        <v>2361</v>
      </c>
    </row>
    <row r="41" customFormat="false" ht="129.75" hidden="false" customHeight="true" outlineLevel="0" collapsed="false">
      <c r="A41" s="6" t="s">
        <v>2409</v>
      </c>
      <c r="B41" s="6"/>
      <c r="C41" s="6" t="s">
        <v>2410</v>
      </c>
      <c r="D41" s="6" t="s">
        <v>2361</v>
      </c>
    </row>
    <row r="42" customFormat="false" ht="129.75" hidden="false" customHeight="true" outlineLevel="0" collapsed="false">
      <c r="A42" s="5" t="s">
        <v>2411</v>
      </c>
      <c r="B42" s="5"/>
      <c r="C42" s="5" t="s">
        <v>2412</v>
      </c>
      <c r="D42" s="5" t="s">
        <v>2361</v>
      </c>
    </row>
    <row r="43" customFormat="false" ht="135" hidden="false" customHeight="true" outlineLevel="0" collapsed="false"/>
    <row r="44" customFormat="false" ht="135" hidden="false" customHeight="true" outlineLevel="0" collapsed="false"/>
    <row r="45" customFormat="false" ht="135" hidden="false" customHeight="true" outlineLevel="0" collapsed="false"/>
    <row r="46" customFormat="false" ht="135" hidden="false" customHeight="true" outlineLevel="0" collapsed="false"/>
    <row r="47" customFormat="false" ht="135" hidden="false" customHeight="true" outlineLevel="0" collapsed="false"/>
    <row r="48" customFormat="false" ht="135" hidden="false" customHeight="true" outlineLevel="0" collapsed="false"/>
    <row r="49" customFormat="false" ht="135" hidden="false" customHeight="true" outlineLevel="0" collapsed="false"/>
    <row r="50" customFormat="false" ht="135" hidden="false" customHeight="true" outlineLevel="0" collapsed="false"/>
    <row r="51" customFormat="false" ht="135" hidden="false" customHeight="true" outlineLevel="0" collapsed="false"/>
    <row r="52" customFormat="false" ht="135" hidden="false" customHeight="true" outlineLevel="0" collapsed="false"/>
    <row r="53" customFormat="false" ht="135" hidden="false" customHeight="true" outlineLevel="0" collapsed="false"/>
    <row r="54" customFormat="false" ht="135" hidden="false" customHeight="true" outlineLevel="0" collapsed="false"/>
    <row r="55" customFormat="false" ht="135" hidden="false" customHeight="true" outlineLevel="0" collapsed="false"/>
    <row r="56" customFormat="false" ht="135" hidden="false" customHeight="true" outlineLevel="0" collapsed="false"/>
    <row r="57" customFormat="false" ht="135" hidden="false" customHeight="true" outlineLevel="0" collapsed="false"/>
    <row r="58" customFormat="false" ht="135" hidden="false" customHeight="true" outlineLevel="0" collapsed="false"/>
    <row r="59" customFormat="false" ht="135" hidden="false" customHeight="true" outlineLevel="0" collapsed="false"/>
    <row r="60" customFormat="false" ht="135" hidden="false" customHeight="true" outlineLevel="0" collapsed="false"/>
    <row r="61" customFormat="false" ht="135" hidden="false" customHeight="true" outlineLevel="0" collapsed="false"/>
    <row r="62" customFormat="false" ht="135" hidden="false" customHeight="true" outlineLevel="0" collapsed="false"/>
    <row r="63" customFormat="false" ht="135" hidden="false" customHeight="true" outlineLevel="0" collapsed="false"/>
    <row r="64" customFormat="false" ht="135" hidden="false" customHeight="true" outlineLevel="0" collapsed="false"/>
    <row r="65" customFormat="false" ht="135" hidden="false" customHeight="true" outlineLevel="0" collapsed="false"/>
    <row r="66" customFormat="false" ht="135" hidden="false" customHeight="true" outlineLevel="0" collapsed="false"/>
    <row r="67" customFormat="false" ht="135" hidden="false" customHeight="true" outlineLevel="0" collapsed="false"/>
    <row r="68" customFormat="false" ht="135" hidden="false" customHeight="true" outlineLevel="0" collapsed="false"/>
    <row r="69" customFormat="false" ht="135" hidden="false" customHeight="true" outlineLevel="0" collapsed="false"/>
    <row r="70" customFormat="false" ht="135" hidden="false" customHeight="true" outlineLevel="0" collapsed="false"/>
    <row r="71" customFormat="false" ht="135" hidden="false" customHeight="true" outlineLevel="0" collapsed="false"/>
    <row r="72" customFormat="false" ht="135" hidden="false" customHeight="true" outlineLevel="0" collapsed="false"/>
    <row r="73" customFormat="false" ht="135" hidden="false" customHeight="true" outlineLevel="0" collapsed="false"/>
    <row r="74" customFormat="false" ht="135" hidden="false" customHeight="true" outlineLevel="0" collapsed="false"/>
    <row r="75" customFormat="false" ht="135" hidden="false" customHeight="true" outlineLevel="0" collapsed="false"/>
    <row r="76" customFormat="false" ht="135" hidden="false" customHeight="true" outlineLevel="0" collapsed="false"/>
    <row r="77" customFormat="false" ht="135" hidden="false" customHeight="true" outlineLevel="0" collapsed="false"/>
    <row r="78" customFormat="false" ht="135" hidden="false" customHeight="true" outlineLevel="0" collapsed="false"/>
    <row r="79" customFormat="false" ht="135" hidden="false" customHeight="true" outlineLevel="0" collapsed="false"/>
    <row r="80" customFormat="false" ht="135" hidden="false" customHeight="true" outlineLevel="0" collapsed="false"/>
  </sheetData>
  <autoFilter ref="A5:D42"/>
  <mergeCells count="2">
    <mergeCell ref="A1:D1"/>
    <mergeCell ref="A2:D3"/>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2026-10-22T14:31:45Z</dcterms:created>
  <dc:creator>HARBORLIGHT</dc:creator>
  <dc:description>Źródło zachowane w arkuszu Zrodlo. Propozycje i założenia nie są zatwierdzonymi zasadami.</dc:description>
  <dc:language>en-US</dc:language>
  <cp:lastModifiedBy>Sobczak, Krzysztof</cp:lastModifiedBy>
  <dcterms:modified xsi:type="dcterms:W3CDTF">2026-10-22T21:08:49Z</dcterms:modified>
  <cp:revision>0</cp:revision>
  <dc:subject>Projekt zasad: Excel, bez zmian w grze</dc:subject>
  <dc:title>HARBORLIGHT — tabela budynków i analiza zasad</dc:title>
</cp:coreProperties>
</file>

<file path=docProps/custom.xml><?xml version="1.0" encoding="utf-8"?>
<Properties xmlns="http://schemas.openxmlformats.org/officeDocument/2006/custom-properties" xmlns:vt="http://schemas.openxmlformats.org/officeDocument/2006/docPropsVTypes"/>
</file>