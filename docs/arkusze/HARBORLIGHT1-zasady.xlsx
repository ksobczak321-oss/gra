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gft365-my.sharepoint.com/personal/kfsc_gft_com/Documents/Documents/"/>
    </mc:Choice>
  </mc:AlternateContent>
  <xr:revisionPtr revIDLastSave="107" documentId="8_{CD9547F3-F4EE-4B32-B3CB-83185ED8098F}" xr6:coauthVersionLast="47" xr6:coauthVersionMax="47" xr10:uidLastSave="{4B330FDC-89D4-44C1-B50D-D014200D5581}"/>
  <bookViews>
    <workbookView xWindow="-108" yWindow="-108" windowWidth="23256" windowHeight="12456" activeTab="1" xr2:uid="{00000000-000D-0000-FFFF-FFFF00000000}"/>
  </bookViews>
  <sheets>
    <sheet name="Start" sheetId="1" r:id="rId1"/>
    <sheet name="Budynki" sheetId="2" r:id="rId2"/>
    <sheet name="Czlowiek" sheetId="3" r:id="rId3"/>
    <sheet name="Ustalenia - uwagi" sheetId="4" r:id="rId4"/>
    <sheet name="Czas budowy" sheetId="5" r:id="rId5"/>
    <sheet name="Parametry" sheetId="6" r:id="rId6"/>
    <sheet name="Decyzje i konflikty" sheetId="7" r:id="rId7"/>
    <sheet name="Populacja i szczescie" sheetId="8" r:id="rId8"/>
    <sheet name="Przystan" sheetId="9" r:id="rId9"/>
    <sheet name="Blogoslawienstwa" sheetId="10" r:id="rId10"/>
    <sheet name="Zrodlo" sheetId="11" r:id="rId11"/>
  </sheets>
  <definedNames>
    <definedName name="_xlnm._FilterDatabase" localSheetId="9" hidden="1">Start!$A$5:$C$17</definedName>
    <definedName name="_xlnm._FilterDatabase" localSheetId="1" hidden="1">'Czas budowy'!$A$5:$U$42</definedName>
    <definedName name="_xlnm._FilterDatabase" localSheetId="4" hidden="1">Blogoslawienstwa!$A$5:$D$10</definedName>
    <definedName name="_xlnm._FilterDatabase" localSheetId="2" hidden="1">'Decyzje i konflikty'!$A$5:$G$25</definedName>
    <definedName name="_xlnm._FilterDatabase" localSheetId="6" hidden="1">Czlowiek!$A$5:$E$29</definedName>
    <definedName name="_xlnm._FilterDatabase" localSheetId="5" hidden="1">'Populacja i szczescie'!$A$5:$E$14</definedName>
    <definedName name="_xlnm._FilterDatabase" localSheetId="7" hidden="1">Budynki!$A$5:$O$18</definedName>
    <definedName name="_xlnm._FilterDatabase" localSheetId="8" hidden="1">Zrodlo!$A$5:$M$19</definedName>
    <definedName name="_xlnm._FilterDatabase" localSheetId="0" hidden="1">Parametry!$A$5:$F$53</definedName>
    <definedName name="_xlnm._FilterDatabase" localSheetId="3" hidden="1">Przystan!$A$5:$H$24</definedName>
    <definedName name="_xlnm._FilterDatabase" localSheetId="10" hidden="1">'Ustalenia - uwagi'!$A$5:$F$97</definedName>
    <definedName name="_xlnm.Print_Area" localSheetId="9">Start!$A$1:$C$18</definedName>
    <definedName name="_xlnm.Print_Area" localSheetId="1">'Czas budowy'!$A$1:$U$42</definedName>
    <definedName name="_xlnm.Print_Area" localSheetId="4">Blogoslawienstwa!$A$1:$D$10</definedName>
    <definedName name="_xlnm.Print_Area" localSheetId="2">'Decyzje i konflikty'!$A$1:$G$25</definedName>
    <definedName name="_xlnm.Print_Area" localSheetId="6">Czlowiek!$A$1:$E$29</definedName>
    <definedName name="_xlnm.Print_Area" localSheetId="5">'Populacja i szczescie'!$A$1:$E$19</definedName>
    <definedName name="_xlnm.Print_Area" localSheetId="7">Budynki!$A$1:$O$18</definedName>
    <definedName name="_xlnm.Print_Area" localSheetId="8">Zrodlo!$A$1:$M$19</definedName>
    <definedName name="_xlnm.Print_Area" localSheetId="0">Parametry!$A$1:$F$53</definedName>
    <definedName name="_xlnm.Print_Area" localSheetId="3">Przystan!$A$1:$H$47</definedName>
    <definedName name="_xlnm.Print_Area" localSheetId="10">'Ustalenia - uwagi'!$A$1:$F$97</definedName>
    <definedName name="_xlnm.Print_Titles" localSheetId="9">Start!$1:$5</definedName>
    <definedName name="_xlnm.Print_Titles" localSheetId="1">'Czas budowy'!$1:$5</definedName>
    <definedName name="_xlnm.Print_Titles" localSheetId="4">Blogoslawienstwa!$1:$5</definedName>
    <definedName name="_xlnm.Print_Titles" localSheetId="2">'Decyzje i konflikty'!$1:$5</definedName>
    <definedName name="_xlnm.Print_Titles" localSheetId="6">Czlowiek!$1:$5</definedName>
    <definedName name="_xlnm.Print_Titles" localSheetId="5">'Populacja i szczescie'!$1:$5</definedName>
    <definedName name="_xlnm.Print_Titles" localSheetId="7">Budynki!$1:$5</definedName>
    <definedName name="_xlnm.Print_Titles" localSheetId="8">Zrodlo!$1:$5</definedName>
    <definedName name="_xlnm.Print_Titles" localSheetId="0">Parametry!$1:$5</definedName>
    <definedName name="_xlnm.Print_Titles" localSheetId="3">Przystan!$1:$5</definedName>
    <definedName name="_xlnm.Print_Titles" localSheetId="10">'Ustalenia - uwagi'!$1:$5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0" l="1"/>
  <c r="G15" i="9"/>
  <c r="F15" i="9"/>
  <c r="E15" i="9"/>
  <c r="D15" i="9"/>
  <c r="C15" i="9"/>
  <c r="B15" i="9"/>
  <c r="G14" i="9"/>
  <c r="F14" i="9"/>
  <c r="E14" i="9"/>
  <c r="D14" i="9"/>
  <c r="C14" i="9"/>
  <c r="B14" i="9"/>
  <c r="G13" i="9"/>
  <c r="F13" i="9"/>
  <c r="E13" i="9"/>
  <c r="D13" i="9"/>
  <c r="C13" i="9"/>
  <c r="B13" i="9"/>
  <c r="G12" i="9"/>
  <c r="F12" i="9"/>
  <c r="E12" i="9"/>
  <c r="D12" i="9"/>
  <c r="C12" i="9"/>
  <c r="B12" i="9"/>
  <c r="G11" i="9"/>
  <c r="F11" i="9"/>
  <c r="E11" i="9"/>
  <c r="D11" i="9"/>
  <c r="C11" i="9"/>
  <c r="B11" i="9"/>
  <c r="G10" i="9"/>
  <c r="F10" i="9"/>
  <c r="E10" i="9"/>
  <c r="D10" i="9"/>
  <c r="C10" i="9"/>
  <c r="B10" i="9"/>
  <c r="G9" i="9"/>
  <c r="F9" i="9"/>
  <c r="E9" i="9"/>
  <c r="D9" i="9"/>
  <c r="C9" i="9"/>
  <c r="B9" i="9"/>
  <c r="G8" i="9"/>
  <c r="F8" i="9"/>
  <c r="E8" i="9"/>
  <c r="D8" i="9"/>
  <c r="C8" i="9"/>
  <c r="B8" i="9"/>
  <c r="G7" i="9"/>
  <c r="F7" i="9"/>
  <c r="E7" i="9"/>
  <c r="D7" i="9"/>
  <c r="C7" i="9"/>
  <c r="B7" i="9"/>
  <c r="G6" i="9"/>
  <c r="F6" i="9"/>
  <c r="E6" i="9"/>
  <c r="D6" i="9"/>
  <c r="C6" i="9"/>
  <c r="B6" i="9"/>
  <c r="B14" i="8"/>
  <c r="C14" i="8" s="1"/>
  <c r="B13" i="8"/>
  <c r="C13" i="8" s="1"/>
  <c r="B12" i="8"/>
  <c r="C12" i="8" s="1"/>
  <c r="B11" i="8"/>
  <c r="C11" i="8" s="1"/>
  <c r="B10" i="8"/>
  <c r="C10" i="8" s="1"/>
  <c r="B9" i="8"/>
  <c r="C9" i="8" s="1"/>
  <c r="B8" i="8"/>
  <c r="C8" i="8" s="1"/>
  <c r="B7" i="8"/>
  <c r="C7" i="8" s="1"/>
  <c r="B6" i="8"/>
  <c r="C6" i="8" s="1"/>
  <c r="Q42" i="5"/>
  <c r="N42" i="5"/>
  <c r="M42" i="5"/>
  <c r="L42" i="5"/>
  <c r="K42" i="5"/>
  <c r="J42" i="5"/>
  <c r="O42" i="5" s="1"/>
  <c r="I42" i="5"/>
  <c r="H42" i="5"/>
  <c r="G42" i="5"/>
  <c r="D42" i="5"/>
  <c r="Q41" i="5"/>
  <c r="N41" i="5"/>
  <c r="M41" i="5"/>
  <c r="L41" i="5"/>
  <c r="K41" i="5"/>
  <c r="J41" i="5"/>
  <c r="O41" i="5" s="1"/>
  <c r="I41" i="5"/>
  <c r="H41" i="5"/>
  <c r="G41" i="5"/>
  <c r="D41" i="5"/>
  <c r="Q40" i="5"/>
  <c r="N40" i="5"/>
  <c r="M40" i="5"/>
  <c r="L40" i="5"/>
  <c r="K40" i="5"/>
  <c r="J40" i="5"/>
  <c r="O40" i="5" s="1"/>
  <c r="P40" i="5" s="1"/>
  <c r="I40" i="5"/>
  <c r="H40" i="5"/>
  <c r="G40" i="5"/>
  <c r="D40" i="5"/>
  <c r="Q39" i="5"/>
  <c r="N39" i="5"/>
  <c r="M39" i="5"/>
  <c r="L39" i="5"/>
  <c r="K39" i="5"/>
  <c r="J39" i="5"/>
  <c r="I39" i="5"/>
  <c r="H39" i="5"/>
  <c r="G39" i="5"/>
  <c r="D39" i="5"/>
  <c r="Q38" i="5"/>
  <c r="N38" i="5"/>
  <c r="H38" i="5"/>
  <c r="G38" i="5"/>
  <c r="D38" i="5"/>
  <c r="M38" i="5" s="1"/>
  <c r="Q37" i="5"/>
  <c r="H37" i="5"/>
  <c r="G37" i="5"/>
  <c r="D37" i="5"/>
  <c r="Q36" i="5"/>
  <c r="H36" i="5"/>
  <c r="G36" i="5"/>
  <c r="D36" i="5"/>
  <c r="Q35" i="5"/>
  <c r="N35" i="5"/>
  <c r="M35" i="5"/>
  <c r="L35" i="5"/>
  <c r="K35" i="5"/>
  <c r="J35" i="5"/>
  <c r="O35" i="5" s="1"/>
  <c r="I35" i="5"/>
  <c r="H35" i="5"/>
  <c r="G35" i="5"/>
  <c r="D35" i="5"/>
  <c r="Q34" i="5"/>
  <c r="N34" i="5"/>
  <c r="M34" i="5"/>
  <c r="L34" i="5"/>
  <c r="K34" i="5"/>
  <c r="J34" i="5"/>
  <c r="O34" i="5" s="1"/>
  <c r="P34" i="5" s="1"/>
  <c r="I34" i="5"/>
  <c r="H34" i="5"/>
  <c r="G34" i="5"/>
  <c r="D34" i="5"/>
  <c r="Q33" i="5"/>
  <c r="N33" i="5"/>
  <c r="M33" i="5"/>
  <c r="L33" i="5"/>
  <c r="K33" i="5"/>
  <c r="J33" i="5"/>
  <c r="I33" i="5"/>
  <c r="H33" i="5"/>
  <c r="G33" i="5"/>
  <c r="D33" i="5"/>
  <c r="Q32" i="5"/>
  <c r="O32" i="5"/>
  <c r="P32" i="5" s="1"/>
  <c r="N32" i="5"/>
  <c r="M32" i="5"/>
  <c r="L32" i="5"/>
  <c r="K32" i="5"/>
  <c r="J32" i="5"/>
  <c r="I32" i="5"/>
  <c r="H32" i="5"/>
  <c r="G32" i="5"/>
  <c r="D32" i="5"/>
  <c r="Q31" i="5"/>
  <c r="P31" i="5"/>
  <c r="N31" i="5"/>
  <c r="M31" i="5"/>
  <c r="L31" i="5"/>
  <c r="K31" i="5"/>
  <c r="J31" i="5"/>
  <c r="O31" i="5" s="1"/>
  <c r="I31" i="5"/>
  <c r="H31" i="5"/>
  <c r="G31" i="5"/>
  <c r="D31" i="5"/>
  <c r="Q30" i="5"/>
  <c r="N30" i="5"/>
  <c r="M30" i="5"/>
  <c r="L30" i="5"/>
  <c r="K30" i="5"/>
  <c r="J30" i="5"/>
  <c r="O30" i="5" s="1"/>
  <c r="I30" i="5"/>
  <c r="H30" i="5"/>
  <c r="G30" i="5"/>
  <c r="D30" i="5"/>
  <c r="Q29" i="5"/>
  <c r="N29" i="5"/>
  <c r="M29" i="5"/>
  <c r="L29" i="5"/>
  <c r="K29" i="5"/>
  <c r="J29" i="5"/>
  <c r="O29" i="5" s="1"/>
  <c r="I29" i="5"/>
  <c r="H29" i="5"/>
  <c r="G29" i="5"/>
  <c r="D29" i="5"/>
  <c r="Q28" i="5"/>
  <c r="N28" i="5"/>
  <c r="M28" i="5"/>
  <c r="L28" i="5"/>
  <c r="K28" i="5"/>
  <c r="J28" i="5"/>
  <c r="I28" i="5"/>
  <c r="H28" i="5"/>
  <c r="G28" i="5"/>
  <c r="D28" i="5"/>
  <c r="Q27" i="5"/>
  <c r="N27" i="5"/>
  <c r="M27" i="5"/>
  <c r="L27" i="5"/>
  <c r="O27" i="5" s="1"/>
  <c r="P27" i="5" s="1"/>
  <c r="K27" i="5"/>
  <c r="J27" i="5"/>
  <c r="I27" i="5"/>
  <c r="H27" i="5"/>
  <c r="G27" i="5"/>
  <c r="D27" i="5"/>
  <c r="Q26" i="5"/>
  <c r="N26" i="5"/>
  <c r="O26" i="5" s="1"/>
  <c r="P26" i="5" s="1"/>
  <c r="M26" i="5"/>
  <c r="L26" i="5"/>
  <c r="K26" i="5"/>
  <c r="J26" i="5"/>
  <c r="I26" i="5"/>
  <c r="H26" i="5"/>
  <c r="G26" i="5"/>
  <c r="D26" i="5"/>
  <c r="Q25" i="5"/>
  <c r="S25" i="5" s="1"/>
  <c r="P25" i="5"/>
  <c r="N25" i="5"/>
  <c r="M25" i="5"/>
  <c r="L25" i="5"/>
  <c r="K25" i="5"/>
  <c r="J25" i="5"/>
  <c r="O25" i="5" s="1"/>
  <c r="I25" i="5"/>
  <c r="H25" i="5"/>
  <c r="G25" i="5"/>
  <c r="D25" i="5"/>
  <c r="Q24" i="5"/>
  <c r="N24" i="5"/>
  <c r="M24" i="5"/>
  <c r="L24" i="5"/>
  <c r="K24" i="5"/>
  <c r="J24" i="5"/>
  <c r="O24" i="5" s="1"/>
  <c r="I24" i="5"/>
  <c r="H24" i="5"/>
  <c r="G24" i="5"/>
  <c r="D24" i="5"/>
  <c r="Q23" i="5"/>
  <c r="N23" i="5"/>
  <c r="M23" i="5"/>
  <c r="L23" i="5"/>
  <c r="K23" i="5"/>
  <c r="J23" i="5"/>
  <c r="O23" i="5" s="1"/>
  <c r="P23" i="5" s="1"/>
  <c r="I23" i="5"/>
  <c r="H23" i="5"/>
  <c r="G23" i="5"/>
  <c r="D23" i="5"/>
  <c r="Q22" i="5"/>
  <c r="N22" i="5"/>
  <c r="M22" i="5"/>
  <c r="L22" i="5"/>
  <c r="K22" i="5"/>
  <c r="J22" i="5"/>
  <c r="O22" i="5" s="1"/>
  <c r="P22" i="5" s="1"/>
  <c r="I22" i="5"/>
  <c r="H22" i="5"/>
  <c r="G22" i="5"/>
  <c r="D22" i="5"/>
  <c r="Q21" i="5"/>
  <c r="N21" i="5"/>
  <c r="M21" i="5"/>
  <c r="L21" i="5"/>
  <c r="O21" i="5" s="1"/>
  <c r="P21" i="5" s="1"/>
  <c r="K21" i="5"/>
  <c r="J21" i="5"/>
  <c r="I21" i="5"/>
  <c r="H21" i="5"/>
  <c r="G21" i="5"/>
  <c r="D21" i="5"/>
  <c r="Q20" i="5"/>
  <c r="N20" i="5"/>
  <c r="O20" i="5" s="1"/>
  <c r="P20" i="5" s="1"/>
  <c r="M20" i="5"/>
  <c r="L20" i="5"/>
  <c r="K20" i="5"/>
  <c r="J20" i="5"/>
  <c r="I20" i="5"/>
  <c r="H20" i="5"/>
  <c r="G20" i="5"/>
  <c r="D20" i="5"/>
  <c r="Q19" i="5"/>
  <c r="S19" i="5" s="1"/>
  <c r="N19" i="5"/>
  <c r="M19" i="5"/>
  <c r="L19" i="5"/>
  <c r="K19" i="5"/>
  <c r="J19" i="5"/>
  <c r="O19" i="5" s="1"/>
  <c r="P19" i="5" s="1"/>
  <c r="I19" i="5"/>
  <c r="H19" i="5"/>
  <c r="G19" i="5"/>
  <c r="D19" i="5"/>
  <c r="Q18" i="5"/>
  <c r="N18" i="5"/>
  <c r="M18" i="5"/>
  <c r="L18" i="5"/>
  <c r="K18" i="5"/>
  <c r="J18" i="5"/>
  <c r="O18" i="5" s="1"/>
  <c r="I18" i="5"/>
  <c r="H18" i="5"/>
  <c r="G18" i="5"/>
  <c r="D18" i="5"/>
  <c r="Q17" i="5"/>
  <c r="N17" i="5"/>
  <c r="M17" i="5"/>
  <c r="L17" i="5"/>
  <c r="K17" i="5"/>
  <c r="J17" i="5"/>
  <c r="O17" i="5" s="1"/>
  <c r="I17" i="5"/>
  <c r="H17" i="5"/>
  <c r="G17" i="5"/>
  <c r="D17" i="5"/>
  <c r="Q16" i="5"/>
  <c r="S16" i="5" s="1"/>
  <c r="N16" i="5"/>
  <c r="M16" i="5"/>
  <c r="L16" i="5"/>
  <c r="K16" i="5"/>
  <c r="J16" i="5"/>
  <c r="O16" i="5" s="1"/>
  <c r="P16" i="5" s="1"/>
  <c r="I16" i="5"/>
  <c r="H16" i="5"/>
  <c r="G16" i="5"/>
  <c r="D16" i="5"/>
  <c r="Q15" i="5"/>
  <c r="N15" i="5"/>
  <c r="O15" i="5" s="1"/>
  <c r="P15" i="5" s="1"/>
  <c r="M15" i="5"/>
  <c r="L15" i="5"/>
  <c r="K15" i="5"/>
  <c r="J15" i="5"/>
  <c r="I15" i="5"/>
  <c r="H15" i="5"/>
  <c r="G15" i="5"/>
  <c r="D15" i="5"/>
  <c r="Q14" i="5"/>
  <c r="N14" i="5"/>
  <c r="O14" i="5" s="1"/>
  <c r="P14" i="5" s="1"/>
  <c r="M14" i="5"/>
  <c r="L14" i="5"/>
  <c r="K14" i="5"/>
  <c r="J14" i="5"/>
  <c r="I14" i="5"/>
  <c r="H14" i="5"/>
  <c r="G14" i="5"/>
  <c r="D14" i="5"/>
  <c r="Q13" i="5"/>
  <c r="S13" i="5" s="1"/>
  <c r="P13" i="5"/>
  <c r="N13" i="5"/>
  <c r="M13" i="5"/>
  <c r="L13" i="5"/>
  <c r="K13" i="5"/>
  <c r="J13" i="5"/>
  <c r="O13" i="5" s="1"/>
  <c r="I13" i="5"/>
  <c r="H13" i="5"/>
  <c r="G13" i="5"/>
  <c r="D13" i="5"/>
  <c r="Q12" i="5"/>
  <c r="N12" i="5"/>
  <c r="M12" i="5"/>
  <c r="L12" i="5"/>
  <c r="K12" i="5"/>
  <c r="J12" i="5"/>
  <c r="O12" i="5" s="1"/>
  <c r="I12" i="5"/>
  <c r="H12" i="5"/>
  <c r="G12" i="5"/>
  <c r="D12" i="5"/>
  <c r="Q11" i="5"/>
  <c r="N11" i="5"/>
  <c r="M11" i="5"/>
  <c r="L11" i="5"/>
  <c r="K11" i="5"/>
  <c r="J11" i="5"/>
  <c r="O11" i="5" s="1"/>
  <c r="I11" i="5"/>
  <c r="H11" i="5"/>
  <c r="G11" i="5"/>
  <c r="D11" i="5"/>
  <c r="Q10" i="5"/>
  <c r="N10" i="5"/>
  <c r="M10" i="5"/>
  <c r="L10" i="5"/>
  <c r="K10" i="5"/>
  <c r="J10" i="5"/>
  <c r="I10" i="5"/>
  <c r="H10" i="5"/>
  <c r="G10" i="5"/>
  <c r="D10" i="5"/>
  <c r="Q9" i="5"/>
  <c r="N9" i="5"/>
  <c r="M9" i="5"/>
  <c r="L9" i="5"/>
  <c r="O9" i="5" s="1"/>
  <c r="P9" i="5" s="1"/>
  <c r="K9" i="5"/>
  <c r="J9" i="5"/>
  <c r="I9" i="5"/>
  <c r="H9" i="5"/>
  <c r="G9" i="5"/>
  <c r="D9" i="5"/>
  <c r="Q8" i="5"/>
  <c r="N8" i="5"/>
  <c r="O8" i="5" s="1"/>
  <c r="P8" i="5" s="1"/>
  <c r="M8" i="5"/>
  <c r="L8" i="5"/>
  <c r="K8" i="5"/>
  <c r="J8" i="5"/>
  <c r="I8" i="5"/>
  <c r="H8" i="5"/>
  <c r="G8" i="5"/>
  <c r="D8" i="5"/>
  <c r="Q7" i="5"/>
  <c r="S7" i="5" s="1"/>
  <c r="P7" i="5"/>
  <c r="N7" i="5"/>
  <c r="M7" i="5"/>
  <c r="L7" i="5"/>
  <c r="K7" i="5"/>
  <c r="J7" i="5"/>
  <c r="O7" i="5" s="1"/>
  <c r="I7" i="5"/>
  <c r="H7" i="5"/>
  <c r="G7" i="5"/>
  <c r="D7" i="5"/>
  <c r="Q6" i="5"/>
  <c r="N6" i="5"/>
  <c r="M6" i="5"/>
  <c r="L6" i="5"/>
  <c r="K6" i="5"/>
  <c r="J6" i="5"/>
  <c r="O6" i="5" s="1"/>
  <c r="I6" i="5"/>
  <c r="H6" i="5"/>
  <c r="G6" i="5"/>
  <c r="D6" i="5"/>
  <c r="S31" i="5" l="1"/>
  <c r="N14" i="2" s="1"/>
  <c r="R31" i="5"/>
  <c r="P18" i="5"/>
  <c r="P35" i="5"/>
  <c r="P41" i="5"/>
  <c r="R41" i="5" s="1"/>
  <c r="P17" i="5"/>
  <c r="R17" i="5" s="1"/>
  <c r="R26" i="5"/>
  <c r="S26" i="5"/>
  <c r="O12" i="2" s="1"/>
  <c r="P30" i="5"/>
  <c r="S22" i="5"/>
  <c r="P11" i="5"/>
  <c r="S11" i="5" s="1"/>
  <c r="O7" i="2" s="1"/>
  <c r="P29" i="5"/>
  <c r="S29" i="5" s="1"/>
  <c r="O13" i="2" s="1"/>
  <c r="O33" i="5"/>
  <c r="P33" i="5" s="1"/>
  <c r="S33" i="5" s="1"/>
  <c r="M15" i="2" s="1"/>
  <c r="N36" i="5"/>
  <c r="M36" i="5"/>
  <c r="L36" i="5"/>
  <c r="K36" i="5"/>
  <c r="J36" i="5"/>
  <c r="O36" i="5" s="1"/>
  <c r="P36" i="5" s="1"/>
  <c r="I36" i="5"/>
  <c r="S41" i="5"/>
  <c r="R13" i="5"/>
  <c r="N8" i="2" s="1"/>
  <c r="S32" i="5"/>
  <c r="P42" i="5"/>
  <c r="S14" i="5"/>
  <c r="R14" i="5"/>
  <c r="M37" i="5"/>
  <c r="L37" i="5"/>
  <c r="K37" i="5"/>
  <c r="I37" i="5"/>
  <c r="N37" i="5"/>
  <c r="J37" i="5"/>
  <c r="S10" i="5"/>
  <c r="N7" i="2" s="1"/>
  <c r="S35" i="5"/>
  <c r="R19" i="5"/>
  <c r="N10" i="2" s="1"/>
  <c r="R21" i="5"/>
  <c r="S34" i="5"/>
  <c r="O39" i="5"/>
  <c r="P39" i="5" s="1"/>
  <c r="R39" i="5" s="1"/>
  <c r="S15" i="5"/>
  <c r="R7" i="5"/>
  <c r="N6" i="2" s="1"/>
  <c r="S9" i="5"/>
  <c r="S23" i="5"/>
  <c r="R25" i="5"/>
  <c r="N12" i="2" s="1"/>
  <c r="S27" i="5"/>
  <c r="M13" i="2" s="1"/>
  <c r="S8" i="5"/>
  <c r="O6" i="2" s="1"/>
  <c r="R8" i="5"/>
  <c r="P12" i="5"/>
  <c r="P6" i="5"/>
  <c r="O10" i="5"/>
  <c r="P10" i="5" s="1"/>
  <c r="S20" i="5"/>
  <c r="R20" i="5"/>
  <c r="P24" i="5"/>
  <c r="O28" i="5"/>
  <c r="P28" i="5" s="1"/>
  <c r="R28" i="5" s="1"/>
  <c r="S40" i="5"/>
  <c r="N17" i="2" s="1"/>
  <c r="R9" i="5"/>
  <c r="R15" i="5"/>
  <c r="R27" i="5"/>
  <c r="R33" i="5"/>
  <c r="S21" i="5"/>
  <c r="M11" i="2" s="1"/>
  <c r="R10" i="5"/>
  <c r="R16" i="5"/>
  <c r="N9" i="2" s="1"/>
  <c r="R22" i="5"/>
  <c r="R34" i="5"/>
  <c r="R11" i="5"/>
  <c r="R23" i="5"/>
  <c r="R29" i="5"/>
  <c r="R35" i="5"/>
  <c r="L38" i="5"/>
  <c r="R32" i="5"/>
  <c r="I38" i="5"/>
  <c r="J38" i="5"/>
  <c r="R40" i="5"/>
  <c r="K38" i="5"/>
  <c r="S6" i="5" l="1"/>
  <c r="R6" i="5"/>
  <c r="S12" i="5"/>
  <c r="R12" i="5"/>
  <c r="S36" i="5"/>
  <c r="R36" i="5"/>
  <c r="O15" i="2"/>
  <c r="O8" i="2"/>
  <c r="S17" i="5"/>
  <c r="O9" i="2" s="1"/>
  <c r="S28" i="5"/>
  <c r="N13" i="2" s="1"/>
  <c r="S42" i="5"/>
  <c r="R42" i="5"/>
  <c r="O11" i="2"/>
  <c r="S18" i="5"/>
  <c r="R18" i="5"/>
  <c r="S24" i="5"/>
  <c r="M12" i="2" s="1"/>
  <c r="R24" i="5"/>
  <c r="S39" i="5"/>
  <c r="M17" i="2" s="1"/>
  <c r="O10" i="2"/>
  <c r="N11" i="2"/>
  <c r="O14" i="2"/>
  <c r="M7" i="2"/>
  <c r="O38" i="5"/>
  <c r="P38" i="5" s="1"/>
  <c r="O37" i="5"/>
  <c r="P37" i="5" s="1"/>
  <c r="M9" i="2"/>
  <c r="S30" i="5"/>
  <c r="M14" i="2" s="1"/>
  <c r="R30" i="5"/>
  <c r="O17" i="2"/>
  <c r="N15" i="2"/>
  <c r="S38" i="5" l="1"/>
  <c r="O16" i="2" s="1"/>
  <c r="R38" i="5"/>
  <c r="M16" i="2"/>
  <c r="R37" i="5"/>
  <c r="S37" i="5"/>
  <c r="N16" i="2" s="1"/>
  <c r="M8" i="2"/>
  <c r="M10" i="2"/>
  <c r="M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Ustalenia HARBORLIGHT</author>
    <author/>
  </authors>
  <commentList>
    <comment ref="I6" authorId="0" shapeId="0" xr:uid="{00000000-0006-0000-0100-000001000000}">
      <text>
        <r>
          <rPr>
            <sz val="12"/>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U004 [AKTUALNE] Poziom: Poziom gracza=poziom Ratusza.
Uwagi: Ratusz nie zatrudnia pracowników.
U005 [AKTUALNE] Poziom: Pozostałe budynki mogą mieć najwyżej poziom Ratusza.</t>
        </r>
        <r>
          <rPr>
            <sz val="9"/>
            <color indexed="81"/>
            <rFont val="Tahoma"/>
            <family val="2"/>
          </rPr>
          <t xml:space="preserve">
</t>
        </r>
        <r>
          <rPr>
            <sz val="16"/>
            <color indexed="81"/>
            <rFont val="Tahoma"/>
            <family val="2"/>
          </rPr>
          <t xml:space="preserve">Uwagi: Podniesienie ratusza odblokowuje możliwość rozbudowy, nie wykonuje jej za gracza.
U006 [AKTUALNE] Ludność: Teoretyczny limit mieszkańców=24×poziom Ratusza.
Uwagi: PrzykładRatusz4→96;Ratusz6→144. To limit, nie automatyczna liczba osób.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U033 [ZAAKCEPTOWANA UWAGA] Rezerwa: 50Food może nie wystarczyć na czas transportu;12osobom wystarcza4h10, a przewóz2500 przez6bazowych tragarzy trwa6h57.
Uwagi: Uwagi nie doliczamy do estymat czasu; model zakłada stałe wyżywienie.
U042 [AKTUALNE] Podatki: Przypisany pracownik daje1monetę/h pracy, bezrobotny i wracający0.
Uwagi: W poprzednim modelu przydzielony nadal płaci przy pełnym buforze lub braku wejścia; rozróżnić od chwilowego braku produkcji.
U045 [AKTUALNE] Demografia: Dokładna średnia0%:brak zmian; dodatnia:przyrost;ujemna:ubytek.
Uwagi: Nie ustalono, że ubytek ma oznaczać wyłącznie śmierć.
U048 [AKTUALNE] Demografia: Co najmniej6osób; maksymalnie24×ratusz; przy minimum gra nadal grywalna.
Uwagi: Rozbudowa domu/ratusza nie dodaje ludzi natychmiast.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U063 [AKTUALNE] Koszty: 500każdego z6zasobów×obecny poziom.
Uwagi: W tym monety;do przewozu5materiałów,czyli2500×Ljednostek.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U069 [NOWSZE USTALENIE] Czas budowy: Łącznie3T=transportT+budowanie2T.
Uwagi: Zastępuje wcześniejsze2T.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t>
        </r>
        <r>
          <rPr>
            <sz val="9"/>
            <color indexed="81"/>
            <rFont val="Tahoma"/>
            <family val="2"/>
          </rPr>
          <t xml:space="preserve">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U090 [ZAAKCEPTOWANE] Rozbudowa a zasoby: Ratusz2→Magazyn2→Ratusz3→Magazyn3→Ratusz4 ze względu na miejsce na pełny koszt.
Uwagi: 5000materiałów kosztuRatusza3 nie mieści się wMagazynie1(4000);7500Ratusza4nie wMagazynie2(6000).
U092 [AKTUALNE POLECENIE] Projekt: Wyłącznie Excel i analiza logiczna; bez developmentu.
Uwagi: Plik i instrukcja pobierania są dokumentacją; nie zmieniają kodu gry,zasad ani zapisów.</t>
        </r>
      </text>
    </comment>
    <comment ref="M6" authorId="1" shapeId="0" xr:uid="{00000000-0006-0000-0100-000002000000}">
      <text>
        <r>
          <rPr>
            <sz val="18"/>
            <color indexed="81"/>
            <rFont val="Tahoma"/>
            <family val="2"/>
          </rPr>
          <t>Wyłącznie transport i budowa. 6 stale nakarmionych, magazyn na poziomie L. Bez zbierania, karmienia, wcześniejszych rozbudów i kolejki. +10% interpretacja do decyzji. Zobacz arkusz Czas budowy.</t>
        </r>
      </text>
    </comment>
    <comment ref="N6" authorId="1" shapeId="0" xr:uid="{00000000-0006-0000-0100-000003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6" authorId="1" shapeId="0" xr:uid="{00000000-0006-0000-0100-000004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7" authorId="0" shapeId="0" xr:uid="{00000000-0006-0000-0100-000005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U007 [AKTUALNE] Mieszkania: Dom daje24×swój poziom miejsc mieszkalnych.
Uwagi: Ratusz i Dom mają niezależne limity; Ratusz4,Dom3→limit96,miejsca72.
U008 [AKTUALNE] Mieszkania: PrzeludnienieU=max(0,P−24×poziom Domu). Każdej osobie naliczamy−Upp/h.
Uwagi: 78osób/72miejsca→−6pp/h każdemu; kara sumuje się z innymi stawkami.
U009 [AKTUALNE] Mieszkania: Nowe miejsca po ukończeniu Domu zatrzymują przyszłą karę w pokrytym zakresie, bez zwracania utraconego szczęścia.
Uwagi: Nie ma natychmiastowego dodania ludzi po rozbudowie.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U033 [ZAAKCEPTOWANA UWAGA] Rezerwa: 50Food może nie wystarczyć na czas transportu;12osobom wystarcza4h10, a przewóz2500 przez6bazowych tragarzy trwa6h57.
Uwagi: Uwagi nie doliczamy do estymat czasu; model zakłada stałe wyżywienie.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U063 [AKTUALNE] Koszty: 500każdego z6zasobów×obecny poziom.
Uwagi: W tym monety;do przewozu5materiałów,czyli2500×Ljednostek.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U069 [NOWSZE USTALENIE] Czas budowy: Łącznie3T=transportT+budowanie2T.
Uwagi: Zastępuje wcześniejsze2T.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U089 [NOWE] Powiadomienia: Dom ma dodatkowo powiadamiać o przeludnieniu.
Uwagi: Propozycja reagowania na zmianę stanu/liczbyosób,nie alarm co klatkę;częstotliwość przypomnień nieustalona.
U092 [AKTUALNE POLECENIE] Projekt: Wyłącznie Excel i analiza logiczna; bez developmentu.
Uwagi: Plik i instrukcja pobierania są dokumentacją; nie zmieniają kodu gry,zasad ani zapisów.</t>
        </r>
      </text>
    </comment>
    <comment ref="M7" authorId="1" shapeId="0" xr:uid="{00000000-0006-0000-0100-000006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7" authorId="1" shapeId="0" xr:uid="{00000000-0006-0000-0100-000007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7" authorId="1" shapeId="0" xr:uid="{00000000-0006-0000-0100-000008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8" authorId="0" shapeId="0" xr:uid="{00000000-0006-0000-0100-000009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U016 [AKTUALNE] Produkcja: Każdy nakarmiony producent ma10szt./pełną godzinę pracy; naliczanie proporcjonalne, wydawane całe własne sztuki.
Uwagi: 1szt./6min; po7min1,po13min2. Ułamki różnych pracowników nie łączą się.
U017 [AKTUALNE] Produkcja: Zwolnienie odrzuca niedokończoną część sztuki tego pracownika.
Uwagi: Gotowy towar pozostaje w lokalnym magazynie.
U018 [AKTUALNE] Surowce: Farma produkuje osobne zboże, nie gotową żywność.
Uwagi: Zboże wymaga przewozu centralnie przed zużyciem przez młyn.
U022 [AKTUALNE] Bufory: Pojemność bufora każdego producenta=200×poziom Ratusza.
Uwagi: Wcześniej uzgodniono zależność od ratusza; nie zmieniono jej na własny poziom producenta.
U023 [AKTUALNE] Pełny bufor: Pełny bufor zatrzymuje produkcję i daje jego załodze−10szczęścia od razu.
Uwagi: To offset, nie−10pp na godzinę.
U024 [AKTUALNE] Pełny bufor: Kolejne−10 co24h ciągłego zapełnienia, maksymalnie−50:−20po24h,−30po48h,−40po72h,−50po96h.
Uwagi: Po zwolnieniu miejsca ta osobna kara znika.
U025 [AKTUALNE / NOWE DLA PORTU] Notyfikacje: Powiadomienie przy zapełnieniu magazynu/bufora, także głównego.
Uwagi: Nowy port ma mieć notyfikację pełnego magazynu; nie spam co klatkę.
U041 [AKTUALNE] Wydajność: Głód od razu zmniejsza wydajność o50%, także transport.
Uwagi: Produkcja10→5;bazowy transport60→30. Nie czekamy12h ze spadkiem wydajności.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U061 [AKTUALNE] Koszt producenta: Norma240×obecny poziom/dobę. Koszt30%drewna,30%kamienia,50%własnego produktu.
Uwagi: 72Ldrewna+72Lkamienia+120Lproduktu;nakładające się materiały sumujemy.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U091 [NIEUSTALONE] Projekt: Nowa deklaracja rozbudowy producenta:więcej możliwej produkcji przezwiększą obsadę.
Uwagi: Limit12×ratusz zwiększaobsadęwraz z Ratuszem. Osobny bonus własnego poziomu producenta nie został określony.
U092 [AKTUALNE POLECENIE] Projekt: Wyłącznie Excel i analiza logiczna; bez developmentu.
Uwagi: Plik i instrukcja pobierania są dokumentacją; nie zmieniają kodu gry,zasad ani zapisów.</t>
        </r>
      </text>
    </comment>
    <comment ref="M8" authorId="1" shapeId="0" xr:uid="{00000000-0006-0000-0100-00000A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8" authorId="1" shapeId="0" xr:uid="{00000000-0006-0000-0100-00000B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8" authorId="1" shapeId="0" xr:uid="{00000000-0006-0000-0100-00000C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9" authorId="0" shapeId="0" xr:uid="{00000000-0006-0000-0100-00000D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U016 [AKTUALNE] Produkcja: Każdy nakarmiony producent ma10szt./pełną godzinę pracy; naliczanie proporcjonalne, wydawane całe własne sztuki.
Uwagi: 1szt./6min; po7min1,po13min2. Ułamki różnych pracowników nie łączą się.
U017 [AKTUALNE] Produkcja: Zwolnienie odrzuca niedokończoną część sztuki tego pracownika.
Uwagi: Gotowy towar pozostaje w lokalnym magazynie.
U019 [AKTUALNE] Przeróbka: 2zboża z magazynu centralnego→1Food do lokalnego bufora młyna.
Uwagi: Brak surowca lub miejsca zatrzymuje produkcję.
U022 [AKTUALNE] Bufory: Pojemność bufora każdego producenta=200×poziom Ratusza.
Uwagi: Wcześniej uzgodniono zależność od ratusza; nie zmieniono jej na własny poziom producenta.
U023 [AKTUALNE] Pełny bufor: Pełny bufor zatrzymuje produkcję i daje jego załodze−10szczęścia od razu.
Uwagi: To offset, nie−10pp na godzinę.
U024 [AKTUALNE] Pełny bufor: Kolejne−10 co24h ciągłego zapełnienia, maksymalnie−50:−20po24h,−30po48h,−40po72h,−50po96h.
Uwagi: Po zwolnieniu miejsca ta osobna kara znika.
U025 [AKTUALNE / NOWE DLA PORTU] Notyfikacje: Powiadomienie przy zapełnieniu magazynu/bufora, także głównego.
Uwagi: Nowy port ma mieć notyfikację pełnego magazynu; nie spam co klatkę.
U031 [AKTUALNE] Jedzenie: Każdy mieszkaniec automatycznie je1Food/h, niezależnie od zatrudnienia.
Uwagi: Tylko magazyn centralny. Food lokalny, targowy lub portowy nie karmi bez dowozu.
U041 [AKTUALNE] Wydajność: Głód od razu zmniejsza wydajność o50%, także transport.
Uwagi: Produkcja10→5;bazowy transport60→30. Nie czekamy12h ze spadkiem wydajności.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U061 [AKTUALNE] Koszt producenta: Norma240×obecny poziom/dobę. Koszt30%drewna,30%kamienia,50%własnego produktu.
Uwagi: 72Ldrewna+72Lkamienia+120Lproduktu;nakładające się materiały sumujemy.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U091 [NIEUSTALONE] Projekt: Nowa deklaracja rozbudowy producenta:więcej możliwej produkcji przezwiększą obsadę.
Uwagi: Limit12×ratusz zwiększaobsadęwraz z Ratuszem. Osobny bonus własnego poziomu producenta nie został określony.
U092 [AKTUALNE POLECENIE] Projekt: Wyłącznie Excel i analiza logiczna; bez developmentu.
Uwagi: Plik i instrukcja pobierania są dokumentacją; nie zmieniają kodu gry,zasad ani zapisów.</t>
        </r>
      </text>
    </comment>
    <comment ref="M9" authorId="1" shapeId="0" xr:uid="{00000000-0006-0000-0100-00000E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9" authorId="1" shapeId="0" xr:uid="{00000000-0006-0000-0100-00000F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9" authorId="1" shapeId="0" xr:uid="{00000000-0006-0000-0100-000010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0" authorId="0" shapeId="0" xr:uid="{00000000-0006-0000-0100-000011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U016 [AKTUALNE] Produkcja: Każdy nakarmiony producent ma10szt./pełną godzinę pracy; naliczanie proporcjonalne, wydawane całe własne sztuki.
Uwagi: 1szt./6min; po7min1,po13min2. Ułamki różnych pracowników nie łączą się.
U017 [AKTUALNE] Produkcja: Zwolnienie odrzuca niedokończoną część sztuki tego pracownika.
Uwagi: Gotowy towar pozostaje w lokalnym magazynie.
U021 [AKTUALNE] Surowce: Drwale produkują drewno; kamieniołom kamień.
Uwagi: Skończona produkcja trafia do bufora przy budynku.
U022 [AKTUALNE] Bufory: Pojemność bufora każdego producenta=200×poziom Ratusza.
Uwagi: Wcześniej uzgodniono zależność od ratusza; nie zmieniono jej na własny poziom producenta.
U023 [AKTUALNE] Pełny bufor: Pełny bufor zatrzymuje produkcję i daje jego załodze−10szczęścia od razu.
Uwagi: To offset, nie−10pp na godzinę.
U024 [AKTUALNE] Pełny bufor: Kolejne−10 co24h ciągłego zapełnienia, maksymalnie−50:−20po24h,−30po48h,−40po72h,−50po96h.
Uwagi: Po zwolnieniu miejsca ta osobna kara znika.
U025 [AKTUALNE / NOWE DLA PORTU] Notyfikacje: Powiadomienie przy zapełnieniu magazynu/bufora, także głównego.
Uwagi: Nowy port ma mieć notyfikację pełnego magazynu; nie spam co klatkę.
U041 [AKTUALNE] Wydajność: Głód od razu zmniejsza wydajność o50%, także transport.
Uwagi: Produkcja10→5;bazowy transport60→30. Nie czekamy12h ze spadkiem wydajności.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U061 [AKTUALNE] Koszt producenta: Norma240×obecny poziom/dobę. Koszt30%drewna,30%kamienia,50%własnego produktu.
Uwagi: 72Ldrewna+72Lkamienia+120Lproduktu;nakładające się materiały sumujemy.
U062 [AKTUALNE] Koszt producenta: Drwale192Ldrewna+72Lkamienia;kamieniołom72Ldrewna+192Lkamienia.
Uwagi: To nie dodatkowe podwójne naliczenie; suma składnika bazowego i produktu.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U091 [NIEUSTALONE] Projekt: Nowa deklaracja rozbudowy producenta:więcej możliwej produkcji przezwiększą obsadę.
Uwagi: Limit12×ratusz zwiększaobsadęwraz z Ratuszem. Osobny bonus własnego poziomu producenta nie został określony.
U092 [AKTUALNE POLECENIE] Projekt: Wyłącznie Excel i analiza logiczna; bez developmentu.
Uwagi: Plik i instrukcja pobierania są dokumentacją; nie zmieniają kodu gry,zasad ani zapisów.</t>
        </r>
      </text>
    </comment>
    <comment ref="M10" authorId="1" shapeId="0" xr:uid="{00000000-0006-0000-0100-000012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0" authorId="1" shapeId="0" xr:uid="{00000000-0006-0000-0100-000013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0" authorId="1" shapeId="0" xr:uid="{00000000-0006-0000-0100-000014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1" authorId="0" shapeId="0" xr:uid="{00000000-0006-0000-0100-000015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U016 [AKTUALNE] Produkcja: Każdy nakarmiony producent ma10szt./pełną godzinę pracy; naliczanie proporcjonalne, wydawane całe własne sztuki.
Uwagi: 1szt./6min; po7min1,po13min2. Ułamki różnych pracowników nie łączą się.
U017 [AKTUALNE] Produkcja: Zwolnienie odrzuca niedokończoną część sztuki tego pracownika.
Uwagi: Gotowy towar pozostaje w lokalnym magazynie.
U020 [AKTUALNE] Przeróbka: 2drewna z magazynu centralnego→1deska do lokalnego bufora tartaku.
Uwagi: Brak surowca lub miejsca zatrzymuje produkcję.
U022 [AKTUALNE] Bufory: Pojemność bufora każdego producenta=200×poziom Ratusza.
Uwagi: Wcześniej uzgodniono zależność od ratusza; nie zmieniono jej na własny poziom producenta.
U023 [AKTUALNE] Pełny bufor: Pełny bufor zatrzymuje produkcję i daje jego załodze−10szczęścia od razu.
Uwagi: To offset, nie−10pp na godzinę.
U024 [AKTUALNE] Pełny bufor: Kolejne−10 co24h ciągłego zapełnienia, maksymalnie−50:−20po24h,−30po48h,−40po72h,−50po96h.
Uwagi: Po zwolnieniu miejsca ta osobna kara znika.
U025 [AKTUALNE / NOWE DLA PORTU] Notyfikacje: Powiadomienie przy zapełnieniu magazynu/bufora, także głównego.
Uwagi: Nowy port ma mieć notyfikację pełnego magazynu; nie spam co klatkę.
U041 [AKTUALNE] Wydajność: Głód od razu zmniejsza wydajność o50%, także transport.
Uwagi: Produkcja10→5;bazowy transport60→30. Nie czekamy12h ze spadkiem wydajności.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U061 [AKTUALNE] Koszt producenta: Norma240×obecny poziom/dobę. Koszt30%drewna,30%kamienia,50%własnego produktu.
Uwagi: 72Ldrewna+72Lkamienia+120Lproduktu;nakładające się materiały sumujemy.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U091 [NIEUSTALONE] Projekt: Nowa deklaracja rozbudowy producenta:więcej możliwej produkcji przezwiększą obsadę.
Uwagi: Limit12×ratusz zwiększaobsadęwraz z Ratuszem. Osobny bonus własnego poziomu producenta nie został określony.
U092 [AKTUALNE POLECENIE] Projekt: Wyłącznie Excel i analiza logiczna; bez developmentu.
Uwagi: Plik i instrukcja pobierania są dokumentacją; nie zmieniają kodu gry,zasad ani zapisów.</t>
        </r>
      </text>
    </comment>
    <comment ref="M11" authorId="1" shapeId="0" xr:uid="{00000000-0006-0000-0100-000016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1" authorId="1" shapeId="0" xr:uid="{00000000-0006-0000-0100-000017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1" authorId="1" shapeId="0" xr:uid="{00000000-0006-0000-0100-000018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2" authorId="0" shapeId="0" xr:uid="{00000000-0006-0000-0100-000019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U016 [AKTUALNE] Produkcja: Każdy nakarmiony producent ma10szt./pełną godzinę pracy; naliczanie proporcjonalne, wydawane całe własne sztuki.
Uwagi: 1szt./6min; po7min1,po13min2. Ułamki różnych pracowników nie łączą się.
U017 [AKTUALNE] Produkcja: Zwolnienie odrzuca niedokończoną część sztuki tego pracownika.
Uwagi: Gotowy towar pozostaje w lokalnym magazynie.
U021 [AKTUALNE] Surowce: Drwale produkują drewno; kamieniołom kamień.
Uwagi: Skończona produkcja trafia do bufora przy budynku.
U022 [AKTUALNE] Bufory: Pojemność bufora każdego producenta=200×poziom Ratusza.
Uwagi: Wcześniej uzgodniono zależność od ratusza; nie zmieniono jej na własny poziom producenta.
U023 [AKTUALNE] Pełny bufor: Pełny bufor zatrzymuje produkcję i daje jego załodze−10szczęścia od razu.
Uwagi: To offset, nie−10pp na godzinę.
U024 [AKTUALNE] Pełny bufor: Kolejne−10 co24h ciągłego zapełnienia, maksymalnie−50:−20po24h,−30po48h,−40po72h,−50po96h.
Uwagi: Po zwolnieniu miejsca ta osobna kara znika.
U025 [AKTUALNE / NOWE DLA PORTU] Notyfikacje: Powiadomienie przy zapełnieniu magazynu/bufora, także głównego.
Uwagi: Nowy port ma mieć notyfikację pełnego magazynu; nie spam co klatkę.
U041 [AKTUALNE] Wydajność: Głód od razu zmniejsza wydajność o50%, także transport.
Uwagi: Produkcja10→5;bazowy transport60→30. Nie czekamy12h ze spadkiem wydajności.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U061 [AKTUALNE] Koszt producenta: Norma240×obecny poziom/dobę. Koszt30%drewna,30%kamienia,50%własnego produktu.
Uwagi: 72Ldrewna+72Lkamienia+120Lproduktu;nakładające się materiały sumujemy.
U062 [AKTUALNE] Koszt producenta: Drwale192Ldrewna+72Lkamienia;kamieniołom72Ldrewna+192Lkamienia.
Uwagi: To nie dodatkowe podwójne naliczenie; suma składnika bazowego i produktu.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U091 [NIEUSTALONE] Projekt: Nowa deklaracja rozbudowy producenta:więcej możliwej produkcji przezwiększą obsadę.
Uwagi: Limit12×ratusz zwiększaobsadęwraz z Ratuszem. Osobny bonus własnego poziomu producenta nie został określony.
U092 [AKTUALNE POLECENIE] Projekt: Wyłącznie Excel i analiza logiczna; bez developmentu.
Uwagi: Plik i instrukcja pobierania są dokumentacją; nie zmieniają kodu gry,zasad ani zapisów.</t>
        </r>
      </text>
    </comment>
    <comment ref="M12" authorId="1" shapeId="0" xr:uid="{00000000-0006-0000-0100-00001A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2" authorId="1" shapeId="0" xr:uid="{00000000-0006-0000-0100-00001B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2" authorId="1" shapeId="0" xr:uid="{00000000-0006-0000-0100-00001C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3" authorId="0" shapeId="0" xr:uid="{00000000-0006-0000-0100-00001D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U025 [AKTUALNE / NOWE DLA PORTU] Notyfikacje: Powiadomienie przy zapełnieniu magazynu/bufora, także głównego.
Uwagi: Nowy port ma mieć notyfikację pełnego magazynu; nie spam co klatkę.
U026 [AKTUALNE] Magazyn: Poziom1:1000na każdy z5 materiałów, nie więcej niż4000łącznie.
Uwagi: Monety są osobno w skarbcu.
U027 [AKTUALNE] Magazyn: Każdy kolejny poziom mnoży oba limity×1.5, z zaokrągleniem w dół.
Uwagi: Poziom2:1500/6000;poziom3:2250/9000;poziom4:3375/13500.
U028 [AKTUALNE] Transport: Magazynier przenosi bazowo60towarów/h, sterowane priorytetami.
Uwagi: Towary do budowy muszą być w magazynie centralnym; lokalny bufor nie jest wydawalny.
U029 [NOWE / INTERPRETACJA] Transport: Nowy wpis:+10%pojemności tragarzy na poziom magazynu.
Uwagi: Excel roboczo liczy przepustowość60×1.1^(L−1); wzrost wielkości kursu wymaga jeszcze czasu kursu. D02.
U030 [NOWE] Transport: Magazynierzy noszą produkcję i materiały na budowy, nie zaopatrują przystani.
Uwagi: Port obsługuje własna załoga; droga zakupowa i tempo jeszcze nieustalone.
U031 [AKTUALNE] Jedzenie: Każdy mieszkaniec automatycznie je1Food/h, niezależnie od zatrudnienia.
Uwagi: Tylko magazyn centralny. Food lokalny, targowy lub portowy nie karmi bez dowozu.
U032 [NOWE / ZAAKCEPTOWANA UWAGA] Rezerwa: 50Food jest rezerwą na żywienie; operacje nieżywieniowe powinny zostawić≥50.
Uwagi: Ludzie mogą ją zjadać. Dotyczy również zarezerwowania Food na budowę oraz wysyłki.
U033 [ZAAKCEPTOWANA UWAGA] Rezerwa: 50Food może nie wystarczyć na czas transportu;12osobom wystarcza4h10, a przewóz2500 przez6bazowych tragarzy trwa6h57.
Uwagi: Uwagi nie doliczamy do estymat czasu; model zakłada stałe wyżywienie.
U041 [AKTUALNE] Wydajność: Głód od razu zmniejsza wydajność o50%, także transport.
Uwagi: Produkcja10→5;bazowy transport60→30. Nie czekamy12h ze spadkiem wydajności.
U049 [AKTUALNE] Czas: Jedzenie, szczęście, produkcja, podatki i transport używają rzeczywistych aktywnych godzin.
Uwagi: Pauza, ukryta karta i offline zatrzymują mechanikę; zegar1×/2×/4×nie skraca godzin ekonomii.
U054 [AKTUALNE] Targ: Pracownicy targu donoszą towary jak magazynierzy bazowo60/os./h;każda partia od przybycia zablokowana1h.
Uwagi: Nie wymieniamy towaru w trakcie blokady.
U055 [AKTUALNE] Targ: Wynik wymiany pozostaje na targu, aż magazynierzy odbiorą go do centrali.
Uwagi: Nie można wydać targowego towaru bez transportu centralnego.
U060 [ZASADA UZGODNIONA / NAGRODA NIEUSTALONA] Lojalność: Kolejny dzień logowania zwiększa lojalność do10dni; bonus lojalnościowy zostanie zdefiniowany później.
Uwagi: Nie wymyślono nagród. Poprzedni model używał dni Warszawy; szczegóły konta są przyszłe.
U063 [AKTUALNE] Koszty: 500każdego z6zasobów×obecny poziom.
Uwagi: W tym monety;do przewozu5materiałów,czyli2500×Ljednostek.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U090 [ZAAKCEPTOWANE] Rozbudowa a zasoby: Ratusz2→Magazyn2→Ratusz3→Magazyn3→Ratusz4 ze względu na miejsce na pełny koszt.
Uwagi: 5000materiałów kosztuRatusza3 nie mieści się wMagazynie1(4000);7500Ratusza4nie wMagazynie2(6000).
U092 [AKTUALNE POLECENIE] Projekt: Wyłącznie Excel i analiza logiczna; bez developmentu.
Uwagi: Plik i instrukcja pobierania są dokumentacją; nie zmieniają kodu gry,zasad ani zapisów.</t>
        </r>
      </text>
    </comment>
    <comment ref="M13" authorId="1" shapeId="0" xr:uid="{00000000-0006-0000-0100-00001E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3" authorId="1" shapeId="0" xr:uid="{00000000-0006-0000-0100-00001F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3" authorId="1" shapeId="0" xr:uid="{00000000-0006-0000-0100-000020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4" authorId="0" shapeId="0" xr:uid="{00000000-0006-0000-0100-000021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U025 [AKTUALNE / NOWE DLA PORTU] Notyfikacje: Powiadomienie przy zapełnieniu magazynu/bufora, także głównego.
Uwagi: Nowy port ma mieć notyfikację pełnego magazynu; nie spam co klatkę.
U032 [NOWE / ZAAKCEPTOWANA UWAGA] Rezerwa: 50Food jest rezerwą na żywienie; operacje nieżywieniowe powinny zostawić≥50.
Uwagi: Ludzie mogą ją zjadać. Dotyczy również zarezerwowania Food na budowę oraz wysyłki.
U049 [AKTUALNE] Czas: Jedzenie, szczęście, produkcja, podatki i transport używają rzeczywistych aktywnych godzin.
Uwagi: Pauza, ukryta karta i offline zatrzymują mechanikę; zegar1×/2×/4×nie skraca godzin ekonomii.
U050 [AKTUALNE] Targ: Targ dostępny od poziomu gracza2.
Uwagi: Przystań od4; odblokowanie następuje z poziomu ratusza.
U051 [AKTUALNE] Targ: Wymiana dowolnej ilości, ale tylko w grupach:drewno/kamień/zboże lub deski/Food.
Uwagi: Brak wymiany między grupami; brak kupowania za pieniądze.
U052 [AKTUALNE] Targ: Nominalnie1:1;marża10%,np.10drewna→9kamienia.
Uwagi: Nie stosujemy wcześniejszego sprzecznego przykładu deski→kamień.
U053 [AKTUALNE] Targ: Pojemność1000na1,1500na2,2250na3…;każdy poziom×1.5.
Uwagi: Jeden limit łączny własnego targu, nie1000każdego materiału.
U054 [AKTUALNE] Targ: Pracownicy targu donoszą towary jak magazynierzy bazowo60/os./h;każda partia od przybycia zablokowana1h.
Uwagi: Nie wymieniamy towaru w trakcie blokady.
U055 [AKTUALNE] Targ: Wynik wymiany pozostaje na targu, aż magazynierzy odbiorą go do centrali.
Uwagi: Nie można wydać targowego towaru bez transportu centralnego.
U060 [ZASADA UZGODNIONA / NAGRODA NIEUSTALONA] Lojalność: Kolejny dzień logowania zwiększa lojalność do10dni; bonus lojalnościowy zostanie zdefiniowany później.
Uwagi: Nie wymyślono nagród. Poprzedni model używał dni Warszawy; szczegóły konta są przyszłe.
U063 [AKTUALNE] Koszty: 500każdego z6zasobów×obecny poziom.
Uwagi: W tym monety;do przewozu5materiałów,czyli2500×Ljednostek.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U092 [AKTUALNE POLECENIE] Projekt: Wyłącznie Excel i analiza logiczna; bez developmentu.
Uwagi: Plik i instrukcja pobierania są dokumentacją; nie zmieniają kodu gry,zasad ani zapisów.</t>
        </r>
      </text>
    </comment>
    <comment ref="M14" authorId="1" shapeId="0" xr:uid="{00000000-0006-0000-0100-000022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4" authorId="1" shapeId="0" xr:uid="{00000000-0006-0000-0100-000023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4" authorId="1" shapeId="0" xr:uid="{00000000-0006-0000-0100-000024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5" authorId="0" shapeId="0" xr:uid="{00000000-0006-0000-0100-000025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U025 [AKTUALNE / NOWE DLA PORTU] Notyfikacje: Powiadomienie przy zapełnieniu magazynu/bufora, także głównego.
Uwagi: Nowy port ma mieć notyfikację pełnego magazynu; nie spam co klatkę.
U030 [NOWE] Transport: Magazynierzy noszą produkcję i materiały na budowy, nie zaopatrują przystani.
Uwagi: Port obsługuje własna załoga; droga zakupowa i tempo jeszcze nieustalone.
U032 [NOWE / ZAAKCEPTOWANA UWAGA] Rezerwa: 50Food jest rezerwą na żywienie; operacje nieżywieniowe powinny zostawić≥50.
Uwagi: Ludzie mogą ją zjadać. Dotyczy również zarezerwowania Food na budowę oraz wysyłki.
U041 [AKTUALNE] Wydajność: Głód od razu zmniejsza wydajność o50%, także transport.
Uwagi: Produkcja10→5;bazowy transport60→30. Nie czekamy12h ze spadkiem wydajności.
U049 [AKTUALNE] Czas: Jedzenie, szczęście, produkcja, podatki i transport używają rzeczywistych aktywnych godzin.
Uwagi: Pauza, ukryta karta i offline zatrzymują mechanikę; zegar1×/2×/4×nie skraca godzin ekonomii.
U060 [ZASADA UZGODNIONA / NAGRODA NIEUSTALONA] Lojalność: Kolejny dzień logowania zwiększa lojalność do10dni; bonus lojalnościowy zostanie zdefiniowany później.
Uwagi: Nie wymyślono nagród. Poprzedni model używał dni Warszawy; szczegóły konta są przyszłe.
U063 [AKTUALNE] Koszty: 500każdego z6zasobów×obecny poziom.
Uwagi: W tym monety;do przewozu5materiałów,czyli2500×Ljednostek.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U070 [AKTUALNE] Czas budowy: Łącznie2T=transportT+budowanieT.
Uwagi: Faza budowania korzysta z rzeczywistego czasu wcześniejszego transportu.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U081 [NOWE] Przystań: Od ratusza4 kupno i sprzedaż wszystkich5materiałów za monety;tylko pełne100.
Uwagi: Nie oznacza kupowania samych monet za monety.
U082 [POTWIERDZONE] Przystań: Za100podstawowych:sprzedaż40/kupno50;za100przetworzonych:sprzedaż70/kupno80.
Uwagi: Zapis dokładnie zgodny z najnowszym potwierdzeniem użytkownika.
U083 [NOWE / SZCZEGÓŁY NIEUSTALONE] Przystań: Druga i każda kolejna zakupiona paczka100w ostatnich3h zwiększa cenę+10%.
Uwagi: Liczy się ilość paczek,nie wartość ani liczba kliknięć;globalność,liniowy/składany i zaokrąglenie nieustalone.
U084 [NOWE] Przystań: Załoga portu przynosi z centrali przezT, potem ładuje statek przez taki samT.
Uwagi: Magazynierzy nie zaopatrują portu;droga zakupów,kolejność i bazowe tempo do ustalenia.
U085 [NOWE] Przystań: Pojemność portu jak magazynu:1000każdego/4000łącznie na1,potem×1.5.
Uwagi: Nie naliczono nieustalonej opłaty jako ceny budowy.
U086 [NOWE / SZCZEGÓŁY NIEUSTALONE] Przystań: Za towar dłużej niż24h w porcie10monet.
Uwagi: Brakuje jednostkiopłaty,powtarzania,brakumonet,regułpartiiiczasuaktywnego/zegarowego.
U087 [UWAGA O KONSEKWENCJI] Przystań: Przy2:1,200podstawowego można sprzedać za80;po przeróbce100produktu za70.
Uwagi: Ceny potwierdzone i niezmienione;odnotowano konsekwencję dla opłacalności.
U088 [NOWE DOPRECYZOWANIE] Powiadomienia: Zawsze powiadomienie o ukończeniu budowy.
Uwagi: Dotychczas takżezlecenie,start i dostawa;nowealarmyopisanojakoprojekt,nie wdrożenie.
U092 [AKTUALNE POLECENIE] Projekt: Wyłącznie Excel i analiza logiczna; bez developmentu.
Uwagi: Plik i instrukcja pobierania są dokumentacją; nie zmieniają kodu gry,zasad ani zapisów.</t>
        </r>
      </text>
    </comment>
    <comment ref="M15" authorId="1" shapeId="0" xr:uid="{00000000-0006-0000-0100-000026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5" authorId="1" shapeId="0" xr:uid="{00000000-0006-0000-0100-000027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5" authorId="1" shapeId="0" xr:uid="{00000000-0006-0000-0100-000028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6" authorId="0" shapeId="0" xr:uid="{00000000-0006-0000-0100-000029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U043 [AKTUALNE] Podatki: Głód nie obniża podatku; premia kaplicy daje×2podatku na10h.
Uwagi: Kaplica podwaja tylko istniejący podatek pracujących.
U049 [AKTUALNE] Czas: Jedzenie, szczęście, produkcja, podatki i transport używają rzeczywistych aktywnych godzin.
Uwagi: Pauza, ukryta karta i offline zatrzymują mechanikę; zegar1×/2×/4×nie skraca godzin ekonomii.
U056 [AKTUALNE] Kaplica: Na poziomie1 bez pasywnego plusa/minusa. Po rozbudowie doN:+10×Nszczęścia wszystkim i podatek×2przez10h.
Uwagi: Premia za ukończenie rozbudowy; kolejna odświeża okres, bez nakładania mnożnika do×4.
U057 [WCZEŚNIEJ UZGODNIONE / NOWE SZCZEGÓŁY ODŁOŻONE] Błogosławieństwo: Ręczne użycie:+50każdego zasobu,+20szczęścia wszystkim na1h.
Uwagi: Dotąd funkcja kaplicy i liczba darmowych użyć=poziom; nowa notatka przy latarni pozostaje do późniejszej decyzji.
U058 [ODŁOŻONE] Błogosławieństwo: Nowe odstępy+25%,zakup/challenge/share/reklama i natychmiastowe użycie.
Uwagi: Konflikt z godzinnym efektem bez nakładania zostawiony na później zgodnie z instrukcją.
U059 [ODŁOŻONE] Reklamy: Nowa notatka:60sreklamy skraca pozostały czas o połowę, maks.2na1hgry.
Uwagi: Nie wybieramy resetu, czasu okna, początku cooldownu ani harmonogramu.
U060 [ZASADA UZGODNIONA / NAGRODA NIEUSTALONA] Lojalność: Kolejny dzień logowania zwiększa lojalność do10dni; bonus lojalnościowy zostanie zdefiniowany później.
Uwagi: Nie wymyślono nagród. Poprzedni model używał dni Warszawy; szczegóły konta są przyszłe.
U064 [TYMCZASOWE] Koszty: N×(180monet+20drewna+60kamienia+10desek),Nnowy poziom.
Uwagi: Cena nie była docelowo ustalona;do przewozu90×N.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U071 [NOWSZE USTALENIE] Czas budowy: Łącznie4T=transportT+budowanie3T.
Uwagi: Zastępuje wcześniejsze2T.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U088 [NOWE DOPRECYZOWANIE] Powiadomienia: Zawsze powiadomienie o ukończeniu budowy.
Uwagi: Dotychczas takżezlecenie,start i dostawa;nowealarmyopisanojakoprojekt,nie wdrożenie.
U092 [AKTUALNE POLECENIE] Projekt: Wyłącznie Excel i analiza logiczna; bez developmentu.
Uwagi: Plik i instrukcja pobierania są dokumentacją; nie zmieniają kodu gry,zasad ani zapisów.</t>
        </r>
      </text>
    </comment>
    <comment ref="M16" authorId="1" shapeId="0" xr:uid="{00000000-0006-0000-0100-00002A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6" authorId="1" shapeId="0" xr:uid="{00000000-0006-0000-0100-00002B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6" authorId="1" shapeId="0" xr:uid="{00000000-0006-0000-0100-00002C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7" authorId="0" shapeId="0" xr:uid="{00000000-0006-0000-0100-00002D000000}">
      <text>
        <r>
          <rPr>
            <sz val="9"/>
            <color indexed="81"/>
            <rFont val="Tahoma"/>
            <family val="2"/>
          </rPr>
          <t>U001 [AKTUALNE] Start: Nowa wyspa: Ratusz1, Dom1,12 mieszkańców, szczęście0;100 każdego zasobu.
Uwagi: Zasoby: monety,drewno,kamień,zboże,Food,deski.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U049 [AKTUALNE] Czas: Jedzenie, szczęście, produkcja, podatki i transport używają rzeczywistych aktywnych godzin.
Uwagi: Pauza, ukryta karta i offline zatrzymują mechanikę; zegar1×/2×/4×nie skraca godzin ekonomii.
U057 [WCZEŚNIEJ UZGODNIONE / NOWE SZCZEGÓŁY ODŁOŻONE] Błogosławieństwo: Ręczne użycie:+50każdego zasobu,+20szczęścia wszystkim na1h.
Uwagi: Dotąd funkcja kaplicy i liczba darmowych użyć=poziom; nowa notatka przy latarni pozostaje do późniejszej decyzji.
U058 [ODŁOŻONE] Błogosławieństwo: Nowe odstępy+25%,zakup/challenge/share/reklama i natychmiastowe użycie.
Uwagi: Konflikt z godzinnym efektem bez nakładania zostawiony na później zgodnie z instrukcją.
U059 [ODŁOŻONE] Reklamy: Nowa notatka:60sreklamy skraca pozostały czas o połowę, maks.2na1hgry.
Uwagi: Nie wybieramy resetu, czasu okna, początku cooldownu ani harmonogramu.
U060 [ZASADA UZGODNIONA / NAGRODA NIEUSTALONA] Lojalność: Kolejny dzień logowania zwiększa lojalność do10dni; bonus lojalnościowy zostanie zdefiniowany później.
Uwagi: Nie wymyślono nagród. Poprzedni model używał dni Warszawy; szczegóły konta są przyszłe.
U065 [AKTUALNE] Koszty: 500każdego zasobu razem zmonetami/złotem;dla pierwszejbudowy500, dalej500×obecny poziom.
Uwagi: Użytkownik zdecydował zachować koszt500pomimo długiego zbierania. Do transportu2500×max(1,L).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U072 [NOWSZE USTALENIE] Czas budowy: Łącznie6T=transportT+budowanie5T.
Uwagi: Zastępuje wcześniejsze3T.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U079 [AKTUALNE] Latarnia: Po ukończeniu+100szczęścia i produkcja5materiałów×2;OBA efekty24h×osiągnięty poziom.
Uwagi: Przykładpoziom2:48hobu efektów. Podatki bez zmian,transportbezmnożnika.
U080 [AKTUALNE] Latarnia: Kolejna rozbudowa odświeża czas, a nie mnożnik produkcji do×4.
Uwagi: Premia zaczyna się po ukończeniu;nowe błogosławieństwaODŁOŻONE.
U088 [NOWE DOPRECYZOWANIE] Powiadomienia: Zawsze powiadomienie o ukończeniu budowy.
Uwagi: Dotychczas takżezlecenie,start i dostawa;nowealarmyopisanojakoprojekt,nie wdrożenie.
U092 [AKTUALNE POLECENIE] Projekt: Wyłącznie Excel i analiza logiczna; bez developmentu.
Uwagi: Plik i instrukcja pobierania są dokumentacją; nie zmieniają kodu gry,zasad ani zapisów.</t>
        </r>
      </text>
    </comment>
    <comment ref="M17" authorId="1" shapeId="0" xr:uid="{00000000-0006-0000-0100-00002E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N17" authorId="1" shapeId="0" xr:uid="{00000000-0006-0000-0100-00002F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O17" authorId="1" shapeId="0" xr:uid="{00000000-0006-0000-0100-000030000000}">
      <text>
        <r>
          <rPr>
            <sz val="8"/>
            <color indexed="81"/>
            <rFont val="Tahoma"/>
            <family val="2"/>
          </rPr>
          <t>Wyłącznie transport i budowa. 6 stale nakarmionych, magazyn na poziomie L. Bez zbierania, karmienia, wcześniejszych rozbudów i kolejki. +10% interpretacja do decyzji. Zobacz arkusz Czas budowy.</t>
        </r>
      </text>
    </comment>
    <comment ref="I18" authorId="0" shapeId="0" xr:uid="{00000000-0006-0000-0100-000031000000}">
      <text>
        <r>
          <rPr>
            <sz val="9"/>
            <color indexed="81"/>
            <rFont val="Tahoma"/>
            <family val="2"/>
          </rPr>
          <t>U001 [AKTUALNE] Start: Nowa wyspa: Ratusz1, Dom1,12 mieszkańców, szczęście0;100 każdego zasobu.
Uwagi: Zasoby: monety,drewno,kamień,zboże,Food,deski.
U002 [NOWSZE USTALENIE] Start: W gospodarce0 pracowników na starcie;12 wolnych ludzi do ręcznego przydziału.
Uwagi: Zastępuje wcześniejsze6 startowych przydziałów.
U003 [AKTUALNE] Start: Odświeżenie zachowuje postęp; zestaw startowy nie jest przyznawany ponownie.
Uwagi: Logowanie i serwer to przyszły zakres; plikExcel niczego nie wdraża.
U005 [AKTUALNE] Poziom: Pozostałe budynki mogą mieć najwyżej poziom Ratusza.
Uwagi: Podniesienie ratusza odblokowuje możliwość rozbudowy, nie wykonuje jej za gracza.
U008 [AKTUALNE] Mieszkania: PrzeludnienieU=max(0,P−24×poziom Domu). Każdej osobie naliczamy−Upp/h.
Uwagi: 78osób/72miejsca→−6pp/h każdemu; kara sumuje się z innymi stawkami.
U009 [AKTUALNE] Mieszkania: Nowe miejsca po ukończeniu Domu zatrzymują przyszłą karę w pokrytym zakresie, bez zwracania utraconego szczęścia.
Uwagi: Nie ma natychmiastowego dodania ludzi po rozbudowie.
U010 [NOWSZE DOPRECYZOWANIE] Limit pracy: Na każde z8 miejsc pracy można przypisać0…12×poziom Ratusza osób, bo to połowa maksimum populacji.
Uwagi: Zawsze ograniczenie do faktycznie istniejących wolnych osób; jedna wspólna pula.
U011 [ZASTĄPIONE] Limit pracy: Wcześniej limit zapisano jako połowę aktualnej populacji.
Uwagi: W tymExcelu po najnowszym doprecyzowaniu obowiązuje połowa MAKSIMUM z Ratusza.
U012 [AKTUALNE] Miejsca pracy: Dokładnie8:farma,młyn,drwale,tartak,kamieniołom,magazyn,przystań,targ.
Uwagi: Ratusz,Dom,Kaplica,Latarnia bez własnych pracowników.
U013 [AKTUALNE] Przydział: Jedna osoba ma najwyżej jedno miejsce pracy; nie można zatrudnić ludzi już przypisanych lub w drodze do domu.
Uwagi: Wolni=obecna populacja−przypisani−wracający.
U014 [AKTUALNE] Powrót: Zwolniony zawsze wraca do domu przez5min; dopiero potem może być ponownie przydzielony.
Uwagi: Zachowuje tożsamość i szczęście; w drodze je, nie pracuje, nie płaci podatków; liczy się bezrobocie.
U015 [NIEUSTALONE] Dojście: Nie uzgodniono osobnego czasu dojścia do pracy.
Uwagi: Dotychczas przydział był natychmiastowy; nie dopisano5min do pracy jako pewnej reguły.
U017 [AKTUALNE] Produkcja: Zwolnienie odrzuca niedokończoną część sztuki tego pracownika.
Uwagi: Gotowy towar pozostaje w lokalnym magazynie.
U023 [AKTUALNE] Pełny bufor: Pełny bufor zatrzymuje produkcję i daje jego załodze−10szczęścia od razu.
Uwagi: To offset, nie−10pp na godzinę.
U024 [AKTUALNE] Pełny bufor: Kolejne−10 co24h ciągłego zapełnienia, maksymalnie−50:−20po24h,−30po48h,−40po72h,−50po96h.
Uwagi: Po zwolnieniu miejsca ta osobna kara znika.
U031 [AKTUALNE] Jedzenie: Każdy mieszkaniec automatycznie je1Food/h, niezależnie od zatrudnienia.
Uwagi: Tylko magazyn centralny. Food lokalny, targowy lub portowy nie karmi bez dowozu.
U032 [NOWE / ZAAKCEPTOWANA UWAGA] Rezerwa: 50Food jest rezerwą na żywienie; operacje nieżywieniowe powinny zostawić≥50.
Uwagi: Ludzie mogą ją zjadać. Dotyczy również zarezerwowania Food na budowę oraz wysyłki.
U033 [ZAAKCEPTOWANA UWAGA] Rezerwa: 50Food może nie wystarczyć na czas transportu;12osobom wystarcza4h10, a przewóz2500 przez6bazowych tragarzy trwa6h57.
Uwagi: Uwagi nie doliczamy do estymat czasu; model zakłada stałe wyżywienie.
U034 [AKTUALNE] Szczęście: Indywidualne szczęście i osobna historia każdej osoby. Najpierw ograniczenie−100…+100, potem średnia populacji.
Uwagi: Nie zastępujemy indywidualnych wartości jednym wspólnym licznikiem.
U035 [AKTUALNE] Szczęście: Jedzenie+1pp/h oraz przypisanie do pracy osobne+1pp/h.
Uwagi: Nakarmiony pracownik od0 ma20%po10h.
U036 [AKTUALNE] Szczęście: Brak jedzenia i brak pracy mają osobne okresy12ciągłych godzin bez kary; potem za każdy brak−5pp/h.
Uwagi: Kara nie nalicza się wstecz za pierwsze12h.
U037 [AKTUALNE] Szczęście: Je+pracuje:+2/h;je+bezrobotny do12h:+1/h;po12h:+1−5=−4/h.
Uwagi: 20%po10h pracy/jedzenia→32%po12h jedzenia bez pracy→28%po następnej godzinie.
U038 [AKTUALNE] Szczęście: Głodny+pracuje do12h:+1/h;po12h:+1−5=−4/h.
Uwagi: Wydajność pracy obniża się już od początku głodu.
U039 [AKTUALNE] Szczęście: Nie je i nie pracuje:0/h przed oboma progami;−5/h gdy jeden brak≥12h;−10/h gdy oba≥12h.
Uwagi: Każdy licznik biegnie od swojego początku.
U040 [AKTUALNE] Resety: Jedzenie resetuje tylko głód, przydział tylko bezrobocie; żaden reset nie zwraca utraconych punktów.
Uwagi: Osobiste szczęście zachowuje się przy zmianie miejsca pracy.
U041 [AKTUALNE] Wydajność: Głód od razu zmniejsza wydajność o50%, także transport.
Uwagi: Produkcja10→5;bazowy transport60→30. Nie czekamy12h ze spadkiem wydajności.
U042 [AKTUALNE] Podatki: Przypisany pracownik daje1monetę/h pracy, bezrobotny i wracający0.
Uwagi: W poprzednim modelu przydzielony nadal płaci przy pełnym buforze lub braku wejścia; rozróżnić od chwilowego braku produkcji.
U043 [AKTUALNE] Podatki: Głód nie obniża podatku; premia kaplicy daje×2podatku na10h.
Uwagi: Kaplica podwaja tylko istniejący podatek pracujących.
U044 [AKTUALNE] Prezentacja: Szczęście wyświetlane bez ułamka, zaokrąglane w górę.
Uwagi: W obliczeniach pozostają ułamki;−20.2%pokazane jako−20%,20.2%jako21%.
U045 [AKTUALNE] Demografia: Dokładna średnia0%:brak zmian; dodatnia:przyrost;ujemna:ubytek.
Uwagi: Nie ustalono, że ubytek ma oznaczać wyłącznie śmierć.
U046 [AKTUALNE] Demografia: ±25%:1osoba/12h;±50%:1/6h;±75%:1/około1h43;±100%:1/h.
Uwagi: Pomiędzy punktami interpolujemy tempo, nie sam okres.
U047 [AKTUALNE] Demografia: DlaH=|szczęście| tempo=H/300os./h do50%;powyżej50%:1/6+(H−50)/60; znak określa kierunek.
Uwagi: Nowa osoba zaczyna z własnym0%, z aktualnymi czasowymi efektami wyspy.
U048 [AKTUALNE] Demografia: Co najmniej6osób; maksymalnie24×ratusz; przy minimum gra nadal grywalna.
Uwagi: Rozbudowa domu/ratusza nie dodaje ludzi natychmiast.
U049 [AKTUALNE] Czas: Jedzenie, szczęście, produkcja, podatki i transport używają rzeczywistych aktywnych godzin.
Uwagi: Pauza, ukryta karta i offline zatrzymują mechanikę; zegar1×/2×/4×nie skraca godzin ekonomii.
U057 [WCZEŚNIEJ UZGODNIONE / NOWE SZCZEGÓŁY ODŁOŻONE] Błogosławieństwo: Ręczne użycie:+50każdego zasobu,+20szczęścia wszystkim na1h.
Uwagi: Dotąd funkcja kaplicy i liczba darmowych użyć=poziom; nowa notatka przy latarni pozostaje do późniejszej decyzji.
U060 [ZASADA UZGODNIONA / NAGRODA NIEUSTALONA] Lojalność: Kolejny dzień logowania zwiększa lojalność do10dni; bonus lojalnościowy zostanie zdefiniowany później.
Uwagi: Nie wymyślono nagród. Poprzedni model używał dni Warszawy; szczegóły konta są przyszłe.
U066 [AKTUALNE] Finansowanie: Zwykłą budowę można zamówić tylko z pełnym kosztem w magazynie centralnym i skarbcu.
Uwagi: Koszt rezerwowany także dla zwykłej kolejki;nie wolno wydać tych samych materiałów drugi raz.
U067 [AKTUALNE] Transport budowy: Materiały na budowę noszą magazynierzy. Bez obsady transport czeka.
Uwagi: Monety pobierane ze skarbca, bez fizycznego przewozu.
U068 [NOWSZE USTALENIE] Czas budowy: T=czas transportu. Estymaty zawierają wyłącznie transport+samo budowanie.
Uwagi: Wyłączono zbieranie,karmienie,wymagane wcześniejsze rozbudowy i kolejkę na wyraźną instrukcję użytkownika.
U073 [AKTUALNE] Budowa: Nowy poziom oraz premie działają dopiero po ukończeniu, nie po zamówieniu.
Uwagi: Dotychczasowy poziom pracuje podczas rozbudowy.
U074 [AKTUALNE] Kolejka: Poziom graczaL dajeLrównoległych budów iLopłaconych pozycji oczekujących.
Uwagi: Przykładpoziom2:2budowy+2w kolejce;na każdą muszą być zasoby.
U075 [AKTUALNE] Kolejka: Po ukończeniu rusza kolejna opłacona pozycja;nie budujemy dwóch poziomów tego samego budynku naraz.
Uwagi: Kolejne poziomy zależą od wcześniejszych i limitu Ratusza.
U076 [UZGODNIONY ZAKRES / OFERTA NIEUSTALONA] Pakiet płatny: W czasie pakietu+4równoległe budowy zawsze oraz dowolnie długa kolejka.
Uwagi: Cena i długość pakietu jeszcze niezdefiniowane;arkusz nie uruchamia sprzedaży.
U077 [UZGODNIONY ZAKRES] Pakiet płatny: Pakiet pozwala planować budowę na bazie estymaty dostaw, nie tylko obecnych zapasów.
Uwagi: Plan nie tworzy surowców;rezerwacja/startgdy realnie pełny koszt trafi do centrali.
U078 [POPRZEDNI MODEL / SZCZEGÓŁY OFERTY NIEUSTALONE] Pakiet płatny: Po wygaśnięciu rozpoczęte budowy kończą się;nowe starty wracają do limituL,nieopłacone plany czekają.
Uwagi: Poprzedni model wygasał czasem zegarowym także offline;docelowe warunki realnej oferty do potwierdzenia.
U079 [AKTUALNE] Latarnia: Po ukończeniu+100szczęścia i produkcja5materiałów×2;OBA efekty24h×osiągnięty poziom.
Uwagi: Przykładpoziom2:48hobu efektów. Podatki bez zmian,transportbezmnożnika.
U088 [NOWE DOPRECYZOWANIE] Powiadomienia: Zawsze powiadomienie o ukończeniu budowy.
Uwagi: Dotychczas takżezlecenie,start i dostawa;nowealarmyopisanojakoprojekt,nie wdrożenie.
U089 [NOWE] Powiadomienia: Dom ma dodatkowo powiadamiać o przeludnieniu.
Uwagi: Propozycja reagowania na zmianę stanu/liczbyosób,nie alarm co klatkę;częstotliwość przypomnień nieustalona.
U092 [AKTUALNE POLECENIE] Projekt: Wyłącznie Excel i analiza logiczna; bez developmentu.
Uwagi: Plik i instrukcja pobierania są dokumentacją; nie zmieniają kodu gry,zasad ani zapisów.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6" authorId="0" shapeId="0" xr:uid="{00000000-0006-0000-0400-000001000000}">
      <text>
        <r>
          <rPr>
            <sz val="8"/>
            <color indexed="81"/>
            <rFont val="Tahoma"/>
            <family val="2"/>
          </rPr>
          <t>Założenie scenariusza: poziom magazynu=L. Zmień tę komórkę na rzeczywisty poziom magazynu, jeżeli różni się od poziomu rozbudowywanego budynku.</t>
        </r>
      </text>
    </comment>
    <comment ref="F7" authorId="0" shapeId="0" xr:uid="{00000000-0006-0000-0400-000002000000}">
      <text>
        <r>
          <rPr>
            <sz val="8"/>
            <color indexed="81"/>
            <rFont val="Tahoma"/>
            <family val="2"/>
          </rPr>
          <t>Założenie scenariusza: poziom magazynu=L. Zmień tę komórkę na rzeczywisty poziom magazynu, jeżeli różni się od poziomu rozbudowywanego budynku.</t>
        </r>
      </text>
    </comment>
    <comment ref="F8" authorId="0" shapeId="0" xr:uid="{00000000-0006-0000-0400-000003000000}">
      <text>
        <r>
          <rPr>
            <sz val="8"/>
            <color indexed="81"/>
            <rFont val="Tahoma"/>
            <family val="2"/>
          </rPr>
          <t>Założenie scenariusza: poziom magazynu=L. Zmień tę komórkę na rzeczywisty poziom magazynu, jeżeli różni się od poziomu rozbudowywanego budynku.</t>
        </r>
      </text>
    </comment>
    <comment ref="F9" authorId="0" shapeId="0" xr:uid="{00000000-0006-0000-0400-000004000000}">
      <text>
        <r>
          <rPr>
            <sz val="8"/>
            <color indexed="81"/>
            <rFont val="Tahoma"/>
            <family val="2"/>
          </rPr>
          <t>Założenie scenariusza: poziom magazynu=L. Zmień tę komórkę na rzeczywisty poziom magazynu, jeżeli różni się od poziomu rozbudowywanego budynku.</t>
        </r>
      </text>
    </comment>
    <comment ref="F10" authorId="0" shapeId="0" xr:uid="{00000000-0006-0000-0400-000005000000}">
      <text>
        <r>
          <rPr>
            <sz val="8"/>
            <color indexed="81"/>
            <rFont val="Tahoma"/>
            <family val="2"/>
          </rPr>
          <t>Założenie scenariusza: poziom magazynu=L. Zmień tę komórkę na rzeczywisty poziom magazynu, jeżeli różni się od poziomu rozbudowywanego budynku.</t>
        </r>
      </text>
    </comment>
    <comment ref="F11" authorId="0" shapeId="0" xr:uid="{00000000-0006-0000-0400-000006000000}">
      <text>
        <r>
          <rPr>
            <sz val="8"/>
            <color indexed="81"/>
            <rFont val="Tahoma"/>
            <family val="2"/>
          </rPr>
          <t>Założenie scenariusza: poziom magazynu=L. Zmień tę komórkę na rzeczywisty poziom magazynu, jeżeli różni się od poziomu rozbudowywanego budynku.</t>
        </r>
      </text>
    </comment>
    <comment ref="F12" authorId="0" shapeId="0" xr:uid="{00000000-0006-0000-0400-000007000000}">
      <text>
        <r>
          <rPr>
            <sz val="8"/>
            <color indexed="81"/>
            <rFont val="Tahoma"/>
            <family val="2"/>
          </rPr>
          <t>Założenie scenariusza: poziom magazynu=L. Zmień tę komórkę na rzeczywisty poziom magazynu, jeżeli różni się od poziomu rozbudowywanego budynku.</t>
        </r>
      </text>
    </comment>
    <comment ref="F13" authorId="0" shapeId="0" xr:uid="{00000000-0006-0000-0400-000008000000}">
      <text>
        <r>
          <rPr>
            <sz val="8"/>
            <color indexed="81"/>
            <rFont val="Tahoma"/>
            <family val="2"/>
          </rPr>
          <t>Założenie scenariusza: poziom magazynu=L. Zmień tę komórkę na rzeczywisty poziom magazynu, jeżeli różni się od poziomu rozbudowywanego budynku.</t>
        </r>
      </text>
    </comment>
    <comment ref="F14" authorId="0" shapeId="0" xr:uid="{00000000-0006-0000-0400-000009000000}">
      <text>
        <r>
          <rPr>
            <sz val="8"/>
            <color indexed="81"/>
            <rFont val="Tahoma"/>
            <family val="2"/>
          </rPr>
          <t>Założenie scenariusza: poziom magazynu=L. Zmień tę komórkę na rzeczywisty poziom magazynu, jeżeli różni się od poziomu rozbudowywanego budynku.</t>
        </r>
      </text>
    </comment>
    <comment ref="F15" authorId="0" shapeId="0" xr:uid="{00000000-0006-0000-0400-00000A000000}">
      <text>
        <r>
          <rPr>
            <sz val="8"/>
            <color indexed="81"/>
            <rFont val="Tahoma"/>
            <family val="2"/>
          </rPr>
          <t>Założenie scenariusza: poziom magazynu=L. Zmień tę komórkę na rzeczywisty poziom magazynu, jeżeli różni się od poziomu rozbudowywanego budynku.</t>
        </r>
      </text>
    </comment>
    <comment ref="F16" authorId="0" shapeId="0" xr:uid="{00000000-0006-0000-0400-00000B000000}">
      <text>
        <r>
          <rPr>
            <sz val="8"/>
            <color indexed="81"/>
            <rFont val="Tahoma"/>
            <family val="2"/>
          </rPr>
          <t>Założenie scenariusza: poziom magazynu=L. Zmień tę komórkę na rzeczywisty poziom magazynu, jeżeli różni się od poziomu rozbudowywanego budynku.</t>
        </r>
      </text>
    </comment>
    <comment ref="F17" authorId="0" shapeId="0" xr:uid="{00000000-0006-0000-0400-00000C000000}">
      <text>
        <r>
          <rPr>
            <sz val="8"/>
            <color indexed="81"/>
            <rFont val="Tahoma"/>
            <family val="2"/>
          </rPr>
          <t>Założenie scenariusza: poziom magazynu=L. Zmień tę komórkę na rzeczywisty poziom magazynu, jeżeli różni się od poziomu rozbudowywanego budynku.</t>
        </r>
      </text>
    </comment>
    <comment ref="F18" authorId="0" shapeId="0" xr:uid="{00000000-0006-0000-0400-00000D000000}">
      <text>
        <r>
          <rPr>
            <sz val="8"/>
            <color indexed="81"/>
            <rFont val="Tahoma"/>
            <family val="2"/>
          </rPr>
          <t>Założenie scenariusza: poziom magazynu=L. Zmień tę komórkę na rzeczywisty poziom magazynu, jeżeli różni się od poziomu rozbudowywanego budynku.</t>
        </r>
      </text>
    </comment>
    <comment ref="F19" authorId="0" shapeId="0" xr:uid="{00000000-0006-0000-0400-00000E000000}">
      <text>
        <r>
          <rPr>
            <sz val="8"/>
            <color indexed="81"/>
            <rFont val="Tahoma"/>
            <family val="2"/>
          </rPr>
          <t>Założenie scenariusza: poziom magazynu=L. Zmień tę komórkę na rzeczywisty poziom magazynu, jeżeli różni się od poziomu rozbudowywanego budynku.</t>
        </r>
      </text>
    </comment>
    <comment ref="F20" authorId="0" shapeId="0" xr:uid="{00000000-0006-0000-0400-00000F000000}">
      <text>
        <r>
          <rPr>
            <sz val="8"/>
            <color indexed="81"/>
            <rFont val="Tahoma"/>
            <family val="2"/>
          </rPr>
          <t>Założenie scenariusza: poziom magazynu=L. Zmień tę komórkę na rzeczywisty poziom magazynu, jeżeli różni się od poziomu rozbudowywanego budynku.</t>
        </r>
      </text>
    </comment>
    <comment ref="F21" authorId="0" shapeId="0" xr:uid="{00000000-0006-0000-0400-000010000000}">
      <text>
        <r>
          <rPr>
            <sz val="8"/>
            <color indexed="81"/>
            <rFont val="Tahoma"/>
            <family val="2"/>
          </rPr>
          <t>Założenie scenariusza: poziom magazynu=L. Zmień tę komórkę na rzeczywisty poziom magazynu, jeżeli różni się od poziomu rozbudowywanego budynku.</t>
        </r>
      </text>
    </comment>
    <comment ref="F22" authorId="0" shapeId="0" xr:uid="{00000000-0006-0000-0400-000011000000}">
      <text>
        <r>
          <rPr>
            <sz val="8"/>
            <color indexed="81"/>
            <rFont val="Tahoma"/>
            <family val="2"/>
          </rPr>
          <t>Założenie scenariusza: poziom magazynu=L. Zmień tę komórkę na rzeczywisty poziom magazynu, jeżeli różni się od poziomu rozbudowywanego budynku.</t>
        </r>
      </text>
    </comment>
    <comment ref="F23" authorId="0" shapeId="0" xr:uid="{00000000-0006-0000-0400-000012000000}">
      <text>
        <r>
          <rPr>
            <sz val="8"/>
            <color indexed="81"/>
            <rFont val="Tahoma"/>
            <family val="2"/>
          </rPr>
          <t>Założenie scenariusza: poziom magazynu=L. Zmień tę komórkę na rzeczywisty poziom magazynu, jeżeli różni się od poziomu rozbudowywanego budynku.</t>
        </r>
      </text>
    </comment>
    <comment ref="F24" authorId="0" shapeId="0" xr:uid="{00000000-0006-0000-0400-000013000000}">
      <text>
        <r>
          <rPr>
            <sz val="8"/>
            <color indexed="81"/>
            <rFont val="Tahoma"/>
            <family val="2"/>
          </rPr>
          <t>Założenie scenariusza: poziom magazynu=L. Zmień tę komórkę na rzeczywisty poziom magazynu, jeżeli różni się od poziomu rozbudowywanego budynku.</t>
        </r>
      </text>
    </comment>
    <comment ref="F25" authorId="0" shapeId="0" xr:uid="{00000000-0006-0000-0400-000014000000}">
      <text>
        <r>
          <rPr>
            <sz val="8"/>
            <color indexed="81"/>
            <rFont val="Tahoma"/>
            <family val="2"/>
          </rPr>
          <t>Założenie scenariusza: poziom magazynu=L. Zmień tę komórkę na rzeczywisty poziom magazynu, jeżeli różni się od poziomu rozbudowywanego budynku.</t>
        </r>
      </text>
    </comment>
    <comment ref="F26" authorId="0" shapeId="0" xr:uid="{00000000-0006-0000-0400-000015000000}">
      <text>
        <r>
          <rPr>
            <sz val="8"/>
            <color indexed="81"/>
            <rFont val="Tahoma"/>
            <family val="2"/>
          </rPr>
          <t>Założenie scenariusza: poziom magazynu=L. Zmień tę komórkę na rzeczywisty poziom magazynu, jeżeli różni się od poziomu rozbudowywanego budynku.</t>
        </r>
      </text>
    </comment>
    <comment ref="F27" authorId="0" shapeId="0" xr:uid="{00000000-0006-0000-0400-000016000000}">
      <text>
        <r>
          <rPr>
            <sz val="8"/>
            <color indexed="81"/>
            <rFont val="Tahoma"/>
            <family val="2"/>
          </rPr>
          <t>Założenie scenariusza: poziom magazynu=L. Zmień tę komórkę na rzeczywisty poziom magazynu, jeżeli różni się od poziomu rozbudowywanego budynku.</t>
        </r>
      </text>
    </comment>
    <comment ref="F28" authorId="0" shapeId="0" xr:uid="{00000000-0006-0000-0400-000017000000}">
      <text>
        <r>
          <rPr>
            <sz val="8"/>
            <color indexed="81"/>
            <rFont val="Tahoma"/>
            <family val="2"/>
          </rPr>
          <t>Założenie scenariusza: poziom magazynu=L. Zmień tę komórkę na rzeczywisty poziom magazynu, jeżeli różni się od poziomu rozbudowywanego budynku.</t>
        </r>
      </text>
    </comment>
    <comment ref="F29" authorId="0" shapeId="0" xr:uid="{00000000-0006-0000-0400-000018000000}">
      <text>
        <r>
          <rPr>
            <sz val="8"/>
            <color indexed="81"/>
            <rFont val="Tahoma"/>
            <family val="2"/>
          </rPr>
          <t>Założenie scenariusza: poziom magazynu=L. Zmień tę komórkę na rzeczywisty poziom magazynu, jeżeli różni się od poziomu rozbudowywanego budynku.</t>
        </r>
      </text>
    </comment>
    <comment ref="F30" authorId="0" shapeId="0" xr:uid="{00000000-0006-0000-0400-000019000000}">
      <text>
        <r>
          <rPr>
            <sz val="8"/>
            <color indexed="81"/>
            <rFont val="Tahoma"/>
            <family val="2"/>
          </rPr>
          <t>Założenie scenariusza: poziom magazynu=L. Zmień tę komórkę na rzeczywisty poziom magazynu, jeżeli różni się od poziomu rozbudowywanego budynku.</t>
        </r>
      </text>
    </comment>
    <comment ref="F31" authorId="0" shapeId="0" xr:uid="{00000000-0006-0000-0400-00001A000000}">
      <text>
        <r>
          <rPr>
            <sz val="8"/>
            <color indexed="81"/>
            <rFont val="Tahoma"/>
            <family val="2"/>
          </rPr>
          <t>Założenie scenariusza: poziom magazynu=L. Zmień tę komórkę na rzeczywisty poziom magazynu, jeżeli różni się od poziomu rozbudowywanego budynku.</t>
        </r>
      </text>
    </comment>
    <comment ref="F32" authorId="0" shapeId="0" xr:uid="{00000000-0006-0000-0400-00001B000000}">
      <text>
        <r>
          <rPr>
            <sz val="8"/>
            <color indexed="81"/>
            <rFont val="Tahoma"/>
            <family val="2"/>
          </rPr>
          <t>Założenie scenariusza: poziom magazynu=L. Zmień tę komórkę na rzeczywisty poziom magazynu, jeżeli różni się od poziomu rozbudowywanego budynku.</t>
        </r>
      </text>
    </comment>
    <comment ref="F33" authorId="0" shapeId="0" xr:uid="{00000000-0006-0000-0400-00001C000000}">
      <text>
        <r>
          <rPr>
            <sz val="8"/>
            <color indexed="81"/>
            <rFont val="Tahoma"/>
            <family val="2"/>
          </rPr>
          <t>Założenie scenariusza: poziom magazynu=L. Zmień tę komórkę na rzeczywisty poziom magazynu, jeżeli różni się od poziomu rozbudowywanego budynku.</t>
        </r>
      </text>
    </comment>
    <comment ref="F34" authorId="0" shapeId="0" xr:uid="{00000000-0006-0000-0400-00001D000000}">
      <text>
        <r>
          <rPr>
            <sz val="8"/>
            <color indexed="81"/>
            <rFont val="Tahoma"/>
            <family val="2"/>
          </rPr>
          <t>Założenie scenariusza: poziom magazynu=L. Zmień tę komórkę na rzeczywisty poziom magazynu, jeżeli różni się od poziomu rozbudowywanego budynku.</t>
        </r>
      </text>
    </comment>
    <comment ref="F35" authorId="0" shapeId="0" xr:uid="{00000000-0006-0000-0400-00001E000000}">
      <text>
        <r>
          <rPr>
            <sz val="8"/>
            <color indexed="81"/>
            <rFont val="Tahoma"/>
            <family val="2"/>
          </rPr>
          <t>Założenie scenariusza: poziom magazynu=L. Zmień tę komórkę na rzeczywisty poziom magazynu, jeżeli różni się od poziomu rozbudowywanego budynku.</t>
        </r>
      </text>
    </comment>
    <comment ref="F36" authorId="0" shapeId="0" xr:uid="{00000000-0006-0000-0400-00001F000000}">
      <text>
        <r>
          <rPr>
            <sz val="8"/>
            <color indexed="81"/>
            <rFont val="Tahoma"/>
            <family val="2"/>
          </rPr>
          <t>Założenie scenariusza: poziom magazynu=L. Zmień tę komórkę na rzeczywisty poziom magazynu, jeżeli różni się od poziomu rozbudowywanego budynku.</t>
        </r>
      </text>
    </comment>
    <comment ref="F37" authorId="0" shapeId="0" xr:uid="{00000000-0006-0000-0400-000020000000}">
      <text>
        <r>
          <rPr>
            <sz val="8"/>
            <color indexed="81"/>
            <rFont val="Tahoma"/>
            <family val="2"/>
          </rPr>
          <t>Założenie scenariusza: poziom magazynu=L. Zmień tę komórkę na rzeczywisty poziom magazynu, jeżeli różni się od poziomu rozbudowywanego budynku.</t>
        </r>
      </text>
    </comment>
    <comment ref="F38" authorId="0" shapeId="0" xr:uid="{00000000-0006-0000-0400-000021000000}">
      <text>
        <r>
          <rPr>
            <sz val="8"/>
            <color indexed="81"/>
            <rFont val="Tahoma"/>
            <family val="2"/>
          </rPr>
          <t>Założenie scenariusza: poziom magazynu=L. Zmień tę komórkę na rzeczywisty poziom magazynu, jeżeli różni się od poziomu rozbudowywanego budynku.</t>
        </r>
      </text>
    </comment>
    <comment ref="F39" authorId="0" shapeId="0" xr:uid="{00000000-0006-0000-0400-000022000000}">
      <text>
        <r>
          <rPr>
            <sz val="8"/>
            <color indexed="81"/>
            <rFont val="Tahoma"/>
            <family val="2"/>
          </rPr>
          <t>Założenie scenariusza: poziom magazynu=L. Zmień tę komórkę na rzeczywisty poziom magazynu, jeżeli różni się od poziomu rozbudowywanego budynku.</t>
        </r>
      </text>
    </comment>
    <comment ref="F40" authorId="0" shapeId="0" xr:uid="{00000000-0006-0000-0400-000023000000}">
      <text>
        <r>
          <rPr>
            <sz val="8"/>
            <color indexed="81"/>
            <rFont val="Tahoma"/>
            <family val="2"/>
          </rPr>
          <t>Założenie scenariusza: poziom magazynu=L. Zmień tę komórkę na rzeczywisty poziom magazynu, jeżeli różni się od poziomu rozbudowywanego budynku.</t>
        </r>
      </text>
    </comment>
    <comment ref="F41" authorId="0" shapeId="0" xr:uid="{00000000-0006-0000-0400-000024000000}">
      <text>
        <r>
          <rPr>
            <sz val="8"/>
            <color indexed="81"/>
            <rFont val="Tahoma"/>
            <family val="2"/>
          </rPr>
          <t>Założenie scenariusza: poziom magazynu=L. Zmień tę komórkę na rzeczywisty poziom magazynu, jeżeli różni się od poziomu rozbudowywanego budynku.</t>
        </r>
      </text>
    </comment>
    <comment ref="F42" authorId="0" shapeId="0" xr:uid="{00000000-0006-0000-0400-000025000000}">
      <text>
        <r>
          <rPr>
            <sz val="8"/>
            <color indexed="81"/>
            <rFont val="Tahoma"/>
            <family val="2"/>
          </rPr>
          <t>Założenie scenariusza: poziom magazynu=L. Zmień tę komórkę na rzeczywisty poziom magazynu, jeżeli różni się od poziomu rozbudowywanego budynku.</t>
        </r>
      </text>
    </comment>
  </commentList>
</comments>
</file>

<file path=xl/sharedStrings.xml><?xml version="1.0" encoding="utf-8"?>
<sst xmlns="http://schemas.openxmlformats.org/spreadsheetml/2006/main" count="1686" uniqueCount="1104">
  <si>
    <t>PARAMETRY • niebieskie komórki można zmieniać</t>
  </si>
  <si>
    <t>Zielone reguły przypominają ustalenia; bursztynowe są interpretacją lub scenariuszem. Zmiana parametrów nie jest zmianą gry. Czasy obejmują tylko transport i budowę, bez zbierania, karmienia, kolejki i wcześniejszych rozbudów.</t>
  </si>
  <si>
    <t>ID</t>
  </si>
  <si>
    <t>Parametr</t>
  </si>
  <si>
    <t>Wartość</t>
  </si>
  <si>
    <t>Jednostka</t>
  </si>
  <si>
    <t>Status</t>
  </si>
  <si>
    <t>Znaczenie / zastrzeżenie</t>
  </si>
  <si>
    <t>pop1</t>
  </si>
  <si>
    <t>Populacja na starcie</t>
  </si>
  <si>
    <t>osób</t>
  </si>
  <si>
    <t>UZGODNIONE</t>
  </si>
  <si>
    <t>W nowej tabeli wszystkie12 osób są wolne.</t>
  </si>
  <si>
    <t>townlevel</t>
  </si>
  <si>
    <t>Poziom ratusza — przykład limitu</t>
  </si>
  <si>
    <t>poziom</t>
  </si>
  <si>
    <t>PRZYKŁAD</t>
  </si>
  <si>
    <t>Limit ludności24×ratusz, przydział do budynku do połowy tego maksimum.</t>
  </si>
  <si>
    <t>prod</t>
  </si>
  <si>
    <t>Produkcja nakarmionego pracownika</t>
  </si>
  <si>
    <t>szt./h</t>
  </si>
  <si>
    <t>Głód od razu obniża do 5; latarnia mnoży produkcję ×2.</t>
  </si>
  <si>
    <t>carry</t>
  </si>
  <si>
    <t>carrygrowth</t>
  </si>
  <si>
    <t>Wzrost przepustowości magazyniera</t>
  </si>
  <si>
    <t>mnożnik/poziom</t>
  </si>
  <si>
    <t>ZAŁOŻENIE DO DECYZJI</t>
  </si>
  <si>
    <t>Interpretujemy +10% pojemności jako przepustowość. Zobacz D02.</t>
  </si>
  <si>
    <t>carrymode</t>
  </si>
  <si>
    <t>Sposób wzrostu +10%</t>
  </si>
  <si>
    <t>Składany</t>
  </si>
  <si>
    <t>tryb</t>
  </si>
  <si>
    <t>Składany: 60,66,72.6. Liniowy: 60,66,72. D02.</t>
  </si>
  <si>
    <t>crew</t>
  </si>
  <si>
    <t>Bazowa obsada transportu w przykładach</t>
  </si>
  <si>
    <t>ZAŁOŻENIE MODELU</t>
  </si>
  <si>
    <t>Kalkulator podnosi obsadę, jeżeli bufor jedzenia nie mieści się z kosztem.</t>
  </si>
  <si>
    <t>food</t>
  </si>
  <si>
    <t>Spożycie jednego mieszkańca</t>
  </si>
  <si>
    <t>Food/os./h</t>
  </si>
  <si>
    <t>Automatycznie wyłącznie z centralnego magazynu.</t>
  </si>
  <si>
    <t>reserve</t>
  </si>
  <si>
    <t>Rezerwa Food na żywienie</t>
  </si>
  <si>
    <t>szt.</t>
  </si>
  <si>
    <t>ZAAKCEPTOWANE</t>
  </si>
  <si>
    <t>Food po operacji nieżywieniowej ≥50; ludzie mogą zjadać rezerwę. Uwaga o niewystarczającym buforze zaakceptowana. D03.</t>
  </si>
  <si>
    <t>home</t>
  </si>
  <si>
    <t>Powrót zwolnionego do domu</t>
  </si>
  <si>
    <t>min</t>
  </si>
  <si>
    <t>Brak pracy/podatku podczas powrotu; czas dojścia do pracy nieustalony.</t>
  </si>
  <si>
    <t>per</t>
  </si>
  <si>
    <t>Magazyn poziom 1: na materiał</t>
  </si>
  <si>
    <t>Przystań według nowego wpisu ma dostać takie same limity.</t>
  </si>
  <si>
    <t>total</t>
  </si>
  <si>
    <t>Magazyn poziom 1: łącznie</t>
  </si>
  <si>
    <t>Pięć materiałów; monety osobno w skarbcu.</t>
  </si>
  <si>
    <t>storegrowth</t>
  </si>
  <si>
    <t>Wzrost pojemności magazynu/portu</t>
  </si>
  <si>
    <t>UZGODNIONE / NOWE DLA PORTU</t>
  </si>
  <si>
    <t>Oba limity, z zaokrągleniem w dół.</t>
  </si>
  <si>
    <t>buffer</t>
  </si>
  <si>
    <t>Lokalny bufor producenta</t>
  </si>
  <si>
    <t>szt./poziom ratusza</t>
  </si>
  <si>
    <t>WCZEŚNIEJ UZGODNIONE</t>
  </si>
  <si>
    <t>Nowe wpisy nie zmieniły pojemności lokalnej na poziom producenta.</t>
  </si>
  <si>
    <t>towncap</t>
  </si>
  <si>
    <t>Limit ludności / miejsca domu</t>
  </si>
  <si>
    <t>osób/poziom</t>
  </si>
  <si>
    <t>Ratusz: limit populacji; dom: rzeczywiste miejsca.</t>
  </si>
  <si>
    <t>minpop</t>
  </si>
  <si>
    <t>Minimalna populacja</t>
  </si>
  <si>
    <t>Ubytek poniżej tej wartości jest blokowany.</t>
  </si>
  <si>
    <t>tax</t>
  </si>
  <si>
    <t>Podatek przypisanego pracownika</t>
  </si>
  <si>
    <t>moneta/os./h</t>
  </si>
  <si>
    <t>Kaplica ×2 tylko przez swój bonus. Model zbierania bez bonusu.</t>
  </si>
  <si>
    <t>feedhappy</t>
  </si>
  <si>
    <t>Bonus za jedzenie</t>
  </si>
  <si>
    <t>pp/os./h</t>
  </si>
  <si>
    <t>Własny licznik i własne szczęście każdego mieszkańca.</t>
  </si>
  <si>
    <t>workhappy</t>
  </si>
  <si>
    <t>Bonus za przydział do pracy</t>
  </si>
  <si>
    <t>Przypisany płaci podatki także podczas głodu.</t>
  </si>
  <si>
    <t>grace</t>
  </si>
  <si>
    <t>Okres bez kary za dany brak</t>
  </si>
  <si>
    <t>h aktywnych</t>
  </si>
  <si>
    <t>Głód i bezrobocie osobno; brak kary wstecz.</t>
  </si>
  <si>
    <t>penalty</t>
  </si>
  <si>
    <t>Kara za każdy długotrwały brak</t>
  </si>
  <si>
    <t>Po 12h: głód −5 i bezrobocie −5, oddzielne resety.</t>
  </si>
  <si>
    <t>norm</t>
  </si>
  <si>
    <t>Norma kosztowa producenta</t>
  </si>
  <si>
    <t>szt./dobę × L</t>
  </si>
  <si>
    <t>To norma kosztu, nie realna dzienna produkcja całej załogi.</t>
  </si>
  <si>
    <t>woodshare</t>
  </si>
  <si>
    <t>Drewno w normie kosztowej</t>
  </si>
  <si>
    <t>udział</t>
  </si>
  <si>
    <t>Dla drwali sumuje się z własnym produktem.</t>
  </si>
  <si>
    <t>stoneshare</t>
  </si>
  <si>
    <t>Kamień w normie kosztowej</t>
  </si>
  <si>
    <t>Dla kamieniołomu sumuje się z własnym produktem.</t>
  </si>
  <si>
    <t>ownshare</t>
  </si>
  <si>
    <t>Własny produkt w normie</t>
  </si>
  <si>
    <t>Farma zboże, młyn Food, drwale wood, tartak planks, quarry stone.</t>
  </si>
  <si>
    <t>major</t>
  </si>
  <si>
    <t>Główne budynki: koszt każdego zasobu</t>
  </si>
  <si>
    <t>szt. × L</t>
  </si>
  <si>
    <t>Latarnia dla pierwszej budowy używa max(1,L).</t>
  </si>
  <si>
    <t>mtown</t>
  </si>
  <si>
    <t>Ratusz i dom: łączny czas</t>
  </si>
  <si>
    <t>×T</t>
  </si>
  <si>
    <t>NOWE W ŹRÓDLE</t>
  </si>
  <si>
    <t>Przyjmujemy łącznie: T przewozu +2T budowania. D11.</t>
  </si>
  <si>
    <t>mprod</t>
  </si>
  <si>
    <t>Producenci: łączny czas</t>
  </si>
  <si>
    <t>T przewozu +T budowania.</t>
  </si>
  <si>
    <t>mother</t>
  </si>
  <si>
    <t>Magazyn, targ, port: łączny czas</t>
  </si>
  <si>
    <t>mchap</t>
  </si>
  <si>
    <t>Kaplica: łączny czas</t>
  </si>
  <si>
    <t>Przyjmujemy łącznie: T przewozu +3T budowania. D11.</t>
  </si>
  <si>
    <t>mlight</t>
  </si>
  <si>
    <t>Latarnia: łączny czas</t>
  </si>
  <si>
    <t>Przyjmujemy łącznie: T przewozu +5T budowania. D11.</t>
  </si>
  <si>
    <t>rawsell</t>
  </si>
  <si>
    <t>Port: sprzedaż 100 surowców</t>
  </si>
  <si>
    <t>monet</t>
  </si>
  <si>
    <t>Drewno, kamień, zboże. D14: opłacalność przetwarzania.</t>
  </si>
  <si>
    <t>rawbuy</t>
  </si>
  <si>
    <t>Port: zakup 100 surowców</t>
  </si>
  <si>
    <t>Przed dopłatą za kolejne paczki.</t>
  </si>
  <si>
    <t>procsell</t>
  </si>
  <si>
    <t>Port: sprzedaż 100 produktów</t>
  </si>
  <si>
    <t>Deski, żywność.</t>
  </si>
  <si>
    <t>procbuy</t>
  </si>
  <si>
    <t>Port: zakup 100 produktów</t>
  </si>
  <si>
    <t>lot</t>
  </si>
  <si>
    <t>Port: wielkość paczki</t>
  </si>
  <si>
    <t>Liczyć paczki, a nie kliknięcia lub wartość transakcji.</t>
  </si>
  <si>
    <t>window</t>
  </si>
  <si>
    <t>Port: ruchome okno zakupów</t>
  </si>
  <si>
    <t>h</t>
  </si>
  <si>
    <t>NOWE; SZCZEGÓŁY DO DECYZJI</t>
  </si>
  <si>
    <t>Czas aktywny czy zegarowy; licznik globalny czy per produkt? D05.</t>
  </si>
  <si>
    <t>inflation</t>
  </si>
  <si>
    <t>Podwyżka za kolejną paczkę</t>
  </si>
  <si>
    <t>Liniowa czy składana, zasady zaokrąglania. D05.</t>
  </si>
  <si>
    <t>rent</t>
  </si>
  <si>
    <t>Opłata portowa po progu</t>
  </si>
  <si>
    <t>Brakuje jednostki opłaty i częstotliwości. D06.</t>
  </si>
  <si>
    <t>renttime</t>
  </si>
  <si>
    <t>Próg czasu składowania w porcie</t>
  </si>
  <si>
    <t>Aktywne czy zegarowe? Starsze partie należy śledzić osobno.</t>
  </si>
  <si>
    <t>blessgoods</t>
  </si>
  <si>
    <t>Błogosławieństwo: każdy zasób</t>
  </si>
  <si>
    <t>Nowy wpis umieścił błogosławieństwa przy latarni: D08.</t>
  </si>
  <si>
    <t>blesshappy</t>
  </si>
  <si>
    <t>Błogosławieństwo: szczęście</t>
  </si>
  <si>
    <t>pp/os.</t>
  </si>
  <si>
    <t>Bonus czasowy wszystkim; osobiste wartości ograniczone do ±100.</t>
  </si>
  <si>
    <t>blessduration</t>
  </si>
  <si>
    <t>Czas działania błogosławieństwa</t>
  </si>
  <si>
    <t>Zakaz nakładania drugiego efektu nadal wymaga pogodzenia z zakupem natychmiast.</t>
  </si>
  <si>
    <t>blesswait</t>
  </si>
  <si>
    <t>Pierwszy odstęp użyć</t>
  </si>
  <si>
    <t>INTERPRETACJA PRZYKŁADU</t>
  </si>
  <si>
    <t>Momenty 0:00,1:00,2:15 oznaczają odstępy 1h,1h15… D09.</t>
  </si>
  <si>
    <t>blessgrowth</t>
  </si>
  <si>
    <t>Wzrost kolejnego odstępu</t>
  </si>
  <si>
    <t>mnożnik</t>
  </si>
  <si>
    <t>Reset licznika i darmowe użycia per poziom są nieustalone.</t>
  </si>
  <si>
    <t>adtime</t>
  </si>
  <si>
    <t>Długość reklamy</t>
  </si>
  <si>
    <t>s</t>
  </si>
  <si>
    <t>Nie ustalono zachowania czasu gry podczas oglądania.</t>
  </si>
  <si>
    <t>adlimit</t>
  </si>
  <si>
    <t>Maks. reklamy na godzinę gry</t>
  </si>
  <si>
    <t>Ruchome 60 minut aktywnej gry proponowane, nie zatwierdzone.</t>
  </si>
  <si>
    <t>adfactor</t>
  </si>
  <si>
    <t>Pozostały cooldown po reklamie</t>
  </si>
  <si>
    <t>Wyłącznie cooldown; aktywna premia nadal może blokować nowe użycie.</t>
  </si>
  <si>
    <t>CZAS • tylko transport i sama budowa</t>
  </si>
  <si>
    <t>Zgodnie z doprecyzowaniem użytkownika NIE uwzględniamy zbierania, karmienia, wcześniejszych rozbudów ani kolejki. Zakładamy gotowe materiały, stale nakarmionych6 tragarzy i zerowe fazy startowe. +10% tragarzy roboczo jako przepustowość; D02 nadal do decyzji. Magazyn na poziomie L, min1.</t>
  </si>
  <si>
    <t>Budynek</t>
  </si>
  <si>
    <t>Etap</t>
  </si>
  <si>
    <t>Obecny L</t>
  </si>
  <si>
    <t>Nowy N</t>
  </si>
  <si>
    <t>Ratusz wymagany</t>
  </si>
  <si>
    <t>Magazyn w scenariuszu</t>
  </si>
  <si>
    <t>Tragarze</t>
  </si>
  <si>
    <t>Wydajność/os./h</t>
  </si>
  <si>
    <t>Monety</t>
  </si>
  <si>
    <t>Drewno</t>
  </si>
  <si>
    <t>Kamień</t>
  </si>
  <si>
    <t>Zboże</t>
  </si>
  <si>
    <t>Food</t>
  </si>
  <si>
    <t>Deski</t>
  </si>
  <si>
    <t>Towary do przewozu</t>
  </si>
  <si>
    <t>Transport T [h]</t>
  </si>
  <si>
    <t>Łącznie ×T</t>
  </si>
  <si>
    <t>Sama budowa [h]</t>
  </si>
  <si>
    <t>Transport + budowa [h]</t>
  </si>
  <si>
    <t>Stan wyliczenia</t>
  </si>
  <si>
    <t>Założenia</t>
  </si>
  <si>
    <t>Ratusz</t>
  </si>
  <si>
    <t>1→2</t>
  </si>
  <si>
    <t>SCENARIUSZ WARUNKOWY: D02</t>
  </si>
  <si>
    <t>Wyłącznie transport i budowa. Gotowe materiały, bez jedzenia w estymacie, brak kolejki,6 nakarmionych, magazyn poziomu L.</t>
  </si>
  <si>
    <t>2→3</t>
  </si>
  <si>
    <t>3→4</t>
  </si>
  <si>
    <t>Dom</t>
  </si>
  <si>
    <t>Farma</t>
  </si>
  <si>
    <t>Młyn</t>
  </si>
  <si>
    <t>Drwale</t>
  </si>
  <si>
    <t>Tartak</t>
  </si>
  <si>
    <t>Kamieniołom</t>
  </si>
  <si>
    <t>Magazyn</t>
  </si>
  <si>
    <t>Targ</t>
  </si>
  <si>
    <t>Przystań</t>
  </si>
  <si>
    <t>Kaplica</t>
  </si>
  <si>
    <t>Latarnia</t>
  </si>
  <si>
    <t>0→1</t>
  </si>
  <si>
    <t>TU COŚ SIĘ NIE SPINA • rejestr decyzji</t>
  </si>
  <si>
    <t>Żółte i czerwone pozycje nie są nowymi uzgodnieniami. Zachowano instrukcje z pliku, ale nie wypełniono luk arbitralnymi cenami ani rzekomo zatwierdzonymi mechanikami.</t>
  </si>
  <si>
    <t>Waga</t>
  </si>
  <si>
    <t>Temat</t>
  </si>
  <si>
    <t>Co się nie spina</t>
  </si>
  <si>
    <t>Robocze uzupełnienie / propozycja</t>
  </si>
  <si>
    <t>Co trzeba rozstrzygnąć</t>
  </si>
  <si>
    <t>Wpływ na plan</t>
  </si>
  <si>
    <t>D01</t>
  </si>
  <si>
    <t>WYJAŚNIONE CZĘŚCIOWO</t>
  </si>
  <si>
    <t>Limit pracowników z maksimum ratusza</t>
  </si>
  <si>
    <t>Użytkownik przypomniał zakres0–połowa maksymalnej populacji. Przyjmujemy w tym projekcie limit12×poziom ratusza oraz dostępność faktycznych wolnych osób.</t>
  </si>
  <si>
    <t>Osobny efekt rozbudowy SAMEGO producenta nadal nie wynika z tego limitu.</t>
  </si>
  <si>
    <t>Rozbudowa ratusza może zwiększyć dostępny limit; nie dodaje automatycznie pracowników.</t>
  </si>
  <si>
    <t>D02</t>
  </si>
  <si>
    <t>DO DECYZJI</t>
  </si>
  <si>
    <t>+10% pojemności tragarzy</t>
  </si>
  <si>
    <t>Pojemność jednego kursu nie jest tym samym co liczba sztuk/h; nie ustalono czasu kursu ani wzrostu liniowego/składanego.</t>
  </si>
  <si>
    <t>Kalkulator roboczo: 60×1.1^(poziom magazynu−1) szt./os./h, głód ×0.5. Przełącznik wzrostu w Parametry.</t>
  </si>
  <si>
    <t>Potwierdzić interpretację oraz czy premia dotyczy tylko magazynierów.</t>
  </si>
  <si>
    <t>Wszystkie czasy używające przyspieszenia są warunkowe.</t>
  </si>
  <si>
    <t>D03</t>
  </si>
  <si>
    <t>Rezerwa i ryzyko głodu</t>
  </si>
  <si>
    <t>Rezerwa50 może nie wystarczyć na długi transport; zależność zaakceptowana przez użytkownika.</t>
  </si>
  <si>
    <t>Chronimy50 przed wynoszeniem; ludzie mogą je jeść. Przykład12osób:50Food wystarcza4h10, a2500materiałów/6tragarzy jedzie6h57.</t>
  </si>
  <si>
    <t>Uwagi zachowano jako zaakceptowane; nie zwiększamy obsady w kalkulatorze i nie doliczamy karmienia.</t>
  </si>
  <si>
    <t>Czas nadal liczy wyłącznie transport i budowę przy nakarmionej stałej obsadzie.</t>
  </si>
  <si>
    <t>D04</t>
  </si>
  <si>
    <t>Droga portowa i moment płatności</t>
  </si>
  <si>
    <t>Sprzedaż ma pobranie z centrali i załadunek; zakupowi brakuje rozładunku i drogi port→centrala.</t>
  </si>
  <si>
    <t>Sprzedaż: rezerwacja towaru, własna załoga przenosi T, ładuje T, dopiero wpływ monet. Zakup: dopisać symetryczny przepływ i rezerwację pojemności.</t>
  </si>
  <si>
    <t>Kto rozładowuje i donosi zakup? Kiedy pobierane są monety? Czy jest czas rejsu?</t>
  </si>
  <si>
    <t>Towar portowy nie może jednocześnie opłacać centralnej budowy/żywienia.</t>
  </si>
  <si>
    <t>D05</t>
  </si>
  <si>
    <t>Dopłata za zakup w ostatnich3h</t>
  </si>
  <si>
    <t>Nie ustalono globalnego/perprodukt licznika, liniowego/składanego wzrostu, zaokrąglenia i czasu okna.</t>
  </si>
  <si>
    <t>Liczyć każdą kupioną paczkę100, także kilka w jednym zamówieniu. Propozycja: globalne ruchome okno i liniowe +10% ceny bazowej.</t>
  </si>
  <si>
    <t>Wybrać wariant. Czy sprzedaż też podnosi ceny? Źródło mówi o zakupach.</t>
  </si>
  <si>
    <t>Arkusz Przystan pokazuje oba warianty, nie narzuca wyniku.</t>
  </si>
  <si>
    <t>D06</t>
  </si>
  <si>
    <t>10 monet po24h w porcie</t>
  </si>
  <si>
    <t>Brakuje jednostki opłaty, powtarzania, płatnika, zachowania przy braku monet i zasad FIFO/wieku partii.</t>
  </si>
  <si>
    <t>Propozycja do oceny:10 za każdą partię100 po24h; ustalić czy jednorazowo czy codziennie.</t>
  </si>
  <si>
    <t>Za paczkę, materiał czy cały port? Czy opłata dotyczy własnego zakupu i towaru na sprzedaż?</t>
  </si>
  <si>
    <t>Nie można wiarygodnie policzyć zysku netto i ryzyka bankructwa.</t>
  </si>
  <si>
    <t>D07</t>
  </si>
  <si>
    <t>Załoga portu i tempo pracy</t>
  </si>
  <si>
    <t>Załoga ma sama przenosić i ładować towary; bazowe tempo i udział w+10% magazynu nie są określone.</t>
  </si>
  <si>
    <t>Roboczo60 szt./os./h na etap; bez automatycznego bonusu magazynu; głód×0.5.</t>
  </si>
  <si>
    <t>Potwierdzić tempo, kolejność zleceń i podział ludzi między etapy.</t>
  </si>
  <si>
    <t>Nie używać magazynierów jako bezpłatnej załogi portu.</t>
  </si>
  <si>
    <t>D08</t>
  </si>
  <si>
    <t>ODŁOŻONE</t>
  </si>
  <si>
    <t>Błogosławieństwo: kaplica czy latarnia</t>
  </si>
  <si>
    <t>Wcześniej ręczne błogosławieństwo należało do kaplicy, w pliku nową mechanikę wpisano przy latarni.</t>
  </si>
  <si>
    <t>Zachować oba wpisy i oznaczyć przynależność jako DO DECYZJI.</t>
  </si>
  <si>
    <t>Użytkownik zdecydował: wracamy do tego później.</t>
  </si>
  <si>
    <t>Wpływa na liczbę użyć, koszty, odblokowanie i oferty.</t>
  </si>
  <si>
    <t>D09</t>
  </si>
  <si>
    <t>Odstępy+25% i darmowe użycia</t>
  </si>
  <si>
    <t>Przykład0,1,215 wygląda na momenty0:00,1:00,2:15. Nie określono początku/resetu cooldownu i zgodności z liczbą użyć=poziom kaplicy.</t>
  </si>
  <si>
    <t>Pokazujemy odstępy1h,1h15,1h33m45… i ich sumę.</t>
  </si>
  <si>
    <t>Tabela Blogoslawienstwa jest demonstracją, nie zatwierdzonym harmonogramem.</t>
  </si>
  <si>
    <t>D10</t>
  </si>
  <si>
    <t>Zakup natychmiast i reklama kontra aktywny efekt</t>
  </si>
  <si>
    <t>Stary efekt trwa1h i blokuje kolejny. Połowienie1h do30min nie pozwoli użyć kolejnego po30min, jeśli pierwszy nadal działa.</t>
  </si>
  <si>
    <t>Rozdzielić posiadanie użycia, cooldown i blokadę aktywnego efektu. Roboczo next=max(koniec efektu,koniec cooldownu).</t>
  </si>
  <si>
    <t>Obietnica „natychmiast” jest sprzeczna z zakazem nakładania, dopóki nie ustalimy zachowania.</t>
  </si>
  <si>
    <t>D11</t>
  </si>
  <si>
    <t>INTERPRETACJA</t>
  </si>
  <si>
    <t>3T/4T/6T: suma czy sama budowa</t>
  </si>
  <si>
    <t>Dotychczas kolumna oznaczała łączny czas. Nowe wartości mogłyby zostać pomylone z czasem samego budowania.</t>
  </si>
  <si>
    <t>Przyjmujemy SUMĘ: ratusz/dom T+2T; kaplica T+3T; latarnia T+5T.</t>
  </si>
  <si>
    <t>Potwierdzić tylko jeśli intencją było inne znaczenie.</t>
  </si>
  <si>
    <t>Arkusz rozdziela T, fazę budowy i sumę.</t>
  </si>
  <si>
    <t>D12</t>
  </si>
  <si>
    <t>WYJAŚNIONE</t>
  </si>
  <si>
    <t>Zakres estymat czasu</t>
  </si>
  <si>
    <t>Użytkownik wyłączył zbieranie, karmienie i wymagane wcześniejsze rozbudowy z obliczania czasu.</t>
  </si>
  <si>
    <t>Liczymy T przewozu i fazę budowy; razem kT. Zasoby są już przygotowane, tragarze nakarmieni i dostępni.</t>
  </si>
  <si>
    <t>Brak potrzeby liczenia pełnej ścieżki w tym pliku.</t>
  </si>
  <si>
    <t>Nie ma arkusza ani liczb minimum zbierania. Kolumny czasu zmieniono z doable path na transport+budowa.</t>
  </si>
  <si>
    <t>D13</t>
  </si>
  <si>
    <t>Dojście do pracy i zejście do domu</t>
  </si>
  <si>
    <t>Uzgodniono powrót5min. Wcześniej przypisanie do pracy było natychmiastowe, nie ustalono czasu wyjścia.</t>
  </si>
  <si>
    <t>Przypomnienie: powrót5min, brak pracy/podatku i dostępności; niedokończona sztuka przepada.</t>
  </si>
  <si>
    <t>Czy dojście do pracy też5min? Czy w drodze liczy się jako bezrobocie?</t>
  </si>
  <si>
    <t>Nie dopisano symetrycznego5min jako uzgodnionego faktu.</t>
  </si>
  <si>
    <t>D14</t>
  </si>
  <si>
    <t>UWAGA O OPŁACALNOŚCI</t>
  </si>
  <si>
    <t>Potwierdzone ceny portowe</t>
  </si>
  <si>
    <t>Użytkownik potwierdził40/50 za100 podstawowych oraz70/80 za100 przetworzonych.</t>
  </si>
  <si>
    <t>Zachowano ceny. Przy2:1:200drewna bez przeróbki sprzedaje się za80, a powstałe100desek za70.</t>
  </si>
  <si>
    <t>Nie zmieniamy cennika. To konsekwencja obecnych cen, nie pomylenie jednostek.</t>
  </si>
  <si>
    <t>Przeróbka może służyć budowie i potrzebom osady, ale nie zwiększa wartości sprzedaży w porcie.</t>
  </si>
  <si>
    <t>D15</t>
  </si>
  <si>
    <t>Reklamy2/h i czas oglądania</t>
  </si>
  <si>
    <t>Nie ustalono bloków godzinowych/ruchomych60min, liczenia czasu gry i chwili połowienia pozostałego oczekiwania.</t>
  </si>
  <si>
    <t>Propozycja: ruchome60min aktywnej gry, nagroda po zakończonej60s reklamie, raz za daną reklamę.</t>
  </si>
  <si>
    <t>Wyliczenie W/2 iW/4 jest samym rabatem, nie zawiera60s oglądania.</t>
  </si>
  <si>
    <t>D16</t>
  </si>
  <si>
    <t>Tymczasowy koszt kaplicy</t>
  </si>
  <si>
    <t>Źródło pozostawia koszt N×(180monet+20drewna+60kamienia+10desek) jako tymczasowy.</t>
  </si>
  <si>
    <t>Zachowano cenę i wyróżniono ostrzeżenie.</t>
  </si>
  <si>
    <t>Zatwierdzić tę cenę lub podać nową.</t>
  </si>
  <si>
    <t>Jej przykład czasowy jest warunkowy względem tej ceny.</t>
  </si>
  <si>
    <t>D17</t>
  </si>
  <si>
    <t>Płatne/challenge/social/reklama</t>
  </si>
  <si>
    <t>Poza opisem błogosławieństw brak cen, ilości, czasu, limitów i warunków rozliczenia. Nie zdefiniowano też challenge.</t>
  </si>
  <si>
    <t>TBC zamieniono na jawne „do ustalenia”. Zachowano wcześniejszy pomysł globalnego pakietu budowy, bez ceny ani sprzedaży.</t>
  </si>
  <si>
    <t>Co można kupić, za ile, jaki challenge i co uznajemy za udostępnienie?</t>
  </si>
  <si>
    <t>Nie wpisano fikcyjnych cen ani działającej integracji z FB/Instagram.</t>
  </si>
  <si>
    <t>D18</t>
  </si>
  <si>
    <t>UZGODNIONE Z UZUPEŁNIENIEM</t>
  </si>
  <si>
    <t>Demografia przy szczęściu</t>
  </si>
  <si>
    <t>Tempo już ustalono; spadek populacji nie został nazwany jednoznacznie śmiercią.</t>
  </si>
  <si>
    <t>0%=0; ±25%=1/12h;±50%=1/6h;±75%=1/1h43;±100%=1/h; min6; max24×ratusz.</t>
  </si>
  <si>
    <t>Opcjonalnie nazwać ubytek: odejście czy śmierć.</t>
  </si>
  <si>
    <t>To tempo płynnie zależne od dokładnej średniej, nie zaokrąglonego procentu.</t>
  </si>
  <si>
    <t>D19</t>
  </si>
  <si>
    <t>INFORMACJA</t>
  </si>
  <si>
    <t>Start0 pracowników</t>
  </si>
  <si>
    <t>Nowy plik ustawia0 w gospodarce zamiast wcześniejszych6 startowych przypisań.</t>
  </si>
  <si>
    <t>12 wolnych mieszkańców, ręczny przydział dostępny od razu; przed przydziałem brak produkcji i podatków.</t>
  </si>
  <si>
    <t>Nie blokować ręcznego startu kosztem monet ani zasobów.</t>
  </si>
  <si>
    <t>100Food starcza12 osobom na8h20 aktywnej gry bez nowych dostaw; potem stopniowo działają reguły głodu.</t>
  </si>
  <si>
    <t>D20</t>
  </si>
  <si>
    <t>NOWE WYMAGANIE</t>
  </si>
  <si>
    <t>Powiadomienia o przeludnieniu</t>
  </si>
  <si>
    <t>W źródle dodano komunikat o przeludnieniu; nie należy nazywać go już wdrożonym.</t>
  </si>
  <si>
    <t>Projekt: przy przejściu z braku do przeludnienia oraz po zmianie liczby osób bez miejsca, bez spamu co klatkę.</t>
  </si>
  <si>
    <t>Potwierdzić powtarzanie/próg przypomnienia.</t>
  </si>
  <si>
    <t>Arkusz opisuje projekt. Żadne nowe powiadomienie nie zostało zaimplementowane.</t>
  </si>
  <si>
    <t>PRZYSTAŃ • projekt cen i przepływu</t>
  </si>
  <si>
    <t>Wszystkie ceny za100 sztuk. Pierwsza paczka bez dopłaty. Kolejne zakupy w ruchomym oknie3h mają+10%, ale wariant/globalność/zaokrąglenie wymagają D05. Formuły pokazują obie interpretacje; sprzedaż pozostaje bazowa. Nie dopisano czasu rejsu.</t>
  </si>
  <si>
    <t>Paczka100 nr w oknie</t>
  </si>
  <si>
    <t>Surowce zakup: liniowo</t>
  </si>
  <si>
    <t>Produkty zakup: liniowo</t>
  </si>
  <si>
    <t>Surowce zakup: składanie</t>
  </si>
  <si>
    <t>Produkty zakup: składanie</t>
  </si>
  <si>
    <t>Sprzedaż surowców</t>
  </si>
  <si>
    <t>Sprzedaż produktów</t>
  </si>
  <si>
    <t>Znaczenie / warunki</t>
  </si>
  <si>
    <t>Kolejne paczki w tym samym oknie, bez wygaśnięć między nimi. Nie cena za sztukę i nie liczba kliknięć.</t>
  </si>
  <si>
    <t>PRZEPŁYW I OPŁATA — do decyzji, nie implementacja</t>
  </si>
  <si>
    <t>Sprzedaż</t>
  </si>
  <si>
    <t>Tylko pełne100. Centrala→port własną załogą T; załadunek statku T. Złoto proponowane po ukończeniu. Monety trafiają do skarbca.</t>
  </si>
  <si>
    <t>Zakup</t>
  </si>
  <si>
    <t>Tylko pełne100. DO DECYZJI: moment zapłaty, rozładunek, droga port→centrala, ewentualny rejs i rezerwacja pojemności. Food w porcie nie karmi ludzi.</t>
  </si>
  <si>
    <t>Pojemność</t>
  </si>
  <si>
    <t>Jak magazyn:1000 na materiał i4000 łącznie na poziomie1, oba×1.5 na poziom. Nie 4000 na każdy materiał. Monety osobno.</t>
  </si>
  <si>
    <t>Opłata po24h</t>
  </si>
  <si>
    <t>Wpisano10monet, ale nie wskazano czy za100, rodzaj czy cały port oraz czy raz czy co dobę. Przykład, nie reguła:10 za100 pochłania25% sprzedaży surowców40 i14.29% produktów70.</t>
  </si>
  <si>
    <t>BALANS przetwarzania</t>
  </si>
  <si>
    <t>200raw→100produktów: sprzedaż bez przeróbki80, po przeróbce70. Zakup200raw100, zakup100produktu80. Potwierdzone przez użytkownika ceny zachowane. Jest to konsekwencja cennika przy przeliczniku2:1.</t>
  </si>
  <si>
    <t>Rezerwa Food</t>
  </si>
  <si>
    <t>Propozycja: można wydać max(0,centralnyFood−50), z uwzględnieniem już zarezerwowanych zleceń. Każda pełna paczka100 na sprzedaż wymaga co najmniej150Food w centrali.</t>
  </si>
  <si>
    <t>BŁOGOSŁAWIEŃSTWA • odłożone przez użytkownika</t>
  </si>
  <si>
    <t>Użytkownik zdecydował, aby konflikt cooldownu/reklam/natychmiastowego użycia zostawić na później. Nie obliczamy nowych harmonogramów i nie wybieramy mechaniki. Źródło zachowuje pełną notatkę.</t>
  </si>
  <si>
    <t>Element</t>
  </si>
  <si>
    <t>Dotychczasowe ustalenie</t>
  </si>
  <si>
    <t>Nowa notatka ze źródła</t>
  </si>
  <si>
    <t>Stan</t>
  </si>
  <si>
    <t>Kaplica: premia rozbudowy</t>
  </si>
  <si>
    <t>+10×nowy poziom szczęścia wszystkim i podatki×2 przez10h; poziom1 bez efektu pasywnego.</t>
  </si>
  <si>
    <t>W źródle prośba o przypomnienie premii.</t>
  </si>
  <si>
    <t>Ręczne błogosławieństwo</t>
  </si>
  <si>
    <t>+50 każdego z6 zasobów i+20 szczęścia wszystkim na1h. Dotąd liczba darmowych użyć=poziom kaplicy; bez nakładania.</t>
  </si>
  <si>
    <t>Nowy opis pojawił się przy latarni, z odstępami+25%.</t>
  </si>
  <si>
    <t>PRZYNALEŻNOŚĆ/ODSTĘPY ODŁOŻONE</t>
  </si>
  <si>
    <t>Latarnia: premia rozbudowy</t>
  </si>
  <si>
    <t>PREMIA UZGODNIONA</t>
  </si>
  <si>
    <t>Cooldown i zakupy</t>
  </si>
  <si>
    <t>Dotąd brak drugiego efektu podczas aktywnej godziny.</t>
  </si>
  <si>
    <t>Momenty0,1,215; kolejne odstępy+25%; zakup/challenge/share/reklama daje pojedyncze użycie natychmiast.</t>
  </si>
  <si>
    <t>ODŁOŻONE DO PÓŹNIEJ</t>
  </si>
  <si>
    <t>Reklamy</t>
  </si>
  <si>
    <t>Brak zatwierdzonej pełnej mechaniki.</t>
  </si>
  <si>
    <t>60s reklamy; pozostałe czekanie/2; limit2reklamy na1h gry.</t>
  </si>
  <si>
    <t>POPULACJA • przyrost i ubytek zostały ustalone</t>
  </si>
  <si>
    <t>Wartość jest średnią indywidualnego szczęścia. Czas aktywny: pauza, ukrycie i offline zatrzymują mechanikę. Ustalono ubytek populacji, nie nazwano go jednoznacznie śmiercią. Obliczenia zachowują ułamki; prezentacja zaokrągla w górę.</t>
  </si>
  <si>
    <t>Szczęście dokładne [%]</t>
  </si>
  <si>
    <t>Zmiana osób / h</t>
  </si>
  <si>
    <t>Czas na1 osobę [h]</t>
  </si>
  <si>
    <t>Znaczenie</t>
  </si>
  <si>
    <t>Uwagi</t>
  </si>
  <si>
    <t>Ubywa</t>
  </si>
  <si>
    <t>Minimum6 osób; maksimum24×poziom ratusza. Narodziny/ubytek nie są liczone skokiem raz na godzinę.</t>
  </si>
  <si>
    <t>Populacja bez zmian</t>
  </si>
  <si>
    <t>Przybywa</t>
  </si>
  <si>
    <t>WZÓR I PRZYKŁAD</t>
  </si>
  <si>
    <t>Dla H=|szczęście|: tempo=H/300 osoby/h dla0…50%; dla50…100%:1/6+(H−50)/60. Znak dodatni daje przyrost, ujemny ubytek. ±75% daje1 osobę co1h42min51s. Przy0% brak zmiany. Nowa osoba ma własne szczęście0, dopiero potem otrzymuje aktualne premie wyspy.</t>
  </si>
  <si>
    <t>CZŁOWIEK • asset gry i wszystkie reguły</t>
  </si>
  <si>
    <t>Każdy człowiek ma trwałe ID, własne szczęście, przydział do pracy, licznik głodu, licznik bezrobocia i czas powrotu. To opis projektu w Excelu, bez wdrażania. Zakaz nakładania nowych błogosławieństw i reklamy pozostawiono do późniejszej decyzji.</t>
  </si>
  <si>
    <t>Obszar / stan</t>
  </si>
  <si>
    <t>Reguła</t>
  </si>
  <si>
    <t>Liczby / wzór</t>
  </si>
  <si>
    <t>Szczęście / podatki / wydajność</t>
  </si>
  <si>
    <t>Status / powiązanie</t>
  </si>
  <si>
    <t>Rola assetu</t>
  </si>
  <si>
    <t>Mieszkaniec zużywa żywność, może pracować, produkować lub nosić towary i płacić podatek.</t>
  </si>
  <si>
    <t>Start12; minimum6; maksimum24×ratusz.</t>
  </si>
  <si>
    <t>Nowy człowiek zaczyna z osobistym0% szczęścia, nie dziedziczy historii innych.</t>
  </si>
  <si>
    <t>Start i wolna pula</t>
  </si>
  <si>
    <t>Nowy plik ustawia0 pracowników w każdym budynku.</t>
  </si>
  <si>
    <t>Przed przypisaniem brak produkcji i podatków; jedzenie jest zużywane.</t>
  </si>
  <si>
    <t>Limit zatrudnienia</t>
  </si>
  <si>
    <t>Jedno miejsce pracy na osobę; wszystkie budynki korzystają z jednej puli.</t>
  </si>
  <si>
    <t>W tej wersji Excel: połowa maksymalnej populacji z ratusza. To nie połowa aktualnej liczby ludzi i nie własny poziom producenta.</t>
  </si>
  <si>
    <t>WYJAŚNIONE PRZEZ UŻYTKOWNIKA</t>
  </si>
  <si>
    <t>Jedzenie</t>
  </si>
  <si>
    <t>Automatycznie zużywa Food z centralnego magazynu. Lokalny młyn, targ i port nie karmią bez dostawy centralnej.</t>
  </si>
  <si>
    <t>1 Food/os./h aktywnej gry.</t>
  </si>
  <si>
    <t>Jedzenie daje+1pp/h. Rezerwa50 chroni przed wynoszeniem, ale ludzie mogą ją zjadać.</t>
  </si>
  <si>
    <t>UZGODNIONE + NOWA REZERWA</t>
  </si>
  <si>
    <t>Praca produkcyjna</t>
  </si>
  <si>
    <t>Indywidualne całe sztuki; niedokończona część przepada po zwolnieniu.</t>
  </si>
  <si>
    <t>Nakarmiony10/h, czyli1 co6min; głodny5/h, czyli1 co12min. Młyn/tartak2surowca→1produkt.</t>
  </si>
  <si>
    <t>Przydział daje+1pp/h i1monetę/h. Przy latarni produkcja×2; głód×0.5, razem daje podstawowe10/h.</t>
  </si>
  <si>
    <t>Transport</t>
  </si>
  <si>
    <t>Magazynierzy przewożą produkcję i materiały budowy; załoga portu ma obsługiwać port oddzielnie.</t>
  </si>
  <si>
    <t>Bazowo60 szt./os./h; głód30/h. +10% magazynu jest interpretowane w modelu jako przepustowość.</t>
  </si>
  <si>
    <t>Podatek i bonus pracy pozostają przy przypisaniu. Tempo portu i znaczenie+10%: D02/D07.</t>
  </si>
  <si>
    <t>BAZA UZGODNIONA; NOWE SZCZEGÓŁY DO DECYZJI</t>
  </si>
  <si>
    <t>Podatek</t>
  </si>
  <si>
    <t>Tylko przydzieleni pracownicy. Bezrobotni i wracający nie płacą.</t>
  </si>
  <si>
    <t>1 moneta/os./h; podczas premii kaplicy2 monety/os./h.</t>
  </si>
  <si>
    <t>Przy przypisaniu podatek działa także przy braku surowca lub pełnym lokalnym składzie, zgodnie z wcześniejszym modelem.</t>
  </si>
  <si>
    <t>Je i pracuje</t>
  </si>
  <si>
    <t>Dwa niezależne dodatnie składniki.</t>
  </si>
  <si>
    <t>+1 za jedzenie +1 za pracę = +2pp/h.</t>
  </si>
  <si>
    <t>Od0 po10h ma20%.</t>
  </si>
  <si>
    <t>Je; bez pracy do12h</t>
  </si>
  <si>
    <t>Działa bonus jedzenia; bezrobocie jeszcze bez kary.</t>
  </si>
  <si>
    <t>+1pp/h.</t>
  </si>
  <si>
    <t>Po10h jedzenia i pracy20%; potem12h jedzenia bez pracy32%.</t>
  </si>
  <si>
    <t>Je; bez pracy ponad12h</t>
  </si>
  <si>
    <t>Kara bezrobocia po własnym ciągłym okresie12h.</t>
  </si>
  <si>
    <t>+1 za jedzenie −5 za bezrobocie = −4pp/h.</t>
  </si>
  <si>
    <t>Po powyższych32% następna godzina daje28%.</t>
  </si>
  <si>
    <t>Nie je do12h; pracuje</t>
  </si>
  <si>
    <t>Brak bonusu jedzenia; pozostaje bonus przydziału.</t>
  </si>
  <si>
    <t>Wydajność50% OD RAZU, podatki nadal1moneta/h.</t>
  </si>
  <si>
    <t>Nie je ponad12h; pracuje</t>
  </si>
  <si>
    <t>Kara głodu po własnym ciągłym okresie12h.</t>
  </si>
  <si>
    <t>+1 za pracę −5 za głód = −4pp/h.</t>
  </si>
  <si>
    <t>Wydajność50%, podatki nadal1moneta/h.</t>
  </si>
  <si>
    <t>Nie je i nie pracuje</t>
  </si>
  <si>
    <t>Oddzielne liczniki; kary sumują się, gdy każdy przekroczy12h.</t>
  </si>
  <si>
    <t>Przed oboma progami0; po jednym−5; po obu−10pp/h.</t>
  </si>
  <si>
    <t>Brak podatków i produkcji. Licznik głodu może być inny niż bezrobocia.</t>
  </si>
  <si>
    <t>Resety liczników</t>
  </si>
  <si>
    <t>Jedzenie resetuje tylko głód, zatrudnienie tylko bezrobocie.</t>
  </si>
  <si>
    <t>12h okresu bez kary nie jest naliczane wstecz.</t>
  </si>
  <si>
    <t>Powrót do jedzenia/pracy nie zwraca utraconych punktów i nie resetuje osobistej historii szczęścia.</t>
  </si>
  <si>
    <t>Zejście do domu</t>
  </si>
  <si>
    <t>Zwolniony zawsze wraca; w drodze nie można go ponownie przydzielić.</t>
  </si>
  <si>
    <t>5min.</t>
  </si>
  <si>
    <t>Nie pracuje, nie płaci podatku; je i jest liczony jako bezrobotny od zwolnienia. Zachowuje ID i szczęście.</t>
  </si>
  <si>
    <t>Dojście do pracy</t>
  </si>
  <si>
    <t>Dotąd przydział był natychmiastowy. Osobnego czasu drogi nie ustalono.</t>
  </si>
  <si>
    <t>DO DECYZJI D13</t>
  </si>
  <si>
    <t>Pełny lokalny magazyn</t>
  </si>
  <si>
    <t>Produkcja zatrzymuje się; kara dotyczy załogi tego budynku.</t>
  </si>
  <si>
    <t>Kara jest osobnym ujemnym modyfikatorem, nie stałym−10/h. Opróżnienie poniżej limitu usuwa tę osobną karę.</t>
  </si>
  <si>
    <t>Przeludnienie</t>
  </si>
  <si>
    <t>Brak miejsc w domu obniża szczęście każdej osoby.</t>
  </si>
  <si>
    <t>U=max(0,populacja−24×poziom domu); każdemu−Upp/h.</t>
  </si>
  <si>
    <t>78 osób /72 miejsca: każdemu−6pp/h. Kara trwa do zapewnienia miejsc; rozbudowa nie zwraca utraconych punktów.</t>
  </si>
  <si>
    <t>UZGODNIONE; ZALEŻNOŚĆ ZAAKCEPTOWANA</t>
  </si>
  <si>
    <t>Kaplica: rozbudowa</t>
  </si>
  <si>
    <t>Po ukończeniu do poziomu N daje czasowy bonus wszystkim.</t>
  </si>
  <si>
    <t>+10×N szczęścia i podatek×2 przez10h aktywnej gry.</t>
  </si>
  <si>
    <t>Poziom1 bez pasywnej premii; kolejne rozbudowy odświeżają okres, bez mnożenia podatków do×4.</t>
  </si>
  <si>
    <t>Kaplica: ręczna premia</t>
  </si>
  <si>
    <t>Dotychczas+50 każdego zasobu i+20 szczęścia wszystkim na1h.</t>
  </si>
  <si>
    <t>Łącznie darmowe użycia=poziom kaplicy w poprzedniej regule.</t>
  </si>
  <si>
    <t>Nowa lokalizacja przy latarni, cooldowny, reklamy i zakupy: ODŁOŻONE zgodnie z decyzją użytkownika.</t>
  </si>
  <si>
    <t>NOWE SZCZEGÓŁY ODŁOŻONE</t>
  </si>
  <si>
    <t>Latarnia: rozbudowa</t>
  </si>
  <si>
    <t>Po ukończeniu obie premie dla wyspy.</t>
  </si>
  <si>
    <t>+100 szczęścia i produkcja materiałów×2 przez24h×N.</t>
  </si>
  <si>
    <t>Podatki i transport bez mnożnika latarni. PrzykładN2: obie premie48h.</t>
  </si>
  <si>
    <t>Szczęście wyspy</t>
  </si>
  <si>
    <t>Najpierw ograniczamy każdą osobę do−100…+100%, potem liczymy średnią.</t>
  </si>
  <si>
    <t>Hwyspy=SUMA(Hi)/liczba ludzi.</t>
  </si>
  <si>
    <t>Wyświetlenie: pełny procent zaokrąglony w górę. Ułamki zachowujemy do naliczania czasu, średniej i demografii.</t>
  </si>
  <si>
    <t>Demografia</t>
  </si>
  <si>
    <t>Dodatnia dokładna średnia zwiększa populację, ujemna zmniejsza.</t>
  </si>
  <si>
    <t>UZGODNIONE; ZOBACZ POPULACJA</t>
  </si>
  <si>
    <t>Czas aktywny</t>
  </si>
  <si>
    <t>Godziny potrzeb i pracy nie są przyspieszane zegarem1×/2×/4×.</t>
  </si>
  <si>
    <t>BAZA UZGODNIONA; PORT DO DECYZJI</t>
  </si>
  <si>
    <t>HARBORLIGHT • uzupełniona tabela + człowiek</t>
  </si>
  <si>
    <t>TYLKO PROJEKT W EXCELU — bez zmian w grze. Uwzględniono ostatnie doprecyzowania: limit połowy maksimum ratusza, błogosławieństwa odłożone, ceny40/50 i70/80 za100, czasy tylko transport+budowa. Czerwone/żółte pola oznaczają otwarte kwestie. Szczegóły człowieka w osobnym arkuszu.</t>
  </si>
  <si>
    <t>Budynek / asset</t>
  </si>
  <si>
    <t>Po co jest w grze</t>
  </si>
  <si>
    <t>Liczba ludzi — start / limit</t>
  </si>
  <si>
    <t>Co daje rozbudowa</t>
  </si>
  <si>
    <t>Koszty rozbudowy</t>
  </si>
  <si>
    <t>Czas rozbudowy</t>
  </si>
  <si>
    <t>Stan projektu</t>
  </si>
  <si>
    <t>Notyfikacja / uwagi</t>
  </si>
  <si>
    <t>Uwagi2 — reguły i kary</t>
  </si>
  <si>
    <t>Płatne / challenge / social / reklama</t>
  </si>
  <si>
    <t>1→2: transport + budowa</t>
  </si>
  <si>
    <t>2→3: transport + budowa</t>
  </si>
  <si>
    <t>3→4: transport + budowa</t>
  </si>
  <si>
    <t>Wyznacza poziom gry i limity rozwoju; jest skarbcem monet i pokazuje podatek/h.</t>
  </si>
  <si>
    <t>Brak własnych pracowników.</t>
  </si>
  <si>
    <t>+24 maksymalnej populacji, wyższy maksymalny poziom innych budynków, +1 budowa i+1 miejsce kolejki, +200 pojemności lokalnej każdego producenta. Limit obsady każdego miejsca pracy rośnie o12, jeżeli są wolni mieszkańcy. Odblokowanie targ2,port4.</t>
  </si>
  <si>
    <t>500×L KAŻDEGO z6 zasobów</t>
  </si>
  <si>
    <t>ZASADY OPISANE; bez wdrożenia nowych zmian.</t>
  </si>
  <si>
    <t>ZAWSZE: ukończenie budowy. Wcześniej także zlecenie/start/dostawa.</t>
  </si>
  <si>
    <t>Podatek1moneta/przypisanego/h; bezrobotni i wracający0. Kaplica czasowo podwaja podatek. Ratusz nie zatrudnia. PrzedRatuszem3 potrzebnyMagazyn2; przedRatuszem4 Magazyn3 — zależność zaakceptowana.</t>
  </si>
  <si>
    <t>Zapewnia miejsca mieszkalne, osobno od maksymalnego limitu ratusza.</t>
  </si>
  <si>
    <t>Brak własnych pracowników. Dom mieści24×poziom domu; mieszkańcy domu nie są jego pracownikami.</t>
  </si>
  <si>
    <t>+24 miejsca, przez co ogranicza albo zatrzymuje dalszą karę przeludnienia.</t>
  </si>
  <si>
    <t>ZAWSZE: ukończenie budowy. Wcześniej także zlecenie/start/dostawa. NOWE: przeludnienie; proponujemy na zmianę stanu, nie co klatkę.</t>
  </si>
  <si>
    <t>Kara:U=max(0,P−24×poziom domu); KAŻDEMU mieszkańcowi−Upp/h. Np.78/72→−6pp/h każdemu. Ulepszenie zatrzymuje dalszą karę, nie oddaje punktów.</t>
  </si>
  <si>
    <t>Produkuje zboże do młyna, budowy i wymiany.</t>
  </si>
  <si>
    <t>Start0. Limit na budynek12×poziom ratusza, ale tylko faktycznie wolni ludzie ze wspólnej puli. Nie można przypisać jednej osoby dwa razy.</t>
  </si>
  <si>
    <t>Zamiar z pliku: większa możliwa produkcja dzięki większej obsadzie. Limit obsady został wyjaśniony jako zależny od RATUSZA, nie własnego poziomu producenta. Osobna korzyść ulepszenia tego budynku nadal nie została określona.</t>
  </si>
  <si>
    <t>L×(72 drewna+72 kamienia+120 zboża)</t>
  </si>
  <si>
    <t>ŁĄCZNIE2T: transportT +budowa1T.</t>
  </si>
  <si>
    <t>DO USTALENIA: osobny efekt własnego poziomu; produkcja10/os./h nadal bazą.</t>
  </si>
  <si>
    <t>ZAWSZE: ukończenie budowy. Wcześniej także zlecenie/start/dostawa. Powiadomienie o pełnym magazynie.</t>
  </si>
  <si>
    <t>Pełny lokalny magazyn: produkcja STOP; załoga−10 szczęścia od razu, następne−10 co24h do−50. Opróżnienie usuwa tę osobną karę. Powrót do domu5min, bez pracy/podatku i bez możliwości przydziału; część rozpoczętej sztuki przepada. Dojście do pracy osobno nieustalone. Produkcja10/os./h, głód5. Lokalny bufor200×poziom ratusza.</t>
  </si>
  <si>
    <t>Przetwarza2 zboża z centrali→1 żywność do lokalnego bufora.</t>
  </si>
  <si>
    <t>L×(72 drewna+72 kamienia+120 żywności)</t>
  </si>
  <si>
    <t>Produkują drewno do tartaku i budowy.</t>
  </si>
  <si>
    <t>L×(192 drewna+72 kamienia)</t>
  </si>
  <si>
    <t>Przetwarza2 drewna z centrali→1 deskę do lokalnego bufora.</t>
  </si>
  <si>
    <t>L×(72 drewna+72 kamienia+120 desek)</t>
  </si>
  <si>
    <t>Produkuje kamień do budowy i wymiany.</t>
  </si>
  <si>
    <t>L×(72 drewna+192 kamienia)</t>
  </si>
  <si>
    <t>Przechowuje materiały; własna załoga nosi produkcję do centrali i materiały na budowy. Ludzie jedzą z centrali automatycznie.</t>
  </si>
  <si>
    <t>Pojemność centralna×1.5. Nowy zamiar:+10% pojemności tragarzy na każdy poziom; w kalkulatorze roboczo przepustowość60×1.1^(poziom−1). Więcej ludzi można mieć dzięki limitowi ratusza; własny limit obsady nie jest potrzebny.</t>
  </si>
  <si>
    <t>DO DECYZJI D02: znaczenie+10% tragarzy.</t>
  </si>
  <si>
    <t>Poziom1:1000 każdego materiału,4000 łącznie; oba limity×1.5 na kolejny poziom. Monety osobno. Food: do nieżywieniowych operacji max(0,Food−50), z uwzględnieniem rezerwacji budowy i wysyłki na targ/port. Ludzie mogą zjadać rezerwę. Rezerwa50 nie gwarantuje braku głodu przy długim transporcie — uwaga zaakceptowana.</t>
  </si>
  <si>
    <t>Od poziomu gracza2: wymiana w grupach drewno/kamień/zboże lub deski/żywność, nominalnie1:1 z marżą10%. Bez kupowania za monety.</t>
  </si>
  <si>
    <t>Start0. Limit na budynek12×poziom ratusza, ale tylko faktycznie wolni ludzie ze wspólnej puli. Nie można przypisać jednej osoby dwa razy. Odblokowanie ratusz2.</t>
  </si>
  <si>
    <t>Pracownicy donoszą60/os./h bazowo; każdy przywieziony towar blokowany1h. Marża10%, np.10drewna→9kamienia. Grupy nie mieszają surowców podstawowych z przetworzonymi.</t>
  </si>
  <si>
    <t>Od poziomu gracza4: kupno i sprzedaż pięciu materiałów za monety. Wyłącznie pełne paczki100. Monety są środkiem płatności, nie osobnym towarem.</t>
  </si>
  <si>
    <t>Start0. Limit na budynek12×poziom ratusza, ale tylko faktycznie wolni ludzie ze wspólnej puli. Nie można przypisać jednej osoby dwa razy. Odblokowanie ratusz4.</t>
  </si>
  <si>
    <t>Nowa pojemność jak magazyn:1000/rodzaj i4000łącznie na1, potem×1.5. Załoga przenosi z centrali i ładuje statek, bez magazynierów. Osobny bonus szybkości poziomu portu nieustalony.</t>
  </si>
  <si>
    <t>Ceny potwierdzone. DO DECYZJI: zakupy, tempo załogi, dopłaty i opłata24h.</t>
  </si>
  <si>
    <t>Poziom1:1000 każdego materiału,4000 łącznie; oba limity×1.5 na kolejny poziom. Monety osobno. Ceny za100:podstawowe sprzedaż40/kupno50;przetworzone70/80. Od2.paczki zakupu w ostatnich3h+10% (wariant do decyzji). Po24h składowania10monet — jednostka i powtarzanie do decyzji. Zakupowa droga powrotna do uzupełnienia.</t>
  </si>
  <si>
    <t>Daje premie szczęścia i podatków po rozbudowie; dotychczas była miejscem ręcznych błogosławieństw.</t>
  </si>
  <si>
    <t>+1 do łącznej liczby jednorazowych darmowych błogosławieństw według poprzedniej reguły; po rozbudowie doN:+10×N szczęścia wszystkim i podatki×2 przez10h.</t>
  </si>
  <si>
    <t>TYMCZASOWO:N×(180 monet+20 drewna+60 kamienia+10 desek). N=nowy poziom.</t>
  </si>
  <si>
    <t>Premie przypomniane; koszt tymczasowy; nowe błogosławieństwa ODŁOŻONE.</t>
  </si>
  <si>
    <t>ZAWSZE: ukończenie budowy. Wcześniej także zlecenie/start/dostawa. Uruchomienie premii i ręczne błogosławieństwo.</t>
  </si>
  <si>
    <t>Poziom1 nie daje pasywnej premii. Ręczne błogosławieństwo dotąd:+50każdego zasobu,+20szczęścia na1h, bez nakładania. Nowa lokalizacja/cooldown/reklamy ODŁOŻONE przez użytkownika.</t>
  </si>
  <si>
    <t>Nowe błogosławieństwo: kasa/challenge/udostępnienie/reklama. Zgodnie z decyzją użytkownika szczegóły ODŁOŻONE. Brak cen ani zatwierdzonej integracji.</t>
  </si>
  <si>
    <t>Daje premie szczęścia i produkcji po ukończeniu poziomu.</t>
  </si>
  <si>
    <t>+100 szczęścia wszystkim i produkcja pięciu materiałów×2. OBA efekty przez24h×N. Wyższy poziom odświeża/wydłuża czas, nie zwiększa produkcji do×4.</t>
  </si>
  <si>
    <t>500×max(1,L) KAŻDEGO z6 zasobów. Pierwsza budowa0→1:500 każdego.</t>
  </si>
  <si>
    <t>Premia opisana; nowe błogosławieństwa przy latarni ODŁOŻONE.</t>
  </si>
  <si>
    <t>ZAWSZE: ukończenie budowy. Wcześniej także zlecenie/start/dostawa. Uruchomienie premii latarni.</t>
  </si>
  <si>
    <t>Podatki i transport bez mnożnika latarni. W źródle opisano tu błogosławieństwo+50zasobów/+20szczęścia1h, odstępy+25%, zakupy/challenge/share/reklamy. Zachowano notatkę; szczegóły ODŁOŻONE.</t>
  </si>
  <si>
    <t>CZŁOWIEK — ASSET</t>
  </si>
  <si>
    <t>Je, pracuje, produkuje/nosi, płaci podatki; ma indywidualną historię i szczęście.</t>
  </si>
  <si>
    <t>12 na starcie, wszyscy wolni. Minimum6; maksimum24×ratusz. Jeden przydział na osobę.</t>
  </si>
  <si>
    <t>Nie ulepsza się człowieka poziomem. Stan zmieniają jedzenie, praca, mieszkania, pełne magazyny i premie wyspy.</t>
  </si>
  <si>
    <t>Utrzymanie1Food/os./h; osobnego kupowania człowieka nie ustalono.</t>
  </si>
  <si>
    <t>Przyrost/ubytek zależny od średniej szczęścia; przy±100%1os./h, przy±50%1/6h.</t>
  </si>
  <si>
    <t>UZGODNIONE; szczegółowa karta: Czlowiek.</t>
  </si>
  <si>
    <t>Powiadomienia o pełnym magazynie/przeludnieniu z budynków; alarm o głodzie nie został osobno ustalony.</t>
  </si>
  <si>
    <t>Je+pracuje:+2pp/h. Bez danego braku pierwsze12h bez kary, potem każdy brak−5pp/h. Je+bezrobotny po12h:−4;głodny+pracuje po12h:−4;oba braki po12h:−10. Głód wydajność×0.5; podatek nadal1przy przypisaniu. Każdy±100%, potem średnia.</t>
  </si>
  <si>
    <t>Nie dotyczy — osoba nie ma rozbudowy1→2.</t>
  </si>
  <si>
    <t>Nie dotyczy.</t>
  </si>
  <si>
    <t>ŹRÓDŁO • oryginalny wklejony tekst</t>
  </si>
  <si>
    <t>Treść użytkownika zachowana bez poprawiania literówek ani zmiany wartości. Późniejsze doprecyzowania są zapisane w Start i Decyzje i konflikty. Ten arkusz nie jest modelem ani deklaracją wdrożenia.</t>
  </si>
  <si>
    <t xml:space="preserve">Notyfikacja / Uwagi </t>
  </si>
  <si>
    <t>Uwagi 2</t>
  </si>
  <si>
    <t>Płatatne 
1 kasa
2 fb/instagram
3 reklama</t>
  </si>
  <si>
    <t>szacunek czasu rozbudowy l1-l2 (doable path)</t>
  </si>
  <si>
    <t>szacunek czasu rozbudowy l2-l3 (doable path)</t>
  </si>
  <si>
    <t>szacunek czasu rozbudowy l3-l4 (doable path)</t>
  </si>
  <si>
    <t xml:space="preserve">Wyznacza poziom gry i limity rozwoju, jest też skarbcem </t>
  </si>
  <si>
    <t>brak własnych pracowników</t>
  </si>
  <si>
    <t>+24 limitu mieszkańców, wyższy limit innych budynków, +1 budowa i kolejka, +200 pojemności każdego producenta</t>
  </si>
  <si>
    <t>500 × L każdego zasobu</t>
  </si>
  <si>
    <t>3T</t>
  </si>
  <si>
    <t>Gotowe</t>
  </si>
  <si>
    <t>zawsze notyfikacja o zakończonej budowie</t>
  </si>
  <si>
    <t>tbc</t>
  </si>
  <si>
    <t>Zapewnia mieszkania</t>
  </si>
  <si>
    <t>brak własnych pracowników ale brak miejsc przy podniesionym poziomie wpływa na szczęście zgodnie z algoprytmem (wpisz go tu)</t>
  </si>
  <si>
    <t>+24 miejsca; ogranicza karę za przeludnienie</t>
  </si>
  <si>
    <t>zawsze notyfikacja o zakończonej budowie, dodatkowo o przeludnieniu</t>
  </si>
  <si>
    <t>Produkuje zboże</t>
  </si>
  <si>
    <t>0/ limit</t>
  </si>
  <si>
    <t>Korzyść z własnego poziomu do ustalenia</t>
  </si>
  <si>
    <t>L × (72 drewna + 72 kamienia + 120 zboża)</t>
  </si>
  <si>
    <t>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</si>
  <si>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</si>
  <si>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</si>
  <si>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</si>
  <si>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2 zboża → 1 żywność</t>
  </si>
  <si>
    <t>L × (72 drewna + 72 kamienia + 120 żywności)</t>
  </si>
  <si>
    <t xml:space="preserve">Produkcja działa; efekt rozbudowy wieksza możliwosć produkcji  bo mogę mieć wiecej pracowników </t>
  </si>
  <si>
    <t>Produkują drewno</t>
  </si>
  <si>
    <t>L × (192 drewna + 72 kamienia)</t>
  </si>
  <si>
    <t>2 drewna → 1 deska</t>
  </si>
  <si>
    <t>L × (72 drewna + 72 kamienia + 120 desek)</t>
  </si>
  <si>
    <t>Produkuje kamień</t>
  </si>
  <si>
    <t>L × (72 drewna + 192 kamienia)</t>
  </si>
  <si>
    <t>Przechowuje i transportuje materiały</t>
  </si>
  <si>
    <t>Pojemność na rodzaj i łączna ×1,5</t>
  </si>
  <si>
    <t>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</si>
  <si>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</si>
  <si>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Jaka tu była pojemność ustalona przypomnij taką samą daj w przytani ale tam za towar który jest dłużej nić 24 godziny skasuj 10 monet</t>
  </si>
  <si>
    <t>Od poziomu 2 wymienia towary z marżą 10%</t>
  </si>
  <si>
    <t>0 / limit po odblokowaniu</t>
  </si>
  <si>
    <t>Pojemność ×1,5: 1000, 1500, 2250…</t>
  </si>
  <si>
    <t>Od poziomu 4 umożliwia handel za monety</t>
  </si>
  <si>
    <t>Korzyść kolejnych poziomów do ustalenia</t>
  </si>
  <si>
    <t>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</si>
  <si>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</si>
  <si>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Premie szczęścia, podatków i błogosławieństwa</t>
  </si>
  <si>
    <t xml:space="preserve">brak ludzi </t>
  </si>
  <si>
    <t>+1 użycie błogosławieństwa; +10 × N szczęścia i podatki ×2 przez 10 h</t>
  </si>
  <si>
    <t>Tymczasowo N × (180 monet + 20 drewna + 60 kamienia + 10 desek)</t>
  </si>
  <si>
    <t>4T</t>
  </si>
  <si>
    <t>Premie gotowe; koszt do ustalenia</t>
  </si>
  <si>
    <t xml:space="preserve">zawsze notyfikacja o zakończonej budowie; </t>
  </si>
  <si>
    <t>premia (przypomij jaka); błogosławieństwo</t>
  </si>
  <si>
    <t>Wspiera szczęście i produkcję</t>
  </si>
  <si>
    <t>+100 szczęścia i produkcja ×2 przez 24 h × N</t>
  </si>
  <si>
    <t>500 × max(1, L) każdego zasobu</t>
  </si>
  <si>
    <t>6T</t>
  </si>
  <si>
    <t xml:space="preserve">zawsze notyfikacja o zakończonej budowie;; uruchomienie premii </t>
  </si>
  <si>
    <t>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</si>
  <si>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</si>
  <si>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HARBORLIGHT • EXCEL DO UZGADNIANIA ZASAD</t>
  </si>
  <si>
    <t>22.10.2026 • Uzupełniona tabela użytkownika,13 assetów (12 budynków+człowiek). Pełny rejestr zasad i komentarze komórek w pliku. Bez zmian w kodzie i zapisach gry. Formuły są w arkuszu; niebieskie komórki Parametry są edytowalne. Oryginalny tekst zachowano w Zrodlo.</t>
  </si>
  <si>
    <t>Obszar</t>
  </si>
  <si>
    <t>Co jest w pliku</t>
  </si>
  <si>
    <t>Status / następny krok</t>
  </si>
  <si>
    <t>Budynki — główna tabela; Czlowiek — karta assetu; Czas budowy — wszystkie etapy; Populacja i szczescie — tempo demografii; Parametry — edycja; Przystan — ceny; Blogoslawienstwa — odłożone; Decyzje i konflikty — otwarte punkty.</t>
  </si>
  <si>
    <t>Arkusz budynków zachowuje13 kolumn źródła, zmieniając nagłówki czasu zgodnie z ostatnią instrukcją.</t>
  </si>
  <si>
    <t>Doprecyzowanie1: limit ludzi</t>
  </si>
  <si>
    <t>0–połowa maksymalnej liczby mieszkańców z ratusza:12×ratusz na budynek, ale z rzeczywistej wolnej puli.</t>
  </si>
  <si>
    <t>Nowy plik: wszyscy pracownicy0 na starcie, więc12 wolnych. Własny poziom producenta nie występuje w tym limicie.</t>
  </si>
  <si>
    <t>Doprecyzowanie2: błogosławieństwa</t>
  </si>
  <si>
    <t>Konflikt zakupu natychmiast/reklamy/aktywnego efektu oraz nowe odstępy zostają na później.</t>
  </si>
  <si>
    <t>ODŁOŻONE. Nie wybrano mechaniki ani nie obliczano cooldownów.</t>
  </si>
  <si>
    <t>Doprecyzowanie3: ceny</t>
  </si>
  <si>
    <t>Potwierdzone za100:podstawowe40sprzedaż/50kupno;przetworzone70/80.</t>
  </si>
  <si>
    <t>Zapisane bez zmiany. Przy2:1,200raw→100produktu, więc sama wartość sprzedaży spada80→70; przykład pozostaje uwagą o opłacalności.</t>
  </si>
  <si>
    <t>Doprecyzowanie4: czas</t>
  </si>
  <si>
    <t>Liczymy tylko transport i samą budowę. Bez zbierania, karmienia, wcześniejszych rozbudów i oczekiwania w kolejce.</t>
  </si>
  <si>
    <t>Nagłówki doable path zastąpiono transport+budowa. Dom/ratusz3T,kaplica4T,latarnia6T,pozostałe2T — sumy obu etapów.</t>
  </si>
  <si>
    <t>Zaakceptowana zależność</t>
  </si>
  <si>
    <t>PrzedRatuszem3 wymaganyMagazyn2, przedRatuszem4 Magazyn3, aby cały koszt zmieścił się centralnie.</t>
  </si>
  <si>
    <t>Użytkownik zaakceptował tę uwagę. Jest ograniczeniem drogi rozwoju, ale jej czasu nie doliczamy do estymat.</t>
  </si>
  <si>
    <t>Zaakceptowana uwaga o żywności</t>
  </si>
  <si>
    <t>Rezerwa50 może nie wystarczyć na przewóz materiałów. Przy12osobach to4h10; przewóz2500/6nakarmionych trwa6h57.</t>
  </si>
  <si>
    <t>Użytkownik zaakceptował uwagę. Nie doliczamy karmienia do czasu; zakładamy nakarmionych tragarzy. Zabezpieczenie Foodpooperacji≥50 zapisano jawnie.</t>
  </si>
  <si>
    <t>Ważne założenie czasów</t>
  </si>
  <si>
    <t>6tragarzy; magazyn poziomu L; +10% na kolejny poziom roboczo interpretowane jako przepustowość60×1.1^(L−1).</t>
  </si>
  <si>
    <t>D02 nadal otwarte: wzrost pojemności kursu a wzrost szybkości. Bez tej interpretacji brakuje czasu kursu do policzenia bonusu.</t>
  </si>
  <si>
    <t>Nieuzgodnione efekty rozbudowy</t>
  </si>
  <si>
    <t>Limit12×ratusz wyjaśnia większą obsadę po rozbudowie ratusza, ale nie korzyść ulepszania samej farmy/młyna/drwali/tartaku/kamieniołomu.</t>
  </si>
  <si>
    <t>Wpisano DO USTALENIA zamiast wymyślonego bonusu. Nie zmieniono wydajności10szt./os./h.</t>
  </si>
  <si>
    <t>Przystań: brakujące szczegóły</t>
  </si>
  <si>
    <t>Opłata10monet po24h:jednostka/powtarzanie; zakupy:rozładunek/dowóz; +10%cen:globalnie/perprodukt i liniowo/składanie; bazowe tempo załogi.</t>
  </si>
  <si>
    <t>W źródle nowe zasady; w pliku oznaczono otwarte warianty, nie fikcyjne ustalenia.</t>
  </si>
  <si>
    <t>Własne ID, szczęście i liczniki; jedzenie, przydział, podatek, wydajność, 5min powrotu, kary pełnego magazynu/przeludnienia i premie.</t>
  </si>
  <si>
    <t>Szczegóły w Czlowiek. Tempo przyrostu/ubytku było ustalone; ubytek nie został nazwany koniecznie śmiercią.</t>
  </si>
  <si>
    <t>Zakres pracy</t>
  </si>
  <si>
    <t>Utworzono plikExcel i materiały do sprawdzenia. Plik udostępniono w katalogu dokumentacji repozytorium.</t>
  </si>
  <si>
    <t>Bez developmentu i zmian logiki gry; opublikowano wyłącznie arkusz jako dokumentację.</t>
  </si>
  <si>
    <t>Otwórz tabelę budynków</t>
  </si>
  <si>
    <t>Otwórz asset Człowiek</t>
  </si>
  <si>
    <t>WSZYSTKIE USTALENIA • rejestr i historia zmian</t>
  </si>
  <si>
    <t>Rejestr scalony z całej rozmowy i wklejonej tabeli. NOWSZE zastępuje sprzeczną starszą wartość; ODŁOŻONE nie jest wybraną mechaniką. Arkusz nie jest dokumentem wdrożenia. Powiązane ustalenia dodano także jako komentarze komórek w kolumnie Uwagi2 głównej tabeli.</t>
  </si>
  <si>
    <t>Dotyczy assetów</t>
  </si>
  <si>
    <t>Reguła / ustalenie</t>
  </si>
  <si>
    <t>Uwagi i rozróżnienia</t>
  </si>
  <si>
    <t>U001</t>
  </si>
  <si>
    <t>Start</t>
  </si>
  <si>
    <t>Wszystkie</t>
  </si>
  <si>
    <t>AKTUALNE</t>
  </si>
  <si>
    <t>Nowa wyspa: Ratusz1, Dom1,12 mieszkańców, szczęście0;100 każdego zasobu.</t>
  </si>
  <si>
    <t>Zasoby: monety,drewno,kamień,zboże,Food,deski.</t>
  </si>
  <si>
    <t>U002</t>
  </si>
  <si>
    <t>Człowiek</t>
  </si>
  <si>
    <t>NOWSZE USTALENIE</t>
  </si>
  <si>
    <t>W gospodarce0 pracowników na starcie;12 wolnych ludzi do ręcznego przydziału.</t>
  </si>
  <si>
    <t>Zastępuje wcześniejsze6 startowych przydziałów.</t>
  </si>
  <si>
    <t>U003</t>
  </si>
  <si>
    <t>Odświeżenie zachowuje postęp; zestaw startowy nie jest przyznawany ponownie.</t>
  </si>
  <si>
    <t>Logowanie i serwer to przyszły zakres; plikExcel niczego nie wdraża.</t>
  </si>
  <si>
    <t>U004</t>
  </si>
  <si>
    <t>Poziom</t>
  </si>
  <si>
    <t>Ratusz nie zatrudnia pracowników.</t>
  </si>
  <si>
    <t>U005</t>
  </si>
  <si>
    <t>Pozostałe budynki mogą mieć najwyżej poziom Ratusza.</t>
  </si>
  <si>
    <t>Podniesienie ratusza odblokowuje możliwość rozbudowy, nie wykonuje jej za gracza.</t>
  </si>
  <si>
    <t>U006</t>
  </si>
  <si>
    <t>Ludność</t>
  </si>
  <si>
    <t>Teoretyczny limit mieszkańców=24×poziom Ratusza.</t>
  </si>
  <si>
    <t>PrzykładRatusz4→96;Ratusz6→144. To limit, nie automatyczna liczba osób.</t>
  </si>
  <si>
    <t>U007</t>
  </si>
  <si>
    <t>Mieszkania</t>
  </si>
  <si>
    <t>Dom daje24×swój poziom miejsc mieszkalnych.</t>
  </si>
  <si>
    <t>Ratusz i Dom mają niezależne limity; Ratusz4,Dom3→limit96,miejsca72.</t>
  </si>
  <si>
    <t>U008</t>
  </si>
  <si>
    <t>Dom;Człowiek</t>
  </si>
  <si>
    <t>PrzeludnienieU=max(0,P−24×poziom Domu). Każdej osobie naliczamy−Upp/h.</t>
  </si>
  <si>
    <t>78osób/72miejsca→−6pp/h każdemu; kara sumuje się z innymi stawkami.</t>
  </si>
  <si>
    <t>U009</t>
  </si>
  <si>
    <t>Nowe miejsca po ukończeniu Domu zatrzymują przyszłą karę w pokrytym zakresie, bez zwracania utraconego szczęścia.</t>
  </si>
  <si>
    <t>Nie ma natychmiastowego dodania ludzi po rozbudowie.</t>
  </si>
  <si>
    <t>U010</t>
  </si>
  <si>
    <t>Limit pracy</t>
  </si>
  <si>
    <t>Człowiek;Wszystkie</t>
  </si>
  <si>
    <t>NOWSZE DOPRECYZOWANIE</t>
  </si>
  <si>
    <t>Na każde z8 miejsc pracy można przypisać0…12×poziom Ratusza osób, bo to połowa maksimum populacji.</t>
  </si>
  <si>
    <t>Zawsze ograniczenie do faktycznie istniejących wolnych osób; jedna wspólna pula.</t>
  </si>
  <si>
    <t>U011</t>
  </si>
  <si>
    <t>ZASTĄPIONE</t>
  </si>
  <si>
    <t>Wcześniej limit zapisano jako połowę aktualnej populacji.</t>
  </si>
  <si>
    <t>W tymExcelu po najnowszym doprecyzowaniu obowiązuje połowa MAKSIMUM z Ratusza.</t>
  </si>
  <si>
    <t>U012</t>
  </si>
  <si>
    <t>Miejsca pracy</t>
  </si>
  <si>
    <t>Dokładnie8:farma,młyn,drwale,tartak,kamieniołom,magazyn,przystań,targ.</t>
  </si>
  <si>
    <t>Ratusz,Dom,Kaplica,Latarnia bez własnych pracowników.</t>
  </si>
  <si>
    <t>U013</t>
  </si>
  <si>
    <t>Przydział</t>
  </si>
  <si>
    <t>Jedna osoba ma najwyżej jedno miejsce pracy; nie można zatrudnić ludzi już przypisanych lub w drodze do domu.</t>
  </si>
  <si>
    <t>Wolni=obecna populacja−przypisani−wracający.</t>
  </si>
  <si>
    <t>U014</t>
  </si>
  <si>
    <t>Powrót</t>
  </si>
  <si>
    <t>Zachowuje tożsamość i szczęście; w drodze je, nie pracuje, nie płaci podatków; liczy się bezrobocie.</t>
  </si>
  <si>
    <t>U015</t>
  </si>
  <si>
    <t>Dojście</t>
  </si>
  <si>
    <t>NIEUSTALONE</t>
  </si>
  <si>
    <t>Dotychczas przydział był natychmiastowy; nie dopisano5min do pracy jako pewnej reguły.</t>
  </si>
  <si>
    <t>U016</t>
  </si>
  <si>
    <t>Produkcja</t>
  </si>
  <si>
    <t>Farma;Młyn;Drwale;Tartak;Kamieniołom</t>
  </si>
  <si>
    <t>Każdy nakarmiony producent ma10szt./pełną godzinę pracy; naliczanie proporcjonalne, wydawane całe własne sztuki.</t>
  </si>
  <si>
    <t>1szt./6min; po7min1,po13min2. Ułamki różnych pracowników nie łączą się.</t>
  </si>
  <si>
    <t>U017</t>
  </si>
  <si>
    <t>Człowiek;Farma;Młyn;Drwale;Tartak;Kamieniołom</t>
  </si>
  <si>
    <t>Zwolnienie odrzuca niedokończoną część sztuki tego pracownika.</t>
  </si>
  <si>
    <t>Gotowy towar pozostaje w lokalnym magazynie.</t>
  </si>
  <si>
    <t>U018</t>
  </si>
  <si>
    <t>Surowce</t>
  </si>
  <si>
    <t>Farma produkuje osobne zboże, nie gotową żywność.</t>
  </si>
  <si>
    <t>U019</t>
  </si>
  <si>
    <t>Przeróbka</t>
  </si>
  <si>
    <t>2zboża z magazynu centralnego→1Food do lokalnego bufora młyna.</t>
  </si>
  <si>
    <t>U020</t>
  </si>
  <si>
    <t>2drewna z magazynu centralnego→1deska do lokalnego bufora tartaku.</t>
  </si>
  <si>
    <t>U021</t>
  </si>
  <si>
    <t>Drwale;Kamieniołom</t>
  </si>
  <si>
    <t>Drwale produkują drewno; kamieniołom kamień.</t>
  </si>
  <si>
    <t>Skończona produkcja trafia do bufora przy budynku.</t>
  </si>
  <si>
    <t>U022</t>
  </si>
  <si>
    <t>Bufory</t>
  </si>
  <si>
    <t>Pojemność bufora każdego producenta=200×poziom Ratusza.</t>
  </si>
  <si>
    <t>Wcześniej uzgodniono zależność od ratusza; nie zmieniono jej na własny poziom producenta.</t>
  </si>
  <si>
    <t>U023</t>
  </si>
  <si>
    <t>Pełny bufor</t>
  </si>
  <si>
    <t>Farma;Młyn;Drwale;Tartak;Kamieniołom;Człowiek</t>
  </si>
  <si>
    <t>Pełny bufor zatrzymuje produkcję i daje jego załodze−10szczęścia od razu.</t>
  </si>
  <si>
    <t>To offset, nie−10pp na godzinę.</t>
  </si>
  <si>
    <t>U024</t>
  </si>
  <si>
    <t>Kolejne−10 co24h ciągłego zapełnienia, maksymalnie−50:−20po24h,−30po48h,−40po72h,−50po96h.</t>
  </si>
  <si>
    <t>Po zwolnieniu miejsca ta osobna kara znika.</t>
  </si>
  <si>
    <t>U025</t>
  </si>
  <si>
    <t>Notyfikacje</t>
  </si>
  <si>
    <t>Farma;Młyn;Drwale;Tartak;Kamieniołom;Magazyn;Targ;Przystań</t>
  </si>
  <si>
    <t>Powiadomienie przy zapełnieniu magazynu/bufora, także głównego.</t>
  </si>
  <si>
    <t>Nowy port ma mieć notyfikację pełnego magazynu; nie spam co klatkę.</t>
  </si>
  <si>
    <t>U026</t>
  </si>
  <si>
    <t>Poziom1:1000na każdy z5 materiałów, nie więcej niż4000łącznie.</t>
  </si>
  <si>
    <t>Monety są osobno w skarbcu.</t>
  </si>
  <si>
    <t>U027</t>
  </si>
  <si>
    <t>Każdy kolejny poziom mnoży oba limity×1.5, z zaokrągleniem w dół.</t>
  </si>
  <si>
    <t>Poziom2:1500/6000;poziom3:2250/9000;poziom4:3375/13500.</t>
  </si>
  <si>
    <t>U028</t>
  </si>
  <si>
    <t>Magazynier przenosi bazowo60towarów/h, sterowane priorytetami.</t>
  </si>
  <si>
    <t>Towary do budowy muszą być w magazynie centralnym; lokalny bufor nie jest wydawalny.</t>
  </si>
  <si>
    <t>U029</t>
  </si>
  <si>
    <t>NOWE / INTERPRETACJA</t>
  </si>
  <si>
    <t>Nowy wpis:+10%pojemności tragarzy na poziom magazynu.</t>
  </si>
  <si>
    <t>Excel roboczo liczy przepustowość60×1.1^(L−1); wzrost wielkości kursu wymaga jeszcze czasu kursu. D02.</t>
  </si>
  <si>
    <t>U030</t>
  </si>
  <si>
    <t>Magazyn;Przystań</t>
  </si>
  <si>
    <t>NOWE</t>
  </si>
  <si>
    <t>Magazynierzy noszą produkcję i materiały na budowy, nie zaopatrują przystani.</t>
  </si>
  <si>
    <t>Port obsługuje własna załoga; droga zakupowa i tempo jeszcze nieustalone.</t>
  </si>
  <si>
    <t>U031</t>
  </si>
  <si>
    <t>Człowiek;Magazyn;Młyn</t>
  </si>
  <si>
    <t>Każdy mieszkaniec automatycznie je1Food/h, niezależnie od zatrudnienia.</t>
  </si>
  <si>
    <t>Tylko magazyn centralny. Food lokalny, targowy lub portowy nie karmi bez dowozu.</t>
  </si>
  <si>
    <t>U032</t>
  </si>
  <si>
    <t>Rezerwa</t>
  </si>
  <si>
    <t>Magazyn;Targ;Przystań;Człowiek</t>
  </si>
  <si>
    <t>NOWE / ZAAKCEPTOWANA UWAGA</t>
  </si>
  <si>
    <t>50Food jest rezerwą na żywienie; operacje nieżywieniowe powinny zostawić≥50.</t>
  </si>
  <si>
    <t>Ludzie mogą ją zjadać. Dotyczy również zarezerwowania Food na budowę oraz wysyłki.</t>
  </si>
  <si>
    <t>U033</t>
  </si>
  <si>
    <t>Magazyn;Ratusz;Dom;Człowiek</t>
  </si>
  <si>
    <t>ZAAKCEPTOWANA UWAGA</t>
  </si>
  <si>
    <t>50Food może nie wystarczyć na czas transportu;12osobom wystarcza4h10, a przewóz2500 przez6bazowych tragarzy trwa6h57.</t>
  </si>
  <si>
    <t>Uwagi nie doliczamy do estymat czasu; model zakłada stałe wyżywienie.</t>
  </si>
  <si>
    <t>U034</t>
  </si>
  <si>
    <t>Szczęście</t>
  </si>
  <si>
    <t>Indywidualne szczęście i osobna historia każdej osoby. Najpierw ograniczenie−100…+100, potem średnia populacji.</t>
  </si>
  <si>
    <t>Nie zastępujemy indywidualnych wartości jednym wspólnym licznikiem.</t>
  </si>
  <si>
    <t>U035</t>
  </si>
  <si>
    <t>Jedzenie+1pp/h oraz przypisanie do pracy osobne+1pp/h.</t>
  </si>
  <si>
    <t>Nakarmiony pracownik od0 ma20%po10h.</t>
  </si>
  <si>
    <t>U036</t>
  </si>
  <si>
    <t>Brak jedzenia i brak pracy mają osobne okresy12ciągłych godzin bez kary; potem za każdy brak−5pp/h.</t>
  </si>
  <si>
    <t>Kara nie nalicza się wstecz za pierwsze12h.</t>
  </si>
  <si>
    <t>U037</t>
  </si>
  <si>
    <t>Je+pracuje:+2/h;je+bezrobotny do12h:+1/h;po12h:+1−5=−4/h.</t>
  </si>
  <si>
    <t>20%po10h pracy/jedzenia→32%po12h jedzenia bez pracy→28%po następnej godzinie.</t>
  </si>
  <si>
    <t>U038</t>
  </si>
  <si>
    <t>Głodny+pracuje do12h:+1/h;po12h:+1−5=−4/h.</t>
  </si>
  <si>
    <t>Wydajność pracy obniża się już od początku głodu.</t>
  </si>
  <si>
    <t>U039</t>
  </si>
  <si>
    <t>Nie je i nie pracuje:0/h przed oboma progami;−5/h gdy jeden brak≥12h;−10/h gdy oba≥12h.</t>
  </si>
  <si>
    <t>Każdy licznik biegnie od swojego początku.</t>
  </si>
  <si>
    <t>U040</t>
  </si>
  <si>
    <t>Resety</t>
  </si>
  <si>
    <t>Jedzenie resetuje tylko głód, przydział tylko bezrobocie; żaden reset nie zwraca utraconych punktów.</t>
  </si>
  <si>
    <t>Osobiste szczęście zachowuje się przy zmianie miejsca pracy.</t>
  </si>
  <si>
    <t>U041</t>
  </si>
  <si>
    <t>Wydajność</t>
  </si>
  <si>
    <t>Człowiek;Magazyn;Przystań;Farma;Młyn;Drwale;Tartak;Kamieniołom</t>
  </si>
  <si>
    <t>Głód od razu zmniejsza wydajność o50%, także transport.</t>
  </si>
  <si>
    <t>Produkcja10→5;bazowy transport60→30. Nie czekamy12h ze spadkiem wydajności.</t>
  </si>
  <si>
    <t>U042</t>
  </si>
  <si>
    <t>Podatki</t>
  </si>
  <si>
    <t>Człowiek;Ratusz</t>
  </si>
  <si>
    <t>Przypisany pracownik daje1monetę/h pracy, bezrobotny i wracający0.</t>
  </si>
  <si>
    <t>W poprzednim modelu przydzielony nadal płaci przy pełnym buforze lub braku wejścia; rozróżnić od chwilowego braku produkcji.</t>
  </si>
  <si>
    <t>U043</t>
  </si>
  <si>
    <t>Człowiek;Kaplica</t>
  </si>
  <si>
    <t>Głód nie obniża podatku; premia kaplicy daje×2podatku na10h.</t>
  </si>
  <si>
    <t>Kaplica podwaja tylko istniejący podatek pracujących.</t>
  </si>
  <si>
    <t>U044</t>
  </si>
  <si>
    <t>Prezentacja</t>
  </si>
  <si>
    <t>Szczęście wyświetlane bez ułamka, zaokrąglane w górę.</t>
  </si>
  <si>
    <t>W obliczeniach pozostają ułamki;−20.2%pokazane jako−20%,20.2%jako21%.</t>
  </si>
  <si>
    <t>U045</t>
  </si>
  <si>
    <t>Dokładna średnia0%:brak zmian; dodatnia:przyrost;ujemna:ubytek.</t>
  </si>
  <si>
    <t>Nie ustalono, że ubytek ma oznaczać wyłącznie śmierć.</t>
  </si>
  <si>
    <t>U046</t>
  </si>
  <si>
    <t>±25%:1osoba/12h;±50%:1/6h;±75%:1/około1h43;±100%:1/h.</t>
  </si>
  <si>
    <t>Pomiędzy punktami interpolujemy tempo, nie sam okres.</t>
  </si>
  <si>
    <t>U047</t>
  </si>
  <si>
    <t>DlaH=|szczęście| tempo=H/300os./h do50%;powyżej50%:1/6+(H−50)/60; znak określa kierunek.</t>
  </si>
  <si>
    <t>Nowa osoba zaczyna z własnym0%, z aktualnymi czasowymi efektami wyspy.</t>
  </si>
  <si>
    <t>U048</t>
  </si>
  <si>
    <t>Co najmniej6osób; maksymalnie24×ratusz; przy minimum gra nadal grywalna.</t>
  </si>
  <si>
    <t>Rozbudowa domu/ratusza nie dodaje ludzi natychmiast.</t>
  </si>
  <si>
    <t>U049</t>
  </si>
  <si>
    <t>Czas</t>
  </si>
  <si>
    <t>Jedzenie, szczęście, produkcja, podatki i transport używają rzeczywistych aktywnych godzin.</t>
  </si>
  <si>
    <t>U050</t>
  </si>
  <si>
    <t>Targ dostępny od poziomu gracza2.</t>
  </si>
  <si>
    <t>Przystań od4; odblokowanie następuje z poziomu ratusza.</t>
  </si>
  <si>
    <t>U051</t>
  </si>
  <si>
    <t>Wymiana dowolnej ilości, ale tylko w grupach:drewno/kamień/zboże lub deski/Food.</t>
  </si>
  <si>
    <t>Brak wymiany między grupami; brak kupowania za pieniądze.</t>
  </si>
  <si>
    <t>U052</t>
  </si>
  <si>
    <t>Nominalnie1:1;marża10%,np.10drewna→9kamienia.</t>
  </si>
  <si>
    <t>U053</t>
  </si>
  <si>
    <t>Pojemność1000na1,1500na2,2250na3…;każdy poziom×1.5.</t>
  </si>
  <si>
    <t>Jeden limit łączny własnego targu, nie1000każdego materiału.</t>
  </si>
  <si>
    <t>U054</t>
  </si>
  <si>
    <t>Targ;Magazyn</t>
  </si>
  <si>
    <t>Pracownicy targu donoszą towary jak magazynierzy bazowo60/os./h;każda partia od przybycia zablokowana1h.</t>
  </si>
  <si>
    <t>Nie wymieniamy towaru w trakcie blokady.</t>
  </si>
  <si>
    <t>U055</t>
  </si>
  <si>
    <t>Wynik wymiany pozostaje na targu, aż magazynierzy odbiorą go do centrali.</t>
  </si>
  <si>
    <t>Nie można wydać targowego towaru bez transportu centralnego.</t>
  </si>
  <si>
    <t>U056</t>
  </si>
  <si>
    <t>Na poziomie1 bez pasywnego plusa/minusa. Po rozbudowie doN:+10×Nszczęścia wszystkim i podatek×2przez10h.</t>
  </si>
  <si>
    <t>Premia za ukończenie rozbudowy; kolejna odświeża okres, bez nakładania mnożnika do×4.</t>
  </si>
  <si>
    <t>U057</t>
  </si>
  <si>
    <t>Błogosławieństwo</t>
  </si>
  <si>
    <t>Kaplica;Latarnia;Człowiek</t>
  </si>
  <si>
    <t>WCZEŚNIEJ UZGODNIONE / NOWE SZCZEGÓŁY ODŁOŻONE</t>
  </si>
  <si>
    <t>Ręczne użycie:+50każdego zasobu,+20szczęścia wszystkim na1h.</t>
  </si>
  <si>
    <t>Dotąd funkcja kaplicy i liczba darmowych użyć=poziom; nowa notatka przy latarni pozostaje do późniejszej decyzji.</t>
  </si>
  <si>
    <t>U058</t>
  </si>
  <si>
    <t>Kaplica;Latarnia</t>
  </si>
  <si>
    <t>Nowe odstępy+25%,zakup/challenge/share/reklama i natychmiastowe użycie.</t>
  </si>
  <si>
    <t>Konflikt z godzinnym efektem bez nakładania zostawiony na później zgodnie z instrukcją.</t>
  </si>
  <si>
    <t>U059</t>
  </si>
  <si>
    <t>Nowa notatka:60sreklamy skraca pozostały czas o połowę, maks.2na1hgry.</t>
  </si>
  <si>
    <t>Nie wybieramy resetu, czasu okna, początku cooldownu ani harmonogramu.</t>
  </si>
  <si>
    <t>U060</t>
  </si>
  <si>
    <t>Lojalność</t>
  </si>
  <si>
    <t>ZASADA UZGODNIONA / NAGRODA NIEUSTALONA</t>
  </si>
  <si>
    <t>Kolejny dzień logowania zwiększa lojalność do10dni; bonus lojalnościowy zostanie zdefiniowany później.</t>
  </si>
  <si>
    <t>Nie wymyślono nagród. Poprzedni model używał dni Warszawy; szczegóły konta są przyszłe.</t>
  </si>
  <si>
    <t>U061</t>
  </si>
  <si>
    <t>Koszt producenta</t>
  </si>
  <si>
    <t>Norma240×obecny poziom/dobę. Koszt30%drewna,30%kamienia,50%własnego produktu.</t>
  </si>
  <si>
    <t>72Ldrewna+72Lkamienia+120Lproduktu;nakładające się materiały sumujemy.</t>
  </si>
  <si>
    <t>U062</t>
  </si>
  <si>
    <t>Drwale192Ldrewna+72Lkamienia;kamieniołom72Ldrewna+192Lkamienia.</t>
  </si>
  <si>
    <t>To nie dodatkowe podwójne naliczenie; suma składnika bazowego i produktu.</t>
  </si>
  <si>
    <t>U063</t>
  </si>
  <si>
    <t>Koszty</t>
  </si>
  <si>
    <t>Ratusz;Dom;Targ;Magazyn;Przystań</t>
  </si>
  <si>
    <t>500każdego z6zasobów×obecny poziom.</t>
  </si>
  <si>
    <t>W tym monety;do przewozu5materiałów,czyli2500×Ljednostek.</t>
  </si>
  <si>
    <t>U064</t>
  </si>
  <si>
    <t>TYMCZASOWE</t>
  </si>
  <si>
    <t>N×(180monet+20drewna+60kamienia+10desek),Nnowy poziom.</t>
  </si>
  <si>
    <t>Cena nie była docelowo ustalona;do przewozu90×N.</t>
  </si>
  <si>
    <t>U065</t>
  </si>
  <si>
    <t>500każdego zasobu razem zmonetami/złotem;dla pierwszejbudowy500, dalej500×obecny poziom.</t>
  </si>
  <si>
    <t>Użytkownik zdecydował zachować koszt500pomimo długiego zbierania. Do transportu2500×max(1,L).</t>
  </si>
  <si>
    <t>U066</t>
  </si>
  <si>
    <t>Finansowanie</t>
  </si>
  <si>
    <t>Zwykłą budowę można zamówić tylko z pełnym kosztem w magazynie centralnym i skarbcu.</t>
  </si>
  <si>
    <t>Koszt rezerwowany także dla zwykłej kolejki;nie wolno wydać tych samych materiałów drugi raz.</t>
  </si>
  <si>
    <t>U067</t>
  </si>
  <si>
    <t>Transport budowy</t>
  </si>
  <si>
    <t>Materiały na budowę noszą magazynierzy. Bez obsady transport czeka.</t>
  </si>
  <si>
    <t>Monety pobierane ze skarbca, bez fizycznego przewozu.</t>
  </si>
  <si>
    <t>U068</t>
  </si>
  <si>
    <t>Czas budowy</t>
  </si>
  <si>
    <t>T=czas transportu. Estymaty zawierają wyłącznie transport+samo budowanie.</t>
  </si>
  <si>
    <t>Wyłączono zbieranie,karmienie,wymagane wcześniejsze rozbudowy i kolejkę na wyraźną instrukcję użytkownika.</t>
  </si>
  <si>
    <t>U069</t>
  </si>
  <si>
    <t>Ratusz;Dom</t>
  </si>
  <si>
    <t>Łącznie3T=transportT+budowanie2T.</t>
  </si>
  <si>
    <t>Zastępuje wcześniejsze2T.</t>
  </si>
  <si>
    <t>U070</t>
  </si>
  <si>
    <t>Łącznie2T=transportT+budowanieT.</t>
  </si>
  <si>
    <t>Faza budowania korzysta z rzeczywistego czasu wcześniejszego transportu.</t>
  </si>
  <si>
    <t>U071</t>
  </si>
  <si>
    <t>Łącznie4T=transportT+budowanie3T.</t>
  </si>
  <si>
    <t>U072</t>
  </si>
  <si>
    <t>Łącznie6T=transportT+budowanie5T.</t>
  </si>
  <si>
    <t>Zastępuje wcześniejsze3T.</t>
  </si>
  <si>
    <t>U073</t>
  </si>
  <si>
    <t>Budowa</t>
  </si>
  <si>
    <t>Nowy poziom oraz premie działają dopiero po ukończeniu, nie po zamówieniu.</t>
  </si>
  <si>
    <t>Dotychczasowy poziom pracuje podczas rozbudowy.</t>
  </si>
  <si>
    <t>U074</t>
  </si>
  <si>
    <t>Kolejka</t>
  </si>
  <si>
    <t>Ratusz;Wszystkie</t>
  </si>
  <si>
    <t>Poziom graczaL dajeLrównoległych budów iLopłaconych pozycji oczekujących.</t>
  </si>
  <si>
    <t>Przykładpoziom2:2budowy+2w kolejce;na każdą muszą być zasoby.</t>
  </si>
  <si>
    <t>U075</t>
  </si>
  <si>
    <t>Po ukończeniu rusza kolejna opłacona pozycja;nie budujemy dwóch poziomów tego samego budynku naraz.</t>
  </si>
  <si>
    <t>Kolejne poziomy zależą od wcześniejszych i limitu Ratusza.</t>
  </si>
  <si>
    <t>U076</t>
  </si>
  <si>
    <t>Pakiet płatny</t>
  </si>
  <si>
    <t>UZGODNIONY ZAKRES / OFERTA NIEUSTALONA</t>
  </si>
  <si>
    <t>W czasie pakietu+4równoległe budowy zawsze oraz dowolnie długa kolejka.</t>
  </si>
  <si>
    <t>Cena i długość pakietu jeszcze niezdefiniowane;arkusz nie uruchamia sprzedaży.</t>
  </si>
  <si>
    <t>U077</t>
  </si>
  <si>
    <t>UZGODNIONY ZAKRES</t>
  </si>
  <si>
    <t>Pakiet pozwala planować budowę na bazie estymaty dostaw, nie tylko obecnych zapasów.</t>
  </si>
  <si>
    <t>Plan nie tworzy surowców;rezerwacja/startgdy realnie pełny koszt trafi do centrali.</t>
  </si>
  <si>
    <t>U078</t>
  </si>
  <si>
    <t>POPRZEDNI MODEL / SZCZEGÓŁY OFERTY NIEUSTALONE</t>
  </si>
  <si>
    <t>Po wygaśnięciu rozpoczęte budowy kończą się;nowe starty wracają do limituL,nieopłacone plany czekają.</t>
  </si>
  <si>
    <t>Poprzedni model wygasał czasem zegarowym także offline;docelowe warunki realnej oferty do potwierdzenia.</t>
  </si>
  <si>
    <t>U079</t>
  </si>
  <si>
    <t>Latarnia;Człowiek</t>
  </si>
  <si>
    <t>Po ukończeniu+100szczęścia i produkcja5materiałów×2;OBA efekty24h×osiągnięty poziom.</t>
  </si>
  <si>
    <t>Przykładpoziom2:48hobu efektów. Podatki bez zmian,transportbezmnożnika.</t>
  </si>
  <si>
    <t>U080</t>
  </si>
  <si>
    <t>Kolejna rozbudowa odświeża czas, a nie mnożnik produkcji do×4.</t>
  </si>
  <si>
    <t>Premia zaczyna się po ukończeniu;nowe błogosławieństwaODŁOŻONE.</t>
  </si>
  <si>
    <t>U081</t>
  </si>
  <si>
    <t>Od ratusza4 kupno i sprzedaż wszystkich5materiałów za monety;tylko pełne100.</t>
  </si>
  <si>
    <t>Nie oznacza kupowania samych monet za monety.</t>
  </si>
  <si>
    <t>U082</t>
  </si>
  <si>
    <t>POTWIERDZONE</t>
  </si>
  <si>
    <t>Za100podstawowych:sprzedaż40/kupno50;za100przetworzonych:sprzedaż70/kupno80.</t>
  </si>
  <si>
    <t>Zapis dokładnie zgodny z najnowszym potwierdzeniem użytkownika.</t>
  </si>
  <si>
    <t>U083</t>
  </si>
  <si>
    <t>NOWE / SZCZEGÓŁY NIEUSTALONE</t>
  </si>
  <si>
    <t>Druga i każda kolejna zakupiona paczka100w ostatnich3h zwiększa cenę+10%.</t>
  </si>
  <si>
    <t>Liczy się ilość paczek,nie wartość ani liczba kliknięć;globalność,liniowy/składany i zaokrąglenie nieustalone.</t>
  </si>
  <si>
    <t>U084</t>
  </si>
  <si>
    <t>Załoga portu przynosi z centrali przezT, potem ładuje statek przez taki samT.</t>
  </si>
  <si>
    <t>Magazynierzy nie zaopatrują portu;droga zakupów,kolejność i bazowe tempo do ustalenia.</t>
  </si>
  <si>
    <t>U085</t>
  </si>
  <si>
    <t>Pojemność portu jak magazynu:1000każdego/4000łącznie na1,potem×1.5.</t>
  </si>
  <si>
    <t>Nie naliczono nieustalonej opłaty jako ceny budowy.</t>
  </si>
  <si>
    <t>U086</t>
  </si>
  <si>
    <t>Za towar dłużej niż24h w porcie10monet.</t>
  </si>
  <si>
    <t>Brakuje jednostkiopłaty,powtarzania,brakumonet,regułpartiiiczasuaktywnego/zegarowego.</t>
  </si>
  <si>
    <t>U087</t>
  </si>
  <si>
    <t>UWAGA O KONSEKWENCJI</t>
  </si>
  <si>
    <t>Przy2:1,200podstawowego można sprzedać za80;po przeróbce100produktu za70.</t>
  </si>
  <si>
    <t>Ceny potwierdzone i niezmienione;odnotowano konsekwencję dla opłacalności.</t>
  </si>
  <si>
    <t>U088</t>
  </si>
  <si>
    <t>Powiadomienia</t>
  </si>
  <si>
    <t>NOWE DOPRECYZOWANIE</t>
  </si>
  <si>
    <t>Zawsze powiadomienie o ukończeniu budowy.</t>
  </si>
  <si>
    <t>Dotychczas takżezlecenie,start i dostawa;nowealarmyopisanojakoprojekt,nie wdrożenie.</t>
  </si>
  <si>
    <t>U089</t>
  </si>
  <si>
    <t>Dom ma dodatkowo powiadamiać o przeludnieniu.</t>
  </si>
  <si>
    <t>Propozycja reagowania na zmianę stanu/liczbyosób,nie alarm co klatkę;częstotliwość przypomnień nieustalona.</t>
  </si>
  <si>
    <t>U090</t>
  </si>
  <si>
    <t>Rozbudowa a zasoby</t>
  </si>
  <si>
    <t>Ratusz;Magazyn</t>
  </si>
  <si>
    <t>Ratusz2→Magazyn2→Ratusz3→Magazyn3→Ratusz4 ze względu na miejsce na pełny koszt.</t>
  </si>
  <si>
    <t>5000materiałów kosztuRatusza3 nie mieści się wMagazynie1(4000);7500Ratusza4nie wMagazynie2(6000).</t>
  </si>
  <si>
    <t>U091</t>
  </si>
  <si>
    <t>Projekt</t>
  </si>
  <si>
    <t>Nowa deklaracja rozbudowy producenta:więcej możliwej produkcji przezwiększą obsadę.</t>
  </si>
  <si>
    <t>Limit12×ratusz zwiększaobsadęwraz z Ratuszem. Osobny bonus własnego poziomu producenta nie został określony.</t>
  </si>
  <si>
    <t>U092</t>
  </si>
  <si>
    <t>AKTUALNE POLECENIE</t>
  </si>
  <si>
    <t>Wyłącznie Excel i analiza logiczna; bez developmentu.</t>
  </si>
  <si>
    <t>Plik i instrukcja pobierania są dokumentacją; nie zmieniają kodu gry,zasad ani zapisów.</t>
  </si>
  <si>
    <t>92 pozycji w Ustalenia - uwagi. W Budynki kolumna Uwagi2 zawiera komentarze komórek z regułami danego assetu. To dokładnie wcześniejsze ustalenia, nowe doprecyzowania, zasady zastąpione i tematy odłożone.</t>
  </si>
  <si>
    <t>Otwórz wszystkie ustalenia</t>
  </si>
  <si>
    <r>
      <t xml:space="preserve">0…12×poziom ratusza na budynek; zatrudnić można najwyżej obecnych wolnych ludzi. </t>
    </r>
    <r>
      <rPr>
        <sz val="20"/>
        <color rgb="FFFF0000"/>
        <rFont val="Calibri"/>
        <family val="2"/>
        <scheme val="minor"/>
      </rPr>
      <t xml:space="preserve">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r>
  </si>
  <si>
    <r>
      <t xml:space="preserve">12 wolnych na starcie; przypisanie możliwe od razu. </t>
    </r>
    <r>
      <rPr>
        <sz val="20"/>
        <color rgb="FFFF0000"/>
        <rFont val="Calibri"/>
        <family val="2"/>
        <scheme val="minor"/>
      </rPr>
      <t>Na starcie ludzie są w "Domu"</t>
    </r>
  </si>
  <si>
    <t xml:space="preserve">−10 od razu; po24h−20;48h−30;72h−40;96h i dalej−50. nie schodzi poniżej -50 </t>
  </si>
  <si>
    <t xml:space="preserve">0%=0; ±25%=1/12h; ±50%=1/6h; ±75%=1/ok.1h43; ±100%=1/h. Do limitu Ratusza a nie domu </t>
  </si>
  <si>
    <t>Minimum6, maksimum24×ratusz. Ustalono tempo ubytku, nie fabularne rozróżnienie śmierci/odejścia. Tempo odejścia takie samo jak tempo przyrostu w sensie analogicznie ale na minus. Z Zastrzeżeniem że nie można mieć mniej niż 6 osób.</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</si>
  <si>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</si>
  <si>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Nowy portowy próg24h i okno zakupów3h wymagają wyboru czasu aktywnego lub zegarowego., zegarowy</t>
  </si>
  <si>
    <t>Uwagi 3</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</si>
  <si>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</si>
  <si>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Z poziomu domu widzę wszystkich ludzi gdzie są dopisani, mogę ich stąd wysyłać do kaplicy lub na latarnię</t>
  </si>
  <si>
    <t>Start0. Limit na budynek12×poziom ratusza, ale tylko faktycznie wolni ludzie ze wspólnej puli. Nie można przypisać jednej osoby dwa razy. Start wszystkie zasoby = 100</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</si>
  <si>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</si>
  <si>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300×L KAŻDEGO z6 zasobów</t>
  </si>
  <si>
    <t>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</si>
  <si>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400×L KAŻDEGO z6 zasobów</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</si>
  <si>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</si>
  <si>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Premium transport oneclick
Ceny grupa 2 140/150</t>
  </si>
  <si>
    <t xml:space="preserve">Tempo załogi jak w magazynie, premium jak w magazynie </t>
  </si>
  <si>
    <t>ŁĄCZNIE4T: transportT +(budowa3Tx aktualny level-1)</t>
  </si>
  <si>
    <t>ŁĄCZNIE6T: transportT +budowa4T.</t>
  </si>
  <si>
    <t xml:space="preserve">Poziom gracza=poziom Ratusza. 
W ustawieniach trzeba dodać ranking, ranking ustalany jako level x ilość złota </t>
  </si>
  <si>
    <t xml:space="preserve">Zwolniony zawsze wraca do domu przez5min; dopiero potem może być ponownie przydzielony, I tak samo 5 min idzie w nowe miejsce pracy </t>
  </si>
  <si>
    <t xml:space="preserve">Nie uzgodniono osobnego czasu dojścia do pracy. Powyżej </t>
  </si>
  <si>
    <t>Zboże wymaga przewozu centralnie przed zużyciem przez młyn.Zboże i drewno leci via magazyn</t>
  </si>
  <si>
    <t xml:space="preserve">Brak surowca lub miejsca zatrzymuje produkcję. I powoduje karę za brak pracy </t>
  </si>
  <si>
    <t xml:space="preserve">AKTUALNE / NOWE DLA PORTU dodaj do targu </t>
  </si>
  <si>
    <t>Transport bazowy pracownika na magazynie poziom1</t>
  </si>
  <si>
    <t xml:space="preserve">Dotychczasowa reguła; głód obniża o połowę. Podniesienie poziomu magazynu zwiększa jak ustalone w innym miejscu, takie same zasady dla targu I przystani </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</si>
  <si>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</si>
  <si>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Minimum6 osób; maksimum24×poziom ratusza. Narodziny/ubytek nie są liczone skokiem raz na godzinę. Dokładasz ludzi zawsze do domu </t>
  </si>
  <si>
    <t xml:space="preserve">100 szczęścia i produkcja materiałów×2. Obie premie24h×osiągnięty poziom; podatki/transport bez mnożnika. Tu ma być nie + 100 tylko 100 wszyscy są na maksa zadowoleni </t>
  </si>
  <si>
    <t xml:space="preserve">zdefiniowane w innym miejscu </t>
  </si>
  <si>
    <t>zakładamy nakarmionych tragarzy, ale zwiekszamy limit min pożywienia w magazynie na 50 x Level</t>
  </si>
  <si>
    <t xml:space="preserve">tak potwierdzam  wraz z rozbudową magazynu wzrasta ilość materiałów jakie tragarz może ze sobą zabrać, logika też jest osobno opisana przy magazynie </t>
  </si>
  <si>
    <t xml:space="preserve">nie nazywajmy ubytku śmiercią </t>
  </si>
  <si>
    <r>
      <rPr>
        <strike/>
        <sz val="20"/>
        <color theme="1"/>
        <rFont val="Calibri"/>
        <family val="2"/>
        <scheme val="minor"/>
      </rPr>
      <t>ŁĄCZNIE3T: transportT +budowa2T</t>
    </r>
    <r>
      <rPr>
        <sz val="20"/>
        <color theme="1"/>
        <rFont val="Calibri"/>
        <family val="2"/>
        <scheme val="minor"/>
      </rPr>
      <t xml:space="preserve">. </t>
    </r>
    <r>
      <rPr>
        <sz val="20"/>
        <color rgb="FFFF0000"/>
        <rFont val="Calibri"/>
        <family val="2"/>
        <scheme val="minor"/>
      </rPr>
      <t>Zmiana, czas 2 T</t>
    </r>
  </si>
  <si>
    <r>
      <rPr>
        <strike/>
        <sz val="20"/>
        <color theme="1"/>
        <rFont val="Calibri"/>
        <family val="2"/>
        <scheme val="minor"/>
      </rPr>
      <t>ŁĄCZNIE3T: transportT +budowa2T.</t>
    </r>
    <r>
      <rPr>
        <sz val="20"/>
        <color theme="1"/>
        <rFont val="Calibri"/>
        <family val="2"/>
        <scheme val="minor"/>
      </rPr>
      <t xml:space="preserve"> </t>
    </r>
    <r>
      <rPr>
        <sz val="20"/>
        <color rgb="FFFF0000"/>
        <rFont val="Calibri"/>
        <family val="2"/>
        <scheme val="minor"/>
      </rPr>
      <t>Zmiana, czas 2 T</t>
    </r>
  </si>
  <si>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</si>
  <si>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Premium, zbuduj 2 x szybciej, zbuduj natychmiast (oba jak masz zasoby) kup budynek jak nie masz surowców </t>
  </si>
  <si>
    <t>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</si>
  <si>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</si>
  <si>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Uwaga zaktaulizowane w innym miejscu </t>
  </si>
  <si>
    <t>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</si>
  <si>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tak chodzi o to że jak będę intensywnie coś kupował to cena tego będzie rosła, dostosuj liniowo </t>
  </si>
  <si>
    <t xml:space="preserve">to jest wyjaśnione w innym miejscu towar nie odebrany w 24 h przepada </t>
  </si>
  <si>
    <t xml:space="preserve">tak jak w magazynie z bonusami I zwiększeniem ewektywności zależności od levelu </t>
  </si>
  <si>
    <t>błogosławieństwo = kaplica, zwiedzanie = latarnia oba prowadzą do "bonusu/premii"</t>
  </si>
  <si>
    <t xml:space="preserve">nie rozumiem </t>
  </si>
  <si>
    <t xml:space="preserve">jest ok transport + budowa, uwaga zmieniłem w niektroych miejscach czasy budowy do ponownego przeliczenia </t>
  </si>
  <si>
    <t>zmienione w innym miejscu</t>
  </si>
  <si>
    <t xml:space="preserve">później, zrób dodatkową zakładkę premium gdzie zbierzemy taki rodzaj akcji </t>
  </si>
  <si>
    <t xml:space="preserve">ubytek odejście nie śmierć zdefiniowane w innym miejscu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</si>
</sst>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h&quot;"/>
  </numFmts>
  <fonts count="32" x14ac:knownFonts="1">
    <font>
      <sz val="11"/>
      <color theme="1"/>
      <name val="Calibri"/>
      <family val="2"/>
      <scheme val="minor"/>
    </font>
    <font>
      <b/>
      <sz val="18"/>
      <color rgb="FFF0CE80"/>
      <name val="Calibri"/>
      <family val="2"/>
      <scheme val="minor"/>
    </font>
    <font>
      <sz val="10"/>
      <color rgb="FF123140"/>
      <name val="Calibri"/>
      <family val="2"/>
      <scheme val="minor"/>
    </font>
    <font>
      <b/>
      <sz val="11"/>
      <color rgb="FFFFFFFF"/>
      <name val="Calibri"/>
      <family val="2"/>
      <scheme val="minor"/>
    </font>
    <font>
      <sz val="10"/>
      <color theme="1"/>
      <name val="Calibri"/>
      <family val="2"/>
      <scheme val="minor"/>
    </font>
    <font>
      <sz val="10"/>
      <color rgb="FF236744"/>
      <name val="Calibri"/>
      <family val="2"/>
      <scheme val="minor"/>
    </font>
    <font>
      <sz val="10"/>
      <color rgb="FF8E5700"/>
      <name val="Calibri"/>
      <family val="2"/>
      <scheme val="minor"/>
    </font>
    <font>
      <sz val="11"/>
      <color rgb="FF135CAA"/>
      <name val="Calibri"/>
      <family val="2"/>
      <scheme val="minor"/>
    </font>
    <font>
      <sz val="8"/>
      <color indexed="81"/>
      <name val="Tahoma"/>
      <family val="2"/>
    </font>
    <font>
      <sz val="9"/>
      <color indexed="81"/>
      <name val="Tahoma"/>
      <family val="2"/>
    </font>
    <font>
      <b/>
      <sz val="20"/>
      <color rgb="FFF0CE80"/>
      <name val="Calibri"/>
      <family val="2"/>
      <scheme val="minor"/>
    </font>
    <font>
      <sz val="20"/>
      <color theme="1"/>
      <name val="Calibri"/>
      <family val="2"/>
      <scheme val="minor"/>
    </font>
    <font>
      <sz val="20"/>
      <color rgb="FF123140"/>
      <name val="Calibri"/>
      <family val="2"/>
      <scheme val="minor"/>
    </font>
    <font>
      <b/>
      <sz val="20"/>
      <color rgb="FFFFFFFF"/>
      <name val="Calibri"/>
      <family val="2"/>
      <scheme val="minor"/>
    </font>
    <font>
      <sz val="20"/>
      <color rgb="FF236744"/>
      <name val="Calibri"/>
      <family val="2"/>
      <scheme val="minor"/>
    </font>
    <font>
      <sz val="20"/>
      <color rgb="FF8E5700"/>
      <name val="Calibri"/>
      <family val="2"/>
      <scheme val="minor"/>
    </font>
    <font>
      <sz val="18"/>
      <color indexed="81"/>
      <name val="Tahoma"/>
      <family val="2"/>
    </font>
    <font>
      <sz val="20"/>
      <color rgb="FFFF0000"/>
      <name val="Calibri"/>
      <family val="2"/>
      <scheme val="minor"/>
    </font>
    <font>
      <sz val="18"/>
      <color theme="1"/>
      <name val="Calibri"/>
      <family val="2"/>
      <scheme val="minor"/>
    </font>
    <font>
      <sz val="18"/>
      <color rgb="FF123140"/>
      <name val="Calibri"/>
      <family val="2"/>
      <scheme val="minor"/>
    </font>
    <font>
      <b/>
      <sz val="18"/>
      <color rgb="FFFFFFFF"/>
      <name val="Calibri"/>
      <family val="2"/>
      <scheme val="minor"/>
    </font>
    <font>
      <u/>
      <sz val="18"/>
      <color rgb="FF135CAA"/>
      <name val="Calibri"/>
      <family val="2"/>
      <scheme val="minor"/>
    </font>
    <font>
      <b/>
      <sz val="16"/>
      <color rgb="FFF0CE80"/>
      <name val="Calibri"/>
      <family val="2"/>
      <scheme val="minor"/>
    </font>
    <font>
      <sz val="16"/>
      <color theme="1"/>
      <name val="Calibri"/>
      <family val="2"/>
      <scheme val="minor"/>
    </font>
    <font>
      <sz val="16"/>
      <color rgb="FF123140"/>
      <name val="Calibri"/>
      <family val="2"/>
      <scheme val="minor"/>
    </font>
    <font>
      <b/>
      <sz val="16"/>
      <color rgb="FFFFFFFF"/>
      <name val="Calibri"/>
      <family val="2"/>
      <scheme val="minor"/>
    </font>
    <font>
      <strike/>
      <sz val="18"/>
      <color theme="1"/>
      <name val="Calibri"/>
      <family val="2"/>
      <scheme val="minor"/>
    </font>
    <font>
      <sz val="12"/>
      <color indexed="81"/>
      <name val="Tahoma"/>
      <family val="2"/>
    </font>
    <font>
      <sz val="16"/>
      <color indexed="81"/>
      <name val="Tahoma"/>
      <family val="2"/>
    </font>
    <font>
      <strike/>
      <sz val="20"/>
      <color theme="1"/>
      <name val="Calibri"/>
      <family val="2"/>
      <scheme val="minor"/>
    </font>
    <font>
      <sz val="18"/>
      <color rgb="FF8E5700"/>
      <name val="Calibri"/>
      <family val="2"/>
      <scheme val="minor"/>
    </font>
    <font>
      <sz val="18"/>
      <color rgb="FF236744"/>
      <name val="Calibri"/>
      <family val="2"/>
      <scheme val="minor"/>
    </font>
  </fonts>
  <fills count="8">
    <fill>
      <patternFill patternType="none"/>
    </fill>
    <fill>
      <patternFill patternType="gray125"/>
    </fill>
    <fill>
      <patternFill patternType="solid">
        <fgColor rgb="FF123140"/>
        <bgColor indexed="64"/>
      </patternFill>
    </fill>
    <fill>
      <patternFill patternType="solid">
        <fgColor rgb="FFF0F6F8"/>
        <bgColor indexed="64"/>
      </patternFill>
    </fill>
    <fill>
      <patternFill patternType="solid">
        <fgColor rgb="FF146D75"/>
        <bgColor indexed="64"/>
      </patternFill>
    </fill>
    <fill>
      <patternFill patternType="solid">
        <fgColor rgb="FFE4F2E9"/>
        <bgColor indexed="64"/>
      </patternFill>
    </fill>
    <fill>
      <patternFill patternType="solid">
        <fgColor rgb="FFFFF0CC"/>
        <bgColor indexed="64"/>
      </patternFill>
    </fill>
    <fill>
      <patternFill patternType="solid">
        <fgColor rgb="FFEAF2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CDAE0"/>
      </left>
      <right style="thin">
        <color rgb="FFCCDAE0"/>
      </right>
      <top style="thin">
        <color rgb="FFCCDAE0"/>
      </top>
      <bottom style="thin">
        <color rgb="FFCCDAE0"/>
      </bottom>
      <diagonal/>
    </border>
  </borders>
  <cellStyleXfs count="1">
    <xf numFmtId="0" fontId="0" fillId="0" borderId="0"/>
  </cellStyleXfs>
  <cellXfs count="40">
    <xf numFmtId="0" fontId="0" fillId="0" borderId="0" xfId="0"/>
    <xf numFmtId="0" fontId="3" fillId="4" borderId="1" xfId="0" applyFont="1" applyFill="1" applyBorder="1" applyAlignment="1">
      <alignment vertical="center" wrapText="1"/>
    </xf>
    <xf numFmtId="0" fontId="4" fillId="0" borderId="2" xfId="0" applyFont="1" applyBorder="1" applyAlignment="1">
      <alignment vertical="top" wrapText="1"/>
    </xf>
    <xf numFmtId="0" fontId="4" fillId="3" borderId="2" xfId="0" applyFont="1" applyFill="1" applyBorder="1" applyAlignment="1">
      <alignment vertical="top" wrapText="1"/>
    </xf>
    <xf numFmtId="0" fontId="5" fillId="5" borderId="2" xfId="0" applyFont="1" applyFill="1" applyBorder="1" applyAlignment="1">
      <alignment vertical="top" wrapText="1"/>
    </xf>
    <xf numFmtId="0" fontId="6" fillId="6" borderId="2" xfId="0" applyFont="1" applyFill="1" applyBorder="1" applyAlignment="1">
      <alignment vertical="top" wrapText="1"/>
    </xf>
    <xf numFmtId="2" fontId="0" fillId="0" borderId="2" xfId="0" applyNumberFormat="1" applyBorder="1" applyAlignment="1">
      <alignment vertical="top"/>
    </xf>
    <xf numFmtId="1" fontId="0" fillId="0" borderId="2" xfId="0" applyNumberFormat="1" applyBorder="1" applyAlignment="1">
      <alignment vertical="top"/>
    </xf>
    <xf numFmtId="164" fontId="0" fillId="0" borderId="2" xfId="0" applyNumberFormat="1" applyBorder="1" applyAlignment="1">
      <alignment vertical="top"/>
    </xf>
    <xf numFmtId="2" fontId="7" fillId="7" borderId="2" xfId="0" applyNumberFormat="1" applyFont="1" applyFill="1" applyBorder="1" applyAlignment="1">
      <alignment vertical="top"/>
    </xf>
    <xf numFmtId="0" fontId="7" fillId="7" borderId="2" xfId="0" applyFont="1" applyFill="1" applyBorder="1" applyAlignment="1">
      <alignment vertical="top" wrapText="1"/>
    </xf>
    <xf numFmtId="0" fontId="11" fillId="0" borderId="0" xfId="0" applyFont="1"/>
    <xf numFmtId="0" fontId="13" fillId="4" borderId="1" xfId="0" applyFont="1" applyFill="1" applyBorder="1" applyAlignment="1">
      <alignment vertical="center" wrapText="1"/>
    </xf>
    <xf numFmtId="0" fontId="11" fillId="0" borderId="2" xfId="0" applyFont="1" applyBorder="1" applyAlignment="1">
      <alignment vertical="top" wrapText="1"/>
    </xf>
    <xf numFmtId="0" fontId="14" fillId="5" borderId="2" xfId="0" applyFont="1" applyFill="1" applyBorder="1" applyAlignment="1">
      <alignment vertical="top" wrapText="1"/>
    </xf>
    <xf numFmtId="0" fontId="15" fillId="6" borderId="2" xfId="0" applyFont="1" applyFill="1" applyBorder="1" applyAlignment="1">
      <alignment vertical="top" wrapText="1"/>
    </xf>
    <xf numFmtId="0" fontId="11" fillId="3" borderId="2" xfId="0" applyFont="1" applyFill="1" applyBorder="1" applyAlignment="1">
      <alignment vertical="top" wrapText="1"/>
    </xf>
    <xf numFmtId="0" fontId="10" fillId="2" borderId="0" xfId="0" applyFont="1" applyFill="1" applyAlignment="1">
      <alignment vertical="center"/>
    </xf>
    <xf numFmtId="0" fontId="12" fillId="3" borderId="0" xfId="0" applyFont="1" applyFill="1" applyAlignment="1">
      <alignment vertical="top" wrapText="1"/>
    </xf>
    <xf numFmtId="0" fontId="1" fillId="2" borderId="0" xfId="0" applyFont="1" applyFill="1" applyAlignment="1">
      <alignment vertical="center"/>
    </xf>
    <xf numFmtId="0" fontId="2" fillId="3" borderId="0" xfId="0" applyFont="1" applyFill="1" applyAlignment="1">
      <alignment vertical="top" wrapText="1"/>
    </xf>
    <xf numFmtId="0" fontId="3" fillId="4" borderId="1" xfId="0" applyFont="1" applyFill="1" applyBorder="1" applyAlignment="1">
      <alignment vertical="center" wrapText="1"/>
    </xf>
    <xf numFmtId="0" fontId="4" fillId="0" borderId="2" xfId="0" applyFont="1" applyBorder="1" applyAlignment="1">
      <alignment vertical="top" wrapText="1"/>
    </xf>
    <xf numFmtId="0" fontId="6" fillId="6" borderId="2" xfId="0" applyFont="1" applyFill="1" applyBorder="1" applyAlignment="1">
      <alignment vertical="top" wrapText="1"/>
    </xf>
    <xf numFmtId="0" fontId="18" fillId="0" borderId="0" xfId="0" applyFont="1"/>
    <xf numFmtId="0" fontId="19" fillId="3" borderId="0" xfId="0" applyFont="1" applyFill="1" applyAlignment="1">
      <alignment vertical="top" wrapText="1"/>
    </xf>
    <xf numFmtId="0" fontId="20" fillId="4" borderId="1" xfId="0" applyFont="1" applyFill="1" applyBorder="1" applyAlignment="1">
      <alignment vertical="center" wrapText="1"/>
    </xf>
    <xf numFmtId="0" fontId="21" fillId="0" borderId="0" xfId="0" applyFont="1" applyAlignment="1">
      <alignment vertical="top" wrapText="1"/>
    </xf>
    <xf numFmtId="0" fontId="18" fillId="0" borderId="2" xfId="0" applyFont="1" applyBorder="1" applyAlignment="1">
      <alignment vertical="top" wrapText="1"/>
    </xf>
    <xf numFmtId="0" fontId="18" fillId="3" borderId="2" xfId="0" applyFont="1" applyFill="1" applyBorder="1" applyAlignment="1">
      <alignment vertical="top" wrapText="1"/>
    </xf>
    <xf numFmtId="0" fontId="22" fillId="2" borderId="0" xfId="0" applyFont="1" applyFill="1" applyAlignment="1">
      <alignment vertical="center"/>
    </xf>
    <xf numFmtId="0" fontId="23" fillId="0" borderId="0" xfId="0" applyFont="1"/>
    <xf numFmtId="0" fontId="24" fillId="3" borderId="0" xfId="0" applyFont="1" applyFill="1" applyAlignment="1">
      <alignment vertical="top" wrapText="1"/>
    </xf>
    <xf numFmtId="0" fontId="25" fillId="4" borderId="1" xfId="0" applyFont="1" applyFill="1" applyBorder="1" applyAlignment="1">
      <alignment vertical="center" wrapText="1"/>
    </xf>
    <xf numFmtId="0" fontId="23" fillId="0" borderId="2" xfId="0" applyFont="1" applyBorder="1" applyAlignment="1">
      <alignment vertical="top" wrapText="1"/>
    </xf>
    <xf numFmtId="0" fontId="23" fillId="3" borderId="2" xfId="0" applyFont="1" applyFill="1" applyBorder="1" applyAlignment="1">
      <alignment vertical="top" wrapText="1"/>
    </xf>
    <xf numFmtId="0" fontId="26" fillId="3" borderId="2" xfId="0" applyFont="1" applyFill="1" applyBorder="1" applyAlignment="1">
      <alignment vertical="top" wrapText="1"/>
    </xf>
    <xf numFmtId="0" fontId="26" fillId="0" borderId="2" xfId="0" applyFont="1" applyBorder="1" applyAlignment="1">
      <alignment vertical="top" wrapText="1"/>
    </xf>
    <xf numFmtId="0" fontId="30" fillId="6" borderId="2" xfId="0" applyFont="1" applyFill="1" applyBorder="1" applyAlignment="1">
      <alignment vertical="top" wrapText="1"/>
    </xf>
    <xf numFmtId="0" fontId="31" fillId="5"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defRPr/>
            </a:pPr>
            <a:r>
              <a:rPr lang="en-US"/>
              <a:t>Cena zakupu kolejnych paczek100 — dwa warianty +10%</a:t>
            </a:r>
          </a:p>
        </c:rich>
      </c:tx>
      <c:overlay val="0"/>
    </c:title>
    <c:autoTitleDeleted val="0"/>
    <c:plotArea>
      <c:layout/>
      <c:lineChart>
        <c:grouping val="standard"/>
        <c:varyColors val="0"/>
        <c:ser>
          <c:idx val="0"/>
          <c:order val="0"/>
          <c:tx>
            <c:strRef>
              <c:f>Przystan!$B$5</c:f>
              <c:strCache>
                <c:ptCount val="1"/>
                <c:pt idx="0">
                  <c:v>Surowce zakup: liniowo</c:v>
                </c:pt>
              </c:strCache>
            </c:strRef>
          </c:tx>
          <c:marker>
            <c:symbol val="none"/>
          </c:marker>
          <c:cat>
            <c:numRef>
              <c:f>Przystan!$A$6:$A$15</c:f>
              <c:numCache>
                <c:formatCode>0.00</c:formatCode>
                <c:ptCount val="10"/>
                <c:pt idx="0">
                  <c:v>1</c:v>
                </c:pt>
                <c:pt idx="1">
                  <c:v>2</c:v>
                </c:pt>
                <c:pt idx="2">
                  <c:v>3</c:v>
                </c:pt>
                <c:pt idx="3">
                  <c:v>4</c:v>
                </c:pt>
                <c:pt idx="4">
                  <c:v>5</c:v>
                </c:pt>
                <c:pt idx="5">
                  <c:v>6</c:v>
                </c:pt>
                <c:pt idx="6">
                  <c:v>7</c:v>
                </c:pt>
                <c:pt idx="7">
                  <c:v>8</c:v>
                </c:pt>
                <c:pt idx="8">
                  <c:v>9</c:v>
                </c:pt>
                <c:pt idx="9">
                  <c:v>10</c:v>
                </c:pt>
              </c:numCache>
            </c:numRef>
          </c:cat>
          <c:val>
            <c:numRef>
              <c:f>Przystan!$B$6:$B$15</c:f>
              <c:numCache>
                <c:formatCode>0.00</c:formatCode>
                <c:ptCount val="10"/>
                <c:pt idx="0">
                  <c:v>50</c:v>
                </c:pt>
                <c:pt idx="1">
                  <c:v>55.000000000000007</c:v>
                </c:pt>
                <c:pt idx="2">
                  <c:v>60</c:v>
                </c:pt>
                <c:pt idx="3">
                  <c:v>65</c:v>
                </c:pt>
                <c:pt idx="4">
                  <c:v>70</c:v>
                </c:pt>
                <c:pt idx="5">
                  <c:v>75</c:v>
                </c:pt>
                <c:pt idx="6">
                  <c:v>80</c:v>
                </c:pt>
                <c:pt idx="7">
                  <c:v>85.000000000000014</c:v>
                </c:pt>
                <c:pt idx="8">
                  <c:v>90</c:v>
                </c:pt>
                <c:pt idx="9">
                  <c:v>95</c:v>
                </c:pt>
              </c:numCache>
            </c:numRef>
          </c:val>
          <c:smooth val="0"/>
          <c:extLst>
            <c:ext xmlns:c16="http://schemas.microsoft.com/office/drawing/2014/chart" uri="{C3380CC4-5D6E-409C-BE32-E72D297353CC}">
              <c16:uniqueId val="{00000000-9526-45BA-8E4A-358E1D0AB19E}"/>
            </c:ext>
          </c:extLst>
        </c:ser>
        <c:ser>
          <c:idx val="1"/>
          <c:order val="1"/>
          <c:tx>
            <c:strRef>
              <c:f>Przystan!$C$5</c:f>
              <c:strCache>
                <c:ptCount val="1"/>
                <c:pt idx="0">
                  <c:v>Produkty zakup: liniowo</c:v>
                </c:pt>
              </c:strCache>
            </c:strRef>
          </c:tx>
          <c:marker>
            <c:symbol val="none"/>
          </c:marker>
          <c:cat>
            <c:numRef>
              <c:f>Przystan!$A$6:$A$15</c:f>
              <c:numCache>
                <c:formatCode>0.00</c:formatCode>
                <c:ptCount val="10"/>
                <c:pt idx="0">
                  <c:v>1</c:v>
                </c:pt>
                <c:pt idx="1">
                  <c:v>2</c:v>
                </c:pt>
                <c:pt idx="2">
                  <c:v>3</c:v>
                </c:pt>
                <c:pt idx="3">
                  <c:v>4</c:v>
                </c:pt>
                <c:pt idx="4">
                  <c:v>5</c:v>
                </c:pt>
                <c:pt idx="5">
                  <c:v>6</c:v>
                </c:pt>
                <c:pt idx="6">
                  <c:v>7</c:v>
                </c:pt>
                <c:pt idx="7">
                  <c:v>8</c:v>
                </c:pt>
                <c:pt idx="8">
                  <c:v>9</c:v>
                </c:pt>
                <c:pt idx="9">
                  <c:v>10</c:v>
                </c:pt>
              </c:numCache>
            </c:numRef>
          </c:cat>
          <c:val>
            <c:numRef>
              <c:f>Przystan!$C$6:$C$15</c:f>
              <c:numCache>
                <c:formatCode>0.00</c:formatCode>
                <c:ptCount val="10"/>
                <c:pt idx="0">
                  <c:v>80</c:v>
                </c:pt>
                <c:pt idx="1">
                  <c:v>88</c:v>
                </c:pt>
                <c:pt idx="2">
                  <c:v>96</c:v>
                </c:pt>
                <c:pt idx="3">
                  <c:v>104</c:v>
                </c:pt>
                <c:pt idx="4">
                  <c:v>112</c:v>
                </c:pt>
                <c:pt idx="5">
                  <c:v>120</c:v>
                </c:pt>
                <c:pt idx="6">
                  <c:v>128</c:v>
                </c:pt>
                <c:pt idx="7">
                  <c:v>136</c:v>
                </c:pt>
                <c:pt idx="8">
                  <c:v>144</c:v>
                </c:pt>
                <c:pt idx="9">
                  <c:v>152</c:v>
                </c:pt>
              </c:numCache>
            </c:numRef>
          </c:val>
          <c:smooth val="0"/>
          <c:extLst>
            <c:ext xmlns:c16="http://schemas.microsoft.com/office/drawing/2014/chart" uri="{C3380CC4-5D6E-409C-BE32-E72D297353CC}">
              <c16:uniqueId val="{00000001-9526-45BA-8E4A-358E1D0AB19E}"/>
            </c:ext>
          </c:extLst>
        </c:ser>
        <c:ser>
          <c:idx val="2"/>
          <c:order val="2"/>
          <c:tx>
            <c:strRef>
              <c:f>Przystan!$D$5</c:f>
              <c:strCache>
                <c:ptCount val="1"/>
                <c:pt idx="0">
                  <c:v>Surowce zakup: składanie</c:v>
                </c:pt>
              </c:strCache>
            </c:strRef>
          </c:tx>
          <c:marker>
            <c:symbol val="none"/>
          </c:marker>
          <c:cat>
            <c:numRef>
              <c:f>Przystan!$A$6:$A$15</c:f>
              <c:numCache>
                <c:formatCode>0.00</c:formatCode>
                <c:ptCount val="10"/>
                <c:pt idx="0">
                  <c:v>1</c:v>
                </c:pt>
                <c:pt idx="1">
                  <c:v>2</c:v>
                </c:pt>
                <c:pt idx="2">
                  <c:v>3</c:v>
                </c:pt>
                <c:pt idx="3">
                  <c:v>4</c:v>
                </c:pt>
                <c:pt idx="4">
                  <c:v>5</c:v>
                </c:pt>
                <c:pt idx="5">
                  <c:v>6</c:v>
                </c:pt>
                <c:pt idx="6">
                  <c:v>7</c:v>
                </c:pt>
                <c:pt idx="7">
                  <c:v>8</c:v>
                </c:pt>
                <c:pt idx="8">
                  <c:v>9</c:v>
                </c:pt>
                <c:pt idx="9">
                  <c:v>10</c:v>
                </c:pt>
              </c:numCache>
            </c:numRef>
          </c:cat>
          <c:val>
            <c:numRef>
              <c:f>Przystan!$D$6:$D$15</c:f>
              <c:numCache>
                <c:formatCode>0.00</c:formatCode>
                <c:ptCount val="10"/>
                <c:pt idx="0">
                  <c:v>50</c:v>
                </c:pt>
                <c:pt idx="1">
                  <c:v>55.000000000000007</c:v>
                </c:pt>
                <c:pt idx="2">
                  <c:v>60.500000000000007</c:v>
                </c:pt>
                <c:pt idx="3">
                  <c:v>66.550000000000026</c:v>
                </c:pt>
                <c:pt idx="4">
                  <c:v>73.205000000000027</c:v>
                </c:pt>
                <c:pt idx="5">
                  <c:v>80.525500000000022</c:v>
                </c:pt>
                <c:pt idx="6">
                  <c:v>88.578050000000047</c:v>
                </c:pt>
                <c:pt idx="7">
                  <c:v>97.43585500000006</c:v>
                </c:pt>
                <c:pt idx="8">
                  <c:v>107.17944050000006</c:v>
                </c:pt>
                <c:pt idx="9">
                  <c:v>117.89738455000007</c:v>
                </c:pt>
              </c:numCache>
            </c:numRef>
          </c:val>
          <c:smooth val="0"/>
          <c:extLst>
            <c:ext xmlns:c16="http://schemas.microsoft.com/office/drawing/2014/chart" uri="{C3380CC4-5D6E-409C-BE32-E72D297353CC}">
              <c16:uniqueId val="{00000002-9526-45BA-8E4A-358E1D0AB19E}"/>
            </c:ext>
          </c:extLst>
        </c:ser>
        <c:ser>
          <c:idx val="3"/>
          <c:order val="3"/>
          <c:tx>
            <c:strRef>
              <c:f>Przystan!$E$5</c:f>
              <c:strCache>
                <c:ptCount val="1"/>
                <c:pt idx="0">
                  <c:v>Produkty zakup: składanie</c:v>
                </c:pt>
              </c:strCache>
            </c:strRef>
          </c:tx>
          <c:marker>
            <c:symbol val="none"/>
          </c:marker>
          <c:cat>
            <c:numRef>
              <c:f>Przystan!$A$6:$A$15</c:f>
              <c:numCache>
                <c:formatCode>0.00</c:formatCode>
                <c:ptCount val="10"/>
                <c:pt idx="0">
                  <c:v>1</c:v>
                </c:pt>
                <c:pt idx="1">
                  <c:v>2</c:v>
                </c:pt>
                <c:pt idx="2">
                  <c:v>3</c:v>
                </c:pt>
                <c:pt idx="3">
                  <c:v>4</c:v>
                </c:pt>
                <c:pt idx="4">
                  <c:v>5</c:v>
                </c:pt>
                <c:pt idx="5">
                  <c:v>6</c:v>
                </c:pt>
                <c:pt idx="6">
                  <c:v>7</c:v>
                </c:pt>
                <c:pt idx="7">
                  <c:v>8</c:v>
                </c:pt>
                <c:pt idx="8">
                  <c:v>9</c:v>
                </c:pt>
                <c:pt idx="9">
                  <c:v>10</c:v>
                </c:pt>
              </c:numCache>
            </c:numRef>
          </c:cat>
          <c:val>
            <c:numRef>
              <c:f>Przystan!$E$6:$E$15</c:f>
              <c:numCache>
                <c:formatCode>0.00</c:formatCode>
                <c:ptCount val="10"/>
                <c:pt idx="0">
                  <c:v>80</c:v>
                </c:pt>
                <c:pt idx="1">
                  <c:v>88</c:v>
                </c:pt>
                <c:pt idx="2">
                  <c:v>96.800000000000011</c:v>
                </c:pt>
                <c:pt idx="3">
                  <c:v>106.48000000000003</c:v>
                </c:pt>
                <c:pt idx="4">
                  <c:v>117.12800000000003</c:v>
                </c:pt>
                <c:pt idx="5">
                  <c:v>128.84080000000006</c:v>
                </c:pt>
                <c:pt idx="6">
                  <c:v>141.72488000000007</c:v>
                </c:pt>
                <c:pt idx="7">
                  <c:v>155.89736800000009</c:v>
                </c:pt>
                <c:pt idx="8">
                  <c:v>171.48710480000008</c:v>
                </c:pt>
                <c:pt idx="9">
                  <c:v>188.63581528000012</c:v>
                </c:pt>
              </c:numCache>
            </c:numRef>
          </c:val>
          <c:smooth val="0"/>
          <c:extLst>
            <c:ext xmlns:c16="http://schemas.microsoft.com/office/drawing/2014/chart" uri="{C3380CC4-5D6E-409C-BE32-E72D297353CC}">
              <c16:uniqueId val="{00000003-9526-45BA-8E4A-358E1D0AB19E}"/>
            </c:ext>
          </c:extLst>
        </c:ser>
        <c:dLbls>
          <c:showLegendKey val="0"/>
          <c:showVal val="0"/>
          <c:showCatName val="0"/>
          <c:showSerName val="0"/>
          <c:showPercent val="0"/>
          <c:showBubbleSize val="0"/>
        </c:dLbls>
        <c:smooth val="0"/>
        <c:axId val="50010001"/>
        <c:axId val="50010002"/>
      </c:lineChart>
      <c:catAx>
        <c:axId val="50010001"/>
        <c:scaling>
          <c:orientation val="minMax"/>
        </c:scaling>
        <c:delete val="0"/>
        <c:axPos val="b"/>
        <c:title>
          <c:tx>
            <c:rich>
              <a:bodyPr/>
              <a:lstStyle/>
              <a:p>
                <a:pPr>
                  <a:defRPr/>
                </a:pPr>
                <a:r>
                  <a:rPr lang="en-US"/>
                  <a:t>Numer paczki w oknie3h</a:t>
                </a:r>
              </a:p>
            </c:rich>
          </c:tx>
          <c:overlay val="0"/>
        </c:title>
        <c:numFmt formatCode="0.00"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rot="-5400000" vert="horz"/>
              <a:lstStyle/>
              <a:p>
                <a:pPr>
                  <a:defRPr/>
                </a:pPr>
                <a:r>
                  <a:rPr lang="en-US"/>
                  <a:t>Monety /100 szt.</a:t>
                </a:r>
              </a:p>
            </c:rich>
          </c:tx>
          <c:overlay val="0"/>
        </c:title>
        <c:numFmt formatCode="0.00"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0</xdr:rowOff>
    </xdr:from>
    <xdr:to>
      <xdr:col>3</xdr:col>
      <xdr:colOff>1581150</xdr:colOff>
      <xdr:row>44</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6D75"/>
    <pageSetUpPr fitToPage="1"/>
  </sheetPr>
  <dimension ref="A1:E18"/>
  <sheetViews>
    <sheetView showGridLines="0" zoomScale="90" zoomScaleNormal="90" workbookViewId="0">
      <pane xSplit="1" ySplit="5" topLeftCell="B17" activePane="bottomRight" state="frozen"/>
      <selection pane="topRight"/>
      <selection pane="bottomLeft"/>
      <selection pane="bottomRight" activeCell="B18" sqref="B18:C18"/>
    </sheetView>
  </sheetViews>
  <sheetFormatPr defaultRowHeight="23.4" x14ac:dyDescent="0.45"/>
  <cols>
    <col min="1" max="1" width="34.6640625" style="24" customWidth="1"/>
    <col min="2" max="2" width="125.6640625" style="24" customWidth="1"/>
    <col min="3" max="3" width="100.6640625" style="24" customWidth="1"/>
    <col min="4" max="16384" width="8.88671875" style="24"/>
  </cols>
  <sheetData>
    <row r="1" spans="1:5" ht="33.9" customHeight="1" x14ac:dyDescent="0.45">
      <c r="A1" s="19" t="s">
        <v>658</v>
      </c>
      <c r="B1" s="19"/>
      <c r="C1" s="19"/>
    </row>
    <row r="2" spans="1:5" ht="24.9" customHeight="1" x14ac:dyDescent="0.45">
      <c r="A2" s="25" t="s">
        <v>659</v>
      </c>
      <c r="B2" s="25"/>
      <c r="C2" s="25"/>
    </row>
    <row r="3" spans="1:5" ht="24.9" customHeight="1" x14ac:dyDescent="0.45">
      <c r="A3" s="25"/>
      <c r="B3" s="25"/>
      <c r="C3" s="25"/>
    </row>
    <row r="5" spans="1:5" ht="48" customHeight="1" x14ac:dyDescent="0.45">
      <c r="A5" s="26" t="s">
        <v>660</v>
      </c>
      <c r="B5" s="26" t="s">
        <v>661</v>
      </c>
      <c r="C5" s="26" t="s">
        <v>662</v>
      </c>
    </row>
    <row r="6" spans="1:5" ht="90" customHeight="1" x14ac:dyDescent="0.45">
      <c r="A6" s="27" t="s">
        <v>697</v>
      </c>
      <c r="B6" s="28" t="s">
        <v>663</v>
      </c>
      <c r="C6" s="28" t="s">
        <v>664</v>
      </c>
    </row>
    <row r="7" spans="1:5" ht="90" customHeight="1" x14ac:dyDescent="0.45">
      <c r="A7" s="29" t="s">
        <v>665</v>
      </c>
      <c r="B7" s="29" t="s">
        <v>666</v>
      </c>
      <c r="C7" s="29" t="s">
        <v>667</v>
      </c>
    </row>
    <row r="8" spans="1:5" ht="90" customHeight="1" x14ac:dyDescent="0.45">
      <c r="A8" s="28" t="s">
        <v>668</v>
      </c>
      <c r="B8" s="28" t="s">
        <v>669</v>
      </c>
      <c r="C8" s="28" t="s">
        <v>670</v>
      </c>
    </row>
    <row r="9" spans="1:5" ht="90" customHeight="1" x14ac:dyDescent="0.45">
      <c r="A9" s="29" t="s">
        <v>671</v>
      </c>
      <c r="B9" s="29" t="s">
        <v>672</v>
      </c>
      <c r="C9" s="36" t="s">
        <v>673</v>
      </c>
      <c r="E9" s="24" t="s">
        <v>1083</v>
      </c>
    </row>
    <row r="10" spans="1:5" ht="90" customHeight="1" x14ac:dyDescent="0.45">
      <c r="A10" s="28" t="s">
        <v>674</v>
      </c>
      <c r="B10" s="28" t="s">
        <v>675</v>
      </c>
      <c r="C10" s="28" t="s">
        <v>676</v>
      </c>
    </row>
    <row r="11" spans="1:5" ht="90" customHeight="1" x14ac:dyDescent="0.45">
      <c r="A11" s="29" t="s">
        <v>677</v>
      </c>
      <c r="B11" s="29" t="s">
        <v>678</v>
      </c>
      <c r="C11" s="29" t="s">
        <v>679</v>
      </c>
    </row>
    <row r="12" spans="1:5" ht="90" customHeight="1" x14ac:dyDescent="0.45">
      <c r="A12" s="28" t="s">
        <v>680</v>
      </c>
      <c r="B12" s="28" t="s">
        <v>681</v>
      </c>
      <c r="C12" s="37" t="s">
        <v>682</v>
      </c>
      <c r="E12" s="24" t="s">
        <v>1084</v>
      </c>
    </row>
    <row r="13" spans="1:5" ht="90" customHeight="1" x14ac:dyDescent="0.45">
      <c r="A13" s="29" t="s">
        <v>683</v>
      </c>
      <c r="B13" s="29" t="s">
        <v>684</v>
      </c>
      <c r="C13" s="29" t="s">
        <v>685</v>
      </c>
      <c r="E13" s="24" t="s">
        <v>1085</v>
      </c>
    </row>
    <row r="14" spans="1:5" ht="90" customHeight="1" x14ac:dyDescent="0.45">
      <c r="A14" s="28" t="s">
        <v>686</v>
      </c>
      <c r="B14" s="28" t="s">
        <v>687</v>
      </c>
      <c r="C14" s="28" t="s">
        <v>688</v>
      </c>
    </row>
    <row r="15" spans="1:5" ht="90" customHeight="1" x14ac:dyDescent="0.45">
      <c r="A15" s="29" t="s">
        <v>689</v>
      </c>
      <c r="B15" s="29" t="s">
        <v>690</v>
      </c>
      <c r="C15" s="29" t="s">
        <v>691</v>
      </c>
    </row>
    <row r="16" spans="1:5" ht="90" customHeight="1" x14ac:dyDescent="0.45">
      <c r="A16" s="27" t="s">
        <v>698</v>
      </c>
      <c r="B16" s="28" t="s">
        <v>692</v>
      </c>
      <c r="C16" s="28" t="s">
        <v>693</v>
      </c>
      <c r="E16" s="24" t="s">
        <v>1086</v>
      </c>
    </row>
    <row r="17" spans="1:3" ht="90" customHeight="1" x14ac:dyDescent="0.45">
      <c r="A17" s="29" t="s">
        <v>694</v>
      </c>
      <c r="B17" s="29" t="s">
        <v>695</v>
      </c>
      <c r="C17" s="29" t="s">
        <v>696</v>
      </c>
    </row>
    <row r="18" spans="1:3" ht="72" customHeight="1" x14ac:dyDescent="0.45">
      <c r="A18" s="27" t="s">
        <v>1051</v>
      </c>
      <c r="B18" s="25" t="s">
        <v>1050</v>
      </c>
      <c r="C18" s="25"/>
    </row>
  </sheetData>
  <autoFilter ref="A5:C17" xr:uid="{00000000-0009-0000-0000-000000000000}"/>
  <mergeCells count="3">
    <mergeCell ref="A1:C1"/>
    <mergeCell ref="A2:C3"/>
    <mergeCell ref="B18:C18"/>
  </mergeCells>
  <hyperlinks>
    <hyperlink ref="A6" location="'Budynki'!A1" display="Otwórz tabelę budynków" xr:uid="{00000000-0004-0000-0000-000000000000}"/>
    <hyperlink ref="A16" location="'Czlowiek'!A1" display="Otwórz asset Człowiek" xr:uid="{00000000-0004-0000-0000-000001000000}"/>
    <hyperlink ref="A18" location="'Ustalenia - uwagi'!A1" display="Otwórz wszystkie ustalenia" xr:uid="{00000000-0004-0000-0000-000002000000}"/>
  </hyperlinks>
  <pageMargins left="0.3" right="0.3" top="0.4" bottom="0.4" header="0.3" footer="0.3"/>
  <pageSetup paperSize="8" fitToHeight="0" orientation="landscape"/>
  <headerFooter>
    <oddFooter>&amp;LHARBORLIGHT — projekt zasad, bez wdrożenia&amp;R&amp;P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6D75"/>
    <pageSetUpPr fitToPage="1"/>
  </sheetPr>
  <dimension ref="A1:O18"/>
  <sheetViews>
    <sheetView showGridLines="0" tabSelected="1" zoomScale="65" zoomScaleNormal="65" workbookViewId="0">
      <pane xSplit="1" ySplit="5" topLeftCell="D18" activePane="bottomRight" state="frozen"/>
      <selection pane="topRight" activeCell="B1" sqref="B1"/>
      <selection pane="bottomLeft" activeCell="A6" sqref="A6"/>
      <selection pane="bottomRight" activeCell="J20" sqref="J20"/>
    </sheetView>
  </sheetViews>
  <sheetFormatPr defaultColWidth="9.109375" defaultRowHeight="25.8" x14ac:dyDescent="0.5"/>
  <cols>
    <col min="1" max="1" width="21.88671875" style="11" customWidth="1"/>
    <col min="2" max="15" width="28.77734375" style="11" customWidth="1"/>
    <col min="16" max="16384" width="9.109375" style="11"/>
  </cols>
  <sheetData>
    <row r="1" spans="1:15" ht="33.9" customHeight="1" x14ac:dyDescent="0.5">
      <c r="A1" s="17" t="s">
        <v>515</v>
      </c>
      <c r="B1" s="17"/>
      <c r="C1" s="17"/>
      <c r="D1" s="17"/>
      <c r="E1" s="17"/>
      <c r="F1" s="17"/>
      <c r="G1" s="17"/>
      <c r="H1" s="17"/>
      <c r="I1" s="17"/>
      <c r="J1" s="17"/>
      <c r="K1" s="17"/>
      <c r="L1" s="17"/>
      <c r="M1" s="17"/>
      <c r="N1" s="17"/>
      <c r="O1" s="17"/>
    </row>
    <row r="2" spans="1:15" ht="24.9" customHeight="1" x14ac:dyDescent="0.5">
      <c r="A2" s="18" t="s">
        <v>516</v>
      </c>
      <c r="B2" s="18"/>
      <c r="C2" s="18"/>
      <c r="D2" s="18"/>
      <c r="E2" s="18"/>
      <c r="F2" s="18"/>
      <c r="G2" s="18"/>
      <c r="H2" s="18"/>
      <c r="I2" s="18"/>
      <c r="J2" s="18"/>
      <c r="K2" s="18"/>
      <c r="L2" s="18"/>
      <c r="M2" s="18"/>
      <c r="N2" s="18"/>
      <c r="O2" s="18"/>
    </row>
    <row r="3" spans="1:15" ht="24.9" customHeight="1" x14ac:dyDescent="0.5">
      <c r="A3" s="18"/>
      <c r="B3" s="18"/>
      <c r="C3" s="18"/>
      <c r="D3" s="18"/>
      <c r="E3" s="18"/>
      <c r="F3" s="18"/>
      <c r="G3" s="18"/>
      <c r="H3" s="18"/>
      <c r="I3" s="18"/>
      <c r="J3" s="18"/>
      <c r="K3" s="18"/>
      <c r="L3" s="18"/>
      <c r="M3" s="18"/>
      <c r="N3" s="18"/>
      <c r="O3" s="18"/>
    </row>
    <row r="5" spans="1:15" ht="48" customHeight="1" x14ac:dyDescent="0.5">
      <c r="A5" s="12" t="s">
        <v>517</v>
      </c>
      <c r="B5" s="12" t="s">
        <v>518</v>
      </c>
      <c r="C5" s="12" t="s">
        <v>519</v>
      </c>
      <c r="D5" s="12" t="s">
        <v>520</v>
      </c>
      <c r="E5" s="12" t="s">
        <v>521</v>
      </c>
      <c r="F5" s="12" t="s">
        <v>522</v>
      </c>
      <c r="G5" s="12" t="s">
        <v>523</v>
      </c>
      <c r="H5" s="12" t="s">
        <v>524</v>
      </c>
      <c r="I5" s="12" t="s">
        <v>525</v>
      </c>
      <c r="J5" s="12" t="s">
        <v>526</v>
      </c>
      <c r="K5" s="12" t="s">
        <v>1059</v>
      </c>
      <c r="L5" s="12"/>
      <c r="M5" s="12" t="s">
        <v>527</v>
      </c>
      <c r="N5" s="12" t="s">
        <v>528</v>
      </c>
      <c r="O5" s="12" t="s">
        <v>529</v>
      </c>
    </row>
    <row r="6" spans="1:15" ht="215.1" customHeight="1" x14ac:dyDescent="0.5">
      <c r="A6" s="13" t="s">
        <v>204</v>
      </c>
      <c r="B6" s="13" t="s">
        <v>530</v>
      </c>
      <c r="C6" s="13" t="s">
        <v>531</v>
      </c>
      <c r="D6" s="13" t="s">
        <v>532</v>
      </c>
      <c r="E6" s="13" t="s">
        <v>533</v>
      </c>
      <c r="F6" s="13" t="s">
        <v>1087</v>
      </c>
      <c r="G6" s="14" t="s">
        <v>534</v>
      </c>
      <c r="H6" s="13" t="s">
        <v>535</v>
      </c>
      <c r="I6" s="13" t="s">
        <v>536</v>
      </c>
      <c r="J6" s="13" t="s">
        <v>1090</v>
      </c>
      <c r="K6" s="13" t="s">
        <v>1060</v>
      </c>
      <c r="L6" s="13"/>
      <c r="M6" s="15" t="str">
        <f>TEXT('Czas budowy'!S6,"0.00")&amp;" h łącznie; T="&amp;TEXT('Czas budowy'!P6,"0.00")&amp;" h, budowa="&amp;TEXT('Czas budowy'!R6,"0.00")&amp;" h. Założenia: Czas budowy / D02."</f>
        <v>20.85 h łącznie; T=6.95 h, budowa=13.90 h. Założenia: Czas budowy / D02.</v>
      </c>
      <c r="N6" s="15" t="str">
        <f>TEXT('Czas budowy'!S7,"0.00")&amp;" h łącznie; T="&amp;TEXT('Czas budowy'!P7,"0.00")&amp;" h, budowa="&amp;TEXT('Czas budowy'!R7,"0.00")&amp;" h. Założenia: Czas budowy / D02."</f>
        <v>37.91 h łącznie; T=12.64 h, budowa=25.27 h. Założenia: Czas budowy / D02.</v>
      </c>
      <c r="O6" s="15" t="str">
        <f>TEXT('Czas budowy'!S8,"0.00")&amp;" h łącznie; T="&amp;TEXT('Czas budowy'!P8,"0.00")&amp;" h, budowa="&amp;TEXT('Czas budowy'!R8,"0.00")&amp;" h. Założenia: Czas budowy / D02."</f>
        <v>51.65 h łącznie; T=17.22 h, budowa=34.44 h. Założenia: Czas budowy / D02.</v>
      </c>
    </row>
    <row r="7" spans="1:15" ht="215.1" customHeight="1" x14ac:dyDescent="0.5">
      <c r="A7" s="16" t="s">
        <v>210</v>
      </c>
      <c r="B7" s="16" t="s">
        <v>537</v>
      </c>
      <c r="C7" s="16" t="s">
        <v>538</v>
      </c>
      <c r="D7" s="16" t="s">
        <v>539</v>
      </c>
      <c r="E7" s="16" t="s">
        <v>533</v>
      </c>
      <c r="F7" s="13" t="s">
        <v>1088</v>
      </c>
      <c r="G7" s="14" t="s">
        <v>534</v>
      </c>
      <c r="H7" s="16" t="s">
        <v>540</v>
      </c>
      <c r="I7" s="16" t="s">
        <v>541</v>
      </c>
      <c r="J7" s="13" t="s">
        <v>1090</v>
      </c>
      <c r="K7" s="16" t="s">
        <v>1061</v>
      </c>
      <c r="L7" s="16"/>
      <c r="M7" s="15" t="str">
        <f>TEXT('Czas budowy'!S9,"0.00")&amp;" h łącznie; T="&amp;TEXT('Czas budowy'!P9,"0.00")&amp;" h, budowa="&amp;TEXT('Czas budowy'!R9,"0.00")&amp;" h. Założenia: Czas budowy / D02."</f>
        <v>20.85 h łącznie; T=6.95 h, budowa=13.90 h. Założenia: Czas budowy / D02.</v>
      </c>
      <c r="N7" s="15" t="str">
        <f>TEXT('Czas budowy'!S10,"0.00")&amp;" h łącznie; T="&amp;TEXT('Czas budowy'!P10,"0.00")&amp;" h, budowa="&amp;TEXT('Czas budowy'!R10,"0.00")&amp;" h. Założenia: Czas budowy / D02."</f>
        <v>37.91 h łącznie; T=12.64 h, budowa=25.27 h. Założenia: Czas budowy / D02.</v>
      </c>
      <c r="O7" s="15" t="str">
        <f>TEXT('Czas budowy'!S11,"0.00")&amp;" h łącznie; T="&amp;TEXT('Czas budowy'!P11,"0.00")&amp;" h, budowa="&amp;TEXT('Czas budowy'!R11,"0.00")&amp;" h. Założenia: Czas budowy / D02."</f>
        <v>51.65 h łącznie; T=17.22 h, budowa=34.44 h. Założenia: Czas budowy / D02.</v>
      </c>
    </row>
    <row r="8" spans="1:15" ht="215.1" customHeight="1" x14ac:dyDescent="0.5">
      <c r="A8" s="13" t="s">
        <v>211</v>
      </c>
      <c r="B8" s="13" t="s">
        <v>542</v>
      </c>
      <c r="C8" s="13" t="s">
        <v>1062</v>
      </c>
      <c r="D8" s="13" t="s">
        <v>1063</v>
      </c>
      <c r="E8" s="13" t="s">
        <v>545</v>
      </c>
      <c r="F8" s="13" t="s">
        <v>546</v>
      </c>
      <c r="G8" s="15" t="s">
        <v>547</v>
      </c>
      <c r="H8" s="13" t="s">
        <v>548</v>
      </c>
      <c r="I8" s="13" t="s">
        <v>549</v>
      </c>
      <c r="J8" s="13" t="s">
        <v>1090</v>
      </c>
      <c r="K8" s="13" t="s">
        <v>1089</v>
      </c>
      <c r="L8" s="13"/>
      <c r="M8" s="15" t="str">
        <f>TEXT('Czas budowy'!S12,"0.00")&amp;" h łącznie; T="&amp;TEXT('Czas budowy'!P12,"0.00")&amp;" h, budowa="&amp;TEXT('Czas budowy'!R12,"0.00")&amp;" h. Założenia: Czas budowy / D02."</f>
        <v>1.47 h łącznie; T=0.73 h, budowa=0.73 h. Założenia: Czas budowy / D02.</v>
      </c>
      <c r="N8" s="15" t="str">
        <f>TEXT('Czas budowy'!S13,"0.00")&amp;" h łącznie; T="&amp;TEXT('Czas budowy'!P13,"0.00")&amp;" h, budowa="&amp;TEXT('Czas budowy'!R13,"0.00")&amp;" h. Założenia: Czas budowy / D02."</f>
        <v>2.67 h łącznie; T=1.33 h, budowa=1.33 h. Założenia: Czas budowy / D02.</v>
      </c>
      <c r="O8" s="15" t="str">
        <f>TEXT('Czas budowy'!S14,"0.00")&amp;" h łącznie; T="&amp;TEXT('Czas budowy'!P14,"0.00")&amp;" h, budowa="&amp;TEXT('Czas budowy'!R14,"0.00")&amp;" h. Założenia: Czas budowy / D02."</f>
        <v>3.64 h łącznie; T=1.82 h, budowa=1.82 h. Założenia: Czas budowy / D02.</v>
      </c>
    </row>
    <row r="9" spans="1:15" ht="215.1" customHeight="1" x14ac:dyDescent="0.5">
      <c r="A9" s="16" t="s">
        <v>212</v>
      </c>
      <c r="B9" s="16" t="s">
        <v>550</v>
      </c>
      <c r="C9" s="16" t="s">
        <v>543</v>
      </c>
      <c r="D9" s="16" t="s">
        <v>544</v>
      </c>
      <c r="E9" s="16" t="s">
        <v>551</v>
      </c>
      <c r="F9" s="16" t="s">
        <v>546</v>
      </c>
      <c r="G9" s="15" t="s">
        <v>547</v>
      </c>
      <c r="H9" s="16" t="s">
        <v>548</v>
      </c>
      <c r="I9" s="16" t="s">
        <v>549</v>
      </c>
      <c r="J9" s="13" t="s">
        <v>1090</v>
      </c>
      <c r="K9" s="16"/>
      <c r="L9" s="16"/>
      <c r="M9" s="15" t="str">
        <f>TEXT('Czas budowy'!S15,"0.00")&amp;" h łącznie; T="&amp;TEXT('Czas budowy'!P15,"0.00")&amp;" h, budowa="&amp;TEXT('Czas budowy'!R15,"0.00")&amp;" h. Założenia: Czas budowy / D02."</f>
        <v>1.47 h łącznie; T=0.73 h, budowa=0.73 h. Założenia: Czas budowy / D02.</v>
      </c>
      <c r="N9" s="15" t="str">
        <f>TEXT('Czas budowy'!S16,"0.00")&amp;" h łącznie; T="&amp;TEXT('Czas budowy'!P16,"0.00")&amp;" h, budowa="&amp;TEXT('Czas budowy'!R16,"0.00")&amp;" h. Założenia: Czas budowy / D02."</f>
        <v>2.67 h łącznie; T=1.33 h, budowa=1.33 h. Założenia: Czas budowy / D02.</v>
      </c>
      <c r="O9" s="15" t="str">
        <f>TEXT('Czas budowy'!S17,"0.00")&amp;" h łącznie; T="&amp;TEXT('Czas budowy'!P17,"0.00")&amp;" h, budowa="&amp;TEXT('Czas budowy'!R17,"0.00")&amp;" h. Założenia: Czas budowy / D02."</f>
        <v>3.64 h łącznie; T=1.82 h, budowa=1.82 h. Założenia: Czas budowy / D02.</v>
      </c>
    </row>
    <row r="10" spans="1:15" ht="215.1" customHeight="1" x14ac:dyDescent="0.5">
      <c r="A10" s="13" t="s">
        <v>213</v>
      </c>
      <c r="B10" s="13" t="s">
        <v>552</v>
      </c>
      <c r="C10" s="13" t="s">
        <v>543</v>
      </c>
      <c r="D10" s="13" t="s">
        <v>544</v>
      </c>
      <c r="E10" s="13" t="s">
        <v>553</v>
      </c>
      <c r="F10" s="13" t="s">
        <v>546</v>
      </c>
      <c r="G10" s="15" t="s">
        <v>547</v>
      </c>
      <c r="H10" s="13" t="s">
        <v>548</v>
      </c>
      <c r="I10" s="13" t="s">
        <v>549</v>
      </c>
      <c r="J10" s="13" t="s">
        <v>1090</v>
      </c>
      <c r="K10" s="13"/>
      <c r="L10" s="13"/>
      <c r="M10" s="15" t="str">
        <f>TEXT('Czas budowy'!S18,"0.00")&amp;" h łącznie; T="&amp;TEXT('Czas budowy'!P18,"0.00")&amp;" h, budowa="&amp;TEXT('Czas budowy'!R18,"0.00")&amp;" h. Założenia: Czas budowy / D02."</f>
        <v>1.47 h łącznie; T=0.73 h, budowa=0.73 h. Założenia: Czas budowy / D02.</v>
      </c>
      <c r="N10" s="15" t="str">
        <f>TEXT('Czas budowy'!S19,"0.00")&amp;" h łącznie; T="&amp;TEXT('Czas budowy'!P19,"0.00")&amp;" h, budowa="&amp;TEXT('Czas budowy'!R19,"0.00")&amp;" h. Założenia: Czas budowy / D02."</f>
        <v>2.67 h łącznie; T=1.33 h, budowa=1.33 h. Założenia: Czas budowy / D02.</v>
      </c>
      <c r="O10" s="15" t="str">
        <f>TEXT('Czas budowy'!S20,"0.00")&amp;" h łącznie; T="&amp;TEXT('Czas budowy'!P20,"0.00")&amp;" h, budowa="&amp;TEXT('Czas budowy'!R20,"0.00")&amp;" h. Założenia: Czas budowy / D02."</f>
        <v>3.64 h łącznie; T=1.82 h, budowa=1.82 h. Założenia: Czas budowy / D02.</v>
      </c>
    </row>
    <row r="11" spans="1:15" ht="215.1" customHeight="1" x14ac:dyDescent="0.5">
      <c r="A11" s="16" t="s">
        <v>214</v>
      </c>
      <c r="B11" s="16" t="s">
        <v>554</v>
      </c>
      <c r="C11" s="16" t="s">
        <v>543</v>
      </c>
      <c r="D11" s="16" t="s">
        <v>544</v>
      </c>
      <c r="E11" s="16" t="s">
        <v>555</v>
      </c>
      <c r="F11" s="16" t="s">
        <v>546</v>
      </c>
      <c r="G11" s="15" t="s">
        <v>547</v>
      </c>
      <c r="H11" s="16" t="s">
        <v>548</v>
      </c>
      <c r="I11" s="16" t="s">
        <v>549</v>
      </c>
      <c r="J11" s="13" t="s">
        <v>1090</v>
      </c>
      <c r="K11" s="16"/>
      <c r="L11" s="16"/>
      <c r="M11" s="15" t="str">
        <f>TEXT('Czas budowy'!S21,"0.00")&amp;" h łącznie; T="&amp;TEXT('Czas budowy'!P21,"0.00")&amp;" h, budowa="&amp;TEXT('Czas budowy'!R21,"0.00")&amp;" h. Założenia: Czas budowy / D02."</f>
        <v>1.47 h łącznie; T=0.73 h, budowa=0.73 h. Założenia: Czas budowy / D02.</v>
      </c>
      <c r="N11" s="15" t="str">
        <f>TEXT('Czas budowy'!S22,"0.00")&amp;" h łącznie; T="&amp;TEXT('Czas budowy'!P22,"0.00")&amp;" h, budowa="&amp;TEXT('Czas budowy'!R22,"0.00")&amp;" h. Założenia: Czas budowy / D02."</f>
        <v>2.67 h łącznie; T=1.33 h, budowa=1.33 h. Założenia: Czas budowy / D02.</v>
      </c>
      <c r="O11" s="15" t="str">
        <f>TEXT('Czas budowy'!S23,"0.00")&amp;" h łącznie; T="&amp;TEXT('Czas budowy'!P23,"0.00")&amp;" h, budowa="&amp;TEXT('Czas budowy'!R23,"0.00")&amp;" h. Założenia: Czas budowy / D02."</f>
        <v>3.64 h łącznie; T=1.82 h, budowa=1.82 h. Założenia: Czas budowy / D02.</v>
      </c>
    </row>
    <row r="12" spans="1:15" ht="215.1" customHeight="1" x14ac:dyDescent="0.5">
      <c r="A12" s="13" t="s">
        <v>215</v>
      </c>
      <c r="B12" s="13" t="s">
        <v>556</v>
      </c>
      <c r="C12" s="13" t="s">
        <v>543</v>
      </c>
      <c r="D12" s="13" t="s">
        <v>544</v>
      </c>
      <c r="E12" s="13" t="s">
        <v>557</v>
      </c>
      <c r="F12" s="13" t="s">
        <v>546</v>
      </c>
      <c r="G12" s="15" t="s">
        <v>547</v>
      </c>
      <c r="H12" s="13" t="s">
        <v>548</v>
      </c>
      <c r="I12" s="13" t="s">
        <v>549</v>
      </c>
      <c r="J12" s="13" t="s">
        <v>1090</v>
      </c>
      <c r="K12" s="13"/>
      <c r="L12" s="13"/>
      <c r="M12" s="15" t="str">
        <f>TEXT('Czas budowy'!S24,"0.00")&amp;" h łącznie; T="&amp;TEXT('Czas budowy'!P24,"0.00")&amp;" h, budowa="&amp;TEXT('Czas budowy'!R24,"0.00")&amp;" h. Założenia: Czas budowy / D02."</f>
        <v>1.47 h łącznie; T=0.73 h, budowa=0.73 h. Założenia: Czas budowy / D02.</v>
      </c>
      <c r="N12" s="15" t="str">
        <f>TEXT('Czas budowy'!S25,"0.00")&amp;" h łącznie; T="&amp;TEXT('Czas budowy'!P25,"0.00")&amp;" h, budowa="&amp;TEXT('Czas budowy'!R25,"0.00")&amp;" h. Założenia: Czas budowy / D02."</f>
        <v>2.67 h łącznie; T=1.33 h, budowa=1.33 h. Założenia: Czas budowy / D02.</v>
      </c>
      <c r="O12" s="15" t="str">
        <f>TEXT('Czas budowy'!S26,"0.00")&amp;" h łącznie; T="&amp;TEXT('Czas budowy'!P26,"0.00")&amp;" h, budowa="&amp;TEXT('Czas budowy'!R26,"0.00")&amp;" h. Założenia: Czas budowy / D02."</f>
        <v>3.64 h łącznie; T=1.82 h, budowa=1.82 h. Założenia: Czas budowy / D02.</v>
      </c>
    </row>
    <row r="13" spans="1:15" ht="234.9" customHeight="1" x14ac:dyDescent="0.5">
      <c r="A13" s="16" t="s">
        <v>216</v>
      </c>
      <c r="B13" s="16" t="s">
        <v>558</v>
      </c>
      <c r="C13" s="16" t="s">
        <v>543</v>
      </c>
      <c r="D13" s="16" t="s">
        <v>559</v>
      </c>
      <c r="E13" s="16" t="s">
        <v>1064</v>
      </c>
      <c r="F13" s="16" t="s">
        <v>546</v>
      </c>
      <c r="G13" s="15" t="s">
        <v>560</v>
      </c>
      <c r="H13" s="16" t="s">
        <v>548</v>
      </c>
      <c r="I13" s="16" t="s">
        <v>561</v>
      </c>
      <c r="J13" s="13" t="s">
        <v>1090</v>
      </c>
      <c r="K13" s="16" t="s">
        <v>1065</v>
      </c>
      <c r="L13" s="16"/>
      <c r="M13" s="15" t="str">
        <f>TEXT('Czas budowy'!S27,"0.00")&amp;" h łącznie; T="&amp;TEXT('Czas budowy'!P27,"0.00")&amp;" h, budowa="&amp;TEXT('Czas budowy'!R27,"0.00")&amp;" h. Założenia: Czas budowy / D02."</f>
        <v>13.90 h łącznie; T=6.95 h, budowa=6.95 h. Założenia: Czas budowy / D02.</v>
      </c>
      <c r="N13" s="15" t="str">
        <f>TEXT('Czas budowy'!S28,"0.00")&amp;" h łącznie; T="&amp;TEXT('Czas budowy'!P28,"0.00")&amp;" h, budowa="&amp;TEXT('Czas budowy'!R28,"0.00")&amp;" h. Założenia: Czas budowy / D02."</f>
        <v>25.27 h łącznie; T=12.64 h, budowa=12.64 h. Założenia: Czas budowy / D02.</v>
      </c>
      <c r="O13" s="15" t="str">
        <f>TEXT('Czas budowy'!S29,"0.00")&amp;" h łącznie; T="&amp;TEXT('Czas budowy'!P29,"0.00")&amp;" h, budowa="&amp;TEXT('Czas budowy'!R29,"0.00")&amp;" h. Założenia: Czas budowy / D02."</f>
        <v>34.44 h łącznie; T=17.22 h, budowa=17.22 h. Założenia: Czas budowy / D02.</v>
      </c>
    </row>
    <row r="14" spans="1:15" ht="215.1" customHeight="1" x14ac:dyDescent="0.5">
      <c r="A14" s="13" t="s">
        <v>217</v>
      </c>
      <c r="B14" s="13" t="s">
        <v>562</v>
      </c>
      <c r="C14" s="13" t="s">
        <v>563</v>
      </c>
      <c r="D14" s="13" t="s">
        <v>1067</v>
      </c>
      <c r="E14" s="13" t="s">
        <v>1064</v>
      </c>
      <c r="F14" s="13" t="s">
        <v>546</v>
      </c>
      <c r="G14" s="14" t="s">
        <v>534</v>
      </c>
      <c r="H14" s="13" t="s">
        <v>548</v>
      </c>
      <c r="I14" s="13" t="s">
        <v>564</v>
      </c>
      <c r="J14" s="13" t="s">
        <v>1090</v>
      </c>
      <c r="K14" s="13" t="s">
        <v>1068</v>
      </c>
      <c r="L14" s="13"/>
      <c r="M14" s="15" t="str">
        <f>TEXT('Czas budowy'!S30,"0.00")&amp;" h łącznie; T="&amp;TEXT('Czas budowy'!P30,"0.00")&amp;" h, budowa="&amp;TEXT('Czas budowy'!R30,"0.00")&amp;" h. Założenia: Czas budowy / D02."</f>
        <v>13.90 h łącznie; T=6.95 h, budowa=6.95 h. Założenia: Czas budowy / D02.</v>
      </c>
      <c r="N14" s="15" t="str">
        <f>TEXT('Czas budowy'!S31,"0.00")&amp;" h łącznie; T="&amp;TEXT('Czas budowy'!P31,"0.00")&amp;" h, budowa="&amp;TEXT('Czas budowy'!R31,"0.00")&amp;" h. Założenia: Czas budowy / D02."</f>
        <v>25.27 h łącznie; T=12.64 h, budowa=12.64 h. Założenia: Czas budowy / D02.</v>
      </c>
      <c r="O14" s="15" t="str">
        <f>TEXT('Czas budowy'!S32,"0.00")&amp;" h łącznie; T="&amp;TEXT('Czas budowy'!P32,"0.00")&amp;" h, budowa="&amp;TEXT('Czas budowy'!R32,"0.00")&amp;" h. Założenia: Czas budowy / D02."</f>
        <v>34.44 h łącznie; T=17.22 h, budowa=17.22 h. Założenia: Czas budowy / D02.</v>
      </c>
    </row>
    <row r="15" spans="1:15" ht="234.9" customHeight="1" x14ac:dyDescent="0.5">
      <c r="A15" s="16" t="s">
        <v>218</v>
      </c>
      <c r="B15" s="16" t="s">
        <v>565</v>
      </c>
      <c r="C15" s="16" t="s">
        <v>566</v>
      </c>
      <c r="D15" s="16" t="s">
        <v>567</v>
      </c>
      <c r="E15" s="16" t="s">
        <v>1066</v>
      </c>
      <c r="F15" s="16" t="s">
        <v>546</v>
      </c>
      <c r="G15" s="15" t="s">
        <v>568</v>
      </c>
      <c r="H15" s="16" t="s">
        <v>548</v>
      </c>
      <c r="I15" s="16" t="s">
        <v>569</v>
      </c>
      <c r="J15" s="13" t="s">
        <v>1090</v>
      </c>
      <c r="K15" s="16" t="s">
        <v>1069</v>
      </c>
      <c r="L15" s="16"/>
      <c r="M15" s="15" t="str">
        <f>TEXT('Czas budowy'!S33,"0.00")&amp;" h łącznie; T="&amp;TEXT('Czas budowy'!P33,"0.00")&amp;" h, budowa="&amp;TEXT('Czas budowy'!R33,"0.00")&amp;" h. Założenia: Czas budowy / D02."</f>
        <v>13.90 h łącznie; T=6.95 h, budowa=6.95 h. Założenia: Czas budowy / D02.</v>
      </c>
      <c r="N15" s="15" t="str">
        <f>TEXT('Czas budowy'!S34,"0.00")&amp;" h łącznie; T="&amp;TEXT('Czas budowy'!P34,"0.00")&amp;" h, budowa="&amp;TEXT('Czas budowy'!R34,"0.00")&amp;" h. Założenia: Czas budowy / D02."</f>
        <v>25.27 h łącznie; T=12.64 h, budowa=12.64 h. Założenia: Czas budowy / D02.</v>
      </c>
      <c r="O15" s="15" t="str">
        <f>TEXT('Czas budowy'!S35,"0.00")&amp;" h łącznie; T="&amp;TEXT('Czas budowy'!P35,"0.00")&amp;" h, budowa="&amp;TEXT('Czas budowy'!R35,"0.00")&amp;" h. Założenia: Czas budowy / D02."</f>
        <v>34.44 h łącznie; T=17.22 h, budowa=17.22 h. Założenia: Czas budowy / D02.</v>
      </c>
    </row>
    <row r="16" spans="1:15" ht="215.1" customHeight="1" x14ac:dyDescent="0.5">
      <c r="A16" s="13" t="s">
        <v>219</v>
      </c>
      <c r="B16" s="13" t="s">
        <v>570</v>
      </c>
      <c r="C16" s="13" t="s">
        <v>531</v>
      </c>
      <c r="D16" s="13" t="s">
        <v>571</v>
      </c>
      <c r="E16" s="13" t="s">
        <v>572</v>
      </c>
      <c r="F16" s="13" t="s">
        <v>1070</v>
      </c>
      <c r="G16" s="15" t="s">
        <v>573</v>
      </c>
      <c r="H16" s="13" t="s">
        <v>574</v>
      </c>
      <c r="I16" s="13" t="s">
        <v>575</v>
      </c>
      <c r="J16" s="13" t="s">
        <v>1091</v>
      </c>
      <c r="K16" s="13"/>
      <c r="L16" s="13"/>
      <c r="M16" s="15" t="str">
        <f>TEXT('Czas budowy'!S36,"0.00")&amp;" h łącznie; T="&amp;TEXT('Czas budowy'!P36,"0.00")&amp;" h, budowa="&amp;TEXT('Czas budowy'!R36,"0.00")&amp;" h. Założenia: Czas budowy / D02."</f>
        <v>2.00 h łącznie; T=0.50 h, budowa=1.50 h. Założenia: Czas budowy / D02.</v>
      </c>
      <c r="N16" s="15" t="str">
        <f>TEXT('Czas budowy'!S37,"0.00")&amp;" h łącznie; T="&amp;TEXT('Czas budowy'!P37,"0.00")&amp;" h, budowa="&amp;TEXT('Czas budowy'!R37,"0.00")&amp;" h. Założenia: Czas budowy / D02."</f>
        <v>2.73 h łącznie; T=0.68 h, budowa=2.05 h. Założenia: Czas budowy / D02.</v>
      </c>
      <c r="O16" s="15" t="str">
        <f>TEXT('Czas budowy'!S38,"0.00")&amp;" h łącznie; T="&amp;TEXT('Czas budowy'!P38,"0.00")&amp;" h, budowa="&amp;TEXT('Czas budowy'!R38,"0.00")&amp;" h. Założenia: Czas budowy / D02."</f>
        <v>3.31 h łącznie; T=0.83 h, budowa=2.48 h. Założenia: Czas budowy / D02.</v>
      </c>
    </row>
    <row r="17" spans="1:15" ht="215.1" customHeight="1" x14ac:dyDescent="0.5">
      <c r="A17" s="16" t="s">
        <v>220</v>
      </c>
      <c r="B17" s="16" t="s">
        <v>577</v>
      </c>
      <c r="C17" s="16" t="s">
        <v>531</v>
      </c>
      <c r="D17" s="16" t="s">
        <v>578</v>
      </c>
      <c r="E17" s="16" t="s">
        <v>579</v>
      </c>
      <c r="F17" s="16" t="s">
        <v>1071</v>
      </c>
      <c r="G17" s="15" t="s">
        <v>580</v>
      </c>
      <c r="H17" s="16" t="s">
        <v>581</v>
      </c>
      <c r="I17" s="16" t="s">
        <v>582</v>
      </c>
      <c r="J17" s="13" t="s">
        <v>1091</v>
      </c>
      <c r="K17" s="16" t="s">
        <v>576</v>
      </c>
      <c r="L17" s="16"/>
      <c r="M17" s="15" t="str">
        <f>TEXT('Czas budowy'!S39,"0.00")&amp;" h łącznie; T="&amp;TEXT('Czas budowy'!P39,"0.00")&amp;" h, budowa="&amp;TEXT('Czas budowy'!R39,"0.00")&amp;" h. Założenia: Czas budowy / D02."</f>
        <v>41.70 h łącznie; T=6.95 h, budowa=34.75 h. Założenia: Czas budowy / D02.</v>
      </c>
      <c r="N17" s="15" t="str">
        <f>TEXT('Czas budowy'!S40,"0.00")&amp;" h łącznie; T="&amp;TEXT('Czas budowy'!P40,"0.00")&amp;" h, budowa="&amp;TEXT('Czas budowy'!R40,"0.00")&amp;" h. Założenia: Czas budowy / D02."</f>
        <v>75.82 h łącznie; T=12.64 h, budowa=63.18 h. Założenia: Czas budowy / D02.</v>
      </c>
      <c r="O17" s="15" t="str">
        <f>TEXT('Czas budowy'!S41,"0.00")&amp;" h łącznie; T="&amp;TEXT('Czas budowy'!P41,"0.00")&amp;" h, budowa="&amp;TEXT('Czas budowy'!R41,"0.00")&amp;" h. Założenia: Czas budowy / D02."</f>
        <v>103.31 h łącznie; T=17.22 h, budowa=86.09 h. Założenia: Czas budowy / D02.</v>
      </c>
    </row>
    <row r="18" spans="1:15" ht="260.10000000000002" customHeight="1" x14ac:dyDescent="0.5">
      <c r="A18" s="13" t="s">
        <v>583</v>
      </c>
      <c r="B18" s="13" t="s">
        <v>584</v>
      </c>
      <c r="C18" s="13" t="s">
        <v>585</v>
      </c>
      <c r="D18" s="13" t="s">
        <v>586</v>
      </c>
      <c r="E18" s="13" t="s">
        <v>587</v>
      </c>
      <c r="F18" s="13" t="s">
        <v>588</v>
      </c>
      <c r="G18" s="13" t="s">
        <v>589</v>
      </c>
      <c r="H18" s="13" t="s">
        <v>590</v>
      </c>
      <c r="I18" s="13" t="s">
        <v>591</v>
      </c>
      <c r="J18" s="13"/>
      <c r="K18" s="13"/>
      <c r="L18" s="13"/>
      <c r="M18" s="13" t="s">
        <v>592</v>
      </c>
      <c r="N18" s="13" t="s">
        <v>593</v>
      </c>
      <c r="O18" s="13" t="s">
        <v>593</v>
      </c>
    </row>
  </sheetData>
  <autoFilter ref="A5:O18" xr:uid="{00000000-0009-0000-0000-000001000000}"/>
  <mergeCells count="2">
    <mergeCell ref="A1:O1"/>
    <mergeCell ref="A2:O3"/>
  </mergeCells>
  <pageMargins left="0.3" right="0.3" top="0.4" bottom="0.4" header="0.3" footer="0.3"/>
  <pageSetup paperSize="8" fitToHeight="0" orientation="landscape"/>
  <headerFooter>
    <oddFooter>&amp;LHARBORLIGHT — projekt zasad, bez wdrożenia&amp;R&amp;P / &amp;N</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6D75"/>
    <pageSetUpPr fitToPage="1"/>
  </sheetPr>
  <dimension ref="A1:E29"/>
  <sheetViews>
    <sheetView showGridLines="0" zoomScale="85" zoomScaleNormal="85" workbookViewId="0">
      <pane xSplit="1" ySplit="5" topLeftCell="B28" activePane="bottomRight" state="frozen"/>
      <selection pane="topRight" activeCell="B1" sqref="B1"/>
      <selection pane="bottomLeft" activeCell="A6" sqref="A6"/>
      <selection pane="bottomRight" activeCell="C29" sqref="C29"/>
    </sheetView>
  </sheetViews>
  <sheetFormatPr defaultColWidth="9.109375" defaultRowHeight="25.8" x14ac:dyDescent="0.5"/>
  <cols>
    <col min="1" max="5" width="47.77734375" style="11" customWidth="1"/>
    <col min="6" max="16384" width="9.109375" style="11"/>
  </cols>
  <sheetData>
    <row r="1" spans="1:5" ht="33.9" customHeight="1" x14ac:dyDescent="0.5">
      <c r="A1" s="17" t="s">
        <v>414</v>
      </c>
      <c r="B1" s="17"/>
      <c r="C1" s="17"/>
      <c r="D1" s="17"/>
      <c r="E1" s="17"/>
    </row>
    <row r="2" spans="1:5" ht="24.9" customHeight="1" x14ac:dyDescent="0.5">
      <c r="A2" s="18" t="s">
        <v>415</v>
      </c>
      <c r="B2" s="18"/>
      <c r="C2" s="18"/>
      <c r="D2" s="18"/>
      <c r="E2" s="18"/>
    </row>
    <row r="3" spans="1:5" ht="24.9" customHeight="1" x14ac:dyDescent="0.5">
      <c r="A3" s="18"/>
      <c r="B3" s="18"/>
      <c r="C3" s="18"/>
      <c r="D3" s="18"/>
      <c r="E3" s="18"/>
    </row>
    <row r="5" spans="1:5" ht="48" customHeight="1" x14ac:dyDescent="0.5">
      <c r="A5" s="12" t="s">
        <v>416</v>
      </c>
      <c r="B5" s="12" t="s">
        <v>417</v>
      </c>
      <c r="C5" s="12" t="s">
        <v>418</v>
      </c>
      <c r="D5" s="12" t="s">
        <v>419</v>
      </c>
      <c r="E5" s="12" t="s">
        <v>420</v>
      </c>
    </row>
    <row r="6" spans="1:5" ht="105" customHeight="1" x14ac:dyDescent="0.5">
      <c r="A6" s="13" t="s">
        <v>421</v>
      </c>
      <c r="B6" s="13" t="s">
        <v>422</v>
      </c>
      <c r="C6" s="13" t="s">
        <v>423</v>
      </c>
      <c r="D6" s="13" t="s">
        <v>424</v>
      </c>
      <c r="E6" s="13" t="s">
        <v>11</v>
      </c>
    </row>
    <row r="7" spans="1:5" ht="105" customHeight="1" x14ac:dyDescent="0.5">
      <c r="A7" s="16" t="s">
        <v>425</v>
      </c>
      <c r="B7" s="16" t="s">
        <v>426</v>
      </c>
      <c r="C7" s="16" t="s">
        <v>1053</v>
      </c>
      <c r="D7" s="16" t="s">
        <v>427</v>
      </c>
      <c r="E7" s="16" t="s">
        <v>111</v>
      </c>
    </row>
    <row r="8" spans="1:5" ht="105" customHeight="1" x14ac:dyDescent="0.5">
      <c r="A8" s="13" t="s">
        <v>428</v>
      </c>
      <c r="B8" s="13" t="s">
        <v>429</v>
      </c>
      <c r="C8" s="13" t="s">
        <v>1052</v>
      </c>
      <c r="D8" s="13" t="s">
        <v>430</v>
      </c>
      <c r="E8" s="13" t="s">
        <v>431</v>
      </c>
    </row>
    <row r="9" spans="1:5" ht="105" customHeight="1" x14ac:dyDescent="0.5">
      <c r="A9" s="16" t="s">
        <v>432</v>
      </c>
      <c r="B9" s="16" t="s">
        <v>433</v>
      </c>
      <c r="C9" s="16" t="s">
        <v>434</v>
      </c>
      <c r="D9" s="16" t="s">
        <v>435</v>
      </c>
      <c r="E9" s="16" t="s">
        <v>436</v>
      </c>
    </row>
    <row r="10" spans="1:5" ht="105" customHeight="1" x14ac:dyDescent="0.5">
      <c r="A10" s="13" t="s">
        <v>437</v>
      </c>
      <c r="B10" s="13" t="s">
        <v>438</v>
      </c>
      <c r="C10" s="13" t="s">
        <v>439</v>
      </c>
      <c r="D10" s="13" t="s">
        <v>440</v>
      </c>
      <c r="E10" s="13" t="s">
        <v>11</v>
      </c>
    </row>
    <row r="11" spans="1:5" ht="105" customHeight="1" x14ac:dyDescent="0.5">
      <c r="A11" s="16" t="s">
        <v>441</v>
      </c>
      <c r="B11" s="16" t="s">
        <v>442</v>
      </c>
      <c r="C11" s="16" t="s">
        <v>443</v>
      </c>
      <c r="D11" s="16" t="s">
        <v>444</v>
      </c>
      <c r="E11" s="16" t="s">
        <v>445</v>
      </c>
    </row>
    <row r="12" spans="1:5" ht="105" customHeight="1" x14ac:dyDescent="0.5">
      <c r="A12" s="13" t="s">
        <v>446</v>
      </c>
      <c r="B12" s="13" t="s">
        <v>447</v>
      </c>
      <c r="C12" s="13" t="s">
        <v>448</v>
      </c>
      <c r="D12" s="13" t="s">
        <v>449</v>
      </c>
      <c r="E12" s="13" t="s">
        <v>11</v>
      </c>
    </row>
    <row r="13" spans="1:5" ht="105" customHeight="1" x14ac:dyDescent="0.5">
      <c r="A13" s="16" t="s">
        <v>450</v>
      </c>
      <c r="B13" s="16" t="s">
        <v>451</v>
      </c>
      <c r="C13" s="16" t="s">
        <v>452</v>
      </c>
      <c r="D13" s="16" t="s">
        <v>453</v>
      </c>
      <c r="E13" s="16" t="s">
        <v>11</v>
      </c>
    </row>
    <row r="14" spans="1:5" ht="105" customHeight="1" x14ac:dyDescent="0.5">
      <c r="A14" s="13" t="s">
        <v>454</v>
      </c>
      <c r="B14" s="13" t="s">
        <v>455</v>
      </c>
      <c r="C14" s="13" t="s">
        <v>456</v>
      </c>
      <c r="D14" s="13" t="s">
        <v>457</v>
      </c>
      <c r="E14" s="13" t="s">
        <v>11</v>
      </c>
    </row>
    <row r="15" spans="1:5" ht="105" customHeight="1" x14ac:dyDescent="0.5">
      <c r="A15" s="16" t="s">
        <v>458</v>
      </c>
      <c r="B15" s="16" t="s">
        <v>459</v>
      </c>
      <c r="C15" s="16" t="s">
        <v>460</v>
      </c>
      <c r="D15" s="16" t="s">
        <v>461</v>
      </c>
      <c r="E15" s="16" t="s">
        <v>11</v>
      </c>
    </row>
    <row r="16" spans="1:5" ht="105" customHeight="1" x14ac:dyDescent="0.5">
      <c r="A16" s="13" t="s">
        <v>462</v>
      </c>
      <c r="B16" s="13" t="s">
        <v>463</v>
      </c>
      <c r="C16" s="13" t="s">
        <v>456</v>
      </c>
      <c r="D16" s="13" t="s">
        <v>464</v>
      </c>
      <c r="E16" s="13" t="s">
        <v>11</v>
      </c>
    </row>
    <row r="17" spans="1:5" ht="105" customHeight="1" x14ac:dyDescent="0.5">
      <c r="A17" s="16" t="s">
        <v>465</v>
      </c>
      <c r="B17" s="16" t="s">
        <v>466</v>
      </c>
      <c r="C17" s="16" t="s">
        <v>467</v>
      </c>
      <c r="D17" s="16" t="s">
        <v>468</v>
      </c>
      <c r="E17" s="16" t="s">
        <v>11</v>
      </c>
    </row>
    <row r="18" spans="1:5" ht="105" customHeight="1" x14ac:dyDescent="0.5">
      <c r="A18" s="13" t="s">
        <v>469</v>
      </c>
      <c r="B18" s="13" t="s">
        <v>470</v>
      </c>
      <c r="C18" s="13" t="s">
        <v>471</v>
      </c>
      <c r="D18" s="13" t="s">
        <v>472</v>
      </c>
      <c r="E18" s="13" t="s">
        <v>11</v>
      </c>
    </row>
    <row r="19" spans="1:5" ht="105" customHeight="1" x14ac:dyDescent="0.5">
      <c r="A19" s="16" t="s">
        <v>473</v>
      </c>
      <c r="B19" s="16" t="s">
        <v>474</v>
      </c>
      <c r="C19" s="16" t="s">
        <v>475</v>
      </c>
      <c r="D19" s="16" t="s">
        <v>476</v>
      </c>
      <c r="E19" s="16" t="s">
        <v>11</v>
      </c>
    </row>
    <row r="20" spans="1:5" ht="105" customHeight="1" x14ac:dyDescent="0.5">
      <c r="A20" s="13" t="s">
        <v>477</v>
      </c>
      <c r="B20" s="13" t="s">
        <v>478</v>
      </c>
      <c r="C20" s="13" t="s">
        <v>479</v>
      </c>
      <c r="D20" s="13" t="s">
        <v>480</v>
      </c>
      <c r="E20" s="13" t="s">
        <v>11</v>
      </c>
    </row>
    <row r="21" spans="1:5" ht="105" customHeight="1" x14ac:dyDescent="0.5">
      <c r="A21" s="16" t="s">
        <v>481</v>
      </c>
      <c r="B21" s="16" t="s">
        <v>482</v>
      </c>
      <c r="C21" s="13" t="s">
        <v>479</v>
      </c>
      <c r="D21" s="13" t="s">
        <v>480</v>
      </c>
      <c r="E21" s="16" t="s">
        <v>483</v>
      </c>
    </row>
    <row r="22" spans="1:5" ht="105" customHeight="1" x14ac:dyDescent="0.5">
      <c r="A22" s="13" t="s">
        <v>484</v>
      </c>
      <c r="B22" s="13" t="s">
        <v>485</v>
      </c>
      <c r="C22" s="13" t="s">
        <v>1054</v>
      </c>
      <c r="D22" s="13" t="s">
        <v>486</v>
      </c>
      <c r="E22" s="13" t="s">
        <v>11</v>
      </c>
    </row>
    <row r="23" spans="1:5" ht="105" customHeight="1" x14ac:dyDescent="0.5">
      <c r="A23" s="16" t="s">
        <v>487</v>
      </c>
      <c r="B23" s="16" t="s">
        <v>488</v>
      </c>
      <c r="C23" s="16" t="s">
        <v>489</v>
      </c>
      <c r="D23" s="16" t="s">
        <v>490</v>
      </c>
      <c r="E23" s="16" t="s">
        <v>491</v>
      </c>
    </row>
    <row r="24" spans="1:5" ht="105" customHeight="1" x14ac:dyDescent="0.5">
      <c r="A24" s="13" t="s">
        <v>492</v>
      </c>
      <c r="B24" s="13" t="s">
        <v>493</v>
      </c>
      <c r="C24" s="13" t="s">
        <v>494</v>
      </c>
      <c r="D24" s="13" t="s">
        <v>495</v>
      </c>
      <c r="E24" s="13" t="s">
        <v>11</v>
      </c>
    </row>
    <row r="25" spans="1:5" ht="105" customHeight="1" x14ac:dyDescent="0.5">
      <c r="A25" s="16" t="s">
        <v>496</v>
      </c>
      <c r="B25" s="16" t="s">
        <v>497</v>
      </c>
      <c r="C25" s="16" t="s">
        <v>498</v>
      </c>
      <c r="D25" s="16" t="s">
        <v>499</v>
      </c>
      <c r="E25" s="16" t="s">
        <v>500</v>
      </c>
    </row>
    <row r="26" spans="1:5" ht="105" customHeight="1" x14ac:dyDescent="0.5">
      <c r="A26" s="13" t="s">
        <v>501</v>
      </c>
      <c r="B26" s="13" t="s">
        <v>502</v>
      </c>
      <c r="C26" s="13" t="s">
        <v>503</v>
      </c>
      <c r="D26" s="13" t="s">
        <v>504</v>
      </c>
      <c r="E26" s="13" t="s">
        <v>11</v>
      </c>
    </row>
    <row r="27" spans="1:5" ht="105" customHeight="1" x14ac:dyDescent="0.5">
      <c r="A27" s="16" t="s">
        <v>505</v>
      </c>
      <c r="B27" s="16" t="s">
        <v>506</v>
      </c>
      <c r="C27" s="16" t="s">
        <v>507</v>
      </c>
      <c r="D27" s="16" t="s">
        <v>508</v>
      </c>
      <c r="E27" s="16" t="s">
        <v>11</v>
      </c>
    </row>
    <row r="28" spans="1:5" ht="105" customHeight="1" x14ac:dyDescent="0.5">
      <c r="A28" s="13" t="s">
        <v>509</v>
      </c>
      <c r="B28" s="13" t="s">
        <v>510</v>
      </c>
      <c r="C28" s="13" t="s">
        <v>1055</v>
      </c>
      <c r="D28" s="13" t="s">
        <v>1056</v>
      </c>
      <c r="E28" s="13" t="s">
        <v>511</v>
      </c>
    </row>
    <row r="29" spans="1:5" ht="105" customHeight="1" x14ac:dyDescent="0.5">
      <c r="A29" s="16" t="s">
        <v>512</v>
      </c>
      <c r="B29" s="16" t="s">
        <v>513</v>
      </c>
      <c r="C29" s="16" t="s">
        <v>1057</v>
      </c>
      <c r="D29" s="16" t="s">
        <v>1058</v>
      </c>
      <c r="E29" s="16" t="s">
        <v>514</v>
      </c>
    </row>
  </sheetData>
  <autoFilter ref="A5:E29" xr:uid="{00000000-0009-0000-0000-000002000000}"/>
  <mergeCells count="2">
    <mergeCell ref="A1:E1"/>
    <mergeCell ref="A2:E3"/>
  </mergeCells>
  <pageMargins left="0.3" right="0.3" top="0.4" bottom="0.4" header="0.3" footer="0.3"/>
  <pageSetup paperSize="8" fitToHeight="0" orientation="landscape" r:id="rId1"/>
  <headerFooter>
    <oddFooter>&amp;LHARBORLIGHT — projekt zasad, bez wdrożenia&amp;R&amp;P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6D75"/>
    <pageSetUpPr fitToPage="1"/>
  </sheetPr>
  <dimension ref="A1:F97"/>
  <sheetViews>
    <sheetView showGridLines="0" zoomScale="75" zoomScaleNormal="75" workbookViewId="0">
      <pane xSplit="1" ySplit="5" topLeftCell="B94" activePane="bottomRight" state="frozen"/>
      <selection pane="topRight" activeCell="B1" sqref="B1"/>
      <selection pane="bottomLeft" activeCell="A6" sqref="A6"/>
      <selection pane="bottomRight" activeCell="F69" sqref="F69"/>
    </sheetView>
  </sheetViews>
  <sheetFormatPr defaultRowHeight="25.8" x14ac:dyDescent="0.5"/>
  <cols>
    <col min="1" max="1" width="12.6640625" style="11" customWidth="1"/>
    <col min="2" max="2" width="25.6640625" style="11" customWidth="1"/>
    <col min="3" max="3" width="33.44140625" style="11" customWidth="1"/>
    <col min="4" max="4" width="45.6640625" style="11" customWidth="1"/>
    <col min="5" max="6" width="105.6640625" style="11" customWidth="1"/>
    <col min="7" max="16384" width="8.88671875" style="11"/>
  </cols>
  <sheetData>
    <row r="1" spans="1:6" ht="33.9" customHeight="1" x14ac:dyDescent="0.5">
      <c r="A1" s="17" t="s">
        <v>699</v>
      </c>
      <c r="B1" s="17"/>
      <c r="C1" s="17"/>
      <c r="D1" s="17"/>
      <c r="E1" s="17"/>
      <c r="F1" s="17"/>
    </row>
    <row r="2" spans="1:6" ht="24.9" customHeight="1" x14ac:dyDescent="0.5">
      <c r="A2" s="18" t="s">
        <v>700</v>
      </c>
      <c r="B2" s="18"/>
      <c r="C2" s="18"/>
      <c r="D2" s="18"/>
      <c r="E2" s="18"/>
      <c r="F2" s="18"/>
    </row>
    <row r="3" spans="1:6" ht="24.9" customHeight="1" x14ac:dyDescent="0.5">
      <c r="A3" s="18"/>
      <c r="B3" s="18"/>
      <c r="C3" s="18"/>
      <c r="D3" s="18"/>
      <c r="E3" s="18"/>
      <c r="F3" s="18"/>
    </row>
    <row r="5" spans="1:6" ht="48" customHeight="1" x14ac:dyDescent="0.5">
      <c r="A5" s="12" t="s">
        <v>2</v>
      </c>
      <c r="B5" s="12" t="s">
        <v>660</v>
      </c>
      <c r="C5" s="12" t="s">
        <v>701</v>
      </c>
      <c r="D5" s="12" t="s">
        <v>6</v>
      </c>
      <c r="E5" s="12" t="s">
        <v>702</v>
      </c>
      <c r="F5" s="12" t="s">
        <v>703</v>
      </c>
    </row>
    <row r="6" spans="1:6" ht="92.1" customHeight="1" x14ac:dyDescent="0.5">
      <c r="A6" s="13" t="s">
        <v>704</v>
      </c>
      <c r="B6" s="13" t="s">
        <v>705</v>
      </c>
      <c r="C6" s="13" t="s">
        <v>706</v>
      </c>
      <c r="D6" s="14" t="s">
        <v>707</v>
      </c>
      <c r="E6" s="13" t="s">
        <v>708</v>
      </c>
      <c r="F6" s="13" t="s">
        <v>709</v>
      </c>
    </row>
    <row r="7" spans="1:6" ht="92.1" customHeight="1" x14ac:dyDescent="0.5">
      <c r="A7" s="16" t="s">
        <v>710</v>
      </c>
      <c r="B7" s="16" t="s">
        <v>705</v>
      </c>
      <c r="C7" s="16" t="s">
        <v>711</v>
      </c>
      <c r="D7" s="14" t="s">
        <v>712</v>
      </c>
      <c r="E7" s="16" t="s">
        <v>713</v>
      </c>
      <c r="F7" s="16" t="s">
        <v>714</v>
      </c>
    </row>
    <row r="8" spans="1:6" ht="92.1" customHeight="1" x14ac:dyDescent="0.5">
      <c r="A8" s="13" t="s">
        <v>715</v>
      </c>
      <c r="B8" s="13" t="s">
        <v>705</v>
      </c>
      <c r="C8" s="13" t="s">
        <v>706</v>
      </c>
      <c r="D8" s="14" t="s">
        <v>707</v>
      </c>
      <c r="E8" s="13" t="s">
        <v>716</v>
      </c>
      <c r="F8" s="13" t="s">
        <v>717</v>
      </c>
    </row>
    <row r="9" spans="1:6" ht="92.1" customHeight="1" x14ac:dyDescent="0.5">
      <c r="A9" s="16" t="s">
        <v>718</v>
      </c>
      <c r="B9" s="16" t="s">
        <v>719</v>
      </c>
      <c r="C9" s="16" t="s">
        <v>204</v>
      </c>
      <c r="D9" s="14" t="s">
        <v>707</v>
      </c>
      <c r="E9" s="16" t="s">
        <v>1072</v>
      </c>
      <c r="F9" s="16" t="s">
        <v>720</v>
      </c>
    </row>
    <row r="10" spans="1:6" ht="92.1" customHeight="1" x14ac:dyDescent="0.5">
      <c r="A10" s="13" t="s">
        <v>721</v>
      </c>
      <c r="B10" s="13" t="s">
        <v>719</v>
      </c>
      <c r="C10" s="13" t="s">
        <v>706</v>
      </c>
      <c r="D10" s="14" t="s">
        <v>707</v>
      </c>
      <c r="E10" s="13" t="s">
        <v>722</v>
      </c>
      <c r="F10" s="13" t="s">
        <v>723</v>
      </c>
    </row>
    <row r="11" spans="1:6" ht="92.1" customHeight="1" x14ac:dyDescent="0.5">
      <c r="A11" s="16" t="s">
        <v>724</v>
      </c>
      <c r="B11" s="16" t="s">
        <v>725</v>
      </c>
      <c r="C11" s="16" t="s">
        <v>204</v>
      </c>
      <c r="D11" s="14" t="s">
        <v>707</v>
      </c>
      <c r="E11" s="16" t="s">
        <v>726</v>
      </c>
      <c r="F11" s="16" t="s">
        <v>727</v>
      </c>
    </row>
    <row r="12" spans="1:6" ht="92.1" customHeight="1" x14ac:dyDescent="0.5">
      <c r="A12" s="13" t="s">
        <v>728</v>
      </c>
      <c r="B12" s="13" t="s">
        <v>729</v>
      </c>
      <c r="C12" s="13" t="s">
        <v>210</v>
      </c>
      <c r="D12" s="14" t="s">
        <v>707</v>
      </c>
      <c r="E12" s="13" t="s">
        <v>730</v>
      </c>
      <c r="F12" s="13" t="s">
        <v>731</v>
      </c>
    </row>
    <row r="13" spans="1:6" ht="92.1" customHeight="1" x14ac:dyDescent="0.5">
      <c r="A13" s="16" t="s">
        <v>732</v>
      </c>
      <c r="B13" s="16" t="s">
        <v>729</v>
      </c>
      <c r="C13" s="16" t="s">
        <v>733</v>
      </c>
      <c r="D13" s="14" t="s">
        <v>707</v>
      </c>
      <c r="E13" s="16" t="s">
        <v>734</v>
      </c>
      <c r="F13" s="16" t="s">
        <v>735</v>
      </c>
    </row>
    <row r="14" spans="1:6" ht="92.1" customHeight="1" x14ac:dyDescent="0.5">
      <c r="A14" s="13" t="s">
        <v>736</v>
      </c>
      <c r="B14" s="13" t="s">
        <v>729</v>
      </c>
      <c r="C14" s="13" t="s">
        <v>733</v>
      </c>
      <c r="D14" s="14" t="s">
        <v>707</v>
      </c>
      <c r="E14" s="13" t="s">
        <v>737</v>
      </c>
      <c r="F14" s="13" t="s">
        <v>738</v>
      </c>
    </row>
    <row r="15" spans="1:6" ht="92.1" customHeight="1" x14ac:dyDescent="0.5">
      <c r="A15" s="16" t="s">
        <v>739</v>
      </c>
      <c r="B15" s="16" t="s">
        <v>740</v>
      </c>
      <c r="C15" s="16" t="s">
        <v>741</v>
      </c>
      <c r="D15" s="14" t="s">
        <v>742</v>
      </c>
      <c r="E15" s="16" t="s">
        <v>743</v>
      </c>
      <c r="F15" s="16" t="s">
        <v>744</v>
      </c>
    </row>
    <row r="16" spans="1:6" ht="92.1" customHeight="1" x14ac:dyDescent="0.5">
      <c r="A16" s="13" t="s">
        <v>745</v>
      </c>
      <c r="B16" s="13" t="s">
        <v>740</v>
      </c>
      <c r="C16" s="13" t="s">
        <v>741</v>
      </c>
      <c r="D16" s="15" t="s">
        <v>746</v>
      </c>
      <c r="E16" s="13" t="s">
        <v>747</v>
      </c>
      <c r="F16" s="13" t="s">
        <v>748</v>
      </c>
    </row>
    <row r="17" spans="1:6" ht="92.1" customHeight="1" x14ac:dyDescent="0.5">
      <c r="A17" s="16" t="s">
        <v>749</v>
      </c>
      <c r="B17" s="16" t="s">
        <v>750</v>
      </c>
      <c r="C17" s="16" t="s">
        <v>711</v>
      </c>
      <c r="D17" s="14" t="s">
        <v>707</v>
      </c>
      <c r="E17" s="16" t="s">
        <v>751</v>
      </c>
      <c r="F17" s="16" t="s">
        <v>752</v>
      </c>
    </row>
    <row r="18" spans="1:6" ht="92.1" customHeight="1" x14ac:dyDescent="0.5">
      <c r="A18" s="13" t="s">
        <v>753</v>
      </c>
      <c r="B18" s="13" t="s">
        <v>754</v>
      </c>
      <c r="C18" s="13" t="s">
        <v>711</v>
      </c>
      <c r="D18" s="14" t="s">
        <v>707</v>
      </c>
      <c r="E18" s="13" t="s">
        <v>755</v>
      </c>
      <c r="F18" s="13" t="s">
        <v>756</v>
      </c>
    </row>
    <row r="19" spans="1:6" ht="92.1" customHeight="1" x14ac:dyDescent="0.5">
      <c r="A19" s="16" t="s">
        <v>757</v>
      </c>
      <c r="B19" s="16" t="s">
        <v>758</v>
      </c>
      <c r="C19" s="16" t="s">
        <v>711</v>
      </c>
      <c r="D19" s="14" t="s">
        <v>707</v>
      </c>
      <c r="E19" s="16" t="s">
        <v>1073</v>
      </c>
      <c r="F19" s="16" t="s">
        <v>759</v>
      </c>
    </row>
    <row r="20" spans="1:6" ht="92.1" customHeight="1" x14ac:dyDescent="0.5">
      <c r="A20" s="13" t="s">
        <v>760</v>
      </c>
      <c r="B20" s="13" t="s">
        <v>761</v>
      </c>
      <c r="C20" s="13" t="s">
        <v>711</v>
      </c>
      <c r="D20" s="15" t="s">
        <v>762</v>
      </c>
      <c r="E20" s="13" t="s">
        <v>1074</v>
      </c>
      <c r="F20" s="13" t="s">
        <v>763</v>
      </c>
    </row>
    <row r="21" spans="1:6" ht="92.1" customHeight="1" x14ac:dyDescent="0.5">
      <c r="A21" s="16" t="s">
        <v>764</v>
      </c>
      <c r="B21" s="16" t="s">
        <v>765</v>
      </c>
      <c r="C21" s="16" t="s">
        <v>766</v>
      </c>
      <c r="D21" s="14" t="s">
        <v>707</v>
      </c>
      <c r="E21" s="16" t="s">
        <v>767</v>
      </c>
      <c r="F21" s="16" t="s">
        <v>768</v>
      </c>
    </row>
    <row r="22" spans="1:6" ht="92.1" customHeight="1" x14ac:dyDescent="0.5">
      <c r="A22" s="13" t="s">
        <v>769</v>
      </c>
      <c r="B22" s="13" t="s">
        <v>765</v>
      </c>
      <c r="C22" s="13" t="s">
        <v>770</v>
      </c>
      <c r="D22" s="14" t="s">
        <v>707</v>
      </c>
      <c r="E22" s="13" t="s">
        <v>771</v>
      </c>
      <c r="F22" s="13" t="s">
        <v>772</v>
      </c>
    </row>
    <row r="23" spans="1:6" ht="92.1" customHeight="1" x14ac:dyDescent="0.5">
      <c r="A23" s="16" t="s">
        <v>773</v>
      </c>
      <c r="B23" s="16" t="s">
        <v>774</v>
      </c>
      <c r="C23" s="16" t="s">
        <v>211</v>
      </c>
      <c r="D23" s="14" t="s">
        <v>707</v>
      </c>
      <c r="E23" s="16" t="s">
        <v>775</v>
      </c>
      <c r="F23" s="16" t="s">
        <v>1075</v>
      </c>
    </row>
    <row r="24" spans="1:6" ht="92.1" customHeight="1" x14ac:dyDescent="0.5">
      <c r="A24" s="13" t="s">
        <v>776</v>
      </c>
      <c r="B24" s="13" t="s">
        <v>777</v>
      </c>
      <c r="C24" s="13" t="s">
        <v>212</v>
      </c>
      <c r="D24" s="14" t="s">
        <v>707</v>
      </c>
      <c r="E24" s="13" t="s">
        <v>778</v>
      </c>
      <c r="F24" s="13" t="s">
        <v>1076</v>
      </c>
    </row>
    <row r="25" spans="1:6" ht="92.1" customHeight="1" x14ac:dyDescent="0.5">
      <c r="A25" s="16" t="s">
        <v>779</v>
      </c>
      <c r="B25" s="16" t="s">
        <v>777</v>
      </c>
      <c r="C25" s="16" t="s">
        <v>214</v>
      </c>
      <c r="D25" s="14" t="s">
        <v>707</v>
      </c>
      <c r="E25" s="16" t="s">
        <v>780</v>
      </c>
      <c r="F25" s="13" t="s">
        <v>1076</v>
      </c>
    </row>
    <row r="26" spans="1:6" ht="92.1" customHeight="1" x14ac:dyDescent="0.5">
      <c r="A26" s="13" t="s">
        <v>781</v>
      </c>
      <c r="B26" s="13" t="s">
        <v>774</v>
      </c>
      <c r="C26" s="13" t="s">
        <v>782</v>
      </c>
      <c r="D26" s="14" t="s">
        <v>707</v>
      </c>
      <c r="E26" s="13" t="s">
        <v>783</v>
      </c>
      <c r="F26" s="13" t="s">
        <v>784</v>
      </c>
    </row>
    <row r="27" spans="1:6" ht="92.1" customHeight="1" x14ac:dyDescent="0.5">
      <c r="A27" s="16" t="s">
        <v>785</v>
      </c>
      <c r="B27" s="16" t="s">
        <v>786</v>
      </c>
      <c r="C27" s="16" t="s">
        <v>766</v>
      </c>
      <c r="D27" s="14" t="s">
        <v>707</v>
      </c>
      <c r="E27" s="16" t="s">
        <v>787</v>
      </c>
      <c r="F27" s="16" t="s">
        <v>788</v>
      </c>
    </row>
    <row r="28" spans="1:6" ht="92.1" customHeight="1" x14ac:dyDescent="0.5">
      <c r="A28" s="13" t="s">
        <v>789</v>
      </c>
      <c r="B28" s="13" t="s">
        <v>790</v>
      </c>
      <c r="C28" s="13" t="s">
        <v>791</v>
      </c>
      <c r="D28" s="14" t="s">
        <v>707</v>
      </c>
      <c r="E28" s="13" t="s">
        <v>792</v>
      </c>
      <c r="F28" s="13" t="s">
        <v>793</v>
      </c>
    </row>
    <row r="29" spans="1:6" ht="92.1" customHeight="1" x14ac:dyDescent="0.5">
      <c r="A29" s="16" t="s">
        <v>794</v>
      </c>
      <c r="B29" s="16" t="s">
        <v>790</v>
      </c>
      <c r="C29" s="16" t="s">
        <v>791</v>
      </c>
      <c r="D29" s="14" t="s">
        <v>707</v>
      </c>
      <c r="E29" s="16" t="s">
        <v>795</v>
      </c>
      <c r="F29" s="16" t="s">
        <v>796</v>
      </c>
    </row>
    <row r="30" spans="1:6" ht="92.1" customHeight="1" x14ac:dyDescent="0.5">
      <c r="A30" s="13" t="s">
        <v>797</v>
      </c>
      <c r="B30" s="13" t="s">
        <v>798</v>
      </c>
      <c r="C30" s="13" t="s">
        <v>799</v>
      </c>
      <c r="D30" s="14" t="s">
        <v>1077</v>
      </c>
      <c r="E30" s="13" t="s">
        <v>800</v>
      </c>
      <c r="F30" s="13" t="s">
        <v>801</v>
      </c>
    </row>
    <row r="31" spans="1:6" ht="92.1" customHeight="1" x14ac:dyDescent="0.5">
      <c r="A31" s="16" t="s">
        <v>802</v>
      </c>
      <c r="B31" s="16" t="s">
        <v>216</v>
      </c>
      <c r="C31" s="16" t="s">
        <v>216</v>
      </c>
      <c r="D31" s="14" t="s">
        <v>707</v>
      </c>
      <c r="E31" s="16" t="s">
        <v>803</v>
      </c>
      <c r="F31" s="16" t="s">
        <v>804</v>
      </c>
    </row>
    <row r="32" spans="1:6" ht="92.1" customHeight="1" x14ac:dyDescent="0.5">
      <c r="A32" s="13" t="s">
        <v>805</v>
      </c>
      <c r="B32" s="13" t="s">
        <v>216</v>
      </c>
      <c r="C32" s="13" t="s">
        <v>216</v>
      </c>
      <c r="D32" s="14" t="s">
        <v>707</v>
      </c>
      <c r="E32" s="13" t="s">
        <v>806</v>
      </c>
      <c r="F32" s="13" t="s">
        <v>807</v>
      </c>
    </row>
    <row r="33" spans="1:6" ht="92.1" customHeight="1" x14ac:dyDescent="0.5">
      <c r="A33" s="16" t="s">
        <v>808</v>
      </c>
      <c r="B33" s="16" t="s">
        <v>441</v>
      </c>
      <c r="C33" s="16" t="s">
        <v>216</v>
      </c>
      <c r="D33" s="14" t="s">
        <v>707</v>
      </c>
      <c r="E33" s="16" t="s">
        <v>809</v>
      </c>
      <c r="F33" s="16" t="s">
        <v>810</v>
      </c>
    </row>
    <row r="34" spans="1:6" ht="92.1" customHeight="1" x14ac:dyDescent="0.5">
      <c r="A34" s="13" t="s">
        <v>811</v>
      </c>
      <c r="B34" s="13" t="s">
        <v>441</v>
      </c>
      <c r="C34" s="13" t="s">
        <v>216</v>
      </c>
      <c r="D34" s="15" t="s">
        <v>812</v>
      </c>
      <c r="E34" s="13" t="s">
        <v>813</v>
      </c>
      <c r="F34" s="13" t="s">
        <v>814</v>
      </c>
    </row>
    <row r="35" spans="1:6" ht="92.1" customHeight="1" x14ac:dyDescent="0.5">
      <c r="A35" s="16" t="s">
        <v>815</v>
      </c>
      <c r="B35" s="16" t="s">
        <v>441</v>
      </c>
      <c r="C35" s="16" t="s">
        <v>816</v>
      </c>
      <c r="D35" s="14" t="s">
        <v>817</v>
      </c>
      <c r="E35" s="16" t="s">
        <v>818</v>
      </c>
      <c r="F35" s="16" t="s">
        <v>819</v>
      </c>
    </row>
    <row r="36" spans="1:6" ht="92.1" customHeight="1" x14ac:dyDescent="0.5">
      <c r="A36" s="13" t="s">
        <v>820</v>
      </c>
      <c r="B36" s="13" t="s">
        <v>432</v>
      </c>
      <c r="C36" s="13" t="s">
        <v>821</v>
      </c>
      <c r="D36" s="14" t="s">
        <v>707</v>
      </c>
      <c r="E36" s="13" t="s">
        <v>822</v>
      </c>
      <c r="F36" s="13" t="s">
        <v>823</v>
      </c>
    </row>
    <row r="37" spans="1:6" ht="92.1" customHeight="1" x14ac:dyDescent="0.5">
      <c r="A37" s="16" t="s">
        <v>824</v>
      </c>
      <c r="B37" s="16" t="s">
        <v>825</v>
      </c>
      <c r="C37" s="16" t="s">
        <v>826</v>
      </c>
      <c r="D37" s="14" t="s">
        <v>827</v>
      </c>
      <c r="E37" s="16" t="s">
        <v>828</v>
      </c>
      <c r="F37" s="16" t="s">
        <v>829</v>
      </c>
    </row>
    <row r="38" spans="1:6" ht="92.1" customHeight="1" x14ac:dyDescent="0.5">
      <c r="A38" s="13" t="s">
        <v>830</v>
      </c>
      <c r="B38" s="13" t="s">
        <v>825</v>
      </c>
      <c r="C38" s="13" t="s">
        <v>831</v>
      </c>
      <c r="D38" s="14" t="s">
        <v>832</v>
      </c>
      <c r="E38" s="13" t="s">
        <v>833</v>
      </c>
      <c r="F38" s="13" t="s">
        <v>834</v>
      </c>
    </row>
    <row r="39" spans="1:6" ht="92.1" customHeight="1" x14ac:dyDescent="0.5">
      <c r="A39" s="16" t="s">
        <v>835</v>
      </c>
      <c r="B39" s="16" t="s">
        <v>836</v>
      </c>
      <c r="C39" s="16" t="s">
        <v>711</v>
      </c>
      <c r="D39" s="14" t="s">
        <v>707</v>
      </c>
      <c r="E39" s="16" t="s">
        <v>837</v>
      </c>
      <c r="F39" s="16" t="s">
        <v>838</v>
      </c>
    </row>
    <row r="40" spans="1:6" ht="92.1" customHeight="1" x14ac:dyDescent="0.5">
      <c r="A40" s="13" t="s">
        <v>839</v>
      </c>
      <c r="B40" s="13" t="s">
        <v>836</v>
      </c>
      <c r="C40" s="13" t="s">
        <v>711</v>
      </c>
      <c r="D40" s="14" t="s">
        <v>707</v>
      </c>
      <c r="E40" s="13" t="s">
        <v>840</v>
      </c>
      <c r="F40" s="13" t="s">
        <v>841</v>
      </c>
    </row>
    <row r="41" spans="1:6" ht="92.1" customHeight="1" x14ac:dyDescent="0.5">
      <c r="A41" s="16" t="s">
        <v>842</v>
      </c>
      <c r="B41" s="16" t="s">
        <v>836</v>
      </c>
      <c r="C41" s="16" t="s">
        <v>711</v>
      </c>
      <c r="D41" s="14" t="s">
        <v>707</v>
      </c>
      <c r="E41" s="16" t="s">
        <v>843</v>
      </c>
      <c r="F41" s="16" t="s">
        <v>844</v>
      </c>
    </row>
    <row r="42" spans="1:6" ht="92.1" customHeight="1" x14ac:dyDescent="0.5">
      <c r="A42" s="13" t="s">
        <v>845</v>
      </c>
      <c r="B42" s="13" t="s">
        <v>836</v>
      </c>
      <c r="C42" s="13" t="s">
        <v>711</v>
      </c>
      <c r="D42" s="14" t="s">
        <v>707</v>
      </c>
      <c r="E42" s="13" t="s">
        <v>846</v>
      </c>
      <c r="F42" s="13" t="s">
        <v>847</v>
      </c>
    </row>
    <row r="43" spans="1:6" ht="92.1" customHeight="1" x14ac:dyDescent="0.5">
      <c r="A43" s="16" t="s">
        <v>848</v>
      </c>
      <c r="B43" s="16" t="s">
        <v>836</v>
      </c>
      <c r="C43" s="16" t="s">
        <v>711</v>
      </c>
      <c r="D43" s="14" t="s">
        <v>707</v>
      </c>
      <c r="E43" s="16" t="s">
        <v>849</v>
      </c>
      <c r="F43" s="16" t="s">
        <v>850</v>
      </c>
    </row>
    <row r="44" spans="1:6" ht="92.1" customHeight="1" x14ac:dyDescent="0.5">
      <c r="A44" s="13" t="s">
        <v>851</v>
      </c>
      <c r="B44" s="13" t="s">
        <v>836</v>
      </c>
      <c r="C44" s="13" t="s">
        <v>711</v>
      </c>
      <c r="D44" s="14" t="s">
        <v>707</v>
      </c>
      <c r="E44" s="13" t="s">
        <v>852</v>
      </c>
      <c r="F44" s="13" t="s">
        <v>853</v>
      </c>
    </row>
    <row r="45" spans="1:6" ht="92.1" customHeight="1" x14ac:dyDescent="0.5">
      <c r="A45" s="16" t="s">
        <v>854</v>
      </c>
      <c r="B45" s="16" t="s">
        <v>855</v>
      </c>
      <c r="C45" s="16" t="s">
        <v>711</v>
      </c>
      <c r="D45" s="14" t="s">
        <v>707</v>
      </c>
      <c r="E45" s="16" t="s">
        <v>856</v>
      </c>
      <c r="F45" s="16" t="s">
        <v>857</v>
      </c>
    </row>
    <row r="46" spans="1:6" ht="92.1" customHeight="1" x14ac:dyDescent="0.5">
      <c r="A46" s="13" t="s">
        <v>858</v>
      </c>
      <c r="B46" s="13" t="s">
        <v>859</v>
      </c>
      <c r="C46" s="13" t="s">
        <v>860</v>
      </c>
      <c r="D46" s="14" t="s">
        <v>707</v>
      </c>
      <c r="E46" s="13" t="s">
        <v>861</v>
      </c>
      <c r="F46" s="13" t="s">
        <v>862</v>
      </c>
    </row>
    <row r="47" spans="1:6" ht="92.1" customHeight="1" x14ac:dyDescent="0.5">
      <c r="A47" s="16" t="s">
        <v>863</v>
      </c>
      <c r="B47" s="16" t="s">
        <v>864</v>
      </c>
      <c r="C47" s="16" t="s">
        <v>865</v>
      </c>
      <c r="D47" s="14" t="s">
        <v>707</v>
      </c>
      <c r="E47" s="16" t="s">
        <v>866</v>
      </c>
      <c r="F47" s="16" t="s">
        <v>867</v>
      </c>
    </row>
    <row r="48" spans="1:6" ht="92.1" customHeight="1" x14ac:dyDescent="0.5">
      <c r="A48" s="13" t="s">
        <v>868</v>
      </c>
      <c r="B48" s="13" t="s">
        <v>864</v>
      </c>
      <c r="C48" s="13" t="s">
        <v>869</v>
      </c>
      <c r="D48" s="14" t="s">
        <v>707</v>
      </c>
      <c r="E48" s="13" t="s">
        <v>870</v>
      </c>
      <c r="F48" s="13" t="s">
        <v>871</v>
      </c>
    </row>
    <row r="49" spans="1:6" ht="92.1" customHeight="1" x14ac:dyDescent="0.5">
      <c r="A49" s="16" t="s">
        <v>872</v>
      </c>
      <c r="B49" s="16" t="s">
        <v>873</v>
      </c>
      <c r="C49" s="16" t="s">
        <v>711</v>
      </c>
      <c r="D49" s="14" t="s">
        <v>707</v>
      </c>
      <c r="E49" s="16" t="s">
        <v>874</v>
      </c>
      <c r="F49" s="16" t="s">
        <v>875</v>
      </c>
    </row>
    <row r="50" spans="1:6" ht="92.1" customHeight="1" x14ac:dyDescent="0.5">
      <c r="A50" s="13" t="s">
        <v>876</v>
      </c>
      <c r="B50" s="13" t="s">
        <v>509</v>
      </c>
      <c r="C50" s="13" t="s">
        <v>865</v>
      </c>
      <c r="D50" s="14" t="s">
        <v>707</v>
      </c>
      <c r="E50" s="13" t="s">
        <v>877</v>
      </c>
      <c r="F50" s="13" t="s">
        <v>878</v>
      </c>
    </row>
    <row r="51" spans="1:6" ht="92.1" customHeight="1" x14ac:dyDescent="0.5">
      <c r="A51" s="16" t="s">
        <v>879</v>
      </c>
      <c r="B51" s="16" t="s">
        <v>509</v>
      </c>
      <c r="C51" s="16" t="s">
        <v>711</v>
      </c>
      <c r="D51" s="14" t="s">
        <v>707</v>
      </c>
      <c r="E51" s="16" t="s">
        <v>880</v>
      </c>
      <c r="F51" s="16" t="s">
        <v>881</v>
      </c>
    </row>
    <row r="52" spans="1:6" ht="92.1" customHeight="1" x14ac:dyDescent="0.5">
      <c r="A52" s="13" t="s">
        <v>882</v>
      </c>
      <c r="B52" s="13" t="s">
        <v>509</v>
      </c>
      <c r="C52" s="13" t="s">
        <v>711</v>
      </c>
      <c r="D52" s="14" t="s">
        <v>707</v>
      </c>
      <c r="E52" s="13" t="s">
        <v>883</v>
      </c>
      <c r="F52" s="13" t="s">
        <v>884</v>
      </c>
    </row>
    <row r="53" spans="1:6" ht="92.1" customHeight="1" x14ac:dyDescent="0.5">
      <c r="A53" s="16" t="s">
        <v>885</v>
      </c>
      <c r="B53" s="16" t="s">
        <v>509</v>
      </c>
      <c r="C53" s="16" t="s">
        <v>865</v>
      </c>
      <c r="D53" s="14" t="s">
        <v>707</v>
      </c>
      <c r="E53" s="16" t="s">
        <v>886</v>
      </c>
      <c r="F53" s="16" t="s">
        <v>887</v>
      </c>
    </row>
    <row r="54" spans="1:6" ht="92.1" customHeight="1" x14ac:dyDescent="0.5">
      <c r="A54" s="13" t="s">
        <v>888</v>
      </c>
      <c r="B54" s="13" t="s">
        <v>889</v>
      </c>
      <c r="C54" s="13" t="s">
        <v>706</v>
      </c>
      <c r="D54" s="14" t="s">
        <v>707</v>
      </c>
      <c r="E54" s="13" t="s">
        <v>890</v>
      </c>
      <c r="F54" s="13"/>
    </row>
    <row r="55" spans="1:6" ht="92.1" customHeight="1" x14ac:dyDescent="0.5">
      <c r="A55" s="16" t="s">
        <v>891</v>
      </c>
      <c r="B55" s="16" t="s">
        <v>217</v>
      </c>
      <c r="C55" s="16" t="s">
        <v>217</v>
      </c>
      <c r="D55" s="14" t="s">
        <v>707</v>
      </c>
      <c r="E55" s="16" t="s">
        <v>892</v>
      </c>
      <c r="F55" s="16" t="s">
        <v>893</v>
      </c>
    </row>
    <row r="56" spans="1:6" ht="92.1" customHeight="1" x14ac:dyDescent="0.5">
      <c r="A56" s="13" t="s">
        <v>894</v>
      </c>
      <c r="B56" s="13" t="s">
        <v>217</v>
      </c>
      <c r="C56" s="13" t="s">
        <v>217</v>
      </c>
      <c r="D56" s="14" t="s">
        <v>707</v>
      </c>
      <c r="E56" s="13" t="s">
        <v>895</v>
      </c>
      <c r="F56" s="13" t="s">
        <v>896</v>
      </c>
    </row>
    <row r="57" spans="1:6" ht="92.1" customHeight="1" x14ac:dyDescent="0.5">
      <c r="A57" s="16" t="s">
        <v>897</v>
      </c>
      <c r="B57" s="16" t="s">
        <v>217</v>
      </c>
      <c r="C57" s="16" t="s">
        <v>217</v>
      </c>
      <c r="D57" s="14" t="s">
        <v>707</v>
      </c>
      <c r="E57" s="16" t="s">
        <v>898</v>
      </c>
      <c r="F57" s="16"/>
    </row>
    <row r="58" spans="1:6" ht="92.1" customHeight="1" x14ac:dyDescent="0.5">
      <c r="A58" s="13" t="s">
        <v>899</v>
      </c>
      <c r="B58" s="13" t="s">
        <v>217</v>
      </c>
      <c r="C58" s="13" t="s">
        <v>217</v>
      </c>
      <c r="D58" s="14" t="s">
        <v>707</v>
      </c>
      <c r="E58" s="13" t="s">
        <v>900</v>
      </c>
      <c r="F58" s="13" t="s">
        <v>901</v>
      </c>
    </row>
    <row r="59" spans="1:6" ht="92.1" customHeight="1" x14ac:dyDescent="0.5">
      <c r="A59" s="16" t="s">
        <v>902</v>
      </c>
      <c r="B59" s="16" t="s">
        <v>217</v>
      </c>
      <c r="C59" s="16" t="s">
        <v>903</v>
      </c>
      <c r="D59" s="14" t="s">
        <v>707</v>
      </c>
      <c r="E59" s="16" t="s">
        <v>904</v>
      </c>
      <c r="F59" s="16" t="s">
        <v>905</v>
      </c>
    </row>
    <row r="60" spans="1:6" ht="92.1" customHeight="1" x14ac:dyDescent="0.5">
      <c r="A60" s="13" t="s">
        <v>906</v>
      </c>
      <c r="B60" s="13" t="s">
        <v>217</v>
      </c>
      <c r="C60" s="13" t="s">
        <v>903</v>
      </c>
      <c r="D60" s="14" t="s">
        <v>707</v>
      </c>
      <c r="E60" s="13" t="s">
        <v>907</v>
      </c>
      <c r="F60" s="13" t="s">
        <v>908</v>
      </c>
    </row>
    <row r="61" spans="1:6" ht="92.1" customHeight="1" x14ac:dyDescent="0.5">
      <c r="A61" s="16" t="s">
        <v>909</v>
      </c>
      <c r="B61" s="16" t="s">
        <v>219</v>
      </c>
      <c r="C61" s="16" t="s">
        <v>219</v>
      </c>
      <c r="D61" s="14" t="s">
        <v>707</v>
      </c>
      <c r="E61" s="16" t="s">
        <v>910</v>
      </c>
      <c r="F61" s="16" t="s">
        <v>911</v>
      </c>
    </row>
    <row r="62" spans="1:6" ht="92.1" customHeight="1" x14ac:dyDescent="0.5">
      <c r="A62" s="13" t="s">
        <v>912</v>
      </c>
      <c r="B62" s="13" t="s">
        <v>913</v>
      </c>
      <c r="C62" s="13" t="s">
        <v>914</v>
      </c>
      <c r="D62" s="15" t="s">
        <v>915</v>
      </c>
      <c r="E62" s="13" t="s">
        <v>916</v>
      </c>
      <c r="F62" s="13" t="s">
        <v>917</v>
      </c>
    </row>
    <row r="63" spans="1:6" ht="92.1" customHeight="1" x14ac:dyDescent="0.5">
      <c r="A63" s="16" t="s">
        <v>918</v>
      </c>
      <c r="B63" s="16" t="s">
        <v>913</v>
      </c>
      <c r="C63" s="16" t="s">
        <v>919</v>
      </c>
      <c r="D63" s="15" t="s">
        <v>274</v>
      </c>
      <c r="E63" s="16" t="s">
        <v>920</v>
      </c>
      <c r="F63" s="16" t="s">
        <v>921</v>
      </c>
    </row>
    <row r="64" spans="1:6" ht="92.1" customHeight="1" x14ac:dyDescent="0.5">
      <c r="A64" s="13" t="s">
        <v>922</v>
      </c>
      <c r="B64" s="13" t="s">
        <v>398</v>
      </c>
      <c r="C64" s="13" t="s">
        <v>919</v>
      </c>
      <c r="D64" s="15" t="s">
        <v>274</v>
      </c>
      <c r="E64" s="13" t="s">
        <v>923</v>
      </c>
      <c r="F64" s="13" t="s">
        <v>924</v>
      </c>
    </row>
    <row r="65" spans="1:6" ht="92.1" customHeight="1" x14ac:dyDescent="0.5">
      <c r="A65" s="16" t="s">
        <v>925</v>
      </c>
      <c r="B65" s="16" t="s">
        <v>926</v>
      </c>
      <c r="C65" s="16" t="s">
        <v>741</v>
      </c>
      <c r="D65" s="14" t="s">
        <v>927</v>
      </c>
      <c r="E65" s="16" t="s">
        <v>928</v>
      </c>
      <c r="F65" s="16" t="s">
        <v>929</v>
      </c>
    </row>
    <row r="66" spans="1:6" ht="92.1" customHeight="1" x14ac:dyDescent="0.5">
      <c r="A66" s="13" t="s">
        <v>930</v>
      </c>
      <c r="B66" s="13" t="s">
        <v>931</v>
      </c>
      <c r="C66" s="13" t="s">
        <v>766</v>
      </c>
      <c r="D66" s="14" t="s">
        <v>707</v>
      </c>
      <c r="E66" s="13" t="s">
        <v>932</v>
      </c>
      <c r="F66" s="13" t="s">
        <v>933</v>
      </c>
    </row>
    <row r="67" spans="1:6" ht="92.1" customHeight="1" x14ac:dyDescent="0.5">
      <c r="A67" s="16" t="s">
        <v>934</v>
      </c>
      <c r="B67" s="16" t="s">
        <v>931</v>
      </c>
      <c r="C67" s="16" t="s">
        <v>782</v>
      </c>
      <c r="D67" s="14" t="s">
        <v>707</v>
      </c>
      <c r="E67" s="16" t="s">
        <v>935</v>
      </c>
      <c r="F67" s="16" t="s">
        <v>936</v>
      </c>
    </row>
    <row r="68" spans="1:6" ht="92.1" customHeight="1" x14ac:dyDescent="0.5">
      <c r="A68" s="13" t="s">
        <v>937</v>
      </c>
      <c r="B68" s="13" t="s">
        <v>938</v>
      </c>
      <c r="C68" s="13" t="s">
        <v>939</v>
      </c>
      <c r="D68" s="14" t="s">
        <v>707</v>
      </c>
      <c r="E68" s="13" t="s">
        <v>940</v>
      </c>
      <c r="F68" s="13" t="s">
        <v>941</v>
      </c>
    </row>
    <row r="69" spans="1:6" ht="92.1" customHeight="1" x14ac:dyDescent="0.5">
      <c r="A69" s="16" t="s">
        <v>942</v>
      </c>
      <c r="B69" s="16" t="s">
        <v>938</v>
      </c>
      <c r="C69" s="16" t="s">
        <v>219</v>
      </c>
      <c r="D69" s="14" t="s">
        <v>943</v>
      </c>
      <c r="E69" s="16" t="s">
        <v>944</v>
      </c>
      <c r="F69" s="16" t="s">
        <v>945</v>
      </c>
    </row>
    <row r="70" spans="1:6" ht="92.1" customHeight="1" x14ac:dyDescent="0.5">
      <c r="A70" s="13" t="s">
        <v>946</v>
      </c>
      <c r="B70" s="13" t="s">
        <v>938</v>
      </c>
      <c r="C70" s="13" t="s">
        <v>220</v>
      </c>
      <c r="D70" s="14" t="s">
        <v>707</v>
      </c>
      <c r="E70" s="13" t="s">
        <v>947</v>
      </c>
      <c r="F70" s="13" t="s">
        <v>948</v>
      </c>
    </row>
    <row r="71" spans="1:6" ht="92.1" customHeight="1" x14ac:dyDescent="0.5">
      <c r="A71" s="16" t="s">
        <v>949</v>
      </c>
      <c r="B71" s="16" t="s">
        <v>950</v>
      </c>
      <c r="C71" s="16" t="s">
        <v>706</v>
      </c>
      <c r="D71" s="14" t="s">
        <v>707</v>
      </c>
      <c r="E71" s="16" t="s">
        <v>951</v>
      </c>
      <c r="F71" s="16" t="s">
        <v>952</v>
      </c>
    </row>
    <row r="72" spans="1:6" ht="92.1" customHeight="1" x14ac:dyDescent="0.5">
      <c r="A72" s="13" t="s">
        <v>953</v>
      </c>
      <c r="B72" s="13" t="s">
        <v>954</v>
      </c>
      <c r="C72" s="13" t="s">
        <v>706</v>
      </c>
      <c r="D72" s="14" t="s">
        <v>707</v>
      </c>
      <c r="E72" s="13" t="s">
        <v>955</v>
      </c>
      <c r="F72" s="13" t="s">
        <v>956</v>
      </c>
    </row>
    <row r="73" spans="1:6" ht="92.1" customHeight="1" x14ac:dyDescent="0.5">
      <c r="A73" s="16" t="s">
        <v>957</v>
      </c>
      <c r="B73" s="16" t="s">
        <v>958</v>
      </c>
      <c r="C73" s="16" t="s">
        <v>706</v>
      </c>
      <c r="D73" s="14" t="s">
        <v>712</v>
      </c>
      <c r="E73" s="16" t="s">
        <v>959</v>
      </c>
      <c r="F73" s="16" t="s">
        <v>960</v>
      </c>
    </row>
    <row r="74" spans="1:6" ht="92.1" customHeight="1" x14ac:dyDescent="0.5">
      <c r="A74" s="13" t="s">
        <v>961</v>
      </c>
      <c r="B74" s="13" t="s">
        <v>958</v>
      </c>
      <c r="C74" s="13" t="s">
        <v>962</v>
      </c>
      <c r="D74" s="14" t="s">
        <v>712</v>
      </c>
      <c r="E74" s="13" t="s">
        <v>963</v>
      </c>
      <c r="F74" s="13" t="s">
        <v>964</v>
      </c>
    </row>
    <row r="75" spans="1:6" ht="92.1" customHeight="1" x14ac:dyDescent="0.5">
      <c r="A75" s="16" t="s">
        <v>965</v>
      </c>
      <c r="B75" s="16" t="s">
        <v>958</v>
      </c>
      <c r="C75" s="16" t="s">
        <v>799</v>
      </c>
      <c r="D75" s="14" t="s">
        <v>707</v>
      </c>
      <c r="E75" s="16" t="s">
        <v>966</v>
      </c>
      <c r="F75" s="16" t="s">
        <v>967</v>
      </c>
    </row>
    <row r="76" spans="1:6" ht="92.1" customHeight="1" x14ac:dyDescent="0.5">
      <c r="A76" s="13" t="s">
        <v>968</v>
      </c>
      <c r="B76" s="13" t="s">
        <v>958</v>
      </c>
      <c r="C76" s="13" t="s">
        <v>219</v>
      </c>
      <c r="D76" s="14" t="s">
        <v>712</v>
      </c>
      <c r="E76" s="13" t="s">
        <v>969</v>
      </c>
      <c r="F76" s="13" t="s">
        <v>964</v>
      </c>
    </row>
    <row r="77" spans="1:6" ht="92.1" customHeight="1" x14ac:dyDescent="0.5">
      <c r="A77" s="16" t="s">
        <v>970</v>
      </c>
      <c r="B77" s="16" t="s">
        <v>958</v>
      </c>
      <c r="C77" s="16" t="s">
        <v>220</v>
      </c>
      <c r="D77" s="14" t="s">
        <v>712</v>
      </c>
      <c r="E77" s="16" t="s">
        <v>971</v>
      </c>
      <c r="F77" s="16" t="s">
        <v>972</v>
      </c>
    </row>
    <row r="78" spans="1:6" ht="92.1" customHeight="1" x14ac:dyDescent="0.5">
      <c r="A78" s="13" t="s">
        <v>973</v>
      </c>
      <c r="B78" s="13" t="s">
        <v>974</v>
      </c>
      <c r="C78" s="13" t="s">
        <v>706</v>
      </c>
      <c r="D78" s="14" t="s">
        <v>707</v>
      </c>
      <c r="E78" s="13" t="s">
        <v>975</v>
      </c>
      <c r="F78" s="13" t="s">
        <v>976</v>
      </c>
    </row>
    <row r="79" spans="1:6" ht="92.1" customHeight="1" x14ac:dyDescent="0.5">
      <c r="A79" s="16" t="s">
        <v>977</v>
      </c>
      <c r="B79" s="16" t="s">
        <v>978</v>
      </c>
      <c r="C79" s="16" t="s">
        <v>979</v>
      </c>
      <c r="D79" s="14" t="s">
        <v>707</v>
      </c>
      <c r="E79" s="16" t="s">
        <v>980</v>
      </c>
      <c r="F79" s="16" t="s">
        <v>981</v>
      </c>
    </row>
    <row r="80" spans="1:6" ht="92.1" customHeight="1" x14ac:dyDescent="0.5">
      <c r="A80" s="13" t="s">
        <v>982</v>
      </c>
      <c r="B80" s="13" t="s">
        <v>978</v>
      </c>
      <c r="C80" s="13" t="s">
        <v>706</v>
      </c>
      <c r="D80" s="14" t="s">
        <v>707</v>
      </c>
      <c r="E80" s="13" t="s">
        <v>983</v>
      </c>
      <c r="F80" s="13" t="s">
        <v>984</v>
      </c>
    </row>
    <row r="81" spans="1:6" ht="92.1" customHeight="1" x14ac:dyDescent="0.5">
      <c r="A81" s="16" t="s">
        <v>985</v>
      </c>
      <c r="B81" s="16" t="s">
        <v>986</v>
      </c>
      <c r="C81" s="16" t="s">
        <v>706</v>
      </c>
      <c r="D81" s="14" t="s">
        <v>987</v>
      </c>
      <c r="E81" s="16" t="s">
        <v>988</v>
      </c>
      <c r="F81" s="16" t="s">
        <v>989</v>
      </c>
    </row>
    <row r="82" spans="1:6" ht="92.1" customHeight="1" x14ac:dyDescent="0.5">
      <c r="A82" s="13" t="s">
        <v>990</v>
      </c>
      <c r="B82" s="13" t="s">
        <v>986</v>
      </c>
      <c r="C82" s="13" t="s">
        <v>706</v>
      </c>
      <c r="D82" s="14" t="s">
        <v>991</v>
      </c>
      <c r="E82" s="13" t="s">
        <v>992</v>
      </c>
      <c r="F82" s="13" t="s">
        <v>993</v>
      </c>
    </row>
    <row r="83" spans="1:6" ht="92.1" customHeight="1" x14ac:dyDescent="0.5">
      <c r="A83" s="16" t="s">
        <v>994</v>
      </c>
      <c r="B83" s="16" t="s">
        <v>986</v>
      </c>
      <c r="C83" s="16" t="s">
        <v>706</v>
      </c>
      <c r="D83" s="15" t="s">
        <v>995</v>
      </c>
      <c r="E83" s="16" t="s">
        <v>996</v>
      </c>
      <c r="F83" s="16" t="s">
        <v>997</v>
      </c>
    </row>
    <row r="84" spans="1:6" ht="92.1" customHeight="1" x14ac:dyDescent="0.5">
      <c r="A84" s="13" t="s">
        <v>998</v>
      </c>
      <c r="B84" s="13" t="s">
        <v>220</v>
      </c>
      <c r="C84" s="13" t="s">
        <v>999</v>
      </c>
      <c r="D84" s="14" t="s">
        <v>707</v>
      </c>
      <c r="E84" s="13" t="s">
        <v>1000</v>
      </c>
      <c r="F84" s="13" t="s">
        <v>1001</v>
      </c>
    </row>
    <row r="85" spans="1:6" ht="92.1" customHeight="1" x14ac:dyDescent="0.5">
      <c r="A85" s="16" t="s">
        <v>1002</v>
      </c>
      <c r="B85" s="16" t="s">
        <v>220</v>
      </c>
      <c r="C85" s="16" t="s">
        <v>220</v>
      </c>
      <c r="D85" s="14" t="s">
        <v>707</v>
      </c>
      <c r="E85" s="16" t="s">
        <v>1003</v>
      </c>
      <c r="F85" s="16" t="s">
        <v>1004</v>
      </c>
    </row>
    <row r="86" spans="1:6" ht="92.1" customHeight="1" x14ac:dyDescent="0.5">
      <c r="A86" s="13" t="s">
        <v>1005</v>
      </c>
      <c r="B86" s="13" t="s">
        <v>218</v>
      </c>
      <c r="C86" s="13" t="s">
        <v>218</v>
      </c>
      <c r="D86" s="14" t="s">
        <v>817</v>
      </c>
      <c r="E86" s="13" t="s">
        <v>1006</v>
      </c>
      <c r="F86" s="13" t="s">
        <v>1007</v>
      </c>
    </row>
    <row r="87" spans="1:6" ht="92.1" customHeight="1" x14ac:dyDescent="0.5">
      <c r="A87" s="16" t="s">
        <v>1008</v>
      </c>
      <c r="B87" s="16" t="s">
        <v>218</v>
      </c>
      <c r="C87" s="16" t="s">
        <v>218</v>
      </c>
      <c r="D87" s="14" t="s">
        <v>1009</v>
      </c>
      <c r="E87" s="16" t="s">
        <v>1010</v>
      </c>
      <c r="F87" s="16" t="s">
        <v>1011</v>
      </c>
    </row>
    <row r="88" spans="1:6" ht="92.1" customHeight="1" x14ac:dyDescent="0.5">
      <c r="A88" s="13" t="s">
        <v>1012</v>
      </c>
      <c r="B88" s="13" t="s">
        <v>218</v>
      </c>
      <c r="C88" s="13" t="s">
        <v>218</v>
      </c>
      <c r="D88" s="15" t="s">
        <v>1013</v>
      </c>
      <c r="E88" s="13" t="s">
        <v>1014</v>
      </c>
      <c r="F88" s="13" t="s">
        <v>1015</v>
      </c>
    </row>
    <row r="89" spans="1:6" ht="92.1" customHeight="1" x14ac:dyDescent="0.5">
      <c r="A89" s="16" t="s">
        <v>1016</v>
      </c>
      <c r="B89" s="16" t="s">
        <v>218</v>
      </c>
      <c r="C89" s="16" t="s">
        <v>218</v>
      </c>
      <c r="D89" s="14" t="s">
        <v>817</v>
      </c>
      <c r="E89" s="16" t="s">
        <v>1017</v>
      </c>
      <c r="F89" s="16" t="s">
        <v>1018</v>
      </c>
    </row>
    <row r="90" spans="1:6" ht="92.1" customHeight="1" x14ac:dyDescent="0.5">
      <c r="A90" s="13" t="s">
        <v>1019</v>
      </c>
      <c r="B90" s="13" t="s">
        <v>218</v>
      </c>
      <c r="C90" s="13" t="s">
        <v>218</v>
      </c>
      <c r="D90" s="14" t="s">
        <v>817</v>
      </c>
      <c r="E90" s="13" t="s">
        <v>1020</v>
      </c>
      <c r="F90" s="13" t="s">
        <v>1021</v>
      </c>
    </row>
    <row r="91" spans="1:6" ht="92.1" customHeight="1" x14ac:dyDescent="0.5">
      <c r="A91" s="16" t="s">
        <v>1022</v>
      </c>
      <c r="B91" s="16" t="s">
        <v>218</v>
      </c>
      <c r="C91" s="16" t="s">
        <v>218</v>
      </c>
      <c r="D91" s="15" t="s">
        <v>1013</v>
      </c>
      <c r="E91" s="16" t="s">
        <v>1023</v>
      </c>
      <c r="F91" s="16" t="s">
        <v>1024</v>
      </c>
    </row>
    <row r="92" spans="1:6" ht="92.1" customHeight="1" x14ac:dyDescent="0.5">
      <c r="A92" s="13" t="s">
        <v>1025</v>
      </c>
      <c r="B92" s="13" t="s">
        <v>218</v>
      </c>
      <c r="C92" s="13" t="s">
        <v>218</v>
      </c>
      <c r="D92" s="14" t="s">
        <v>1026</v>
      </c>
      <c r="E92" s="13" t="s">
        <v>1027</v>
      </c>
      <c r="F92" s="13" t="s">
        <v>1028</v>
      </c>
    </row>
    <row r="93" spans="1:6" ht="92.1" customHeight="1" x14ac:dyDescent="0.5">
      <c r="A93" s="16" t="s">
        <v>1029</v>
      </c>
      <c r="B93" s="16" t="s">
        <v>1030</v>
      </c>
      <c r="C93" s="16" t="s">
        <v>706</v>
      </c>
      <c r="D93" s="14" t="s">
        <v>1031</v>
      </c>
      <c r="E93" s="16" t="s">
        <v>1032</v>
      </c>
      <c r="F93" s="16" t="s">
        <v>1033</v>
      </c>
    </row>
    <row r="94" spans="1:6" ht="92.1" customHeight="1" x14ac:dyDescent="0.5">
      <c r="A94" s="13" t="s">
        <v>1034</v>
      </c>
      <c r="B94" s="13" t="s">
        <v>1030</v>
      </c>
      <c r="C94" s="13" t="s">
        <v>733</v>
      </c>
      <c r="D94" s="14" t="s">
        <v>817</v>
      </c>
      <c r="E94" s="13" t="s">
        <v>1035</v>
      </c>
      <c r="F94" s="13" t="s">
        <v>1036</v>
      </c>
    </row>
    <row r="95" spans="1:6" ht="92.1" customHeight="1" x14ac:dyDescent="0.5">
      <c r="A95" s="16" t="s">
        <v>1037</v>
      </c>
      <c r="B95" s="16" t="s">
        <v>1038</v>
      </c>
      <c r="C95" s="16" t="s">
        <v>1039</v>
      </c>
      <c r="D95" s="14" t="s">
        <v>44</v>
      </c>
      <c r="E95" s="16" t="s">
        <v>1040</v>
      </c>
      <c r="F95" s="16" t="s">
        <v>1041</v>
      </c>
    </row>
    <row r="96" spans="1:6" ht="92.1" customHeight="1" x14ac:dyDescent="0.5">
      <c r="A96" s="13" t="s">
        <v>1042</v>
      </c>
      <c r="B96" s="13" t="s">
        <v>1043</v>
      </c>
      <c r="C96" s="13" t="s">
        <v>766</v>
      </c>
      <c r="D96" s="15" t="s">
        <v>762</v>
      </c>
      <c r="E96" s="13" t="s">
        <v>1044</v>
      </c>
      <c r="F96" s="13" t="s">
        <v>1045</v>
      </c>
    </row>
    <row r="97" spans="1:6" ht="92.1" customHeight="1" x14ac:dyDescent="0.5">
      <c r="A97" s="16" t="s">
        <v>1046</v>
      </c>
      <c r="B97" s="16" t="s">
        <v>1043</v>
      </c>
      <c r="C97" s="16" t="s">
        <v>706</v>
      </c>
      <c r="D97" s="14" t="s">
        <v>1047</v>
      </c>
      <c r="E97" s="16" t="s">
        <v>1048</v>
      </c>
      <c r="F97" s="16" t="s">
        <v>1049</v>
      </c>
    </row>
  </sheetData>
  <autoFilter ref="A5:F97" xr:uid="{00000000-0009-0000-0000-000003000000}"/>
  <mergeCells count="2">
    <mergeCell ref="A1:F1"/>
    <mergeCell ref="A2:F3"/>
  </mergeCells>
  <pageMargins left="0.3" right="0.3" top="0.4" bottom="0.4" header="0.3" footer="0.3"/>
  <pageSetup paperSize="8" fitToHeight="0" orientation="landscape"/>
  <headerFooter>
    <oddFooter>&amp;LHARBORLIGHT — projekt zasad, bez wdrożenia&amp;R&amp;P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6D75"/>
    <pageSetUpPr fitToPage="1"/>
  </sheetPr>
  <dimension ref="A1:U42"/>
  <sheetViews>
    <sheetView showGridLines="0" zoomScale="70" zoomScaleNormal="70" workbookViewId="0">
      <pane xSplit="1" ySplit="5" topLeftCell="B6" activePane="bottomRight" state="frozen"/>
      <selection pane="topRight" activeCell="B1" sqref="B1"/>
      <selection pane="bottomLeft" activeCell="A6" sqref="A6"/>
      <selection pane="bottomRight" sqref="A1:U1"/>
    </sheetView>
  </sheetViews>
  <sheetFormatPr defaultRowHeight="14.4" x14ac:dyDescent="0.3"/>
  <cols>
    <col min="1" max="1" width="19.6640625" customWidth="1"/>
    <col min="2" max="2" width="12.6640625" customWidth="1"/>
    <col min="3" max="4" width="10.6640625" customWidth="1"/>
    <col min="5" max="5" width="16.6640625" customWidth="1"/>
    <col min="6" max="6" width="21.6640625" customWidth="1"/>
    <col min="7" max="7" width="14.6640625" customWidth="1"/>
    <col min="8" max="8" width="20.6640625" customWidth="1"/>
    <col min="9" max="14" width="13.6640625" customWidth="1"/>
    <col min="15" max="15" width="23.6640625" customWidth="1"/>
    <col min="16" max="16" width="21.6640625" customWidth="1"/>
    <col min="17" max="17" width="16.6640625" customWidth="1"/>
    <col min="18" max="18" width="23.6640625" customWidth="1"/>
    <col min="19" max="19" width="25.6640625" customWidth="1"/>
    <col min="20" max="20" width="45.6640625" customWidth="1"/>
    <col min="21" max="21" width="105.6640625" customWidth="1"/>
  </cols>
  <sheetData>
    <row r="1" spans="1:21" ht="33.9" customHeight="1" x14ac:dyDescent="0.3">
      <c r="A1" s="19" t="s">
        <v>181</v>
      </c>
      <c r="B1" s="19"/>
      <c r="C1" s="19"/>
      <c r="D1" s="19"/>
      <c r="E1" s="19"/>
      <c r="F1" s="19"/>
      <c r="G1" s="19"/>
      <c r="H1" s="19"/>
      <c r="I1" s="19"/>
      <c r="J1" s="19"/>
      <c r="K1" s="19"/>
      <c r="L1" s="19"/>
      <c r="M1" s="19"/>
      <c r="N1" s="19"/>
      <c r="O1" s="19"/>
      <c r="P1" s="19"/>
      <c r="Q1" s="19"/>
      <c r="R1" s="19"/>
      <c r="S1" s="19"/>
      <c r="T1" s="19"/>
      <c r="U1" s="19"/>
    </row>
    <row r="2" spans="1:21" ht="24.9" customHeight="1" x14ac:dyDescent="0.3">
      <c r="A2" s="20" t="s">
        <v>182</v>
      </c>
      <c r="B2" s="20"/>
      <c r="C2" s="20"/>
      <c r="D2" s="20"/>
      <c r="E2" s="20"/>
      <c r="F2" s="20"/>
      <c r="G2" s="20"/>
      <c r="H2" s="20"/>
      <c r="I2" s="20"/>
      <c r="J2" s="20"/>
      <c r="K2" s="20"/>
      <c r="L2" s="20"/>
      <c r="M2" s="20"/>
      <c r="N2" s="20"/>
      <c r="O2" s="20"/>
      <c r="P2" s="20"/>
      <c r="Q2" s="20"/>
      <c r="R2" s="20"/>
      <c r="S2" s="20"/>
      <c r="T2" s="20"/>
      <c r="U2" s="20"/>
    </row>
    <row r="3" spans="1:21" ht="24.9" customHeight="1" x14ac:dyDescent="0.3">
      <c r="A3" s="20"/>
      <c r="B3" s="20"/>
      <c r="C3" s="20"/>
      <c r="D3" s="20"/>
      <c r="E3" s="20"/>
      <c r="F3" s="20"/>
      <c r="G3" s="20"/>
      <c r="H3" s="20"/>
      <c r="I3" s="20"/>
      <c r="J3" s="20"/>
      <c r="K3" s="20"/>
      <c r="L3" s="20"/>
      <c r="M3" s="20"/>
      <c r="N3" s="20"/>
      <c r="O3" s="20"/>
      <c r="P3" s="20"/>
      <c r="Q3" s="20"/>
      <c r="R3" s="20"/>
      <c r="S3" s="20"/>
      <c r="T3" s="20"/>
      <c r="U3" s="20"/>
    </row>
    <row r="5" spans="1:21" ht="48" customHeight="1" x14ac:dyDescent="0.3">
      <c r="A5" s="1" t="s">
        <v>183</v>
      </c>
      <c r="B5" s="1" t="s">
        <v>184</v>
      </c>
      <c r="C5" s="1" t="s">
        <v>185</v>
      </c>
      <c r="D5" s="1" t="s">
        <v>186</v>
      </c>
      <c r="E5" s="1" t="s">
        <v>187</v>
      </c>
      <c r="F5" s="1" t="s">
        <v>188</v>
      </c>
      <c r="G5" s="1" t="s">
        <v>189</v>
      </c>
      <c r="H5" s="1" t="s">
        <v>190</v>
      </c>
      <c r="I5" s="1" t="s">
        <v>191</v>
      </c>
      <c r="J5" s="1" t="s">
        <v>192</v>
      </c>
      <c r="K5" s="1" t="s">
        <v>193</v>
      </c>
      <c r="L5" s="1" t="s">
        <v>194</v>
      </c>
      <c r="M5" s="1" t="s">
        <v>195</v>
      </c>
      <c r="N5" s="1" t="s">
        <v>196</v>
      </c>
      <c r="O5" s="1" t="s">
        <v>197</v>
      </c>
      <c r="P5" s="1" t="s">
        <v>198</v>
      </c>
      <c r="Q5" s="1" t="s">
        <v>199</v>
      </c>
      <c r="R5" s="1" t="s">
        <v>200</v>
      </c>
      <c r="S5" s="1" t="s">
        <v>201</v>
      </c>
      <c r="T5" s="1" t="s">
        <v>202</v>
      </c>
      <c r="U5" s="1" t="s">
        <v>203</v>
      </c>
    </row>
    <row r="6" spans="1:21" ht="65.099999999999994" customHeight="1" x14ac:dyDescent="0.3">
      <c r="A6" s="2" t="s">
        <v>204</v>
      </c>
      <c r="B6" s="2" t="s">
        <v>205</v>
      </c>
      <c r="C6" s="6">
        <v>1</v>
      </c>
      <c r="D6" s="7">
        <f t="shared" ref="D6:D42" si="0">C6+1</f>
        <v>2</v>
      </c>
      <c r="E6" s="6">
        <v>1</v>
      </c>
      <c r="F6" s="6">
        <v>1</v>
      </c>
      <c r="G6" s="7">
        <f>Parametry!$C$12</f>
        <v>6</v>
      </c>
      <c r="H6" s="6">
        <f>Parametry!$C$9*IF(Parametry!$C$11="Składany",Parametry!$C$10^(F6-1),1+(Parametry!$C$10-1)*(F6-1))</f>
        <v>60</v>
      </c>
      <c r="I6" s="7">
        <f>Parametry!$C$31*MAX(1,C6)</f>
        <v>500</v>
      </c>
      <c r="J6" s="7">
        <f>Parametry!$C$31*MAX(1,C6)</f>
        <v>500</v>
      </c>
      <c r="K6" s="7">
        <f>Parametry!$C$31*MAX(1,C6)</f>
        <v>500</v>
      </c>
      <c r="L6" s="7">
        <f>Parametry!$C$31*MAX(1,C6)</f>
        <v>500</v>
      </c>
      <c r="M6" s="7">
        <f>Parametry!$C$31*MAX(1,C6)</f>
        <v>500</v>
      </c>
      <c r="N6" s="7">
        <f>Parametry!$C$31*MAX(1,C6)</f>
        <v>500</v>
      </c>
      <c r="O6" s="7">
        <f t="shared" ref="O6:O42" si="1">SUM(J6:N6)</f>
        <v>2500</v>
      </c>
      <c r="P6" s="8">
        <f t="shared" ref="P6:P42" si="2">ROUNDUP(O6/G6,0)/H6</f>
        <v>6.95</v>
      </c>
      <c r="Q6" s="7">
        <f>Parametry!$C$32</f>
        <v>3</v>
      </c>
      <c r="R6" s="8">
        <f t="shared" ref="R6:R42" si="3">(Q6-1)*P6</f>
        <v>13.9</v>
      </c>
      <c r="S6" s="8">
        <f t="shared" ref="S6:S42" si="4">Q6*P6</f>
        <v>20.85</v>
      </c>
      <c r="T6" s="5" t="s">
        <v>206</v>
      </c>
      <c r="U6" s="2" t="s">
        <v>207</v>
      </c>
    </row>
    <row r="7" spans="1:21" ht="65.099999999999994" customHeight="1" x14ac:dyDescent="0.3">
      <c r="A7" s="3" t="s">
        <v>204</v>
      </c>
      <c r="B7" s="3" t="s">
        <v>208</v>
      </c>
      <c r="C7" s="6">
        <v>2</v>
      </c>
      <c r="D7" s="7">
        <f t="shared" si="0"/>
        <v>3</v>
      </c>
      <c r="E7" s="6">
        <v>2</v>
      </c>
      <c r="F7" s="6">
        <v>2</v>
      </c>
      <c r="G7" s="7">
        <f>Parametry!$C$12</f>
        <v>6</v>
      </c>
      <c r="H7" s="6">
        <f>Parametry!$C$9*IF(Parametry!$C$11="Składany",Parametry!$C$10^(F7-1),1+(Parametry!$C$10-1)*(F7-1))</f>
        <v>66</v>
      </c>
      <c r="I7" s="7">
        <f>Parametry!$C$31*MAX(1,C7)</f>
        <v>1000</v>
      </c>
      <c r="J7" s="7">
        <f>Parametry!$C$31*MAX(1,C7)</f>
        <v>1000</v>
      </c>
      <c r="K7" s="7">
        <f>Parametry!$C$31*MAX(1,C7)</f>
        <v>1000</v>
      </c>
      <c r="L7" s="7">
        <f>Parametry!$C$31*MAX(1,C7)</f>
        <v>1000</v>
      </c>
      <c r="M7" s="7">
        <f>Parametry!$C$31*MAX(1,C7)</f>
        <v>1000</v>
      </c>
      <c r="N7" s="7">
        <f>Parametry!$C$31*MAX(1,C7)</f>
        <v>1000</v>
      </c>
      <c r="O7" s="7">
        <f t="shared" si="1"/>
        <v>5000</v>
      </c>
      <c r="P7" s="8">
        <f t="shared" si="2"/>
        <v>12.636363636363637</v>
      </c>
      <c r="Q7" s="7">
        <f>Parametry!$C$32</f>
        <v>3</v>
      </c>
      <c r="R7" s="8">
        <f t="shared" si="3"/>
        <v>25.272727272727273</v>
      </c>
      <c r="S7" s="8">
        <f t="shared" si="4"/>
        <v>37.909090909090907</v>
      </c>
      <c r="T7" s="5" t="s">
        <v>206</v>
      </c>
      <c r="U7" s="3" t="s">
        <v>207</v>
      </c>
    </row>
    <row r="8" spans="1:21" ht="65.099999999999994" customHeight="1" x14ac:dyDescent="0.3">
      <c r="A8" s="2" t="s">
        <v>204</v>
      </c>
      <c r="B8" s="2" t="s">
        <v>209</v>
      </c>
      <c r="C8" s="6">
        <v>3</v>
      </c>
      <c r="D8" s="7">
        <f t="shared" si="0"/>
        <v>4</v>
      </c>
      <c r="E8" s="6">
        <v>3</v>
      </c>
      <c r="F8" s="6">
        <v>3</v>
      </c>
      <c r="G8" s="7">
        <f>Parametry!$C$12</f>
        <v>6</v>
      </c>
      <c r="H8" s="6">
        <f>Parametry!$C$9*IF(Parametry!$C$11="Składany",Parametry!$C$10^(F8-1),1+(Parametry!$C$10-1)*(F8-1))</f>
        <v>72.600000000000009</v>
      </c>
      <c r="I8" s="7">
        <f>Parametry!$C$31*MAX(1,C8)</f>
        <v>1500</v>
      </c>
      <c r="J8" s="7">
        <f>Parametry!$C$31*MAX(1,C8)</f>
        <v>1500</v>
      </c>
      <c r="K8" s="7">
        <f>Parametry!$C$31*MAX(1,C8)</f>
        <v>1500</v>
      </c>
      <c r="L8" s="7">
        <f>Parametry!$C$31*MAX(1,C8)</f>
        <v>1500</v>
      </c>
      <c r="M8" s="7">
        <f>Parametry!$C$31*MAX(1,C8)</f>
        <v>1500</v>
      </c>
      <c r="N8" s="7">
        <f>Parametry!$C$31*MAX(1,C8)</f>
        <v>1500</v>
      </c>
      <c r="O8" s="7">
        <f t="shared" si="1"/>
        <v>7500</v>
      </c>
      <c r="P8" s="8">
        <f t="shared" si="2"/>
        <v>17.217630853994489</v>
      </c>
      <c r="Q8" s="7">
        <f>Parametry!$C$32</f>
        <v>3</v>
      </c>
      <c r="R8" s="8">
        <f t="shared" si="3"/>
        <v>34.435261707988978</v>
      </c>
      <c r="S8" s="8">
        <f t="shared" si="4"/>
        <v>51.652892561983464</v>
      </c>
      <c r="T8" s="5" t="s">
        <v>206</v>
      </c>
      <c r="U8" s="2" t="s">
        <v>207</v>
      </c>
    </row>
    <row r="9" spans="1:21" ht="65.099999999999994" customHeight="1" x14ac:dyDescent="0.3">
      <c r="A9" s="3" t="s">
        <v>210</v>
      </c>
      <c r="B9" s="3" t="s">
        <v>205</v>
      </c>
      <c r="C9" s="6">
        <v>1</v>
      </c>
      <c r="D9" s="7">
        <f t="shared" si="0"/>
        <v>2</v>
      </c>
      <c r="E9" s="6">
        <v>2</v>
      </c>
      <c r="F9" s="6">
        <v>1</v>
      </c>
      <c r="G9" s="7">
        <f>Parametry!$C$12</f>
        <v>6</v>
      </c>
      <c r="H9" s="6">
        <f>Parametry!$C$9*IF(Parametry!$C$11="Składany",Parametry!$C$10^(F9-1),1+(Parametry!$C$10-1)*(F9-1))</f>
        <v>60</v>
      </c>
      <c r="I9" s="7">
        <f>Parametry!$C$31*MAX(1,C9)</f>
        <v>500</v>
      </c>
      <c r="J9" s="7">
        <f>Parametry!$C$31*MAX(1,C9)</f>
        <v>500</v>
      </c>
      <c r="K9" s="7">
        <f>Parametry!$C$31*MAX(1,C9)</f>
        <v>500</v>
      </c>
      <c r="L9" s="7">
        <f>Parametry!$C$31*MAX(1,C9)</f>
        <v>500</v>
      </c>
      <c r="M9" s="7">
        <f>Parametry!$C$31*MAX(1,C9)</f>
        <v>500</v>
      </c>
      <c r="N9" s="7">
        <f>Parametry!$C$31*MAX(1,C9)</f>
        <v>500</v>
      </c>
      <c r="O9" s="7">
        <f t="shared" si="1"/>
        <v>2500</v>
      </c>
      <c r="P9" s="8">
        <f t="shared" si="2"/>
        <v>6.95</v>
      </c>
      <c r="Q9" s="7">
        <f>Parametry!$C$32</f>
        <v>3</v>
      </c>
      <c r="R9" s="8">
        <f t="shared" si="3"/>
        <v>13.9</v>
      </c>
      <c r="S9" s="8">
        <f t="shared" si="4"/>
        <v>20.85</v>
      </c>
      <c r="T9" s="5" t="s">
        <v>206</v>
      </c>
      <c r="U9" s="3" t="s">
        <v>207</v>
      </c>
    </row>
    <row r="10" spans="1:21" ht="65.099999999999994" customHeight="1" x14ac:dyDescent="0.3">
      <c r="A10" s="2" t="s">
        <v>210</v>
      </c>
      <c r="B10" s="2" t="s">
        <v>208</v>
      </c>
      <c r="C10" s="6">
        <v>2</v>
      </c>
      <c r="D10" s="7">
        <f t="shared" si="0"/>
        <v>3</v>
      </c>
      <c r="E10" s="6">
        <v>3</v>
      </c>
      <c r="F10" s="6">
        <v>2</v>
      </c>
      <c r="G10" s="7">
        <f>Parametry!$C$12</f>
        <v>6</v>
      </c>
      <c r="H10" s="6">
        <f>Parametry!$C$9*IF(Parametry!$C$11="Składany",Parametry!$C$10^(F10-1),1+(Parametry!$C$10-1)*(F10-1))</f>
        <v>66</v>
      </c>
      <c r="I10" s="7">
        <f>Parametry!$C$31*MAX(1,C10)</f>
        <v>1000</v>
      </c>
      <c r="J10" s="7">
        <f>Parametry!$C$31*MAX(1,C10)</f>
        <v>1000</v>
      </c>
      <c r="K10" s="7">
        <f>Parametry!$C$31*MAX(1,C10)</f>
        <v>1000</v>
      </c>
      <c r="L10" s="7">
        <f>Parametry!$C$31*MAX(1,C10)</f>
        <v>1000</v>
      </c>
      <c r="M10" s="7">
        <f>Parametry!$C$31*MAX(1,C10)</f>
        <v>1000</v>
      </c>
      <c r="N10" s="7">
        <f>Parametry!$C$31*MAX(1,C10)</f>
        <v>1000</v>
      </c>
      <c r="O10" s="7">
        <f t="shared" si="1"/>
        <v>5000</v>
      </c>
      <c r="P10" s="8">
        <f t="shared" si="2"/>
        <v>12.636363636363637</v>
      </c>
      <c r="Q10" s="7">
        <f>Parametry!$C$32</f>
        <v>3</v>
      </c>
      <c r="R10" s="8">
        <f t="shared" si="3"/>
        <v>25.272727272727273</v>
      </c>
      <c r="S10" s="8">
        <f t="shared" si="4"/>
        <v>37.909090909090907</v>
      </c>
      <c r="T10" s="5" t="s">
        <v>206</v>
      </c>
      <c r="U10" s="2" t="s">
        <v>207</v>
      </c>
    </row>
    <row r="11" spans="1:21" ht="65.099999999999994" customHeight="1" x14ac:dyDescent="0.3">
      <c r="A11" s="3" t="s">
        <v>210</v>
      </c>
      <c r="B11" s="3" t="s">
        <v>209</v>
      </c>
      <c r="C11" s="6">
        <v>3</v>
      </c>
      <c r="D11" s="7">
        <f t="shared" si="0"/>
        <v>4</v>
      </c>
      <c r="E11" s="6">
        <v>4</v>
      </c>
      <c r="F11" s="6">
        <v>3</v>
      </c>
      <c r="G11" s="7">
        <f>Parametry!$C$12</f>
        <v>6</v>
      </c>
      <c r="H11" s="6">
        <f>Parametry!$C$9*IF(Parametry!$C$11="Składany",Parametry!$C$10^(F11-1),1+(Parametry!$C$10-1)*(F11-1))</f>
        <v>72.600000000000009</v>
      </c>
      <c r="I11" s="7">
        <f>Parametry!$C$31*MAX(1,C11)</f>
        <v>1500</v>
      </c>
      <c r="J11" s="7">
        <f>Parametry!$C$31*MAX(1,C11)</f>
        <v>1500</v>
      </c>
      <c r="K11" s="7">
        <f>Parametry!$C$31*MAX(1,C11)</f>
        <v>1500</v>
      </c>
      <c r="L11" s="7">
        <f>Parametry!$C$31*MAX(1,C11)</f>
        <v>1500</v>
      </c>
      <c r="M11" s="7">
        <f>Parametry!$C$31*MAX(1,C11)</f>
        <v>1500</v>
      </c>
      <c r="N11" s="7">
        <f>Parametry!$C$31*MAX(1,C11)</f>
        <v>1500</v>
      </c>
      <c r="O11" s="7">
        <f t="shared" si="1"/>
        <v>7500</v>
      </c>
      <c r="P11" s="8">
        <f t="shared" si="2"/>
        <v>17.217630853994489</v>
      </c>
      <c r="Q11" s="7">
        <f>Parametry!$C$32</f>
        <v>3</v>
      </c>
      <c r="R11" s="8">
        <f t="shared" si="3"/>
        <v>34.435261707988978</v>
      </c>
      <c r="S11" s="8">
        <f t="shared" si="4"/>
        <v>51.652892561983464</v>
      </c>
      <c r="T11" s="5" t="s">
        <v>206</v>
      </c>
      <c r="U11" s="3" t="s">
        <v>207</v>
      </c>
    </row>
    <row r="12" spans="1:21" ht="65.099999999999994" customHeight="1" x14ac:dyDescent="0.3">
      <c r="A12" s="2" t="s">
        <v>211</v>
      </c>
      <c r="B12" s="2" t="s">
        <v>205</v>
      </c>
      <c r="C12" s="6">
        <v>1</v>
      </c>
      <c r="D12" s="7">
        <f t="shared" si="0"/>
        <v>2</v>
      </c>
      <c r="E12" s="6">
        <v>2</v>
      </c>
      <c r="F12" s="6">
        <v>1</v>
      </c>
      <c r="G12" s="7">
        <f>Parametry!$C$12</f>
        <v>6</v>
      </c>
      <c r="H12" s="6">
        <f>Parametry!$C$9*IF(Parametry!$C$11="Składany",Parametry!$C$10^(F12-1),1+(Parametry!$C$10-1)*(F12-1))</f>
        <v>60</v>
      </c>
      <c r="I12" s="7">
        <f>0</f>
        <v>0</v>
      </c>
      <c r="J12" s="7">
        <f>Parametry!$C$27*Parametry!$C$28*C12</f>
        <v>72</v>
      </c>
      <c r="K12" s="7">
        <f>Parametry!$C$27*Parametry!$C$29*C12</f>
        <v>72</v>
      </c>
      <c r="L12" s="7">
        <f>Parametry!$C$27*Parametry!$C$30*C12</f>
        <v>120</v>
      </c>
      <c r="M12" s="7">
        <f>0</f>
        <v>0</v>
      </c>
      <c r="N12" s="7">
        <f>0</f>
        <v>0</v>
      </c>
      <c r="O12" s="7">
        <f t="shared" si="1"/>
        <v>264</v>
      </c>
      <c r="P12" s="8">
        <f t="shared" si="2"/>
        <v>0.73333333333333328</v>
      </c>
      <c r="Q12" s="7">
        <f>Parametry!$C$33</f>
        <v>2</v>
      </c>
      <c r="R12" s="8">
        <f t="shared" si="3"/>
        <v>0.73333333333333328</v>
      </c>
      <c r="S12" s="8">
        <f t="shared" si="4"/>
        <v>1.4666666666666666</v>
      </c>
      <c r="T12" s="5" t="s">
        <v>206</v>
      </c>
      <c r="U12" s="2" t="s">
        <v>207</v>
      </c>
    </row>
    <row r="13" spans="1:21" ht="65.099999999999994" customHeight="1" x14ac:dyDescent="0.3">
      <c r="A13" s="3" t="s">
        <v>211</v>
      </c>
      <c r="B13" s="3" t="s">
        <v>208</v>
      </c>
      <c r="C13" s="6">
        <v>2</v>
      </c>
      <c r="D13" s="7">
        <f t="shared" si="0"/>
        <v>3</v>
      </c>
      <c r="E13" s="6">
        <v>3</v>
      </c>
      <c r="F13" s="6">
        <v>2</v>
      </c>
      <c r="G13" s="7">
        <f>Parametry!$C$12</f>
        <v>6</v>
      </c>
      <c r="H13" s="6">
        <f>Parametry!$C$9*IF(Parametry!$C$11="Składany",Parametry!$C$10^(F13-1),1+(Parametry!$C$10-1)*(F13-1))</f>
        <v>66</v>
      </c>
      <c r="I13" s="7">
        <f>0</f>
        <v>0</v>
      </c>
      <c r="J13" s="7">
        <f>Parametry!$C$27*Parametry!$C$28*C13</f>
        <v>144</v>
      </c>
      <c r="K13" s="7">
        <f>Parametry!$C$27*Parametry!$C$29*C13</f>
        <v>144</v>
      </c>
      <c r="L13" s="7">
        <f>Parametry!$C$27*Parametry!$C$30*C13</f>
        <v>240</v>
      </c>
      <c r="M13" s="7">
        <f>0</f>
        <v>0</v>
      </c>
      <c r="N13" s="7">
        <f>0</f>
        <v>0</v>
      </c>
      <c r="O13" s="7">
        <f t="shared" si="1"/>
        <v>528</v>
      </c>
      <c r="P13" s="8">
        <f t="shared" si="2"/>
        <v>1.3333333333333333</v>
      </c>
      <c r="Q13" s="7">
        <f>Parametry!$C$33</f>
        <v>2</v>
      </c>
      <c r="R13" s="8">
        <f t="shared" si="3"/>
        <v>1.3333333333333333</v>
      </c>
      <c r="S13" s="8">
        <f t="shared" si="4"/>
        <v>2.6666666666666665</v>
      </c>
      <c r="T13" s="5" t="s">
        <v>206</v>
      </c>
      <c r="U13" s="3" t="s">
        <v>207</v>
      </c>
    </row>
    <row r="14" spans="1:21" ht="65.099999999999994" customHeight="1" x14ac:dyDescent="0.3">
      <c r="A14" s="2" t="s">
        <v>211</v>
      </c>
      <c r="B14" s="2" t="s">
        <v>209</v>
      </c>
      <c r="C14" s="6">
        <v>3</v>
      </c>
      <c r="D14" s="7">
        <f t="shared" si="0"/>
        <v>4</v>
      </c>
      <c r="E14" s="6">
        <v>4</v>
      </c>
      <c r="F14" s="6">
        <v>3</v>
      </c>
      <c r="G14" s="7">
        <f>Parametry!$C$12</f>
        <v>6</v>
      </c>
      <c r="H14" s="6">
        <f>Parametry!$C$9*IF(Parametry!$C$11="Składany",Parametry!$C$10^(F14-1),1+(Parametry!$C$10-1)*(F14-1))</f>
        <v>72.600000000000009</v>
      </c>
      <c r="I14" s="7">
        <f>0</f>
        <v>0</v>
      </c>
      <c r="J14" s="7">
        <f>Parametry!$C$27*Parametry!$C$28*C14</f>
        <v>216</v>
      </c>
      <c r="K14" s="7">
        <f>Parametry!$C$27*Parametry!$C$29*C14</f>
        <v>216</v>
      </c>
      <c r="L14" s="7">
        <f>Parametry!$C$27*Parametry!$C$30*C14</f>
        <v>360</v>
      </c>
      <c r="M14" s="7">
        <f>0</f>
        <v>0</v>
      </c>
      <c r="N14" s="7">
        <f>0</f>
        <v>0</v>
      </c>
      <c r="O14" s="7">
        <f t="shared" si="1"/>
        <v>792</v>
      </c>
      <c r="P14" s="8">
        <f t="shared" si="2"/>
        <v>1.8181818181818179</v>
      </c>
      <c r="Q14" s="7">
        <f>Parametry!$C$33</f>
        <v>2</v>
      </c>
      <c r="R14" s="8">
        <f t="shared" si="3"/>
        <v>1.8181818181818179</v>
      </c>
      <c r="S14" s="8">
        <f t="shared" si="4"/>
        <v>3.6363636363636358</v>
      </c>
      <c r="T14" s="5" t="s">
        <v>206</v>
      </c>
      <c r="U14" s="2" t="s">
        <v>207</v>
      </c>
    </row>
    <row r="15" spans="1:21" ht="65.099999999999994" customHeight="1" x14ac:dyDescent="0.3">
      <c r="A15" s="3" t="s">
        <v>212</v>
      </c>
      <c r="B15" s="3" t="s">
        <v>205</v>
      </c>
      <c r="C15" s="6">
        <v>1</v>
      </c>
      <c r="D15" s="7">
        <f t="shared" si="0"/>
        <v>2</v>
      </c>
      <c r="E15" s="6">
        <v>2</v>
      </c>
      <c r="F15" s="6">
        <v>1</v>
      </c>
      <c r="G15" s="7">
        <f>Parametry!$C$12</f>
        <v>6</v>
      </c>
      <c r="H15" s="6">
        <f>Parametry!$C$9*IF(Parametry!$C$11="Składany",Parametry!$C$10^(F15-1),1+(Parametry!$C$10-1)*(F15-1))</f>
        <v>60</v>
      </c>
      <c r="I15" s="7">
        <f>0</f>
        <v>0</v>
      </c>
      <c r="J15" s="7">
        <f>Parametry!$C$27*Parametry!$C$28*C15</f>
        <v>72</v>
      </c>
      <c r="K15" s="7">
        <f>Parametry!$C$27*Parametry!$C$29*C15</f>
        <v>72</v>
      </c>
      <c r="L15" s="7">
        <f>0</f>
        <v>0</v>
      </c>
      <c r="M15" s="7">
        <f>Parametry!$C$27*Parametry!$C$30*C15</f>
        <v>120</v>
      </c>
      <c r="N15" s="7">
        <f>0</f>
        <v>0</v>
      </c>
      <c r="O15" s="7">
        <f t="shared" si="1"/>
        <v>264</v>
      </c>
      <c r="P15" s="8">
        <f t="shared" si="2"/>
        <v>0.73333333333333328</v>
      </c>
      <c r="Q15" s="7">
        <f>Parametry!$C$33</f>
        <v>2</v>
      </c>
      <c r="R15" s="8">
        <f t="shared" si="3"/>
        <v>0.73333333333333328</v>
      </c>
      <c r="S15" s="8">
        <f t="shared" si="4"/>
        <v>1.4666666666666666</v>
      </c>
      <c r="T15" s="5" t="s">
        <v>206</v>
      </c>
      <c r="U15" s="3" t="s">
        <v>207</v>
      </c>
    </row>
    <row r="16" spans="1:21" ht="65.099999999999994" customHeight="1" x14ac:dyDescent="0.3">
      <c r="A16" s="2" t="s">
        <v>212</v>
      </c>
      <c r="B16" s="2" t="s">
        <v>208</v>
      </c>
      <c r="C16" s="6">
        <v>2</v>
      </c>
      <c r="D16" s="7">
        <f t="shared" si="0"/>
        <v>3</v>
      </c>
      <c r="E16" s="6">
        <v>3</v>
      </c>
      <c r="F16" s="6">
        <v>2</v>
      </c>
      <c r="G16" s="7">
        <f>Parametry!$C$12</f>
        <v>6</v>
      </c>
      <c r="H16" s="6">
        <f>Parametry!$C$9*IF(Parametry!$C$11="Składany",Parametry!$C$10^(F16-1),1+(Parametry!$C$10-1)*(F16-1))</f>
        <v>66</v>
      </c>
      <c r="I16" s="7">
        <f>0</f>
        <v>0</v>
      </c>
      <c r="J16" s="7">
        <f>Parametry!$C$27*Parametry!$C$28*C16</f>
        <v>144</v>
      </c>
      <c r="K16" s="7">
        <f>Parametry!$C$27*Parametry!$C$29*C16</f>
        <v>144</v>
      </c>
      <c r="L16" s="7">
        <f>0</f>
        <v>0</v>
      </c>
      <c r="M16" s="7">
        <f>Parametry!$C$27*Parametry!$C$30*C16</f>
        <v>240</v>
      </c>
      <c r="N16" s="7">
        <f>0</f>
        <v>0</v>
      </c>
      <c r="O16" s="7">
        <f t="shared" si="1"/>
        <v>528</v>
      </c>
      <c r="P16" s="8">
        <f t="shared" si="2"/>
        <v>1.3333333333333333</v>
      </c>
      <c r="Q16" s="7">
        <f>Parametry!$C$33</f>
        <v>2</v>
      </c>
      <c r="R16" s="8">
        <f t="shared" si="3"/>
        <v>1.3333333333333333</v>
      </c>
      <c r="S16" s="8">
        <f t="shared" si="4"/>
        <v>2.6666666666666665</v>
      </c>
      <c r="T16" s="5" t="s">
        <v>206</v>
      </c>
      <c r="U16" s="2" t="s">
        <v>207</v>
      </c>
    </row>
    <row r="17" spans="1:21" ht="65.099999999999994" customHeight="1" x14ac:dyDescent="0.3">
      <c r="A17" s="3" t="s">
        <v>212</v>
      </c>
      <c r="B17" s="3" t="s">
        <v>209</v>
      </c>
      <c r="C17" s="6">
        <v>3</v>
      </c>
      <c r="D17" s="7">
        <f t="shared" si="0"/>
        <v>4</v>
      </c>
      <c r="E17" s="6">
        <v>4</v>
      </c>
      <c r="F17" s="6">
        <v>3</v>
      </c>
      <c r="G17" s="7">
        <f>Parametry!$C$12</f>
        <v>6</v>
      </c>
      <c r="H17" s="6">
        <f>Parametry!$C$9*IF(Parametry!$C$11="Składany",Parametry!$C$10^(F17-1),1+(Parametry!$C$10-1)*(F17-1))</f>
        <v>72.600000000000009</v>
      </c>
      <c r="I17" s="7">
        <f>0</f>
        <v>0</v>
      </c>
      <c r="J17" s="7">
        <f>Parametry!$C$27*Parametry!$C$28*C17</f>
        <v>216</v>
      </c>
      <c r="K17" s="7">
        <f>Parametry!$C$27*Parametry!$C$29*C17</f>
        <v>216</v>
      </c>
      <c r="L17" s="7">
        <f>0</f>
        <v>0</v>
      </c>
      <c r="M17" s="7">
        <f>Parametry!$C$27*Parametry!$C$30*C17</f>
        <v>360</v>
      </c>
      <c r="N17" s="7">
        <f>0</f>
        <v>0</v>
      </c>
      <c r="O17" s="7">
        <f t="shared" si="1"/>
        <v>792</v>
      </c>
      <c r="P17" s="8">
        <f t="shared" si="2"/>
        <v>1.8181818181818179</v>
      </c>
      <c r="Q17" s="7">
        <f>Parametry!$C$33</f>
        <v>2</v>
      </c>
      <c r="R17" s="8">
        <f t="shared" si="3"/>
        <v>1.8181818181818179</v>
      </c>
      <c r="S17" s="8">
        <f t="shared" si="4"/>
        <v>3.6363636363636358</v>
      </c>
      <c r="T17" s="5" t="s">
        <v>206</v>
      </c>
      <c r="U17" s="3" t="s">
        <v>207</v>
      </c>
    </row>
    <row r="18" spans="1:21" ht="65.099999999999994" customHeight="1" x14ac:dyDescent="0.3">
      <c r="A18" s="2" t="s">
        <v>213</v>
      </c>
      <c r="B18" s="2" t="s">
        <v>205</v>
      </c>
      <c r="C18" s="6">
        <v>1</v>
      </c>
      <c r="D18" s="7">
        <f t="shared" si="0"/>
        <v>2</v>
      </c>
      <c r="E18" s="6">
        <v>2</v>
      </c>
      <c r="F18" s="6">
        <v>1</v>
      </c>
      <c r="G18" s="7">
        <f>Parametry!$C$12</f>
        <v>6</v>
      </c>
      <c r="H18" s="6">
        <f>Parametry!$C$9*IF(Parametry!$C$11="Składany",Parametry!$C$10^(F18-1),1+(Parametry!$C$10-1)*(F18-1))</f>
        <v>60</v>
      </c>
      <c r="I18" s="7">
        <f>0</f>
        <v>0</v>
      </c>
      <c r="J18" s="7">
        <f>Parametry!$C$27*Parametry!$C$28*C18+Parametry!$C$27*Parametry!$C$30*C18</f>
        <v>192</v>
      </c>
      <c r="K18" s="7">
        <f>Parametry!$C$27*Parametry!$C$29*C18</f>
        <v>72</v>
      </c>
      <c r="L18" s="7">
        <f>0</f>
        <v>0</v>
      </c>
      <c r="M18" s="7">
        <f>0</f>
        <v>0</v>
      </c>
      <c r="N18" s="7">
        <f>0</f>
        <v>0</v>
      </c>
      <c r="O18" s="7">
        <f t="shared" si="1"/>
        <v>264</v>
      </c>
      <c r="P18" s="8">
        <f t="shared" si="2"/>
        <v>0.73333333333333328</v>
      </c>
      <c r="Q18" s="7">
        <f>Parametry!$C$33</f>
        <v>2</v>
      </c>
      <c r="R18" s="8">
        <f t="shared" si="3"/>
        <v>0.73333333333333328</v>
      </c>
      <c r="S18" s="8">
        <f t="shared" si="4"/>
        <v>1.4666666666666666</v>
      </c>
      <c r="T18" s="5" t="s">
        <v>206</v>
      </c>
      <c r="U18" s="2" t="s">
        <v>207</v>
      </c>
    </row>
    <row r="19" spans="1:21" ht="65.099999999999994" customHeight="1" x14ac:dyDescent="0.3">
      <c r="A19" s="3" t="s">
        <v>213</v>
      </c>
      <c r="B19" s="3" t="s">
        <v>208</v>
      </c>
      <c r="C19" s="6">
        <v>2</v>
      </c>
      <c r="D19" s="7">
        <f t="shared" si="0"/>
        <v>3</v>
      </c>
      <c r="E19" s="6">
        <v>3</v>
      </c>
      <c r="F19" s="6">
        <v>2</v>
      </c>
      <c r="G19" s="7">
        <f>Parametry!$C$12</f>
        <v>6</v>
      </c>
      <c r="H19" s="6">
        <f>Parametry!$C$9*IF(Parametry!$C$11="Składany",Parametry!$C$10^(F19-1),1+(Parametry!$C$10-1)*(F19-1))</f>
        <v>66</v>
      </c>
      <c r="I19" s="7">
        <f>0</f>
        <v>0</v>
      </c>
      <c r="J19" s="7">
        <f>Parametry!$C$27*Parametry!$C$28*C19+Parametry!$C$27*Parametry!$C$30*C19</f>
        <v>384</v>
      </c>
      <c r="K19" s="7">
        <f>Parametry!$C$27*Parametry!$C$29*C19</f>
        <v>144</v>
      </c>
      <c r="L19" s="7">
        <f>0</f>
        <v>0</v>
      </c>
      <c r="M19" s="7">
        <f>0</f>
        <v>0</v>
      </c>
      <c r="N19" s="7">
        <f>0</f>
        <v>0</v>
      </c>
      <c r="O19" s="7">
        <f t="shared" si="1"/>
        <v>528</v>
      </c>
      <c r="P19" s="8">
        <f t="shared" si="2"/>
        <v>1.3333333333333333</v>
      </c>
      <c r="Q19" s="7">
        <f>Parametry!$C$33</f>
        <v>2</v>
      </c>
      <c r="R19" s="8">
        <f t="shared" si="3"/>
        <v>1.3333333333333333</v>
      </c>
      <c r="S19" s="8">
        <f t="shared" si="4"/>
        <v>2.6666666666666665</v>
      </c>
      <c r="T19" s="5" t="s">
        <v>206</v>
      </c>
      <c r="U19" s="3" t="s">
        <v>207</v>
      </c>
    </row>
    <row r="20" spans="1:21" ht="65.099999999999994" customHeight="1" x14ac:dyDescent="0.3">
      <c r="A20" s="2" t="s">
        <v>213</v>
      </c>
      <c r="B20" s="2" t="s">
        <v>209</v>
      </c>
      <c r="C20" s="6">
        <v>3</v>
      </c>
      <c r="D20" s="7">
        <f t="shared" si="0"/>
        <v>4</v>
      </c>
      <c r="E20" s="6">
        <v>4</v>
      </c>
      <c r="F20" s="6">
        <v>3</v>
      </c>
      <c r="G20" s="7">
        <f>Parametry!$C$12</f>
        <v>6</v>
      </c>
      <c r="H20" s="6">
        <f>Parametry!$C$9*IF(Parametry!$C$11="Składany",Parametry!$C$10^(F20-1),1+(Parametry!$C$10-1)*(F20-1))</f>
        <v>72.600000000000009</v>
      </c>
      <c r="I20" s="7">
        <f>0</f>
        <v>0</v>
      </c>
      <c r="J20" s="7">
        <f>Parametry!$C$27*Parametry!$C$28*C20+Parametry!$C$27*Parametry!$C$30*C20</f>
        <v>576</v>
      </c>
      <c r="K20" s="7">
        <f>Parametry!$C$27*Parametry!$C$29*C20</f>
        <v>216</v>
      </c>
      <c r="L20" s="7">
        <f>0</f>
        <v>0</v>
      </c>
      <c r="M20" s="7">
        <f>0</f>
        <v>0</v>
      </c>
      <c r="N20" s="7">
        <f>0</f>
        <v>0</v>
      </c>
      <c r="O20" s="7">
        <f t="shared" si="1"/>
        <v>792</v>
      </c>
      <c r="P20" s="8">
        <f t="shared" si="2"/>
        <v>1.8181818181818179</v>
      </c>
      <c r="Q20" s="7">
        <f>Parametry!$C$33</f>
        <v>2</v>
      </c>
      <c r="R20" s="8">
        <f t="shared" si="3"/>
        <v>1.8181818181818179</v>
      </c>
      <c r="S20" s="8">
        <f t="shared" si="4"/>
        <v>3.6363636363636358</v>
      </c>
      <c r="T20" s="5" t="s">
        <v>206</v>
      </c>
      <c r="U20" s="2" t="s">
        <v>207</v>
      </c>
    </row>
    <row r="21" spans="1:21" ht="65.099999999999994" customHeight="1" x14ac:dyDescent="0.3">
      <c r="A21" s="3" t="s">
        <v>214</v>
      </c>
      <c r="B21" s="3" t="s">
        <v>205</v>
      </c>
      <c r="C21" s="6">
        <v>1</v>
      </c>
      <c r="D21" s="7">
        <f t="shared" si="0"/>
        <v>2</v>
      </c>
      <c r="E21" s="6">
        <v>2</v>
      </c>
      <c r="F21" s="6">
        <v>1</v>
      </c>
      <c r="G21" s="7">
        <f>Parametry!$C$12</f>
        <v>6</v>
      </c>
      <c r="H21" s="6">
        <f>Parametry!$C$9*IF(Parametry!$C$11="Składany",Parametry!$C$10^(F21-1),1+(Parametry!$C$10-1)*(F21-1))</f>
        <v>60</v>
      </c>
      <c r="I21" s="7">
        <f>0</f>
        <v>0</v>
      </c>
      <c r="J21" s="7">
        <f>Parametry!$C$27*Parametry!$C$28*C21</f>
        <v>72</v>
      </c>
      <c r="K21" s="7">
        <f>Parametry!$C$27*Parametry!$C$29*C21</f>
        <v>72</v>
      </c>
      <c r="L21" s="7">
        <f>0</f>
        <v>0</v>
      </c>
      <c r="M21" s="7">
        <f>0</f>
        <v>0</v>
      </c>
      <c r="N21" s="7">
        <f>Parametry!$C$27*Parametry!$C$30*C21</f>
        <v>120</v>
      </c>
      <c r="O21" s="7">
        <f t="shared" si="1"/>
        <v>264</v>
      </c>
      <c r="P21" s="8">
        <f t="shared" si="2"/>
        <v>0.73333333333333328</v>
      </c>
      <c r="Q21" s="7">
        <f>Parametry!$C$33</f>
        <v>2</v>
      </c>
      <c r="R21" s="8">
        <f t="shared" si="3"/>
        <v>0.73333333333333328</v>
      </c>
      <c r="S21" s="8">
        <f t="shared" si="4"/>
        <v>1.4666666666666666</v>
      </c>
      <c r="T21" s="5" t="s">
        <v>206</v>
      </c>
      <c r="U21" s="3" t="s">
        <v>207</v>
      </c>
    </row>
    <row r="22" spans="1:21" ht="65.099999999999994" customHeight="1" x14ac:dyDescent="0.3">
      <c r="A22" s="2" t="s">
        <v>214</v>
      </c>
      <c r="B22" s="2" t="s">
        <v>208</v>
      </c>
      <c r="C22" s="6">
        <v>2</v>
      </c>
      <c r="D22" s="7">
        <f t="shared" si="0"/>
        <v>3</v>
      </c>
      <c r="E22" s="6">
        <v>3</v>
      </c>
      <c r="F22" s="6">
        <v>2</v>
      </c>
      <c r="G22" s="7">
        <f>Parametry!$C$12</f>
        <v>6</v>
      </c>
      <c r="H22" s="6">
        <f>Parametry!$C$9*IF(Parametry!$C$11="Składany",Parametry!$C$10^(F22-1),1+(Parametry!$C$10-1)*(F22-1))</f>
        <v>66</v>
      </c>
      <c r="I22" s="7">
        <f>0</f>
        <v>0</v>
      </c>
      <c r="J22" s="7">
        <f>Parametry!$C$27*Parametry!$C$28*C22</f>
        <v>144</v>
      </c>
      <c r="K22" s="7">
        <f>Parametry!$C$27*Parametry!$C$29*C22</f>
        <v>144</v>
      </c>
      <c r="L22" s="7">
        <f>0</f>
        <v>0</v>
      </c>
      <c r="M22" s="7">
        <f>0</f>
        <v>0</v>
      </c>
      <c r="N22" s="7">
        <f>Parametry!$C$27*Parametry!$C$30*C22</f>
        <v>240</v>
      </c>
      <c r="O22" s="7">
        <f t="shared" si="1"/>
        <v>528</v>
      </c>
      <c r="P22" s="8">
        <f t="shared" si="2"/>
        <v>1.3333333333333333</v>
      </c>
      <c r="Q22" s="7">
        <f>Parametry!$C$33</f>
        <v>2</v>
      </c>
      <c r="R22" s="8">
        <f t="shared" si="3"/>
        <v>1.3333333333333333</v>
      </c>
      <c r="S22" s="8">
        <f t="shared" si="4"/>
        <v>2.6666666666666665</v>
      </c>
      <c r="T22" s="5" t="s">
        <v>206</v>
      </c>
      <c r="U22" s="2" t="s">
        <v>207</v>
      </c>
    </row>
    <row r="23" spans="1:21" ht="65.099999999999994" customHeight="1" x14ac:dyDescent="0.3">
      <c r="A23" s="3" t="s">
        <v>214</v>
      </c>
      <c r="B23" s="3" t="s">
        <v>209</v>
      </c>
      <c r="C23" s="6">
        <v>3</v>
      </c>
      <c r="D23" s="7">
        <f t="shared" si="0"/>
        <v>4</v>
      </c>
      <c r="E23" s="6">
        <v>4</v>
      </c>
      <c r="F23" s="6">
        <v>3</v>
      </c>
      <c r="G23" s="7">
        <f>Parametry!$C$12</f>
        <v>6</v>
      </c>
      <c r="H23" s="6">
        <f>Parametry!$C$9*IF(Parametry!$C$11="Składany",Parametry!$C$10^(F23-1),1+(Parametry!$C$10-1)*(F23-1))</f>
        <v>72.600000000000009</v>
      </c>
      <c r="I23" s="7">
        <f>0</f>
        <v>0</v>
      </c>
      <c r="J23" s="7">
        <f>Parametry!$C$27*Parametry!$C$28*C23</f>
        <v>216</v>
      </c>
      <c r="K23" s="7">
        <f>Parametry!$C$27*Parametry!$C$29*C23</f>
        <v>216</v>
      </c>
      <c r="L23" s="7">
        <f>0</f>
        <v>0</v>
      </c>
      <c r="M23" s="7">
        <f>0</f>
        <v>0</v>
      </c>
      <c r="N23" s="7">
        <f>Parametry!$C$27*Parametry!$C$30*C23</f>
        <v>360</v>
      </c>
      <c r="O23" s="7">
        <f t="shared" si="1"/>
        <v>792</v>
      </c>
      <c r="P23" s="8">
        <f t="shared" si="2"/>
        <v>1.8181818181818179</v>
      </c>
      <c r="Q23" s="7">
        <f>Parametry!$C$33</f>
        <v>2</v>
      </c>
      <c r="R23" s="8">
        <f t="shared" si="3"/>
        <v>1.8181818181818179</v>
      </c>
      <c r="S23" s="8">
        <f t="shared" si="4"/>
        <v>3.6363636363636358</v>
      </c>
      <c r="T23" s="5" t="s">
        <v>206</v>
      </c>
      <c r="U23" s="3" t="s">
        <v>207</v>
      </c>
    </row>
    <row r="24" spans="1:21" ht="65.099999999999994" customHeight="1" x14ac:dyDescent="0.3">
      <c r="A24" s="2" t="s">
        <v>215</v>
      </c>
      <c r="B24" s="2" t="s">
        <v>205</v>
      </c>
      <c r="C24" s="6">
        <v>1</v>
      </c>
      <c r="D24" s="7">
        <f t="shared" si="0"/>
        <v>2</v>
      </c>
      <c r="E24" s="6">
        <v>2</v>
      </c>
      <c r="F24" s="6">
        <v>1</v>
      </c>
      <c r="G24" s="7">
        <f>Parametry!$C$12</f>
        <v>6</v>
      </c>
      <c r="H24" s="6">
        <f>Parametry!$C$9*IF(Parametry!$C$11="Składany",Parametry!$C$10^(F24-1),1+(Parametry!$C$10-1)*(F24-1))</f>
        <v>60</v>
      </c>
      <c r="I24" s="7">
        <f>0</f>
        <v>0</v>
      </c>
      <c r="J24" s="7">
        <f>Parametry!$C$27*Parametry!$C$28*C24</f>
        <v>72</v>
      </c>
      <c r="K24" s="7">
        <f>Parametry!$C$27*Parametry!$C$29*C24+Parametry!$C$27*Parametry!$C$30*C24</f>
        <v>192</v>
      </c>
      <c r="L24" s="7">
        <f>0</f>
        <v>0</v>
      </c>
      <c r="M24" s="7">
        <f>0</f>
        <v>0</v>
      </c>
      <c r="N24" s="7">
        <f>0</f>
        <v>0</v>
      </c>
      <c r="O24" s="7">
        <f t="shared" si="1"/>
        <v>264</v>
      </c>
      <c r="P24" s="8">
        <f t="shared" si="2"/>
        <v>0.73333333333333328</v>
      </c>
      <c r="Q24" s="7">
        <f>Parametry!$C$33</f>
        <v>2</v>
      </c>
      <c r="R24" s="8">
        <f t="shared" si="3"/>
        <v>0.73333333333333328</v>
      </c>
      <c r="S24" s="8">
        <f t="shared" si="4"/>
        <v>1.4666666666666666</v>
      </c>
      <c r="T24" s="5" t="s">
        <v>206</v>
      </c>
      <c r="U24" s="2" t="s">
        <v>207</v>
      </c>
    </row>
    <row r="25" spans="1:21" ht="65.099999999999994" customHeight="1" x14ac:dyDescent="0.3">
      <c r="A25" s="3" t="s">
        <v>215</v>
      </c>
      <c r="B25" s="3" t="s">
        <v>208</v>
      </c>
      <c r="C25" s="6">
        <v>2</v>
      </c>
      <c r="D25" s="7">
        <f t="shared" si="0"/>
        <v>3</v>
      </c>
      <c r="E25" s="6">
        <v>3</v>
      </c>
      <c r="F25" s="6">
        <v>2</v>
      </c>
      <c r="G25" s="7">
        <f>Parametry!$C$12</f>
        <v>6</v>
      </c>
      <c r="H25" s="6">
        <f>Parametry!$C$9*IF(Parametry!$C$11="Składany",Parametry!$C$10^(F25-1),1+(Parametry!$C$10-1)*(F25-1))</f>
        <v>66</v>
      </c>
      <c r="I25" s="7">
        <f>0</f>
        <v>0</v>
      </c>
      <c r="J25" s="7">
        <f>Parametry!$C$27*Parametry!$C$28*C25</f>
        <v>144</v>
      </c>
      <c r="K25" s="7">
        <f>Parametry!$C$27*Parametry!$C$29*C25+Parametry!$C$27*Parametry!$C$30*C25</f>
        <v>384</v>
      </c>
      <c r="L25" s="7">
        <f>0</f>
        <v>0</v>
      </c>
      <c r="M25" s="7">
        <f>0</f>
        <v>0</v>
      </c>
      <c r="N25" s="7">
        <f>0</f>
        <v>0</v>
      </c>
      <c r="O25" s="7">
        <f t="shared" si="1"/>
        <v>528</v>
      </c>
      <c r="P25" s="8">
        <f t="shared" si="2"/>
        <v>1.3333333333333333</v>
      </c>
      <c r="Q25" s="7">
        <f>Parametry!$C$33</f>
        <v>2</v>
      </c>
      <c r="R25" s="8">
        <f t="shared" si="3"/>
        <v>1.3333333333333333</v>
      </c>
      <c r="S25" s="8">
        <f t="shared" si="4"/>
        <v>2.6666666666666665</v>
      </c>
      <c r="T25" s="5" t="s">
        <v>206</v>
      </c>
      <c r="U25" s="3" t="s">
        <v>207</v>
      </c>
    </row>
    <row r="26" spans="1:21" ht="65.099999999999994" customHeight="1" x14ac:dyDescent="0.3">
      <c r="A26" s="2" t="s">
        <v>215</v>
      </c>
      <c r="B26" s="2" t="s">
        <v>209</v>
      </c>
      <c r="C26" s="6">
        <v>3</v>
      </c>
      <c r="D26" s="7">
        <f t="shared" si="0"/>
        <v>4</v>
      </c>
      <c r="E26" s="6">
        <v>4</v>
      </c>
      <c r="F26" s="6">
        <v>3</v>
      </c>
      <c r="G26" s="7">
        <f>Parametry!$C$12</f>
        <v>6</v>
      </c>
      <c r="H26" s="6">
        <f>Parametry!$C$9*IF(Parametry!$C$11="Składany",Parametry!$C$10^(F26-1),1+(Parametry!$C$10-1)*(F26-1))</f>
        <v>72.600000000000009</v>
      </c>
      <c r="I26" s="7">
        <f>0</f>
        <v>0</v>
      </c>
      <c r="J26" s="7">
        <f>Parametry!$C$27*Parametry!$C$28*C26</f>
        <v>216</v>
      </c>
      <c r="K26" s="7">
        <f>Parametry!$C$27*Parametry!$C$29*C26+Parametry!$C$27*Parametry!$C$30*C26</f>
        <v>576</v>
      </c>
      <c r="L26" s="7">
        <f>0</f>
        <v>0</v>
      </c>
      <c r="M26" s="7">
        <f>0</f>
        <v>0</v>
      </c>
      <c r="N26" s="7">
        <f>0</f>
        <v>0</v>
      </c>
      <c r="O26" s="7">
        <f t="shared" si="1"/>
        <v>792</v>
      </c>
      <c r="P26" s="8">
        <f t="shared" si="2"/>
        <v>1.8181818181818179</v>
      </c>
      <c r="Q26" s="7">
        <f>Parametry!$C$33</f>
        <v>2</v>
      </c>
      <c r="R26" s="8">
        <f t="shared" si="3"/>
        <v>1.8181818181818179</v>
      </c>
      <c r="S26" s="8">
        <f t="shared" si="4"/>
        <v>3.6363636363636358</v>
      </c>
      <c r="T26" s="5" t="s">
        <v>206</v>
      </c>
      <c r="U26" s="2" t="s">
        <v>207</v>
      </c>
    </row>
    <row r="27" spans="1:21" ht="65.099999999999994" customHeight="1" x14ac:dyDescent="0.3">
      <c r="A27" s="3" t="s">
        <v>216</v>
      </c>
      <c r="B27" s="3" t="s">
        <v>205</v>
      </c>
      <c r="C27" s="6">
        <v>1</v>
      </c>
      <c r="D27" s="7">
        <f t="shared" si="0"/>
        <v>2</v>
      </c>
      <c r="E27" s="6">
        <v>2</v>
      </c>
      <c r="F27" s="6">
        <v>1</v>
      </c>
      <c r="G27" s="7">
        <f>Parametry!$C$12</f>
        <v>6</v>
      </c>
      <c r="H27" s="6">
        <f>Parametry!$C$9*IF(Parametry!$C$11="Składany",Parametry!$C$10^(F27-1),1+(Parametry!$C$10-1)*(F27-1))</f>
        <v>60</v>
      </c>
      <c r="I27" s="7">
        <f>Parametry!$C$31*MAX(1,C27)</f>
        <v>500</v>
      </c>
      <c r="J27" s="7">
        <f>Parametry!$C$31*MAX(1,C27)</f>
        <v>500</v>
      </c>
      <c r="K27" s="7">
        <f>Parametry!$C$31*MAX(1,C27)</f>
        <v>500</v>
      </c>
      <c r="L27" s="7">
        <f>Parametry!$C$31*MAX(1,C27)</f>
        <v>500</v>
      </c>
      <c r="M27" s="7">
        <f>Parametry!$C$31*MAX(1,C27)</f>
        <v>500</v>
      </c>
      <c r="N27" s="7">
        <f>Parametry!$C$31*MAX(1,C27)</f>
        <v>500</v>
      </c>
      <c r="O27" s="7">
        <f t="shared" si="1"/>
        <v>2500</v>
      </c>
      <c r="P27" s="8">
        <f t="shared" si="2"/>
        <v>6.95</v>
      </c>
      <c r="Q27" s="7">
        <f>Parametry!$C$34</f>
        <v>2</v>
      </c>
      <c r="R27" s="8">
        <f t="shared" si="3"/>
        <v>6.95</v>
      </c>
      <c r="S27" s="8">
        <f t="shared" si="4"/>
        <v>13.9</v>
      </c>
      <c r="T27" s="5" t="s">
        <v>206</v>
      </c>
      <c r="U27" s="3" t="s">
        <v>207</v>
      </c>
    </row>
    <row r="28" spans="1:21" ht="65.099999999999994" customHeight="1" x14ac:dyDescent="0.3">
      <c r="A28" s="2" t="s">
        <v>216</v>
      </c>
      <c r="B28" s="2" t="s">
        <v>208</v>
      </c>
      <c r="C28" s="6">
        <v>2</v>
      </c>
      <c r="D28" s="7">
        <f t="shared" si="0"/>
        <v>3</v>
      </c>
      <c r="E28" s="6">
        <v>3</v>
      </c>
      <c r="F28" s="6">
        <v>2</v>
      </c>
      <c r="G28" s="7">
        <f>Parametry!$C$12</f>
        <v>6</v>
      </c>
      <c r="H28" s="6">
        <f>Parametry!$C$9*IF(Parametry!$C$11="Składany",Parametry!$C$10^(F28-1),1+(Parametry!$C$10-1)*(F28-1))</f>
        <v>66</v>
      </c>
      <c r="I28" s="7">
        <f>Parametry!$C$31*MAX(1,C28)</f>
        <v>1000</v>
      </c>
      <c r="J28" s="7">
        <f>Parametry!$C$31*MAX(1,C28)</f>
        <v>1000</v>
      </c>
      <c r="K28" s="7">
        <f>Parametry!$C$31*MAX(1,C28)</f>
        <v>1000</v>
      </c>
      <c r="L28" s="7">
        <f>Parametry!$C$31*MAX(1,C28)</f>
        <v>1000</v>
      </c>
      <c r="M28" s="7">
        <f>Parametry!$C$31*MAX(1,C28)</f>
        <v>1000</v>
      </c>
      <c r="N28" s="7">
        <f>Parametry!$C$31*MAX(1,C28)</f>
        <v>1000</v>
      </c>
      <c r="O28" s="7">
        <f t="shared" si="1"/>
        <v>5000</v>
      </c>
      <c r="P28" s="8">
        <f t="shared" si="2"/>
        <v>12.636363636363637</v>
      </c>
      <c r="Q28" s="7">
        <f>Parametry!$C$34</f>
        <v>2</v>
      </c>
      <c r="R28" s="8">
        <f t="shared" si="3"/>
        <v>12.636363636363637</v>
      </c>
      <c r="S28" s="8">
        <f t="shared" si="4"/>
        <v>25.272727272727273</v>
      </c>
      <c r="T28" s="5" t="s">
        <v>206</v>
      </c>
      <c r="U28" s="2" t="s">
        <v>207</v>
      </c>
    </row>
    <row r="29" spans="1:21" ht="65.099999999999994" customHeight="1" x14ac:dyDescent="0.3">
      <c r="A29" s="3" t="s">
        <v>216</v>
      </c>
      <c r="B29" s="3" t="s">
        <v>209</v>
      </c>
      <c r="C29" s="6">
        <v>3</v>
      </c>
      <c r="D29" s="7">
        <f t="shared" si="0"/>
        <v>4</v>
      </c>
      <c r="E29" s="6">
        <v>4</v>
      </c>
      <c r="F29" s="6">
        <v>3</v>
      </c>
      <c r="G29" s="7">
        <f>Parametry!$C$12</f>
        <v>6</v>
      </c>
      <c r="H29" s="6">
        <f>Parametry!$C$9*IF(Parametry!$C$11="Składany",Parametry!$C$10^(F29-1),1+(Parametry!$C$10-1)*(F29-1))</f>
        <v>72.600000000000009</v>
      </c>
      <c r="I29" s="7">
        <f>Parametry!$C$31*MAX(1,C29)</f>
        <v>1500</v>
      </c>
      <c r="J29" s="7">
        <f>Parametry!$C$31*MAX(1,C29)</f>
        <v>1500</v>
      </c>
      <c r="K29" s="7">
        <f>Parametry!$C$31*MAX(1,C29)</f>
        <v>1500</v>
      </c>
      <c r="L29" s="7">
        <f>Parametry!$C$31*MAX(1,C29)</f>
        <v>1500</v>
      </c>
      <c r="M29" s="7">
        <f>Parametry!$C$31*MAX(1,C29)</f>
        <v>1500</v>
      </c>
      <c r="N29" s="7">
        <f>Parametry!$C$31*MAX(1,C29)</f>
        <v>1500</v>
      </c>
      <c r="O29" s="7">
        <f t="shared" si="1"/>
        <v>7500</v>
      </c>
      <c r="P29" s="8">
        <f t="shared" si="2"/>
        <v>17.217630853994489</v>
      </c>
      <c r="Q29" s="7">
        <f>Parametry!$C$34</f>
        <v>2</v>
      </c>
      <c r="R29" s="8">
        <f t="shared" si="3"/>
        <v>17.217630853994489</v>
      </c>
      <c r="S29" s="8">
        <f t="shared" si="4"/>
        <v>34.435261707988978</v>
      </c>
      <c r="T29" s="5" t="s">
        <v>206</v>
      </c>
      <c r="U29" s="3" t="s">
        <v>207</v>
      </c>
    </row>
    <row r="30" spans="1:21" ht="65.099999999999994" customHeight="1" x14ac:dyDescent="0.3">
      <c r="A30" s="2" t="s">
        <v>217</v>
      </c>
      <c r="B30" s="2" t="s">
        <v>205</v>
      </c>
      <c r="C30" s="6">
        <v>1</v>
      </c>
      <c r="D30" s="7">
        <f t="shared" si="0"/>
        <v>2</v>
      </c>
      <c r="E30" s="6">
        <v>2</v>
      </c>
      <c r="F30" s="6">
        <v>1</v>
      </c>
      <c r="G30" s="7">
        <f>Parametry!$C$12</f>
        <v>6</v>
      </c>
      <c r="H30" s="6">
        <f>Parametry!$C$9*IF(Parametry!$C$11="Składany",Parametry!$C$10^(F30-1),1+(Parametry!$C$10-1)*(F30-1))</f>
        <v>60</v>
      </c>
      <c r="I30" s="7">
        <f>Parametry!$C$31*MAX(1,C30)</f>
        <v>500</v>
      </c>
      <c r="J30" s="7">
        <f>Parametry!$C$31*MAX(1,C30)</f>
        <v>500</v>
      </c>
      <c r="K30" s="7">
        <f>Parametry!$C$31*MAX(1,C30)</f>
        <v>500</v>
      </c>
      <c r="L30" s="7">
        <f>Parametry!$C$31*MAX(1,C30)</f>
        <v>500</v>
      </c>
      <c r="M30" s="7">
        <f>Parametry!$C$31*MAX(1,C30)</f>
        <v>500</v>
      </c>
      <c r="N30" s="7">
        <f>Parametry!$C$31*MAX(1,C30)</f>
        <v>500</v>
      </c>
      <c r="O30" s="7">
        <f t="shared" si="1"/>
        <v>2500</v>
      </c>
      <c r="P30" s="8">
        <f t="shared" si="2"/>
        <v>6.95</v>
      </c>
      <c r="Q30" s="7">
        <f>Parametry!$C$34</f>
        <v>2</v>
      </c>
      <c r="R30" s="8">
        <f t="shared" si="3"/>
        <v>6.95</v>
      </c>
      <c r="S30" s="8">
        <f t="shared" si="4"/>
        <v>13.9</v>
      </c>
      <c r="T30" s="5" t="s">
        <v>206</v>
      </c>
      <c r="U30" s="2" t="s">
        <v>207</v>
      </c>
    </row>
    <row r="31" spans="1:21" ht="65.099999999999994" customHeight="1" x14ac:dyDescent="0.3">
      <c r="A31" s="3" t="s">
        <v>217</v>
      </c>
      <c r="B31" s="3" t="s">
        <v>208</v>
      </c>
      <c r="C31" s="6">
        <v>2</v>
      </c>
      <c r="D31" s="7">
        <f t="shared" si="0"/>
        <v>3</v>
      </c>
      <c r="E31" s="6">
        <v>3</v>
      </c>
      <c r="F31" s="6">
        <v>2</v>
      </c>
      <c r="G31" s="7">
        <f>Parametry!$C$12</f>
        <v>6</v>
      </c>
      <c r="H31" s="6">
        <f>Parametry!$C$9*IF(Parametry!$C$11="Składany",Parametry!$C$10^(F31-1),1+(Parametry!$C$10-1)*(F31-1))</f>
        <v>66</v>
      </c>
      <c r="I31" s="7">
        <f>Parametry!$C$31*MAX(1,C31)</f>
        <v>1000</v>
      </c>
      <c r="J31" s="7">
        <f>Parametry!$C$31*MAX(1,C31)</f>
        <v>1000</v>
      </c>
      <c r="K31" s="7">
        <f>Parametry!$C$31*MAX(1,C31)</f>
        <v>1000</v>
      </c>
      <c r="L31" s="7">
        <f>Parametry!$C$31*MAX(1,C31)</f>
        <v>1000</v>
      </c>
      <c r="M31" s="7">
        <f>Parametry!$C$31*MAX(1,C31)</f>
        <v>1000</v>
      </c>
      <c r="N31" s="7">
        <f>Parametry!$C$31*MAX(1,C31)</f>
        <v>1000</v>
      </c>
      <c r="O31" s="7">
        <f t="shared" si="1"/>
        <v>5000</v>
      </c>
      <c r="P31" s="8">
        <f t="shared" si="2"/>
        <v>12.636363636363637</v>
      </c>
      <c r="Q31" s="7">
        <f>Parametry!$C$34</f>
        <v>2</v>
      </c>
      <c r="R31" s="8">
        <f t="shared" si="3"/>
        <v>12.636363636363637</v>
      </c>
      <c r="S31" s="8">
        <f t="shared" si="4"/>
        <v>25.272727272727273</v>
      </c>
      <c r="T31" s="5" t="s">
        <v>206</v>
      </c>
      <c r="U31" s="3" t="s">
        <v>207</v>
      </c>
    </row>
    <row r="32" spans="1:21" ht="65.099999999999994" customHeight="1" x14ac:dyDescent="0.3">
      <c r="A32" s="2" t="s">
        <v>217</v>
      </c>
      <c r="B32" s="2" t="s">
        <v>209</v>
      </c>
      <c r="C32" s="6">
        <v>3</v>
      </c>
      <c r="D32" s="7">
        <f t="shared" si="0"/>
        <v>4</v>
      </c>
      <c r="E32" s="6">
        <v>4</v>
      </c>
      <c r="F32" s="6">
        <v>3</v>
      </c>
      <c r="G32" s="7">
        <f>Parametry!$C$12</f>
        <v>6</v>
      </c>
      <c r="H32" s="6">
        <f>Parametry!$C$9*IF(Parametry!$C$11="Składany",Parametry!$C$10^(F32-1),1+(Parametry!$C$10-1)*(F32-1))</f>
        <v>72.600000000000009</v>
      </c>
      <c r="I32" s="7">
        <f>Parametry!$C$31*MAX(1,C32)</f>
        <v>1500</v>
      </c>
      <c r="J32" s="7">
        <f>Parametry!$C$31*MAX(1,C32)</f>
        <v>1500</v>
      </c>
      <c r="K32" s="7">
        <f>Parametry!$C$31*MAX(1,C32)</f>
        <v>1500</v>
      </c>
      <c r="L32" s="7">
        <f>Parametry!$C$31*MAX(1,C32)</f>
        <v>1500</v>
      </c>
      <c r="M32" s="7">
        <f>Parametry!$C$31*MAX(1,C32)</f>
        <v>1500</v>
      </c>
      <c r="N32" s="7">
        <f>Parametry!$C$31*MAX(1,C32)</f>
        <v>1500</v>
      </c>
      <c r="O32" s="7">
        <f t="shared" si="1"/>
        <v>7500</v>
      </c>
      <c r="P32" s="8">
        <f t="shared" si="2"/>
        <v>17.217630853994489</v>
      </c>
      <c r="Q32" s="7">
        <f>Parametry!$C$34</f>
        <v>2</v>
      </c>
      <c r="R32" s="8">
        <f t="shared" si="3"/>
        <v>17.217630853994489</v>
      </c>
      <c r="S32" s="8">
        <f t="shared" si="4"/>
        <v>34.435261707988978</v>
      </c>
      <c r="T32" s="5" t="s">
        <v>206</v>
      </c>
      <c r="U32" s="2" t="s">
        <v>207</v>
      </c>
    </row>
    <row r="33" spans="1:21" ht="65.099999999999994" customHeight="1" x14ac:dyDescent="0.3">
      <c r="A33" s="3" t="s">
        <v>218</v>
      </c>
      <c r="B33" s="3" t="s">
        <v>205</v>
      </c>
      <c r="C33" s="6">
        <v>1</v>
      </c>
      <c r="D33" s="7">
        <f t="shared" si="0"/>
        <v>2</v>
      </c>
      <c r="E33" s="6">
        <v>4</v>
      </c>
      <c r="F33" s="6">
        <v>1</v>
      </c>
      <c r="G33" s="7">
        <f>Parametry!$C$12</f>
        <v>6</v>
      </c>
      <c r="H33" s="6">
        <f>Parametry!$C$9*IF(Parametry!$C$11="Składany",Parametry!$C$10^(F33-1),1+(Parametry!$C$10-1)*(F33-1))</f>
        <v>60</v>
      </c>
      <c r="I33" s="7">
        <f>Parametry!$C$31*MAX(1,C33)</f>
        <v>500</v>
      </c>
      <c r="J33" s="7">
        <f>Parametry!$C$31*MAX(1,C33)</f>
        <v>500</v>
      </c>
      <c r="K33" s="7">
        <f>Parametry!$C$31*MAX(1,C33)</f>
        <v>500</v>
      </c>
      <c r="L33" s="7">
        <f>Parametry!$C$31*MAX(1,C33)</f>
        <v>500</v>
      </c>
      <c r="M33" s="7">
        <f>Parametry!$C$31*MAX(1,C33)</f>
        <v>500</v>
      </c>
      <c r="N33" s="7">
        <f>Parametry!$C$31*MAX(1,C33)</f>
        <v>500</v>
      </c>
      <c r="O33" s="7">
        <f t="shared" si="1"/>
        <v>2500</v>
      </c>
      <c r="P33" s="8">
        <f t="shared" si="2"/>
        <v>6.95</v>
      </c>
      <c r="Q33" s="7">
        <f>Parametry!$C$34</f>
        <v>2</v>
      </c>
      <c r="R33" s="8">
        <f t="shared" si="3"/>
        <v>6.95</v>
      </c>
      <c r="S33" s="8">
        <f t="shared" si="4"/>
        <v>13.9</v>
      </c>
      <c r="T33" s="5" t="s">
        <v>206</v>
      </c>
      <c r="U33" s="3" t="s">
        <v>207</v>
      </c>
    </row>
    <row r="34" spans="1:21" ht="65.099999999999994" customHeight="1" x14ac:dyDescent="0.3">
      <c r="A34" s="2" t="s">
        <v>218</v>
      </c>
      <c r="B34" s="2" t="s">
        <v>208</v>
      </c>
      <c r="C34" s="6">
        <v>2</v>
      </c>
      <c r="D34" s="7">
        <f t="shared" si="0"/>
        <v>3</v>
      </c>
      <c r="E34" s="6">
        <v>4</v>
      </c>
      <c r="F34" s="6">
        <v>2</v>
      </c>
      <c r="G34" s="7">
        <f>Parametry!$C$12</f>
        <v>6</v>
      </c>
      <c r="H34" s="6">
        <f>Parametry!$C$9*IF(Parametry!$C$11="Składany",Parametry!$C$10^(F34-1),1+(Parametry!$C$10-1)*(F34-1))</f>
        <v>66</v>
      </c>
      <c r="I34" s="7">
        <f>Parametry!$C$31*MAX(1,C34)</f>
        <v>1000</v>
      </c>
      <c r="J34" s="7">
        <f>Parametry!$C$31*MAX(1,C34)</f>
        <v>1000</v>
      </c>
      <c r="K34" s="7">
        <f>Parametry!$C$31*MAX(1,C34)</f>
        <v>1000</v>
      </c>
      <c r="L34" s="7">
        <f>Parametry!$C$31*MAX(1,C34)</f>
        <v>1000</v>
      </c>
      <c r="M34" s="7">
        <f>Parametry!$C$31*MAX(1,C34)</f>
        <v>1000</v>
      </c>
      <c r="N34" s="7">
        <f>Parametry!$C$31*MAX(1,C34)</f>
        <v>1000</v>
      </c>
      <c r="O34" s="7">
        <f t="shared" si="1"/>
        <v>5000</v>
      </c>
      <c r="P34" s="8">
        <f t="shared" si="2"/>
        <v>12.636363636363637</v>
      </c>
      <c r="Q34" s="7">
        <f>Parametry!$C$34</f>
        <v>2</v>
      </c>
      <c r="R34" s="8">
        <f t="shared" si="3"/>
        <v>12.636363636363637</v>
      </c>
      <c r="S34" s="8">
        <f t="shared" si="4"/>
        <v>25.272727272727273</v>
      </c>
      <c r="T34" s="5" t="s">
        <v>206</v>
      </c>
      <c r="U34" s="2" t="s">
        <v>207</v>
      </c>
    </row>
    <row r="35" spans="1:21" ht="65.099999999999994" customHeight="1" x14ac:dyDescent="0.3">
      <c r="A35" s="3" t="s">
        <v>218</v>
      </c>
      <c r="B35" s="3" t="s">
        <v>209</v>
      </c>
      <c r="C35" s="6">
        <v>3</v>
      </c>
      <c r="D35" s="7">
        <f t="shared" si="0"/>
        <v>4</v>
      </c>
      <c r="E35" s="6">
        <v>4</v>
      </c>
      <c r="F35" s="6">
        <v>3</v>
      </c>
      <c r="G35" s="7">
        <f>Parametry!$C$12</f>
        <v>6</v>
      </c>
      <c r="H35" s="6">
        <f>Parametry!$C$9*IF(Parametry!$C$11="Składany",Parametry!$C$10^(F35-1),1+(Parametry!$C$10-1)*(F35-1))</f>
        <v>72.600000000000009</v>
      </c>
      <c r="I35" s="7">
        <f>Parametry!$C$31*MAX(1,C35)</f>
        <v>1500</v>
      </c>
      <c r="J35" s="7">
        <f>Parametry!$C$31*MAX(1,C35)</f>
        <v>1500</v>
      </c>
      <c r="K35" s="7">
        <f>Parametry!$C$31*MAX(1,C35)</f>
        <v>1500</v>
      </c>
      <c r="L35" s="7">
        <f>Parametry!$C$31*MAX(1,C35)</f>
        <v>1500</v>
      </c>
      <c r="M35" s="7">
        <f>Parametry!$C$31*MAX(1,C35)</f>
        <v>1500</v>
      </c>
      <c r="N35" s="7">
        <f>Parametry!$C$31*MAX(1,C35)</f>
        <v>1500</v>
      </c>
      <c r="O35" s="7">
        <f t="shared" si="1"/>
        <v>7500</v>
      </c>
      <c r="P35" s="8">
        <f t="shared" si="2"/>
        <v>17.217630853994489</v>
      </c>
      <c r="Q35" s="7">
        <f>Parametry!$C$34</f>
        <v>2</v>
      </c>
      <c r="R35" s="8">
        <f t="shared" si="3"/>
        <v>17.217630853994489</v>
      </c>
      <c r="S35" s="8">
        <f t="shared" si="4"/>
        <v>34.435261707988978</v>
      </c>
      <c r="T35" s="5" t="s">
        <v>206</v>
      </c>
      <c r="U35" s="3" t="s">
        <v>207</v>
      </c>
    </row>
    <row r="36" spans="1:21" ht="65.099999999999994" customHeight="1" x14ac:dyDescent="0.3">
      <c r="A36" s="2" t="s">
        <v>219</v>
      </c>
      <c r="B36" s="2" t="s">
        <v>205</v>
      </c>
      <c r="C36" s="6">
        <v>1</v>
      </c>
      <c r="D36" s="7">
        <f t="shared" si="0"/>
        <v>2</v>
      </c>
      <c r="E36" s="6">
        <v>2</v>
      </c>
      <c r="F36" s="6">
        <v>1</v>
      </c>
      <c r="G36" s="7">
        <f>Parametry!$C$12</f>
        <v>6</v>
      </c>
      <c r="H36" s="6">
        <f>Parametry!$C$9*IF(Parametry!$C$11="Składany",Parametry!$C$10^(F36-1),1+(Parametry!$C$10-1)*(F36-1))</f>
        <v>60</v>
      </c>
      <c r="I36" s="7">
        <f>180*D36</f>
        <v>360</v>
      </c>
      <c r="J36" s="7">
        <f>20*D36</f>
        <v>40</v>
      </c>
      <c r="K36" s="7">
        <f>60*D36</f>
        <v>120</v>
      </c>
      <c r="L36" s="7">
        <f>0*D36</f>
        <v>0</v>
      </c>
      <c r="M36" s="7">
        <f>0*D36</f>
        <v>0</v>
      </c>
      <c r="N36" s="7">
        <f>10*D36</f>
        <v>20</v>
      </c>
      <c r="O36" s="7">
        <f t="shared" si="1"/>
        <v>180</v>
      </c>
      <c r="P36" s="8">
        <f t="shared" si="2"/>
        <v>0.5</v>
      </c>
      <c r="Q36" s="7">
        <f>Parametry!$C$35</f>
        <v>4</v>
      </c>
      <c r="R36" s="8">
        <f t="shared" si="3"/>
        <v>1.5</v>
      </c>
      <c r="S36" s="8">
        <f t="shared" si="4"/>
        <v>2</v>
      </c>
      <c r="T36" s="5" t="s">
        <v>206</v>
      </c>
      <c r="U36" s="2" t="s">
        <v>207</v>
      </c>
    </row>
    <row r="37" spans="1:21" ht="65.099999999999994" customHeight="1" x14ac:dyDescent="0.3">
      <c r="A37" s="3" t="s">
        <v>219</v>
      </c>
      <c r="B37" s="3" t="s">
        <v>208</v>
      </c>
      <c r="C37" s="6">
        <v>2</v>
      </c>
      <c r="D37" s="7">
        <f t="shared" si="0"/>
        <v>3</v>
      </c>
      <c r="E37" s="6">
        <v>3</v>
      </c>
      <c r="F37" s="6">
        <v>2</v>
      </c>
      <c r="G37" s="7">
        <f>Parametry!$C$12</f>
        <v>6</v>
      </c>
      <c r="H37" s="6">
        <f>Parametry!$C$9*IF(Parametry!$C$11="Składany",Parametry!$C$10^(F37-1),1+(Parametry!$C$10-1)*(F37-1))</f>
        <v>66</v>
      </c>
      <c r="I37" s="7">
        <f>180*D37</f>
        <v>540</v>
      </c>
      <c r="J37" s="7">
        <f>20*D37</f>
        <v>60</v>
      </c>
      <c r="K37" s="7">
        <f>60*D37</f>
        <v>180</v>
      </c>
      <c r="L37" s="7">
        <f>0*D37</f>
        <v>0</v>
      </c>
      <c r="M37" s="7">
        <f>0*D37</f>
        <v>0</v>
      </c>
      <c r="N37" s="7">
        <f>10*D37</f>
        <v>30</v>
      </c>
      <c r="O37" s="7">
        <f t="shared" si="1"/>
        <v>270</v>
      </c>
      <c r="P37" s="8">
        <f t="shared" si="2"/>
        <v>0.68181818181818177</v>
      </c>
      <c r="Q37" s="7">
        <f>Parametry!$C$35</f>
        <v>4</v>
      </c>
      <c r="R37" s="8">
        <f t="shared" si="3"/>
        <v>2.0454545454545454</v>
      </c>
      <c r="S37" s="8">
        <f t="shared" si="4"/>
        <v>2.7272727272727271</v>
      </c>
      <c r="T37" s="5" t="s">
        <v>206</v>
      </c>
      <c r="U37" s="3" t="s">
        <v>207</v>
      </c>
    </row>
    <row r="38" spans="1:21" ht="65.099999999999994" customHeight="1" x14ac:dyDescent="0.3">
      <c r="A38" s="2" t="s">
        <v>219</v>
      </c>
      <c r="B38" s="2" t="s">
        <v>209</v>
      </c>
      <c r="C38" s="6">
        <v>3</v>
      </c>
      <c r="D38" s="7">
        <f t="shared" si="0"/>
        <v>4</v>
      </c>
      <c r="E38" s="6">
        <v>4</v>
      </c>
      <c r="F38" s="6">
        <v>3</v>
      </c>
      <c r="G38" s="7">
        <f>Parametry!$C$12</f>
        <v>6</v>
      </c>
      <c r="H38" s="6">
        <f>Parametry!$C$9*IF(Parametry!$C$11="Składany",Parametry!$C$10^(F38-1),1+(Parametry!$C$10-1)*(F38-1))</f>
        <v>72.600000000000009</v>
      </c>
      <c r="I38" s="7">
        <f>180*D38</f>
        <v>720</v>
      </c>
      <c r="J38" s="7">
        <f>20*D38</f>
        <v>80</v>
      </c>
      <c r="K38" s="7">
        <f>60*D38</f>
        <v>240</v>
      </c>
      <c r="L38" s="7">
        <f>0*D38</f>
        <v>0</v>
      </c>
      <c r="M38" s="7">
        <f>0*D38</f>
        <v>0</v>
      </c>
      <c r="N38" s="7">
        <f>10*D38</f>
        <v>40</v>
      </c>
      <c r="O38" s="7">
        <f t="shared" si="1"/>
        <v>360</v>
      </c>
      <c r="P38" s="8">
        <f t="shared" si="2"/>
        <v>0.82644628099173545</v>
      </c>
      <c r="Q38" s="7">
        <f>Parametry!$C$35</f>
        <v>4</v>
      </c>
      <c r="R38" s="8">
        <f t="shared" si="3"/>
        <v>2.4793388429752063</v>
      </c>
      <c r="S38" s="8">
        <f t="shared" si="4"/>
        <v>3.3057851239669418</v>
      </c>
      <c r="T38" s="5" t="s">
        <v>206</v>
      </c>
      <c r="U38" s="2" t="s">
        <v>207</v>
      </c>
    </row>
    <row r="39" spans="1:21" ht="65.099999999999994" customHeight="1" x14ac:dyDescent="0.3">
      <c r="A39" s="3" t="s">
        <v>220</v>
      </c>
      <c r="B39" s="3" t="s">
        <v>205</v>
      </c>
      <c r="C39" s="6">
        <v>1</v>
      </c>
      <c r="D39" s="7">
        <f t="shared" si="0"/>
        <v>2</v>
      </c>
      <c r="E39" s="6">
        <v>2</v>
      </c>
      <c r="F39" s="6">
        <v>1</v>
      </c>
      <c r="G39" s="7">
        <f>Parametry!$C$12</f>
        <v>6</v>
      </c>
      <c r="H39" s="6">
        <f>Parametry!$C$9*IF(Parametry!$C$11="Składany",Parametry!$C$10^(F39-1),1+(Parametry!$C$10-1)*(F39-1))</f>
        <v>60</v>
      </c>
      <c r="I39" s="7">
        <f>Parametry!$C$31*MAX(1,C39)</f>
        <v>500</v>
      </c>
      <c r="J39" s="7">
        <f>Parametry!$C$31*MAX(1,C39)</f>
        <v>500</v>
      </c>
      <c r="K39" s="7">
        <f>Parametry!$C$31*MAX(1,C39)</f>
        <v>500</v>
      </c>
      <c r="L39" s="7">
        <f>Parametry!$C$31*MAX(1,C39)</f>
        <v>500</v>
      </c>
      <c r="M39" s="7">
        <f>Parametry!$C$31*MAX(1,C39)</f>
        <v>500</v>
      </c>
      <c r="N39" s="7">
        <f>Parametry!$C$31*MAX(1,C39)</f>
        <v>500</v>
      </c>
      <c r="O39" s="7">
        <f t="shared" si="1"/>
        <v>2500</v>
      </c>
      <c r="P39" s="8">
        <f t="shared" si="2"/>
        <v>6.95</v>
      </c>
      <c r="Q39" s="7">
        <f>Parametry!$C$36</f>
        <v>6</v>
      </c>
      <c r="R39" s="8">
        <f t="shared" si="3"/>
        <v>34.75</v>
      </c>
      <c r="S39" s="8">
        <f t="shared" si="4"/>
        <v>41.7</v>
      </c>
      <c r="T39" s="5" t="s">
        <v>206</v>
      </c>
      <c r="U39" s="3" t="s">
        <v>207</v>
      </c>
    </row>
    <row r="40" spans="1:21" ht="65.099999999999994" customHeight="1" x14ac:dyDescent="0.3">
      <c r="A40" s="2" t="s">
        <v>220</v>
      </c>
      <c r="B40" s="2" t="s">
        <v>208</v>
      </c>
      <c r="C40" s="6">
        <v>2</v>
      </c>
      <c r="D40" s="7">
        <f t="shared" si="0"/>
        <v>3</v>
      </c>
      <c r="E40" s="6">
        <v>3</v>
      </c>
      <c r="F40" s="6">
        <v>2</v>
      </c>
      <c r="G40" s="7">
        <f>Parametry!$C$12</f>
        <v>6</v>
      </c>
      <c r="H40" s="6">
        <f>Parametry!$C$9*IF(Parametry!$C$11="Składany",Parametry!$C$10^(F40-1),1+(Parametry!$C$10-1)*(F40-1))</f>
        <v>66</v>
      </c>
      <c r="I40" s="7">
        <f>Parametry!$C$31*MAX(1,C40)</f>
        <v>1000</v>
      </c>
      <c r="J40" s="7">
        <f>Parametry!$C$31*MAX(1,C40)</f>
        <v>1000</v>
      </c>
      <c r="K40" s="7">
        <f>Parametry!$C$31*MAX(1,C40)</f>
        <v>1000</v>
      </c>
      <c r="L40" s="7">
        <f>Parametry!$C$31*MAX(1,C40)</f>
        <v>1000</v>
      </c>
      <c r="M40" s="7">
        <f>Parametry!$C$31*MAX(1,C40)</f>
        <v>1000</v>
      </c>
      <c r="N40" s="7">
        <f>Parametry!$C$31*MAX(1,C40)</f>
        <v>1000</v>
      </c>
      <c r="O40" s="7">
        <f t="shared" si="1"/>
        <v>5000</v>
      </c>
      <c r="P40" s="8">
        <f t="shared" si="2"/>
        <v>12.636363636363637</v>
      </c>
      <c r="Q40" s="7">
        <f>Parametry!$C$36</f>
        <v>6</v>
      </c>
      <c r="R40" s="8">
        <f t="shared" si="3"/>
        <v>63.181818181818187</v>
      </c>
      <c r="S40" s="8">
        <f t="shared" si="4"/>
        <v>75.818181818181813</v>
      </c>
      <c r="T40" s="5" t="s">
        <v>206</v>
      </c>
      <c r="U40" s="2" t="s">
        <v>207</v>
      </c>
    </row>
    <row r="41" spans="1:21" ht="65.099999999999994" customHeight="1" x14ac:dyDescent="0.3">
      <c r="A41" s="3" t="s">
        <v>220</v>
      </c>
      <c r="B41" s="3" t="s">
        <v>209</v>
      </c>
      <c r="C41" s="6">
        <v>3</v>
      </c>
      <c r="D41" s="7">
        <f t="shared" si="0"/>
        <v>4</v>
      </c>
      <c r="E41" s="6">
        <v>4</v>
      </c>
      <c r="F41" s="6">
        <v>3</v>
      </c>
      <c r="G41" s="7">
        <f>Parametry!$C$12</f>
        <v>6</v>
      </c>
      <c r="H41" s="6">
        <f>Parametry!$C$9*IF(Parametry!$C$11="Składany",Parametry!$C$10^(F41-1),1+(Parametry!$C$10-1)*(F41-1))</f>
        <v>72.600000000000009</v>
      </c>
      <c r="I41" s="7">
        <f>Parametry!$C$31*MAX(1,C41)</f>
        <v>1500</v>
      </c>
      <c r="J41" s="7">
        <f>Parametry!$C$31*MAX(1,C41)</f>
        <v>1500</v>
      </c>
      <c r="K41" s="7">
        <f>Parametry!$C$31*MAX(1,C41)</f>
        <v>1500</v>
      </c>
      <c r="L41" s="7">
        <f>Parametry!$C$31*MAX(1,C41)</f>
        <v>1500</v>
      </c>
      <c r="M41" s="7">
        <f>Parametry!$C$31*MAX(1,C41)</f>
        <v>1500</v>
      </c>
      <c r="N41" s="7">
        <f>Parametry!$C$31*MAX(1,C41)</f>
        <v>1500</v>
      </c>
      <c r="O41" s="7">
        <f t="shared" si="1"/>
        <v>7500</v>
      </c>
      <c r="P41" s="8">
        <f t="shared" si="2"/>
        <v>17.217630853994489</v>
      </c>
      <c r="Q41" s="7">
        <f>Parametry!$C$36</f>
        <v>6</v>
      </c>
      <c r="R41" s="8">
        <f t="shared" si="3"/>
        <v>86.088154269972449</v>
      </c>
      <c r="S41" s="8">
        <f t="shared" si="4"/>
        <v>103.30578512396693</v>
      </c>
      <c r="T41" s="5" t="s">
        <v>206</v>
      </c>
      <c r="U41" s="3" t="s">
        <v>207</v>
      </c>
    </row>
    <row r="42" spans="1:21" ht="65.099999999999994" customHeight="1" x14ac:dyDescent="0.3">
      <c r="A42" s="2" t="s">
        <v>220</v>
      </c>
      <c r="B42" s="2" t="s">
        <v>221</v>
      </c>
      <c r="C42" s="6">
        <v>0</v>
      </c>
      <c r="D42" s="7">
        <f t="shared" si="0"/>
        <v>1</v>
      </c>
      <c r="E42" s="6">
        <v>1</v>
      </c>
      <c r="F42" s="6">
        <v>1</v>
      </c>
      <c r="G42" s="7">
        <f>Parametry!$C$12</f>
        <v>6</v>
      </c>
      <c r="H42" s="6">
        <f>Parametry!$C$9*IF(Parametry!$C$11="Składany",Parametry!$C$10^(F42-1),1+(Parametry!$C$10-1)*(F42-1))</f>
        <v>60</v>
      </c>
      <c r="I42" s="7">
        <f>Parametry!$C$31*MAX(1,C42)</f>
        <v>500</v>
      </c>
      <c r="J42" s="7">
        <f>Parametry!$C$31*MAX(1,C42)</f>
        <v>500</v>
      </c>
      <c r="K42" s="7">
        <f>Parametry!$C$31*MAX(1,C42)</f>
        <v>500</v>
      </c>
      <c r="L42" s="7">
        <f>Parametry!$C$31*MAX(1,C42)</f>
        <v>500</v>
      </c>
      <c r="M42" s="7">
        <f>Parametry!$C$31*MAX(1,C42)</f>
        <v>500</v>
      </c>
      <c r="N42" s="7">
        <f>Parametry!$C$31*MAX(1,C42)</f>
        <v>500</v>
      </c>
      <c r="O42" s="7">
        <f t="shared" si="1"/>
        <v>2500</v>
      </c>
      <c r="P42" s="8">
        <f t="shared" si="2"/>
        <v>6.95</v>
      </c>
      <c r="Q42" s="7">
        <f>Parametry!$C$36</f>
        <v>6</v>
      </c>
      <c r="R42" s="8">
        <f t="shared" si="3"/>
        <v>34.75</v>
      </c>
      <c r="S42" s="8">
        <f t="shared" si="4"/>
        <v>41.7</v>
      </c>
      <c r="T42" s="5" t="s">
        <v>206</v>
      </c>
      <c r="U42" s="2" t="s">
        <v>207</v>
      </c>
    </row>
  </sheetData>
  <autoFilter ref="A5:U42" xr:uid="{00000000-0009-0000-0000-000004000000}"/>
  <mergeCells count="2">
    <mergeCell ref="A1:U1"/>
    <mergeCell ref="A2:U3"/>
  </mergeCells>
  <pageMargins left="0.3" right="0.3" top="0.4" bottom="0.4" header="0.3" footer="0.3"/>
  <pageSetup paperSize="8" fitToHeight="0" orientation="landscape"/>
  <headerFooter>
    <oddFooter>&amp;LHARBORLIGHT — projekt zasad, bez wdrożenia&amp;R&amp;P / &amp;N</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6D75"/>
    <pageSetUpPr fitToPage="1"/>
  </sheetPr>
  <dimension ref="A1:F53"/>
  <sheetViews>
    <sheetView showGridLines="0" zoomScale="85" zoomScaleNormal="85" workbookViewId="0">
      <pane xSplit="1" ySplit="5" topLeftCell="B23" activePane="bottomRight" state="frozen"/>
      <selection pane="topRight" activeCell="B1" sqref="B1"/>
      <selection pane="bottomLeft" activeCell="A6" sqref="A6"/>
      <selection pane="bottomRight" activeCell="F10" sqref="F10"/>
    </sheetView>
  </sheetViews>
  <sheetFormatPr defaultRowHeight="14.4" x14ac:dyDescent="0.3"/>
  <cols>
    <col min="1" max="1" width="18.6640625" customWidth="1"/>
    <col min="2" max="2" width="44.6640625" customWidth="1"/>
    <col min="3" max="3" width="18.6640625" customWidth="1"/>
    <col min="4" max="4" width="26.6640625" customWidth="1"/>
    <col min="5" max="5" width="34.6640625" customWidth="1"/>
    <col min="6" max="6" width="95.6640625" customWidth="1"/>
  </cols>
  <sheetData>
    <row r="1" spans="1:6" ht="33.9" customHeight="1" x14ac:dyDescent="0.3">
      <c r="A1" s="19" t="s">
        <v>0</v>
      </c>
      <c r="B1" s="19"/>
      <c r="C1" s="19"/>
      <c r="D1" s="19"/>
      <c r="E1" s="19"/>
      <c r="F1" s="19"/>
    </row>
    <row r="2" spans="1:6" ht="24.9" customHeight="1" x14ac:dyDescent="0.3">
      <c r="A2" s="20" t="s">
        <v>1</v>
      </c>
      <c r="B2" s="20"/>
      <c r="C2" s="20"/>
      <c r="D2" s="20"/>
      <c r="E2" s="20"/>
      <c r="F2" s="20"/>
    </row>
    <row r="3" spans="1:6" ht="24.9" customHeight="1" x14ac:dyDescent="0.3">
      <c r="A3" s="20"/>
      <c r="B3" s="20"/>
      <c r="C3" s="20"/>
      <c r="D3" s="20"/>
      <c r="E3" s="20"/>
      <c r="F3" s="20"/>
    </row>
    <row r="5" spans="1:6" ht="48" customHeight="1" x14ac:dyDescent="0.3">
      <c r="A5" s="1" t="s">
        <v>2</v>
      </c>
      <c r="B5" s="1" t="s">
        <v>3</v>
      </c>
      <c r="C5" s="1" t="s">
        <v>4</v>
      </c>
      <c r="D5" s="1" t="s">
        <v>5</v>
      </c>
      <c r="E5" s="1" t="s">
        <v>6</v>
      </c>
      <c r="F5" s="1" t="s">
        <v>7</v>
      </c>
    </row>
    <row r="6" spans="1:6" ht="42" customHeight="1" x14ac:dyDescent="0.3">
      <c r="A6" s="2" t="s">
        <v>8</v>
      </c>
      <c r="B6" s="2" t="s">
        <v>9</v>
      </c>
      <c r="C6" s="9">
        <v>12</v>
      </c>
      <c r="D6" s="2" t="s">
        <v>10</v>
      </c>
      <c r="E6" s="4" t="s">
        <v>11</v>
      </c>
      <c r="F6" s="2" t="s">
        <v>12</v>
      </c>
    </row>
    <row r="7" spans="1:6" ht="42" customHeight="1" x14ac:dyDescent="0.3">
      <c r="A7" s="3" t="s">
        <v>13</v>
      </c>
      <c r="B7" s="3" t="s">
        <v>14</v>
      </c>
      <c r="C7" s="9">
        <v>1</v>
      </c>
      <c r="D7" s="3" t="s">
        <v>15</v>
      </c>
      <c r="E7" s="5" t="s">
        <v>16</v>
      </c>
      <c r="F7" s="3" t="s">
        <v>17</v>
      </c>
    </row>
    <row r="8" spans="1:6" ht="42" customHeight="1" x14ac:dyDescent="0.3">
      <c r="A8" s="2" t="s">
        <v>18</v>
      </c>
      <c r="B8" s="2" t="s">
        <v>19</v>
      </c>
      <c r="C8" s="9">
        <v>10</v>
      </c>
      <c r="D8" s="2" t="s">
        <v>20</v>
      </c>
      <c r="E8" s="4" t="s">
        <v>11</v>
      </c>
      <c r="F8" s="2" t="s">
        <v>21</v>
      </c>
    </row>
    <row r="9" spans="1:6" ht="42" customHeight="1" x14ac:dyDescent="0.3">
      <c r="A9" s="3" t="s">
        <v>22</v>
      </c>
      <c r="B9" s="3" t="s">
        <v>1078</v>
      </c>
      <c r="C9" s="9">
        <v>60</v>
      </c>
      <c r="D9" s="3" t="s">
        <v>20</v>
      </c>
      <c r="E9" s="4" t="s">
        <v>11</v>
      </c>
      <c r="F9" s="3" t="s">
        <v>1079</v>
      </c>
    </row>
    <row r="10" spans="1:6" ht="42" customHeight="1" x14ac:dyDescent="0.3">
      <c r="A10" s="2" t="s">
        <v>23</v>
      </c>
      <c r="B10" s="2" t="s">
        <v>24</v>
      </c>
      <c r="C10" s="9">
        <v>1.1000000000000001</v>
      </c>
      <c r="D10" s="2" t="s">
        <v>25</v>
      </c>
      <c r="E10" s="5" t="s">
        <v>26</v>
      </c>
      <c r="F10" s="2" t="s">
        <v>27</v>
      </c>
    </row>
    <row r="11" spans="1:6" ht="42" customHeight="1" x14ac:dyDescent="0.3">
      <c r="A11" s="3" t="s">
        <v>28</v>
      </c>
      <c r="B11" s="3" t="s">
        <v>29</v>
      </c>
      <c r="C11" s="10" t="s">
        <v>30</v>
      </c>
      <c r="D11" s="3" t="s">
        <v>31</v>
      </c>
      <c r="E11" s="5" t="s">
        <v>26</v>
      </c>
      <c r="F11" s="3" t="s">
        <v>32</v>
      </c>
    </row>
    <row r="12" spans="1:6" ht="42" customHeight="1" x14ac:dyDescent="0.3">
      <c r="A12" s="2" t="s">
        <v>33</v>
      </c>
      <c r="B12" s="2" t="s">
        <v>34</v>
      </c>
      <c r="C12" s="9">
        <v>6</v>
      </c>
      <c r="D12" s="2" t="s">
        <v>10</v>
      </c>
      <c r="E12" s="5" t="s">
        <v>35</v>
      </c>
      <c r="F12" s="2" t="s">
        <v>36</v>
      </c>
    </row>
    <row r="13" spans="1:6" ht="42" customHeight="1" x14ac:dyDescent="0.3">
      <c r="A13" s="3" t="s">
        <v>37</v>
      </c>
      <c r="B13" s="3" t="s">
        <v>38</v>
      </c>
      <c r="C13" s="9">
        <v>1</v>
      </c>
      <c r="D13" s="3" t="s">
        <v>39</v>
      </c>
      <c r="E13" s="4" t="s">
        <v>11</v>
      </c>
      <c r="F13" s="3" t="s">
        <v>40</v>
      </c>
    </row>
    <row r="14" spans="1:6" ht="42" customHeight="1" x14ac:dyDescent="0.3">
      <c r="A14" s="2" t="s">
        <v>41</v>
      </c>
      <c r="B14" s="2" t="s">
        <v>42</v>
      </c>
      <c r="C14" s="9">
        <v>50</v>
      </c>
      <c r="D14" s="2" t="s">
        <v>43</v>
      </c>
      <c r="E14" s="5" t="s">
        <v>44</v>
      </c>
      <c r="F14" s="2" t="s">
        <v>45</v>
      </c>
    </row>
    <row r="15" spans="1:6" ht="42" customHeight="1" x14ac:dyDescent="0.3">
      <c r="A15" s="3" t="s">
        <v>46</v>
      </c>
      <c r="B15" s="3" t="s">
        <v>47</v>
      </c>
      <c r="C15" s="9">
        <v>5</v>
      </c>
      <c r="D15" s="3" t="s">
        <v>48</v>
      </c>
      <c r="E15" s="4" t="s">
        <v>11</v>
      </c>
      <c r="F15" s="3" t="s">
        <v>49</v>
      </c>
    </row>
    <row r="16" spans="1:6" ht="42" customHeight="1" x14ac:dyDescent="0.3">
      <c r="A16" s="2" t="s">
        <v>50</v>
      </c>
      <c r="B16" s="2" t="s">
        <v>51</v>
      </c>
      <c r="C16" s="9">
        <v>1000</v>
      </c>
      <c r="D16" s="2" t="s">
        <v>43</v>
      </c>
      <c r="E16" s="4" t="s">
        <v>11</v>
      </c>
      <c r="F16" s="2" t="s">
        <v>52</v>
      </c>
    </row>
    <row r="17" spans="1:6" ht="42" customHeight="1" x14ac:dyDescent="0.3">
      <c r="A17" s="3" t="s">
        <v>53</v>
      </c>
      <c r="B17" s="3" t="s">
        <v>54</v>
      </c>
      <c r="C17" s="9">
        <v>4000</v>
      </c>
      <c r="D17" s="3" t="s">
        <v>43</v>
      </c>
      <c r="E17" s="4" t="s">
        <v>11</v>
      </c>
      <c r="F17" s="3" t="s">
        <v>55</v>
      </c>
    </row>
    <row r="18" spans="1:6" ht="42" customHeight="1" x14ac:dyDescent="0.3">
      <c r="A18" s="2" t="s">
        <v>56</v>
      </c>
      <c r="B18" s="2" t="s">
        <v>57</v>
      </c>
      <c r="C18" s="9">
        <v>1.5</v>
      </c>
      <c r="D18" s="2" t="s">
        <v>25</v>
      </c>
      <c r="E18" s="5" t="s">
        <v>58</v>
      </c>
      <c r="F18" s="2" t="s">
        <v>59</v>
      </c>
    </row>
    <row r="19" spans="1:6" ht="42" customHeight="1" x14ac:dyDescent="0.3">
      <c r="A19" s="3" t="s">
        <v>60</v>
      </c>
      <c r="B19" s="3" t="s">
        <v>61</v>
      </c>
      <c r="C19" s="9">
        <v>200</v>
      </c>
      <c r="D19" s="3" t="s">
        <v>62</v>
      </c>
      <c r="E19" s="5" t="s">
        <v>63</v>
      </c>
      <c r="F19" s="3" t="s">
        <v>64</v>
      </c>
    </row>
    <row r="20" spans="1:6" ht="42" customHeight="1" x14ac:dyDescent="0.3">
      <c r="A20" s="2" t="s">
        <v>65</v>
      </c>
      <c r="B20" s="2" t="s">
        <v>66</v>
      </c>
      <c r="C20" s="9">
        <v>24</v>
      </c>
      <c r="D20" s="2" t="s">
        <v>67</v>
      </c>
      <c r="E20" s="4" t="s">
        <v>11</v>
      </c>
      <c r="F20" s="2" t="s">
        <v>68</v>
      </c>
    </row>
    <row r="21" spans="1:6" ht="42" customHeight="1" x14ac:dyDescent="0.3">
      <c r="A21" s="3" t="s">
        <v>69</v>
      </c>
      <c r="B21" s="3" t="s">
        <v>70</v>
      </c>
      <c r="C21" s="9">
        <v>6</v>
      </c>
      <c r="D21" s="3" t="s">
        <v>10</v>
      </c>
      <c r="E21" s="4" t="s">
        <v>11</v>
      </c>
      <c r="F21" s="3" t="s">
        <v>71</v>
      </c>
    </row>
    <row r="22" spans="1:6" ht="42" customHeight="1" x14ac:dyDescent="0.3">
      <c r="A22" s="2" t="s">
        <v>72</v>
      </c>
      <c r="B22" s="2" t="s">
        <v>73</v>
      </c>
      <c r="C22" s="9">
        <v>1</v>
      </c>
      <c r="D22" s="2" t="s">
        <v>74</v>
      </c>
      <c r="E22" s="4" t="s">
        <v>11</v>
      </c>
      <c r="F22" s="2" t="s">
        <v>75</v>
      </c>
    </row>
    <row r="23" spans="1:6" ht="42" customHeight="1" x14ac:dyDescent="0.3">
      <c r="A23" s="3" t="s">
        <v>76</v>
      </c>
      <c r="B23" s="3" t="s">
        <v>77</v>
      </c>
      <c r="C23" s="9">
        <v>1</v>
      </c>
      <c r="D23" s="3" t="s">
        <v>78</v>
      </c>
      <c r="E23" s="4" t="s">
        <v>11</v>
      </c>
      <c r="F23" s="3" t="s">
        <v>79</v>
      </c>
    </row>
    <row r="24" spans="1:6" ht="42" customHeight="1" x14ac:dyDescent="0.3">
      <c r="A24" s="2" t="s">
        <v>80</v>
      </c>
      <c r="B24" s="2" t="s">
        <v>81</v>
      </c>
      <c r="C24" s="9">
        <v>1</v>
      </c>
      <c r="D24" s="2" t="s">
        <v>78</v>
      </c>
      <c r="E24" s="4" t="s">
        <v>11</v>
      </c>
      <c r="F24" s="2" t="s">
        <v>82</v>
      </c>
    </row>
    <row r="25" spans="1:6" ht="42" customHeight="1" x14ac:dyDescent="0.3">
      <c r="A25" s="3" t="s">
        <v>83</v>
      </c>
      <c r="B25" s="3" t="s">
        <v>84</v>
      </c>
      <c r="C25" s="9">
        <v>12</v>
      </c>
      <c r="D25" s="3" t="s">
        <v>85</v>
      </c>
      <c r="E25" s="4" t="s">
        <v>11</v>
      </c>
      <c r="F25" s="3" t="s">
        <v>86</v>
      </c>
    </row>
    <row r="26" spans="1:6" ht="42" customHeight="1" x14ac:dyDescent="0.3">
      <c r="A26" s="2" t="s">
        <v>87</v>
      </c>
      <c r="B26" s="2" t="s">
        <v>88</v>
      </c>
      <c r="C26" s="9">
        <v>5</v>
      </c>
      <c r="D26" s="2" t="s">
        <v>78</v>
      </c>
      <c r="E26" s="4" t="s">
        <v>11</v>
      </c>
      <c r="F26" s="2" t="s">
        <v>89</v>
      </c>
    </row>
    <row r="27" spans="1:6" ht="42" customHeight="1" x14ac:dyDescent="0.3">
      <c r="A27" s="3" t="s">
        <v>90</v>
      </c>
      <c r="B27" s="3" t="s">
        <v>91</v>
      </c>
      <c r="C27" s="9">
        <v>240</v>
      </c>
      <c r="D27" s="3" t="s">
        <v>92</v>
      </c>
      <c r="E27" s="4" t="s">
        <v>11</v>
      </c>
      <c r="F27" s="3" t="s">
        <v>93</v>
      </c>
    </row>
    <row r="28" spans="1:6" ht="42" customHeight="1" x14ac:dyDescent="0.3">
      <c r="A28" s="2" t="s">
        <v>94</v>
      </c>
      <c r="B28" s="2" t="s">
        <v>95</v>
      </c>
      <c r="C28" s="9">
        <v>0.3</v>
      </c>
      <c r="D28" s="2" t="s">
        <v>96</v>
      </c>
      <c r="E28" s="4" t="s">
        <v>11</v>
      </c>
      <c r="F28" s="2" t="s">
        <v>97</v>
      </c>
    </row>
    <row r="29" spans="1:6" ht="42" customHeight="1" x14ac:dyDescent="0.3">
      <c r="A29" s="3" t="s">
        <v>98</v>
      </c>
      <c r="B29" s="3" t="s">
        <v>99</v>
      </c>
      <c r="C29" s="9">
        <v>0.3</v>
      </c>
      <c r="D29" s="3" t="s">
        <v>96</v>
      </c>
      <c r="E29" s="4" t="s">
        <v>11</v>
      </c>
      <c r="F29" s="3" t="s">
        <v>100</v>
      </c>
    </row>
    <row r="30" spans="1:6" ht="42" customHeight="1" x14ac:dyDescent="0.3">
      <c r="A30" s="2" t="s">
        <v>101</v>
      </c>
      <c r="B30" s="2" t="s">
        <v>102</v>
      </c>
      <c r="C30" s="9">
        <v>0.5</v>
      </c>
      <c r="D30" s="2" t="s">
        <v>96</v>
      </c>
      <c r="E30" s="4" t="s">
        <v>11</v>
      </c>
      <c r="F30" s="2" t="s">
        <v>103</v>
      </c>
    </row>
    <row r="31" spans="1:6" ht="42" customHeight="1" x14ac:dyDescent="0.3">
      <c r="A31" s="3" t="s">
        <v>104</v>
      </c>
      <c r="B31" s="3" t="s">
        <v>105</v>
      </c>
      <c r="C31" s="9">
        <v>500</v>
      </c>
      <c r="D31" s="3" t="s">
        <v>106</v>
      </c>
      <c r="E31" s="4" t="s">
        <v>11</v>
      </c>
      <c r="F31" s="3" t="s">
        <v>107</v>
      </c>
    </row>
    <row r="32" spans="1:6" ht="42" customHeight="1" x14ac:dyDescent="0.3">
      <c r="A32" s="2" t="s">
        <v>108</v>
      </c>
      <c r="B32" s="2" t="s">
        <v>109</v>
      </c>
      <c r="C32" s="9">
        <v>3</v>
      </c>
      <c r="D32" s="2" t="s">
        <v>110</v>
      </c>
      <c r="E32" s="5" t="s">
        <v>111</v>
      </c>
      <c r="F32" s="2" t="s">
        <v>112</v>
      </c>
    </row>
    <row r="33" spans="1:6" ht="42" customHeight="1" x14ac:dyDescent="0.3">
      <c r="A33" s="3" t="s">
        <v>113</v>
      </c>
      <c r="B33" s="3" t="s">
        <v>114</v>
      </c>
      <c r="C33" s="9">
        <v>2</v>
      </c>
      <c r="D33" s="3" t="s">
        <v>110</v>
      </c>
      <c r="E33" s="4" t="s">
        <v>11</v>
      </c>
      <c r="F33" s="3" t="s">
        <v>115</v>
      </c>
    </row>
    <row r="34" spans="1:6" ht="42" customHeight="1" x14ac:dyDescent="0.3">
      <c r="A34" s="2" t="s">
        <v>116</v>
      </c>
      <c r="B34" s="2" t="s">
        <v>117</v>
      </c>
      <c r="C34" s="9">
        <v>2</v>
      </c>
      <c r="D34" s="2" t="s">
        <v>110</v>
      </c>
      <c r="E34" s="4" t="s">
        <v>11</v>
      </c>
      <c r="F34" s="2" t="s">
        <v>115</v>
      </c>
    </row>
    <row r="35" spans="1:6" ht="42" customHeight="1" x14ac:dyDescent="0.3">
      <c r="A35" s="3" t="s">
        <v>118</v>
      </c>
      <c r="B35" s="3" t="s">
        <v>119</v>
      </c>
      <c r="C35" s="9">
        <v>4</v>
      </c>
      <c r="D35" s="3" t="s">
        <v>110</v>
      </c>
      <c r="E35" s="5" t="s">
        <v>111</v>
      </c>
      <c r="F35" s="3" t="s">
        <v>120</v>
      </c>
    </row>
    <row r="36" spans="1:6" ht="42" customHeight="1" x14ac:dyDescent="0.3">
      <c r="A36" s="2" t="s">
        <v>121</v>
      </c>
      <c r="B36" s="2" t="s">
        <v>122</v>
      </c>
      <c r="C36" s="9">
        <v>6</v>
      </c>
      <c r="D36" s="2" t="s">
        <v>110</v>
      </c>
      <c r="E36" s="5" t="s">
        <v>111</v>
      </c>
      <c r="F36" s="2" t="s">
        <v>123</v>
      </c>
    </row>
    <row r="37" spans="1:6" ht="42" customHeight="1" x14ac:dyDescent="0.3">
      <c r="A37" s="3" t="s">
        <v>124</v>
      </c>
      <c r="B37" s="3" t="s">
        <v>125</v>
      </c>
      <c r="C37" s="9">
        <v>40</v>
      </c>
      <c r="D37" s="3" t="s">
        <v>126</v>
      </c>
      <c r="E37" s="5" t="s">
        <v>111</v>
      </c>
      <c r="F37" s="3" t="s">
        <v>127</v>
      </c>
    </row>
    <row r="38" spans="1:6" ht="42" customHeight="1" x14ac:dyDescent="0.3">
      <c r="A38" s="2" t="s">
        <v>128</v>
      </c>
      <c r="B38" s="2" t="s">
        <v>129</v>
      </c>
      <c r="C38" s="9">
        <v>50</v>
      </c>
      <c r="D38" s="2" t="s">
        <v>126</v>
      </c>
      <c r="E38" s="5" t="s">
        <v>111</v>
      </c>
      <c r="F38" s="2" t="s">
        <v>130</v>
      </c>
    </row>
    <row r="39" spans="1:6" ht="42" customHeight="1" x14ac:dyDescent="0.3">
      <c r="A39" s="3" t="s">
        <v>131</v>
      </c>
      <c r="B39" s="3" t="s">
        <v>132</v>
      </c>
      <c r="C39" s="9">
        <v>70</v>
      </c>
      <c r="D39" s="3" t="s">
        <v>126</v>
      </c>
      <c r="E39" s="5" t="s">
        <v>111</v>
      </c>
      <c r="F39" s="3" t="s">
        <v>133</v>
      </c>
    </row>
    <row r="40" spans="1:6" ht="42" customHeight="1" x14ac:dyDescent="0.3">
      <c r="A40" s="2" t="s">
        <v>134</v>
      </c>
      <c r="B40" s="2" t="s">
        <v>135</v>
      </c>
      <c r="C40" s="9">
        <v>80</v>
      </c>
      <c r="D40" s="2" t="s">
        <v>126</v>
      </c>
      <c r="E40" s="5" t="s">
        <v>111</v>
      </c>
      <c r="F40" s="2" t="s">
        <v>130</v>
      </c>
    </row>
    <row r="41" spans="1:6" ht="42" customHeight="1" x14ac:dyDescent="0.3">
      <c r="A41" s="3" t="s">
        <v>136</v>
      </c>
      <c r="B41" s="3" t="s">
        <v>137</v>
      </c>
      <c r="C41" s="9">
        <v>100</v>
      </c>
      <c r="D41" s="3" t="s">
        <v>43</v>
      </c>
      <c r="E41" s="5" t="s">
        <v>111</v>
      </c>
      <c r="F41" s="3" t="s">
        <v>138</v>
      </c>
    </row>
    <row r="42" spans="1:6" ht="42" customHeight="1" x14ac:dyDescent="0.3">
      <c r="A42" s="2" t="s">
        <v>139</v>
      </c>
      <c r="B42" s="2" t="s">
        <v>140</v>
      </c>
      <c r="C42" s="9">
        <v>3</v>
      </c>
      <c r="D42" s="2" t="s">
        <v>141</v>
      </c>
      <c r="E42" s="5" t="s">
        <v>142</v>
      </c>
      <c r="F42" s="2" t="s">
        <v>143</v>
      </c>
    </row>
    <row r="43" spans="1:6" ht="42" customHeight="1" x14ac:dyDescent="0.3">
      <c r="A43" s="3" t="s">
        <v>144</v>
      </c>
      <c r="B43" s="3" t="s">
        <v>145</v>
      </c>
      <c r="C43" s="9">
        <v>0.1</v>
      </c>
      <c r="D43" s="3" t="s">
        <v>96</v>
      </c>
      <c r="E43" s="5" t="s">
        <v>142</v>
      </c>
      <c r="F43" s="3" t="s">
        <v>146</v>
      </c>
    </row>
    <row r="44" spans="1:6" ht="42" customHeight="1" x14ac:dyDescent="0.3">
      <c r="A44" s="2" t="s">
        <v>147</v>
      </c>
      <c r="B44" s="2" t="s">
        <v>148</v>
      </c>
      <c r="C44" s="9">
        <v>10</v>
      </c>
      <c r="D44" s="2" t="s">
        <v>126</v>
      </c>
      <c r="E44" s="5" t="s">
        <v>142</v>
      </c>
      <c r="F44" s="2" t="s">
        <v>149</v>
      </c>
    </row>
    <row r="45" spans="1:6" ht="42" customHeight="1" x14ac:dyDescent="0.3">
      <c r="A45" s="3" t="s">
        <v>150</v>
      </c>
      <c r="B45" s="3" t="s">
        <v>151</v>
      </c>
      <c r="C45" s="9">
        <v>24</v>
      </c>
      <c r="D45" s="3" t="s">
        <v>141</v>
      </c>
      <c r="E45" s="5" t="s">
        <v>111</v>
      </c>
      <c r="F45" s="3" t="s">
        <v>152</v>
      </c>
    </row>
    <row r="46" spans="1:6" ht="42" customHeight="1" x14ac:dyDescent="0.3">
      <c r="A46" s="2" t="s">
        <v>153</v>
      </c>
      <c r="B46" s="2" t="s">
        <v>154</v>
      </c>
      <c r="C46" s="9">
        <v>50</v>
      </c>
      <c r="D46" s="2" t="s">
        <v>43</v>
      </c>
      <c r="E46" s="5" t="s">
        <v>63</v>
      </c>
      <c r="F46" s="2" t="s">
        <v>155</v>
      </c>
    </row>
    <row r="47" spans="1:6" ht="42" customHeight="1" x14ac:dyDescent="0.3">
      <c r="A47" s="3" t="s">
        <v>156</v>
      </c>
      <c r="B47" s="3" t="s">
        <v>157</v>
      </c>
      <c r="C47" s="9">
        <v>20</v>
      </c>
      <c r="D47" s="3" t="s">
        <v>158</v>
      </c>
      <c r="E47" s="5" t="s">
        <v>63</v>
      </c>
      <c r="F47" s="3" t="s">
        <v>159</v>
      </c>
    </row>
    <row r="48" spans="1:6" ht="42" customHeight="1" x14ac:dyDescent="0.3">
      <c r="A48" s="2" t="s">
        <v>160</v>
      </c>
      <c r="B48" s="2" t="s">
        <v>161</v>
      </c>
      <c r="C48" s="9">
        <v>1</v>
      </c>
      <c r="D48" s="2" t="s">
        <v>141</v>
      </c>
      <c r="E48" s="5" t="s">
        <v>63</v>
      </c>
      <c r="F48" s="2" t="s">
        <v>162</v>
      </c>
    </row>
    <row r="49" spans="1:6" ht="42" customHeight="1" x14ac:dyDescent="0.3">
      <c r="A49" s="3" t="s">
        <v>163</v>
      </c>
      <c r="B49" s="3" t="s">
        <v>164</v>
      </c>
      <c r="C49" s="9">
        <v>1</v>
      </c>
      <c r="D49" s="3" t="s">
        <v>141</v>
      </c>
      <c r="E49" s="5" t="s">
        <v>165</v>
      </c>
      <c r="F49" s="3" t="s">
        <v>166</v>
      </c>
    </row>
    <row r="50" spans="1:6" ht="42" customHeight="1" x14ac:dyDescent="0.3">
      <c r="A50" s="2" t="s">
        <v>167</v>
      </c>
      <c r="B50" s="2" t="s">
        <v>168</v>
      </c>
      <c r="C50" s="9">
        <v>1.25</v>
      </c>
      <c r="D50" s="2" t="s">
        <v>169</v>
      </c>
      <c r="E50" s="5" t="s">
        <v>111</v>
      </c>
      <c r="F50" s="2" t="s">
        <v>170</v>
      </c>
    </row>
    <row r="51" spans="1:6" ht="42" customHeight="1" x14ac:dyDescent="0.3">
      <c r="A51" s="3" t="s">
        <v>171</v>
      </c>
      <c r="B51" s="3" t="s">
        <v>172</v>
      </c>
      <c r="C51" s="9">
        <v>60</v>
      </c>
      <c r="D51" s="3" t="s">
        <v>173</v>
      </c>
      <c r="E51" s="5" t="s">
        <v>111</v>
      </c>
      <c r="F51" s="3" t="s">
        <v>174</v>
      </c>
    </row>
    <row r="52" spans="1:6" ht="42" customHeight="1" x14ac:dyDescent="0.3">
      <c r="A52" s="2" t="s">
        <v>175</v>
      </c>
      <c r="B52" s="2" t="s">
        <v>176</v>
      </c>
      <c r="C52" s="9">
        <v>2</v>
      </c>
      <c r="D52" s="2" t="s">
        <v>43</v>
      </c>
      <c r="E52" s="5" t="s">
        <v>142</v>
      </c>
      <c r="F52" s="2" t="s">
        <v>177</v>
      </c>
    </row>
    <row r="53" spans="1:6" ht="42" customHeight="1" x14ac:dyDescent="0.3">
      <c r="A53" s="3" t="s">
        <v>178</v>
      </c>
      <c r="B53" s="3" t="s">
        <v>179</v>
      </c>
      <c r="C53" s="9">
        <v>0.5</v>
      </c>
      <c r="D53" s="3" t="s">
        <v>169</v>
      </c>
      <c r="E53" s="5" t="s">
        <v>111</v>
      </c>
      <c r="F53" s="3" t="s">
        <v>180</v>
      </c>
    </row>
  </sheetData>
  <autoFilter ref="A5:F53" xr:uid="{00000000-0009-0000-0000-000005000000}"/>
  <mergeCells count="2">
    <mergeCell ref="A1:F1"/>
    <mergeCell ref="A2:F3"/>
  </mergeCells>
  <dataValidations count="2">
    <dataValidation type="decimal" operator="greaterThanOrEqual" allowBlank="1" showInputMessage="1" showErrorMessage="1" promptTitle="Parametr modelu" prompt="Zmieniasz scenariusz, nie zasady gry." sqref="C12:C53 C6:C10" xr:uid="{00000000-0002-0000-0500-000000000000}">
      <formula1>0</formula1>
    </dataValidation>
    <dataValidation type="list" allowBlank="1" showInputMessage="1" showErrorMessage="1" sqref="C11" xr:uid="{00000000-0002-0000-0500-000005000000}">
      <formula1>"Składany,Liniowy"</formula1>
    </dataValidation>
  </dataValidations>
  <pageMargins left="0.3" right="0.3" top="0.4" bottom="0.4" header="0.3" footer="0.3"/>
  <pageSetup paperSize="8" fitToHeight="0" orientation="landscape"/>
  <headerFooter>
    <oddFooter>&amp;LHARBORLIGHT — projekt zasad, bez wdrożenia&amp;R&amp;P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46D75"/>
    <pageSetUpPr fitToPage="1"/>
  </sheetPr>
  <dimension ref="A1:I25"/>
  <sheetViews>
    <sheetView showGridLines="0" zoomScale="80" zoomScaleNormal="80" workbookViewId="0">
      <pane xSplit="1" ySplit="5" topLeftCell="B25" activePane="bottomRight" state="frozen"/>
      <selection pane="topRight" activeCell="B1" sqref="B1"/>
      <selection pane="bottomLeft" activeCell="A6" sqref="A6"/>
      <selection pane="bottomRight" activeCell="C26" sqref="C26"/>
    </sheetView>
  </sheetViews>
  <sheetFormatPr defaultRowHeight="23.4" x14ac:dyDescent="0.45"/>
  <cols>
    <col min="1" max="1" width="11.6640625" style="24" customWidth="1"/>
    <col min="2" max="2" width="23.6640625" style="24" customWidth="1"/>
    <col min="3" max="3" width="35.6640625" style="24" customWidth="1"/>
    <col min="4" max="4" width="78.6640625" style="24" customWidth="1"/>
    <col min="5" max="5" width="90.6640625" style="24" customWidth="1"/>
    <col min="6" max="6" width="80.6640625" style="24" customWidth="1"/>
    <col min="7" max="7" width="85.6640625" style="24" customWidth="1"/>
    <col min="8" max="16384" width="8.88671875" style="24"/>
  </cols>
  <sheetData>
    <row r="1" spans="1:9" ht="33.9" customHeight="1" x14ac:dyDescent="0.45">
      <c r="A1" s="19" t="s">
        <v>222</v>
      </c>
      <c r="B1" s="19"/>
      <c r="C1" s="19"/>
      <c r="D1" s="19"/>
      <c r="E1" s="19"/>
      <c r="F1" s="19"/>
      <c r="G1" s="19"/>
    </row>
    <row r="2" spans="1:9" ht="24.9" customHeight="1" x14ac:dyDescent="0.45">
      <c r="A2" s="25" t="s">
        <v>223</v>
      </c>
      <c r="B2" s="25"/>
      <c r="C2" s="25"/>
      <c r="D2" s="25"/>
      <c r="E2" s="25"/>
      <c r="F2" s="25"/>
      <c r="G2" s="25"/>
    </row>
    <row r="3" spans="1:9" ht="24.9" customHeight="1" x14ac:dyDescent="0.45">
      <c r="A3" s="25"/>
      <c r="B3" s="25"/>
      <c r="C3" s="25"/>
      <c r="D3" s="25"/>
      <c r="E3" s="25"/>
      <c r="F3" s="25"/>
      <c r="G3" s="25"/>
    </row>
    <row r="5" spans="1:9" ht="48" customHeight="1" x14ac:dyDescent="0.45">
      <c r="A5" s="26" t="s">
        <v>2</v>
      </c>
      <c r="B5" s="26" t="s">
        <v>224</v>
      </c>
      <c r="C5" s="26" t="s">
        <v>225</v>
      </c>
      <c r="D5" s="26" t="s">
        <v>226</v>
      </c>
      <c r="E5" s="26" t="s">
        <v>227</v>
      </c>
      <c r="F5" s="26" t="s">
        <v>228</v>
      </c>
      <c r="G5" s="26" t="s">
        <v>229</v>
      </c>
    </row>
    <row r="6" spans="1:9" ht="144.9" customHeight="1" x14ac:dyDescent="0.45">
      <c r="A6" s="28" t="s">
        <v>230</v>
      </c>
      <c r="B6" s="38" t="s">
        <v>231</v>
      </c>
      <c r="C6" s="28" t="s">
        <v>232</v>
      </c>
      <c r="D6" s="28" t="s">
        <v>233</v>
      </c>
      <c r="E6" s="28" t="s">
        <v>1092</v>
      </c>
      <c r="F6" s="28" t="s">
        <v>234</v>
      </c>
      <c r="G6" s="28" t="s">
        <v>235</v>
      </c>
    </row>
    <row r="7" spans="1:9" ht="144.9" customHeight="1" x14ac:dyDescent="0.45">
      <c r="A7" s="29" t="s">
        <v>236</v>
      </c>
      <c r="B7" s="38" t="s">
        <v>237</v>
      </c>
      <c r="C7" s="29" t="s">
        <v>238</v>
      </c>
      <c r="D7" s="29" t="s">
        <v>239</v>
      </c>
      <c r="E7" s="29" t="s">
        <v>240</v>
      </c>
      <c r="F7" s="29" t="s">
        <v>241</v>
      </c>
      <c r="G7" s="29" t="s">
        <v>242</v>
      </c>
    </row>
    <row r="8" spans="1:9" ht="144.9" customHeight="1" x14ac:dyDescent="0.45">
      <c r="A8" s="28" t="s">
        <v>243</v>
      </c>
      <c r="B8" s="38" t="s">
        <v>44</v>
      </c>
      <c r="C8" s="28" t="s">
        <v>244</v>
      </c>
      <c r="D8" s="28" t="s">
        <v>245</v>
      </c>
      <c r="E8" s="28" t="s">
        <v>246</v>
      </c>
      <c r="F8" s="28" t="s">
        <v>247</v>
      </c>
      <c r="G8" s="28" t="s">
        <v>248</v>
      </c>
      <c r="I8" s="24" t="s">
        <v>1093</v>
      </c>
    </row>
    <row r="9" spans="1:9" ht="144.9" customHeight="1" x14ac:dyDescent="0.45">
      <c r="A9" s="29" t="s">
        <v>249</v>
      </c>
      <c r="B9" s="38" t="s">
        <v>237</v>
      </c>
      <c r="C9" s="29" t="s">
        <v>250</v>
      </c>
      <c r="D9" s="29" t="s">
        <v>251</v>
      </c>
      <c r="E9" s="29" t="s">
        <v>252</v>
      </c>
      <c r="F9" s="29" t="s">
        <v>253</v>
      </c>
      <c r="G9" s="29" t="s">
        <v>254</v>
      </c>
      <c r="I9" s="24" t="s">
        <v>1094</v>
      </c>
    </row>
    <row r="10" spans="1:9" ht="144.9" customHeight="1" x14ac:dyDescent="0.45">
      <c r="A10" s="28" t="s">
        <v>255</v>
      </c>
      <c r="B10" s="38" t="s">
        <v>237</v>
      </c>
      <c r="C10" s="28" t="s">
        <v>256</v>
      </c>
      <c r="D10" s="28" t="s">
        <v>257</v>
      </c>
      <c r="E10" s="28" t="s">
        <v>258</v>
      </c>
      <c r="F10" s="28" t="s">
        <v>259</v>
      </c>
      <c r="G10" s="28" t="s">
        <v>260</v>
      </c>
      <c r="I10" s="24" t="s">
        <v>1095</v>
      </c>
    </row>
    <row r="11" spans="1:9" ht="144.9" customHeight="1" x14ac:dyDescent="0.45">
      <c r="A11" s="29" t="s">
        <v>261</v>
      </c>
      <c r="B11" s="38" t="s">
        <v>237</v>
      </c>
      <c r="C11" s="29" t="s">
        <v>262</v>
      </c>
      <c r="D11" s="29" t="s">
        <v>263</v>
      </c>
      <c r="E11" s="29" t="s">
        <v>264</v>
      </c>
      <c r="F11" s="29" t="s">
        <v>265</v>
      </c>
      <c r="G11" s="29" t="s">
        <v>266</v>
      </c>
      <c r="I11" s="24" t="s">
        <v>1096</v>
      </c>
    </row>
    <row r="12" spans="1:9" ht="144.9" customHeight="1" x14ac:dyDescent="0.45">
      <c r="A12" s="28" t="s">
        <v>267</v>
      </c>
      <c r="B12" s="38" t="s">
        <v>237</v>
      </c>
      <c r="C12" s="28" t="s">
        <v>268</v>
      </c>
      <c r="D12" s="28" t="s">
        <v>269</v>
      </c>
      <c r="E12" s="28" t="s">
        <v>270</v>
      </c>
      <c r="F12" s="28" t="s">
        <v>271</v>
      </c>
      <c r="G12" s="28" t="s">
        <v>272</v>
      </c>
      <c r="I12" s="24" t="s">
        <v>1097</v>
      </c>
    </row>
    <row r="13" spans="1:9" ht="144.9" customHeight="1" x14ac:dyDescent="0.45">
      <c r="A13" s="29" t="s">
        <v>273</v>
      </c>
      <c r="B13" s="38" t="s">
        <v>274</v>
      </c>
      <c r="C13" s="29" t="s">
        <v>275</v>
      </c>
      <c r="D13" s="29" t="s">
        <v>276</v>
      </c>
      <c r="E13" s="29" t="s">
        <v>277</v>
      </c>
      <c r="F13" s="29" t="s">
        <v>278</v>
      </c>
      <c r="G13" s="29" t="s">
        <v>279</v>
      </c>
      <c r="I13" s="24" t="s">
        <v>1098</v>
      </c>
    </row>
    <row r="14" spans="1:9" ht="144.9" customHeight="1" x14ac:dyDescent="0.45">
      <c r="A14" s="28" t="s">
        <v>280</v>
      </c>
      <c r="B14" s="38" t="s">
        <v>274</v>
      </c>
      <c r="C14" s="28" t="s">
        <v>281</v>
      </c>
      <c r="D14" s="28" t="s">
        <v>282</v>
      </c>
      <c r="E14" s="28" t="s">
        <v>283</v>
      </c>
      <c r="F14" s="28" t="s">
        <v>278</v>
      </c>
      <c r="G14" s="28" t="s">
        <v>284</v>
      </c>
      <c r="I14" s="24" t="s">
        <v>1099</v>
      </c>
    </row>
    <row r="15" spans="1:9" ht="144.9" customHeight="1" x14ac:dyDescent="0.45">
      <c r="A15" s="29" t="s">
        <v>285</v>
      </c>
      <c r="B15" s="38" t="s">
        <v>274</v>
      </c>
      <c r="C15" s="29" t="s">
        <v>286</v>
      </c>
      <c r="D15" s="29" t="s">
        <v>287</v>
      </c>
      <c r="E15" s="29" t="s">
        <v>288</v>
      </c>
      <c r="F15" s="29" t="s">
        <v>278</v>
      </c>
      <c r="G15" s="29" t="s">
        <v>289</v>
      </c>
    </row>
    <row r="16" spans="1:9" ht="144.9" customHeight="1" x14ac:dyDescent="0.45">
      <c r="A16" s="28" t="s">
        <v>290</v>
      </c>
      <c r="B16" s="38" t="s">
        <v>291</v>
      </c>
      <c r="C16" s="28" t="s">
        <v>292</v>
      </c>
      <c r="D16" s="28" t="s">
        <v>293</v>
      </c>
      <c r="E16" s="37" t="s">
        <v>294</v>
      </c>
      <c r="F16" s="28" t="s">
        <v>295</v>
      </c>
      <c r="G16" s="28" t="s">
        <v>296</v>
      </c>
      <c r="I16" s="24" t="s">
        <v>1100</v>
      </c>
    </row>
    <row r="17" spans="1:9" ht="144.9" customHeight="1" x14ac:dyDescent="0.45">
      <c r="A17" s="29" t="s">
        <v>297</v>
      </c>
      <c r="B17" s="38" t="s">
        <v>298</v>
      </c>
      <c r="C17" s="29" t="s">
        <v>299</v>
      </c>
      <c r="D17" s="29" t="s">
        <v>300</v>
      </c>
      <c r="E17" s="29" t="s">
        <v>301</v>
      </c>
      <c r="F17" s="29" t="s">
        <v>302</v>
      </c>
      <c r="G17" s="29" t="s">
        <v>303</v>
      </c>
    </row>
    <row r="18" spans="1:9" ht="144.9" customHeight="1" x14ac:dyDescent="0.45">
      <c r="A18" s="28" t="s">
        <v>304</v>
      </c>
      <c r="B18" s="38" t="s">
        <v>237</v>
      </c>
      <c r="C18" s="28" t="s">
        <v>305</v>
      </c>
      <c r="D18" s="28" t="s">
        <v>306</v>
      </c>
      <c r="E18" s="28" t="s">
        <v>307</v>
      </c>
      <c r="F18" s="28" t="s">
        <v>308</v>
      </c>
      <c r="G18" s="28" t="s">
        <v>309</v>
      </c>
    </row>
    <row r="19" spans="1:9" ht="144.9" customHeight="1" x14ac:dyDescent="0.45">
      <c r="A19" s="29" t="s">
        <v>310</v>
      </c>
      <c r="B19" s="38" t="s">
        <v>311</v>
      </c>
      <c r="C19" s="29" t="s">
        <v>312</v>
      </c>
      <c r="D19" s="36" t="s">
        <v>313</v>
      </c>
      <c r="E19" s="29" t="s">
        <v>314</v>
      </c>
      <c r="F19" s="29" t="s">
        <v>315</v>
      </c>
      <c r="G19" s="29" t="s">
        <v>316</v>
      </c>
      <c r="I19" s="24" t="s">
        <v>1101</v>
      </c>
    </row>
    <row r="20" spans="1:9" ht="144.9" customHeight="1" x14ac:dyDescent="0.45">
      <c r="A20" s="28" t="s">
        <v>317</v>
      </c>
      <c r="B20" s="38" t="s">
        <v>274</v>
      </c>
      <c r="C20" s="28" t="s">
        <v>318</v>
      </c>
      <c r="D20" s="28" t="s">
        <v>319</v>
      </c>
      <c r="E20" s="28" t="s">
        <v>320</v>
      </c>
      <c r="F20" s="28" t="s">
        <v>278</v>
      </c>
      <c r="G20" s="28" t="s">
        <v>321</v>
      </c>
      <c r="I20" s="24" t="s">
        <v>1102</v>
      </c>
    </row>
    <row r="21" spans="1:9" ht="144.9" customHeight="1" x14ac:dyDescent="0.45">
      <c r="A21" s="29" t="s">
        <v>322</v>
      </c>
      <c r="B21" s="38" t="s">
        <v>237</v>
      </c>
      <c r="C21" s="29" t="s">
        <v>323</v>
      </c>
      <c r="D21" s="29" t="s">
        <v>324</v>
      </c>
      <c r="E21" s="29" t="s">
        <v>325</v>
      </c>
      <c r="F21" s="29" t="s">
        <v>326</v>
      </c>
      <c r="G21" s="29" t="s">
        <v>327</v>
      </c>
      <c r="I21" s="24" t="s">
        <v>1099</v>
      </c>
    </row>
    <row r="22" spans="1:9" ht="144.9" customHeight="1" x14ac:dyDescent="0.45">
      <c r="A22" s="28" t="s">
        <v>328</v>
      </c>
      <c r="B22" s="38" t="s">
        <v>237</v>
      </c>
      <c r="C22" s="28" t="s">
        <v>329</v>
      </c>
      <c r="D22" s="28" t="s">
        <v>330</v>
      </c>
      <c r="E22" s="28" t="s">
        <v>331</v>
      </c>
      <c r="F22" s="28" t="s">
        <v>332</v>
      </c>
      <c r="G22" s="28" t="s">
        <v>333</v>
      </c>
      <c r="I22" s="24" t="s">
        <v>1102</v>
      </c>
    </row>
    <row r="23" spans="1:9" ht="144.9" customHeight="1" x14ac:dyDescent="0.45">
      <c r="A23" s="29" t="s">
        <v>334</v>
      </c>
      <c r="B23" s="39" t="s">
        <v>335</v>
      </c>
      <c r="C23" s="29" t="s">
        <v>336</v>
      </c>
      <c r="D23" s="29" t="s">
        <v>337</v>
      </c>
      <c r="E23" s="29" t="s">
        <v>338</v>
      </c>
      <c r="F23" s="29" t="s">
        <v>339</v>
      </c>
      <c r="G23" s="29" t="s">
        <v>340</v>
      </c>
      <c r="I23" s="24" t="s">
        <v>1103</v>
      </c>
    </row>
    <row r="24" spans="1:9" ht="144.9" customHeight="1" x14ac:dyDescent="0.45">
      <c r="A24" s="28" t="s">
        <v>341</v>
      </c>
      <c r="B24" s="38" t="s">
        <v>342</v>
      </c>
      <c r="C24" s="28" t="s">
        <v>343</v>
      </c>
      <c r="D24" s="28" t="s">
        <v>344</v>
      </c>
      <c r="E24" s="28" t="s">
        <v>345</v>
      </c>
      <c r="F24" s="28" t="s">
        <v>346</v>
      </c>
      <c r="G24" s="28" t="s">
        <v>347</v>
      </c>
    </row>
    <row r="25" spans="1:9" ht="144.9" customHeight="1" x14ac:dyDescent="0.45">
      <c r="A25" s="29" t="s">
        <v>348</v>
      </c>
      <c r="B25" s="38" t="s">
        <v>349</v>
      </c>
      <c r="C25" s="29" t="s">
        <v>350</v>
      </c>
      <c r="D25" s="29" t="s">
        <v>351</v>
      </c>
      <c r="E25" s="29" t="s">
        <v>352</v>
      </c>
      <c r="F25" s="29" t="s">
        <v>353</v>
      </c>
      <c r="G25" s="29" t="s">
        <v>354</v>
      </c>
    </row>
  </sheetData>
  <autoFilter ref="A5:G25" xr:uid="{00000000-0009-0000-0000-000006000000}"/>
  <mergeCells count="2">
    <mergeCell ref="A1:G1"/>
    <mergeCell ref="A2:G3"/>
  </mergeCells>
  <pageMargins left="0.3" right="0.3" top="0.4" bottom="0.4" header="0.3" footer="0.3"/>
  <pageSetup paperSize="8" fitToHeight="0" orientation="landscape"/>
  <headerFooter>
    <oddFooter>&amp;LHARBORLIGHT — projekt zasad, bez wdrożenia&amp;R&amp;P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46D75"/>
    <pageSetUpPr fitToPage="1"/>
  </sheetPr>
  <dimension ref="A1:E19"/>
  <sheetViews>
    <sheetView showGridLines="0" zoomScale="85" zoomScaleNormal="85" workbookViewId="0">
      <pane xSplit="1" ySplit="5" topLeftCell="C10" activePane="bottomRight" state="frozen"/>
      <selection pane="topRight" activeCell="B1" sqref="B1"/>
      <selection pane="bottomLeft" activeCell="A6" sqref="A6"/>
      <selection pane="bottomRight" activeCell="E16" sqref="E16"/>
    </sheetView>
  </sheetViews>
  <sheetFormatPr defaultRowHeight="14.4" x14ac:dyDescent="0.3"/>
  <cols>
    <col min="1" max="1" width="28.6640625" customWidth="1"/>
    <col min="2" max="2" width="24.6640625" customWidth="1"/>
    <col min="3" max="3" width="26.6640625" customWidth="1"/>
    <col min="4" max="4" width="65.6640625" customWidth="1"/>
    <col min="5" max="5" width="110.6640625" customWidth="1"/>
  </cols>
  <sheetData>
    <row r="1" spans="1:5" ht="33.9" customHeight="1" x14ac:dyDescent="0.3">
      <c r="A1" s="19" t="s">
        <v>401</v>
      </c>
      <c r="B1" s="19"/>
      <c r="C1" s="19"/>
      <c r="D1" s="19"/>
      <c r="E1" s="19"/>
    </row>
    <row r="2" spans="1:5" ht="24.9" customHeight="1" x14ac:dyDescent="0.3">
      <c r="A2" s="20" t="s">
        <v>402</v>
      </c>
      <c r="B2" s="20"/>
      <c r="C2" s="20"/>
      <c r="D2" s="20"/>
      <c r="E2" s="20"/>
    </row>
    <row r="3" spans="1:5" ht="24.9" customHeight="1" x14ac:dyDescent="0.3">
      <c r="A3" s="20"/>
      <c r="B3" s="20"/>
      <c r="C3" s="20"/>
      <c r="D3" s="20"/>
      <c r="E3" s="20"/>
    </row>
    <row r="5" spans="1:5" ht="48" customHeight="1" x14ac:dyDescent="0.3">
      <c r="A5" s="1" t="s">
        <v>403</v>
      </c>
      <c r="B5" s="1" t="s">
        <v>404</v>
      </c>
      <c r="C5" s="1" t="s">
        <v>405</v>
      </c>
      <c r="D5" s="1" t="s">
        <v>406</v>
      </c>
      <c r="E5" s="1" t="s">
        <v>407</v>
      </c>
    </row>
    <row r="6" spans="1:5" ht="51.9" customHeight="1" x14ac:dyDescent="0.3">
      <c r="A6" s="6">
        <v>-100</v>
      </c>
      <c r="B6" s="6">
        <f t="shared" ref="B6:B14" si="0">SIGN(A6)*IF(ABS(A6)&lt;=50,ABS(A6)/300,1/6+(ABS(A6)-50)/60)</f>
        <v>-1</v>
      </c>
      <c r="C6" s="8">
        <f t="shared" ref="C6:C14" si="1">IF(B6=0,"brak zmiany",1/ABS(B6))</f>
        <v>1</v>
      </c>
      <c r="D6" s="2" t="s">
        <v>408</v>
      </c>
      <c r="E6" s="2" t="s">
        <v>1080</v>
      </c>
    </row>
    <row r="7" spans="1:5" ht="51.9" customHeight="1" x14ac:dyDescent="0.3">
      <c r="A7" s="6">
        <v>-75</v>
      </c>
      <c r="B7" s="6">
        <f t="shared" si="0"/>
        <v>-0.58333333333333337</v>
      </c>
      <c r="C7" s="8">
        <f t="shared" si="1"/>
        <v>1.7142857142857142</v>
      </c>
      <c r="D7" s="3" t="s">
        <v>408</v>
      </c>
      <c r="E7" s="3" t="s">
        <v>409</v>
      </c>
    </row>
    <row r="8" spans="1:5" ht="51.9" customHeight="1" x14ac:dyDescent="0.3">
      <c r="A8" s="6">
        <v>-50</v>
      </c>
      <c r="B8" s="6">
        <f t="shared" si="0"/>
        <v>-0.16666666666666666</v>
      </c>
      <c r="C8" s="8">
        <f t="shared" si="1"/>
        <v>6</v>
      </c>
      <c r="D8" s="2" t="s">
        <v>408</v>
      </c>
      <c r="E8" s="2" t="s">
        <v>409</v>
      </c>
    </row>
    <row r="9" spans="1:5" ht="51.9" customHeight="1" x14ac:dyDescent="0.3">
      <c r="A9" s="6">
        <v>-25</v>
      </c>
      <c r="B9" s="6">
        <f t="shared" si="0"/>
        <v>-8.3333333333333329E-2</v>
      </c>
      <c r="C9" s="8">
        <f t="shared" si="1"/>
        <v>12</v>
      </c>
      <c r="D9" s="3" t="s">
        <v>408</v>
      </c>
      <c r="E9" s="3" t="s">
        <v>409</v>
      </c>
    </row>
    <row r="10" spans="1:5" ht="51.9" customHeight="1" x14ac:dyDescent="0.3">
      <c r="A10" s="6">
        <v>0</v>
      </c>
      <c r="B10" s="6">
        <f t="shared" si="0"/>
        <v>0</v>
      </c>
      <c r="C10" s="8" t="str">
        <f t="shared" si="1"/>
        <v>brak zmiany</v>
      </c>
      <c r="D10" s="2" t="s">
        <v>410</v>
      </c>
      <c r="E10" s="2" t="s">
        <v>409</v>
      </c>
    </row>
    <row r="11" spans="1:5" ht="51.9" customHeight="1" x14ac:dyDescent="0.3">
      <c r="A11" s="6">
        <v>25</v>
      </c>
      <c r="B11" s="6">
        <f t="shared" si="0"/>
        <v>8.3333333333333329E-2</v>
      </c>
      <c r="C11" s="8">
        <f t="shared" si="1"/>
        <v>12</v>
      </c>
      <c r="D11" s="3" t="s">
        <v>411</v>
      </c>
      <c r="E11" s="3" t="s">
        <v>1081</v>
      </c>
    </row>
    <row r="12" spans="1:5" ht="51.9" customHeight="1" x14ac:dyDescent="0.3">
      <c r="A12" s="6">
        <v>50</v>
      </c>
      <c r="B12" s="6">
        <f t="shared" si="0"/>
        <v>0.16666666666666666</v>
      </c>
      <c r="C12" s="8">
        <f t="shared" si="1"/>
        <v>6</v>
      </c>
      <c r="D12" s="2" t="s">
        <v>411</v>
      </c>
      <c r="E12" s="2" t="s">
        <v>409</v>
      </c>
    </row>
    <row r="13" spans="1:5" ht="51.9" customHeight="1" x14ac:dyDescent="0.3">
      <c r="A13" s="6">
        <v>75</v>
      </c>
      <c r="B13" s="6">
        <f t="shared" si="0"/>
        <v>0.58333333333333337</v>
      </c>
      <c r="C13" s="8">
        <f t="shared" si="1"/>
        <v>1.7142857142857142</v>
      </c>
      <c r="D13" s="3" t="s">
        <v>411</v>
      </c>
      <c r="E13" s="3" t="s">
        <v>409</v>
      </c>
    </row>
    <row r="14" spans="1:5" ht="51.9" customHeight="1" x14ac:dyDescent="0.3">
      <c r="A14" s="6">
        <v>100</v>
      </c>
      <c r="B14" s="6">
        <f t="shared" si="0"/>
        <v>1</v>
      </c>
      <c r="C14" s="8">
        <f t="shared" si="1"/>
        <v>1</v>
      </c>
      <c r="D14" s="2" t="s">
        <v>411</v>
      </c>
      <c r="E14" s="2" t="s">
        <v>409</v>
      </c>
    </row>
    <row r="17" spans="1:5" x14ac:dyDescent="0.3">
      <c r="A17" s="21" t="s">
        <v>412</v>
      </c>
      <c r="B17" s="21"/>
      <c r="C17" s="21"/>
      <c r="D17" s="21"/>
      <c r="E17" s="21"/>
    </row>
    <row r="18" spans="1:5" x14ac:dyDescent="0.3">
      <c r="A18" s="20" t="s">
        <v>413</v>
      </c>
      <c r="B18" s="20"/>
      <c r="C18" s="20"/>
      <c r="D18" s="20"/>
      <c r="E18" s="20"/>
    </row>
    <row r="19" spans="1:5" x14ac:dyDescent="0.3">
      <c r="A19" s="20"/>
      <c r="B19" s="20"/>
      <c r="C19" s="20"/>
      <c r="D19" s="20"/>
      <c r="E19" s="20"/>
    </row>
  </sheetData>
  <autoFilter ref="A5:E14" xr:uid="{00000000-0009-0000-0000-000007000000}"/>
  <mergeCells count="4">
    <mergeCell ref="A1:E1"/>
    <mergeCell ref="A2:E3"/>
    <mergeCell ref="A17:E17"/>
    <mergeCell ref="A18:E19"/>
  </mergeCells>
  <pageMargins left="0.3" right="0.3" top="0.4" bottom="0.4" header="0.3" footer="0.3"/>
  <pageSetup paperSize="8" fitToHeight="0" orientation="landscape"/>
  <headerFooter>
    <oddFooter>&amp;LHARBORLIGHT — projekt zasad, bez wdrożenia&amp;R&amp;P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46D75"/>
    <pageSetUpPr fitToPage="1"/>
  </sheetPr>
  <dimension ref="A1:H24"/>
  <sheetViews>
    <sheetView showGridLines="0" zoomScale="85" zoomScaleNormal="85" workbookViewId="0">
      <pane xSplit="1" ySplit="5" topLeftCell="B14" activePane="bottomRight" state="frozen"/>
      <selection pane="topRight" activeCell="B1" sqref="B1"/>
      <selection pane="bottomLeft" activeCell="A6" sqref="A6"/>
      <selection pane="bottomRight" activeCell="B21" sqref="B21:H21"/>
    </sheetView>
  </sheetViews>
  <sheetFormatPr defaultRowHeight="14.4" x14ac:dyDescent="0.3"/>
  <cols>
    <col min="1" max="1" width="25.6640625" customWidth="1"/>
    <col min="2" max="3" width="26.6640625" customWidth="1"/>
    <col min="4" max="5" width="28.6640625" customWidth="1"/>
    <col min="6" max="7" width="23.6640625" customWidth="1"/>
    <col min="8" max="8" width="110.6640625" customWidth="1"/>
  </cols>
  <sheetData>
    <row r="1" spans="1:8" ht="33.9" customHeight="1" x14ac:dyDescent="0.3">
      <c r="A1" s="19" t="s">
        <v>355</v>
      </c>
      <c r="B1" s="19"/>
      <c r="C1" s="19"/>
      <c r="D1" s="19"/>
      <c r="E1" s="19"/>
      <c r="F1" s="19"/>
      <c r="G1" s="19"/>
      <c r="H1" s="19"/>
    </row>
    <row r="2" spans="1:8" ht="24.9" customHeight="1" x14ac:dyDescent="0.3">
      <c r="A2" s="20" t="s">
        <v>356</v>
      </c>
      <c r="B2" s="20"/>
      <c r="C2" s="20"/>
      <c r="D2" s="20"/>
      <c r="E2" s="20"/>
      <c r="F2" s="20"/>
      <c r="G2" s="20"/>
      <c r="H2" s="20"/>
    </row>
    <row r="3" spans="1:8" ht="24.9" customHeight="1" x14ac:dyDescent="0.3">
      <c r="A3" s="20"/>
      <c r="B3" s="20"/>
      <c r="C3" s="20"/>
      <c r="D3" s="20"/>
      <c r="E3" s="20"/>
      <c r="F3" s="20"/>
      <c r="G3" s="20"/>
      <c r="H3" s="20"/>
    </row>
    <row r="5" spans="1:8" ht="48" customHeight="1" x14ac:dyDescent="0.3">
      <c r="A5" s="1" t="s">
        <v>357</v>
      </c>
      <c r="B5" s="1" t="s">
        <v>358</v>
      </c>
      <c r="C5" s="1" t="s">
        <v>359</v>
      </c>
      <c r="D5" s="1" t="s">
        <v>360</v>
      </c>
      <c r="E5" s="1" t="s">
        <v>361</v>
      </c>
      <c r="F5" s="1" t="s">
        <v>362</v>
      </c>
      <c r="G5" s="1" t="s">
        <v>363</v>
      </c>
      <c r="H5" s="1" t="s">
        <v>364</v>
      </c>
    </row>
    <row r="6" spans="1:8" ht="42" customHeight="1" x14ac:dyDescent="0.3">
      <c r="A6" s="6">
        <v>1</v>
      </c>
      <c r="B6" s="6">
        <f>Parametry!$C$38*(1+Parametry!$C$43*(A6-1))</f>
        <v>50</v>
      </c>
      <c r="C6" s="6">
        <f>Parametry!$C$40*(1+Parametry!$C$43*(A6-1))</f>
        <v>80</v>
      </c>
      <c r="D6" s="6">
        <f>Parametry!$C$38*(1+Parametry!$C$43)^(A6-1)</f>
        <v>50</v>
      </c>
      <c r="E6" s="6">
        <f>Parametry!$C$40*(1+Parametry!$C$43)^(A6-1)</f>
        <v>80</v>
      </c>
      <c r="F6" s="6">
        <f>Parametry!$C$37</f>
        <v>40</v>
      </c>
      <c r="G6" s="6">
        <f>Parametry!$C$39</f>
        <v>70</v>
      </c>
      <c r="H6" s="2" t="s">
        <v>365</v>
      </c>
    </row>
    <row r="7" spans="1:8" ht="42" customHeight="1" x14ac:dyDescent="0.3">
      <c r="A7" s="6">
        <v>2</v>
      </c>
      <c r="B7" s="6">
        <f>Parametry!$C$38*(1+Parametry!$C$43*(A7-1))</f>
        <v>55.000000000000007</v>
      </c>
      <c r="C7" s="6">
        <f>Parametry!$C$40*(1+Parametry!$C$43*(A7-1))</f>
        <v>88</v>
      </c>
      <c r="D7" s="6">
        <f>Parametry!$C$38*(1+Parametry!$C$43)^(A7-1)</f>
        <v>55.000000000000007</v>
      </c>
      <c r="E7" s="6">
        <f>Parametry!$C$40*(1+Parametry!$C$43)^(A7-1)</f>
        <v>88</v>
      </c>
      <c r="F7" s="6">
        <f>Parametry!$C$37</f>
        <v>40</v>
      </c>
      <c r="G7" s="6">
        <f>Parametry!$C$39</f>
        <v>70</v>
      </c>
      <c r="H7" s="3" t="s">
        <v>365</v>
      </c>
    </row>
    <row r="8" spans="1:8" ht="42" customHeight="1" x14ac:dyDescent="0.3">
      <c r="A8" s="6">
        <v>3</v>
      </c>
      <c r="B8" s="6">
        <f>Parametry!$C$38*(1+Parametry!$C$43*(A8-1))</f>
        <v>60</v>
      </c>
      <c r="C8" s="6">
        <f>Parametry!$C$40*(1+Parametry!$C$43*(A8-1))</f>
        <v>96</v>
      </c>
      <c r="D8" s="6">
        <f>Parametry!$C$38*(1+Parametry!$C$43)^(A8-1)</f>
        <v>60.500000000000007</v>
      </c>
      <c r="E8" s="6">
        <f>Parametry!$C$40*(1+Parametry!$C$43)^(A8-1)</f>
        <v>96.800000000000011</v>
      </c>
      <c r="F8" s="6">
        <f>Parametry!$C$37</f>
        <v>40</v>
      </c>
      <c r="G8" s="6">
        <f>Parametry!$C$39</f>
        <v>70</v>
      </c>
      <c r="H8" s="2" t="s">
        <v>365</v>
      </c>
    </row>
    <row r="9" spans="1:8" ht="42" customHeight="1" x14ac:dyDescent="0.3">
      <c r="A9" s="6">
        <v>4</v>
      </c>
      <c r="B9" s="6">
        <f>Parametry!$C$38*(1+Parametry!$C$43*(A9-1))</f>
        <v>65</v>
      </c>
      <c r="C9" s="6">
        <f>Parametry!$C$40*(1+Parametry!$C$43*(A9-1))</f>
        <v>104</v>
      </c>
      <c r="D9" s="6">
        <f>Parametry!$C$38*(1+Parametry!$C$43)^(A9-1)</f>
        <v>66.550000000000026</v>
      </c>
      <c r="E9" s="6">
        <f>Parametry!$C$40*(1+Parametry!$C$43)^(A9-1)</f>
        <v>106.48000000000003</v>
      </c>
      <c r="F9" s="6">
        <f>Parametry!$C$37</f>
        <v>40</v>
      </c>
      <c r="G9" s="6">
        <f>Parametry!$C$39</f>
        <v>70</v>
      </c>
      <c r="H9" s="3" t="s">
        <v>365</v>
      </c>
    </row>
    <row r="10" spans="1:8" ht="42" customHeight="1" x14ac:dyDescent="0.3">
      <c r="A10" s="6">
        <v>5</v>
      </c>
      <c r="B10" s="6">
        <f>Parametry!$C$38*(1+Parametry!$C$43*(A10-1))</f>
        <v>70</v>
      </c>
      <c r="C10" s="6">
        <f>Parametry!$C$40*(1+Parametry!$C$43*(A10-1))</f>
        <v>112</v>
      </c>
      <c r="D10" s="6">
        <f>Parametry!$C$38*(1+Parametry!$C$43)^(A10-1)</f>
        <v>73.205000000000027</v>
      </c>
      <c r="E10" s="6">
        <f>Parametry!$C$40*(1+Parametry!$C$43)^(A10-1)</f>
        <v>117.12800000000003</v>
      </c>
      <c r="F10" s="6">
        <f>Parametry!$C$37</f>
        <v>40</v>
      </c>
      <c r="G10" s="6">
        <f>Parametry!$C$39</f>
        <v>70</v>
      </c>
      <c r="H10" s="2" t="s">
        <v>365</v>
      </c>
    </row>
    <row r="11" spans="1:8" ht="42" customHeight="1" x14ac:dyDescent="0.3">
      <c r="A11" s="6">
        <v>6</v>
      </c>
      <c r="B11" s="6">
        <f>Parametry!$C$38*(1+Parametry!$C$43*(A11-1))</f>
        <v>75</v>
      </c>
      <c r="C11" s="6">
        <f>Parametry!$C$40*(1+Parametry!$C$43*(A11-1))</f>
        <v>120</v>
      </c>
      <c r="D11" s="6">
        <f>Parametry!$C$38*(1+Parametry!$C$43)^(A11-1)</f>
        <v>80.525500000000022</v>
      </c>
      <c r="E11" s="6">
        <f>Parametry!$C$40*(1+Parametry!$C$43)^(A11-1)</f>
        <v>128.84080000000006</v>
      </c>
      <c r="F11" s="6">
        <f>Parametry!$C$37</f>
        <v>40</v>
      </c>
      <c r="G11" s="6">
        <f>Parametry!$C$39</f>
        <v>70</v>
      </c>
      <c r="H11" s="3" t="s">
        <v>365</v>
      </c>
    </row>
    <row r="12" spans="1:8" ht="42" customHeight="1" x14ac:dyDescent="0.3">
      <c r="A12" s="6">
        <v>7</v>
      </c>
      <c r="B12" s="6">
        <f>Parametry!$C$38*(1+Parametry!$C$43*(A12-1))</f>
        <v>80</v>
      </c>
      <c r="C12" s="6">
        <f>Parametry!$C$40*(1+Parametry!$C$43*(A12-1))</f>
        <v>128</v>
      </c>
      <c r="D12" s="6">
        <f>Parametry!$C$38*(1+Parametry!$C$43)^(A12-1)</f>
        <v>88.578050000000047</v>
      </c>
      <c r="E12" s="6">
        <f>Parametry!$C$40*(1+Parametry!$C$43)^(A12-1)</f>
        <v>141.72488000000007</v>
      </c>
      <c r="F12" s="6">
        <f>Parametry!$C$37</f>
        <v>40</v>
      </c>
      <c r="G12" s="6">
        <f>Parametry!$C$39</f>
        <v>70</v>
      </c>
      <c r="H12" s="2" t="s">
        <v>365</v>
      </c>
    </row>
    <row r="13" spans="1:8" ht="42" customHeight="1" x14ac:dyDescent="0.3">
      <c r="A13" s="6">
        <v>8</v>
      </c>
      <c r="B13" s="6">
        <f>Parametry!$C$38*(1+Parametry!$C$43*(A13-1))</f>
        <v>85.000000000000014</v>
      </c>
      <c r="C13" s="6">
        <f>Parametry!$C$40*(1+Parametry!$C$43*(A13-1))</f>
        <v>136</v>
      </c>
      <c r="D13" s="6">
        <f>Parametry!$C$38*(1+Parametry!$C$43)^(A13-1)</f>
        <v>97.43585500000006</v>
      </c>
      <c r="E13" s="6">
        <f>Parametry!$C$40*(1+Parametry!$C$43)^(A13-1)</f>
        <v>155.89736800000009</v>
      </c>
      <c r="F13" s="6">
        <f>Parametry!$C$37</f>
        <v>40</v>
      </c>
      <c r="G13" s="6">
        <f>Parametry!$C$39</f>
        <v>70</v>
      </c>
      <c r="H13" s="3" t="s">
        <v>365</v>
      </c>
    </row>
    <row r="14" spans="1:8" ht="42" customHeight="1" x14ac:dyDescent="0.3">
      <c r="A14" s="6">
        <v>9</v>
      </c>
      <c r="B14" s="6">
        <f>Parametry!$C$38*(1+Parametry!$C$43*(A14-1))</f>
        <v>90</v>
      </c>
      <c r="C14" s="6">
        <f>Parametry!$C$40*(1+Parametry!$C$43*(A14-1))</f>
        <v>144</v>
      </c>
      <c r="D14" s="6">
        <f>Parametry!$C$38*(1+Parametry!$C$43)^(A14-1)</f>
        <v>107.17944050000006</v>
      </c>
      <c r="E14" s="6">
        <f>Parametry!$C$40*(1+Parametry!$C$43)^(A14-1)</f>
        <v>171.48710480000008</v>
      </c>
      <c r="F14" s="6">
        <f>Parametry!$C$37</f>
        <v>40</v>
      </c>
      <c r="G14" s="6">
        <f>Parametry!$C$39</f>
        <v>70</v>
      </c>
      <c r="H14" s="2" t="s">
        <v>365</v>
      </c>
    </row>
    <row r="15" spans="1:8" ht="42" customHeight="1" x14ac:dyDescent="0.3">
      <c r="A15" s="6">
        <v>10</v>
      </c>
      <c r="B15" s="6">
        <f>Parametry!$C$38*(1+Parametry!$C$43*(A15-1))</f>
        <v>95</v>
      </c>
      <c r="C15" s="6">
        <f>Parametry!$C$40*(1+Parametry!$C$43*(A15-1))</f>
        <v>152</v>
      </c>
      <c r="D15" s="6">
        <f>Parametry!$C$38*(1+Parametry!$C$43)^(A15-1)</f>
        <v>117.89738455000007</v>
      </c>
      <c r="E15" s="6">
        <f>Parametry!$C$40*(1+Parametry!$C$43)^(A15-1)</f>
        <v>188.63581528000012</v>
      </c>
      <c r="F15" s="6">
        <f>Parametry!$C$37</f>
        <v>40</v>
      </c>
      <c r="G15" s="6">
        <f>Parametry!$C$39</f>
        <v>70</v>
      </c>
      <c r="H15" s="3" t="s">
        <v>365</v>
      </c>
    </row>
    <row r="18" spans="1:8" x14ac:dyDescent="0.3">
      <c r="A18" s="21" t="s">
        <v>366</v>
      </c>
      <c r="B18" s="21"/>
      <c r="C18" s="21"/>
      <c r="D18" s="21"/>
      <c r="E18" s="21"/>
      <c r="F18" s="21"/>
      <c r="G18" s="21"/>
      <c r="H18" s="21"/>
    </row>
    <row r="19" spans="1:8" ht="56.1" customHeight="1" x14ac:dyDescent="0.3">
      <c r="A19" s="1" t="s">
        <v>367</v>
      </c>
      <c r="B19" s="22" t="s">
        <v>368</v>
      </c>
      <c r="C19" s="22"/>
      <c r="D19" s="22"/>
      <c r="E19" s="22"/>
      <c r="F19" s="22"/>
      <c r="G19" s="22"/>
      <c r="H19" s="22"/>
    </row>
    <row r="20" spans="1:8" ht="56.1" customHeight="1" x14ac:dyDescent="0.3">
      <c r="A20" s="1" t="s">
        <v>369</v>
      </c>
      <c r="B20" s="23" t="s">
        <v>370</v>
      </c>
      <c r="C20" s="23"/>
      <c r="D20" s="23"/>
      <c r="E20" s="23"/>
      <c r="F20" s="23"/>
      <c r="G20" s="23"/>
      <c r="H20" s="23"/>
    </row>
    <row r="21" spans="1:8" ht="56.1" customHeight="1" x14ac:dyDescent="0.3">
      <c r="A21" s="1" t="s">
        <v>371</v>
      </c>
      <c r="B21" s="22" t="s">
        <v>372</v>
      </c>
      <c r="C21" s="22"/>
      <c r="D21" s="22"/>
      <c r="E21" s="22"/>
      <c r="F21" s="22"/>
      <c r="G21" s="22"/>
      <c r="H21" s="22"/>
    </row>
    <row r="22" spans="1:8" ht="56.1" customHeight="1" x14ac:dyDescent="0.3">
      <c r="A22" s="1" t="s">
        <v>373</v>
      </c>
      <c r="B22" s="23" t="s">
        <v>374</v>
      </c>
      <c r="C22" s="23"/>
      <c r="D22" s="23"/>
      <c r="E22" s="23"/>
      <c r="F22" s="23"/>
      <c r="G22" s="23"/>
      <c r="H22" s="23"/>
    </row>
    <row r="23" spans="1:8" ht="56.1" customHeight="1" x14ac:dyDescent="0.3">
      <c r="A23" s="1" t="s">
        <v>375</v>
      </c>
      <c r="B23" s="22" t="s">
        <v>376</v>
      </c>
      <c r="C23" s="22"/>
      <c r="D23" s="22"/>
      <c r="E23" s="22"/>
      <c r="F23" s="22"/>
      <c r="G23" s="22"/>
      <c r="H23" s="22"/>
    </row>
    <row r="24" spans="1:8" ht="56.1" customHeight="1" x14ac:dyDescent="0.3">
      <c r="A24" s="1" t="s">
        <v>377</v>
      </c>
      <c r="B24" s="22" t="s">
        <v>378</v>
      </c>
      <c r="C24" s="22"/>
      <c r="D24" s="22"/>
      <c r="E24" s="22"/>
      <c r="F24" s="22"/>
      <c r="G24" s="22"/>
      <c r="H24" s="22"/>
    </row>
  </sheetData>
  <autoFilter ref="A5:H24" xr:uid="{00000000-0009-0000-0000-000008000000}"/>
  <mergeCells count="9">
    <mergeCell ref="B21:H21"/>
    <mergeCell ref="B22:H22"/>
    <mergeCell ref="B23:H23"/>
    <mergeCell ref="B24:H24"/>
    <mergeCell ref="A1:H1"/>
    <mergeCell ref="A2:H3"/>
    <mergeCell ref="A18:H18"/>
    <mergeCell ref="B19:H19"/>
    <mergeCell ref="B20:H20"/>
  </mergeCells>
  <pageMargins left="0.3" right="0.3" top="0.4" bottom="0.4" header="0.3" footer="0.3"/>
  <pageSetup paperSize="8" fitToHeight="0" orientation="landscape"/>
  <headerFooter>
    <oddFooter>&amp;LHARBORLIGHT — projekt zasad, bez wdrożenia&amp;R&amp;P /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46D75"/>
    <pageSetUpPr fitToPage="1"/>
  </sheetPr>
  <dimension ref="A1:D10"/>
  <sheetViews>
    <sheetView showGridLines="0" zoomScale="85" zoomScaleNormal="85" workbookViewId="0">
      <pane xSplit="1" ySplit="5" topLeftCell="B6" activePane="bottomRight" state="frozen"/>
      <selection pane="topRight"/>
      <selection pane="bottomLeft"/>
      <selection pane="bottomRight" activeCell="C9" sqref="C9"/>
    </sheetView>
  </sheetViews>
  <sheetFormatPr defaultRowHeight="21" x14ac:dyDescent="0.4"/>
  <cols>
    <col min="1" max="1" width="32.6640625" style="31" customWidth="1"/>
    <col min="2" max="2" width="100.6640625" style="31" customWidth="1"/>
    <col min="3" max="3" width="110.6640625" style="31" customWidth="1"/>
    <col min="4" max="4" width="35.6640625" style="31" customWidth="1"/>
    <col min="5" max="16384" width="8.88671875" style="31"/>
  </cols>
  <sheetData>
    <row r="1" spans="1:4" ht="33.9" customHeight="1" x14ac:dyDescent="0.4">
      <c r="A1" s="30" t="s">
        <v>379</v>
      </c>
      <c r="B1" s="30"/>
      <c r="C1" s="30"/>
      <c r="D1" s="30"/>
    </row>
    <row r="2" spans="1:4" ht="24.9" customHeight="1" x14ac:dyDescent="0.4">
      <c r="A2" s="32" t="s">
        <v>380</v>
      </c>
      <c r="B2" s="32"/>
      <c r="C2" s="32"/>
      <c r="D2" s="32"/>
    </row>
    <row r="3" spans="1:4" ht="24.9" customHeight="1" x14ac:dyDescent="0.4">
      <c r="A3" s="32"/>
      <c r="B3" s="32"/>
      <c r="C3" s="32"/>
      <c r="D3" s="32"/>
    </row>
    <row r="5" spans="1:4" ht="48" customHeight="1" x14ac:dyDescent="0.4">
      <c r="A5" s="33" t="s">
        <v>381</v>
      </c>
      <c r="B5" s="33" t="s">
        <v>382</v>
      </c>
      <c r="C5" s="33" t="s">
        <v>383</v>
      </c>
      <c r="D5" s="33" t="s">
        <v>384</v>
      </c>
    </row>
    <row r="6" spans="1:4" ht="99.9" customHeight="1" x14ac:dyDescent="0.4">
      <c r="A6" s="34" t="s">
        <v>385</v>
      </c>
      <c r="B6" s="34" t="s">
        <v>386</v>
      </c>
      <c r="C6" s="34" t="s">
        <v>387</v>
      </c>
      <c r="D6" s="34" t="s">
        <v>11</v>
      </c>
    </row>
    <row r="7" spans="1:4" ht="99.9" customHeight="1" x14ac:dyDescent="0.4">
      <c r="A7" s="35" t="s">
        <v>388</v>
      </c>
      <c r="B7" s="35" t="s">
        <v>389</v>
      </c>
      <c r="C7" s="35" t="s">
        <v>390</v>
      </c>
      <c r="D7" s="35" t="s">
        <v>391</v>
      </c>
    </row>
    <row r="8" spans="1:4" ht="99.9" customHeight="1" x14ac:dyDescent="0.4">
      <c r="A8" s="34" t="s">
        <v>392</v>
      </c>
      <c r="B8" s="34" t="s">
        <v>1082</v>
      </c>
      <c r="C8" s="34" t="str">
        <f>Budynki!F17</f>
        <v>ŁĄCZNIE6T: transportT +budowa4T.</v>
      </c>
      <c r="D8" s="34" t="s">
        <v>393</v>
      </c>
    </row>
    <row r="9" spans="1:4" ht="99.9" customHeight="1" x14ac:dyDescent="0.4">
      <c r="A9" s="35" t="s">
        <v>394</v>
      </c>
      <c r="B9" s="35" t="s">
        <v>395</v>
      </c>
      <c r="C9" s="35" t="s">
        <v>396</v>
      </c>
      <c r="D9" s="35" t="s">
        <v>397</v>
      </c>
    </row>
    <row r="10" spans="1:4" ht="99.9" customHeight="1" x14ac:dyDescent="0.4">
      <c r="A10" s="34" t="s">
        <v>398</v>
      </c>
      <c r="B10" s="34" t="s">
        <v>399</v>
      </c>
      <c r="C10" s="34" t="s">
        <v>400</v>
      </c>
      <c r="D10" s="34" t="s">
        <v>397</v>
      </c>
    </row>
  </sheetData>
  <autoFilter ref="A5:D10" xr:uid="{00000000-0009-0000-0000-000009000000}"/>
  <mergeCells count="2">
    <mergeCell ref="A1:D1"/>
    <mergeCell ref="A2:D3"/>
  </mergeCells>
  <pageMargins left="0.3" right="0.3" top="0.4" bottom="0.4" header="0.3" footer="0.3"/>
  <pageSetup paperSize="8" fitToHeight="0" orientation="landscape"/>
  <headerFooter>
    <oddFooter>&amp;LHARBORLIGHT — projekt zasad, bez wdrożenia&amp;R&amp;P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46D75"/>
    <pageSetUpPr fitToPage="1"/>
  </sheetPr>
  <dimension ref="A1:M19"/>
  <sheetViews>
    <sheetView showGridLines="0" zoomScale="60" zoomScaleNormal="60" workbookViewId="0">
      <pane xSplit="1" ySplit="5" topLeftCell="B6" activePane="bottomRight" state="frozen"/>
      <selection pane="topRight" activeCell="B1" sqref="B1"/>
      <selection pane="bottomLeft" activeCell="A6" sqref="A6"/>
      <selection pane="bottomRight" sqref="A1:M1"/>
    </sheetView>
  </sheetViews>
  <sheetFormatPr defaultRowHeight="14.4" x14ac:dyDescent="0.3"/>
  <cols>
    <col min="1" max="1" width="24.6640625" customWidth="1"/>
    <col min="2" max="2" width="44.6640625" customWidth="1"/>
    <col min="3" max="3" width="50.6640625" customWidth="1"/>
    <col min="4" max="4" width="55.6640625" customWidth="1"/>
    <col min="5" max="5" width="48.6640625" customWidth="1"/>
    <col min="6" max="6" width="22.6640625" customWidth="1"/>
    <col min="7" max="7" width="90.6640625" customWidth="1"/>
    <col min="8" max="8" width="65.6640625" customWidth="1"/>
    <col min="9" max="9" width="90.6640625" customWidth="1"/>
    <col min="10" max="10" width="65.6640625" customWidth="1"/>
    <col min="11" max="13" width="36.6640625" customWidth="1"/>
  </cols>
  <sheetData>
    <row r="1" spans="1:13" ht="33.9" customHeight="1" x14ac:dyDescent="0.3">
      <c r="A1" s="19" t="s">
        <v>594</v>
      </c>
      <c r="B1" s="19"/>
      <c r="C1" s="19"/>
      <c r="D1" s="19"/>
      <c r="E1" s="19"/>
      <c r="F1" s="19"/>
      <c r="G1" s="19"/>
      <c r="H1" s="19"/>
      <c r="I1" s="19"/>
      <c r="J1" s="19"/>
      <c r="K1" s="19"/>
      <c r="L1" s="19"/>
      <c r="M1" s="19"/>
    </row>
    <row r="2" spans="1:13" ht="24.9" customHeight="1" x14ac:dyDescent="0.3">
      <c r="A2" s="20" t="s">
        <v>595</v>
      </c>
      <c r="B2" s="20"/>
      <c r="C2" s="20"/>
      <c r="D2" s="20"/>
      <c r="E2" s="20"/>
      <c r="F2" s="20"/>
      <c r="G2" s="20"/>
      <c r="H2" s="20"/>
      <c r="I2" s="20"/>
      <c r="J2" s="20"/>
      <c r="K2" s="20"/>
      <c r="L2" s="20"/>
      <c r="M2" s="20"/>
    </row>
    <row r="3" spans="1:13" ht="24.9" customHeight="1" x14ac:dyDescent="0.3">
      <c r="A3" s="20"/>
      <c r="B3" s="20"/>
      <c r="C3" s="20"/>
      <c r="D3" s="20"/>
      <c r="E3" s="20"/>
      <c r="F3" s="20"/>
      <c r="G3" s="20"/>
      <c r="H3" s="20"/>
      <c r="I3" s="20"/>
      <c r="J3" s="20"/>
      <c r="K3" s="20"/>
      <c r="L3" s="20"/>
      <c r="M3" s="20"/>
    </row>
    <row r="5" spans="1:13" ht="48" customHeight="1" x14ac:dyDescent="0.3">
      <c r="A5" s="1" t="s">
        <v>183</v>
      </c>
      <c r="B5" s="1" t="s">
        <v>518</v>
      </c>
      <c r="C5" s="1" t="s">
        <v>519</v>
      </c>
      <c r="D5" s="1" t="s">
        <v>520</v>
      </c>
      <c r="E5" s="1" t="s">
        <v>521</v>
      </c>
      <c r="F5" s="1" t="s">
        <v>522</v>
      </c>
      <c r="G5" s="1" t="s">
        <v>384</v>
      </c>
      <c r="H5" s="1" t="s">
        <v>596</v>
      </c>
      <c r="I5" s="1" t="s">
        <v>597</v>
      </c>
      <c r="J5" s="1" t="s">
        <v>598</v>
      </c>
      <c r="K5" s="1" t="s">
        <v>599</v>
      </c>
      <c r="L5" s="1" t="s">
        <v>600</v>
      </c>
      <c r="M5" s="1" t="s">
        <v>601</v>
      </c>
    </row>
    <row r="6" spans="1:13" ht="159.9" customHeight="1" x14ac:dyDescent="0.3">
      <c r="A6" s="2" t="s">
        <v>204</v>
      </c>
      <c r="B6" s="2" t="s">
        <v>602</v>
      </c>
      <c r="C6" s="2" t="s">
        <v>603</v>
      </c>
      <c r="D6" s="2" t="s">
        <v>604</v>
      </c>
      <c r="E6" s="2" t="s">
        <v>605</v>
      </c>
      <c r="F6" s="2" t="s">
        <v>606</v>
      </c>
      <c r="G6" s="2" t="s">
        <v>607</v>
      </c>
      <c r="H6" s="2" t="s">
        <v>608</v>
      </c>
      <c r="I6" s="2"/>
      <c r="J6" s="2" t="s">
        <v>609</v>
      </c>
      <c r="K6" s="2"/>
      <c r="L6" s="2"/>
      <c r="M6" s="2"/>
    </row>
    <row r="7" spans="1:13" ht="159.9" customHeight="1" x14ac:dyDescent="0.3">
      <c r="A7" s="3" t="s">
        <v>210</v>
      </c>
      <c r="B7" s="3" t="s">
        <v>610</v>
      </c>
      <c r="C7" s="3" t="s">
        <v>611</v>
      </c>
      <c r="D7" s="3" t="s">
        <v>612</v>
      </c>
      <c r="E7" s="3" t="s">
        <v>605</v>
      </c>
      <c r="F7" s="3" t="s">
        <v>606</v>
      </c>
      <c r="G7" s="3" t="s">
        <v>607</v>
      </c>
      <c r="H7" s="3" t="s">
        <v>613</v>
      </c>
      <c r="I7" s="3"/>
      <c r="J7" s="3" t="s">
        <v>609</v>
      </c>
      <c r="K7" s="3"/>
      <c r="L7" s="3"/>
      <c r="M7" s="3"/>
    </row>
    <row r="8" spans="1:13" ht="159.9" customHeight="1" x14ac:dyDescent="0.3">
      <c r="A8" s="2" t="s">
        <v>211</v>
      </c>
      <c r="B8" s="2" t="s">
        <v>614</v>
      </c>
      <c r="C8" s="2" t="s">
        <v>615</v>
      </c>
      <c r="D8" s="2" t="s">
        <v>616</v>
      </c>
      <c r="E8" s="2" t="s">
        <v>617</v>
      </c>
      <c r="F8" s="2" t="s">
        <v>618</v>
      </c>
      <c r="G8" s="2" t="s">
        <v>619</v>
      </c>
      <c r="H8" s="2" t="s">
        <v>620</v>
      </c>
      <c r="I8" s="2" t="s">
        <v>621</v>
      </c>
      <c r="J8" s="2" t="s">
        <v>609</v>
      </c>
      <c r="K8" s="2"/>
      <c r="L8" s="2"/>
      <c r="M8" s="2"/>
    </row>
    <row r="9" spans="1:13" ht="159.9" customHeight="1" x14ac:dyDescent="0.3">
      <c r="A9" s="3" t="s">
        <v>212</v>
      </c>
      <c r="B9" s="3" t="s">
        <v>622</v>
      </c>
      <c r="C9" s="3" t="s">
        <v>615</v>
      </c>
      <c r="D9" s="3" t="s">
        <v>616</v>
      </c>
      <c r="E9" s="3" t="s">
        <v>623</v>
      </c>
      <c r="F9" s="3" t="s">
        <v>618</v>
      </c>
      <c r="G9" s="3" t="s">
        <v>624</v>
      </c>
      <c r="H9" s="3" t="s">
        <v>620</v>
      </c>
      <c r="I9" s="3" t="s">
        <v>621</v>
      </c>
      <c r="J9" s="3" t="s">
        <v>609</v>
      </c>
      <c r="K9" s="3"/>
      <c r="L9" s="3"/>
      <c r="M9" s="3"/>
    </row>
    <row r="10" spans="1:13" ht="159.9" customHeight="1" x14ac:dyDescent="0.3">
      <c r="A10" s="2" t="s">
        <v>213</v>
      </c>
      <c r="B10" s="2" t="s">
        <v>625</v>
      </c>
      <c r="C10" s="2" t="s">
        <v>615</v>
      </c>
      <c r="D10" s="2" t="s">
        <v>616</v>
      </c>
      <c r="E10" s="2" t="s">
        <v>626</v>
      </c>
      <c r="F10" s="2" t="s">
        <v>618</v>
      </c>
      <c r="G10" s="2" t="s">
        <v>624</v>
      </c>
      <c r="H10" s="2" t="s">
        <v>620</v>
      </c>
      <c r="I10" s="2" t="s">
        <v>621</v>
      </c>
      <c r="J10" s="2" t="s">
        <v>609</v>
      </c>
      <c r="K10" s="2"/>
      <c r="L10" s="2"/>
      <c r="M10" s="2"/>
    </row>
    <row r="11" spans="1:13" ht="159.9" customHeight="1" x14ac:dyDescent="0.3">
      <c r="A11" s="3" t="s">
        <v>214</v>
      </c>
      <c r="B11" s="3" t="s">
        <v>627</v>
      </c>
      <c r="C11" s="3" t="s">
        <v>615</v>
      </c>
      <c r="D11" s="3" t="s">
        <v>616</v>
      </c>
      <c r="E11" s="3" t="s">
        <v>628</v>
      </c>
      <c r="F11" s="3" t="s">
        <v>618</v>
      </c>
      <c r="G11" s="3" t="s">
        <v>624</v>
      </c>
      <c r="H11" s="3" t="s">
        <v>620</v>
      </c>
      <c r="I11" s="3" t="s">
        <v>621</v>
      </c>
      <c r="J11" s="3" t="s">
        <v>609</v>
      </c>
      <c r="K11" s="3"/>
      <c r="L11" s="3"/>
      <c r="M11" s="3"/>
    </row>
    <row r="12" spans="1:13" ht="159.9" customHeight="1" x14ac:dyDescent="0.3">
      <c r="A12" s="2" t="s">
        <v>215</v>
      </c>
      <c r="B12" s="2" t="s">
        <v>629</v>
      </c>
      <c r="C12" s="2" t="s">
        <v>615</v>
      </c>
      <c r="D12" s="2" t="s">
        <v>616</v>
      </c>
      <c r="E12" s="2" t="s">
        <v>630</v>
      </c>
      <c r="F12" s="2" t="s">
        <v>618</v>
      </c>
      <c r="G12" s="2" t="s">
        <v>624</v>
      </c>
      <c r="H12" s="2" t="s">
        <v>620</v>
      </c>
      <c r="I12" s="2" t="s">
        <v>621</v>
      </c>
      <c r="J12" s="2" t="s">
        <v>609</v>
      </c>
      <c r="K12" s="2"/>
      <c r="L12" s="2"/>
      <c r="M12" s="2"/>
    </row>
    <row r="13" spans="1:13" ht="159.9" customHeight="1" x14ac:dyDescent="0.3">
      <c r="A13" s="3" t="s">
        <v>216</v>
      </c>
      <c r="B13" s="3" t="s">
        <v>631</v>
      </c>
      <c r="C13" s="3" t="s">
        <v>615</v>
      </c>
      <c r="D13" s="3" t="s">
        <v>632</v>
      </c>
      <c r="E13" s="3" t="s">
        <v>605</v>
      </c>
      <c r="F13" s="3" t="s">
        <v>618</v>
      </c>
      <c r="G13" s="3" t="s">
        <v>633</v>
      </c>
      <c r="H13" s="3" t="s">
        <v>634</v>
      </c>
      <c r="I13" s="3" t="s">
        <v>635</v>
      </c>
      <c r="J13" s="3" t="s">
        <v>609</v>
      </c>
      <c r="K13" s="3"/>
      <c r="L13" s="3"/>
      <c r="M13" s="3"/>
    </row>
    <row r="14" spans="1:13" ht="159.9" customHeight="1" x14ac:dyDescent="0.3">
      <c r="A14" s="2" t="s">
        <v>217</v>
      </c>
      <c r="B14" s="2" t="s">
        <v>636</v>
      </c>
      <c r="C14" s="2" t="s">
        <v>637</v>
      </c>
      <c r="D14" s="2" t="s">
        <v>638</v>
      </c>
      <c r="E14" s="2" t="s">
        <v>605</v>
      </c>
      <c r="F14" s="2" t="s">
        <v>618</v>
      </c>
      <c r="G14" s="2" t="s">
        <v>607</v>
      </c>
      <c r="H14" s="2" t="s">
        <v>620</v>
      </c>
      <c r="I14" s="2"/>
      <c r="J14" s="2" t="s">
        <v>609</v>
      </c>
      <c r="K14" s="2"/>
      <c r="L14" s="2"/>
      <c r="M14" s="2"/>
    </row>
    <row r="15" spans="1:13" ht="159.9" customHeight="1" x14ac:dyDescent="0.3">
      <c r="A15" s="3" t="s">
        <v>218</v>
      </c>
      <c r="B15" s="3" t="s">
        <v>639</v>
      </c>
      <c r="C15" s="3" t="s">
        <v>637</v>
      </c>
      <c r="D15" s="3" t="s">
        <v>640</v>
      </c>
      <c r="E15" s="3" t="s">
        <v>605</v>
      </c>
      <c r="F15" s="3" t="s">
        <v>618</v>
      </c>
      <c r="G15" s="3" t="s">
        <v>641</v>
      </c>
      <c r="H15" s="3" t="s">
        <v>642</v>
      </c>
      <c r="I15" s="3"/>
      <c r="J15" s="3" t="s">
        <v>609</v>
      </c>
      <c r="K15" s="3"/>
      <c r="L15" s="3"/>
      <c r="M15" s="3"/>
    </row>
    <row r="16" spans="1:13" ht="159.9" customHeight="1" x14ac:dyDescent="0.3">
      <c r="A16" s="2" t="s">
        <v>219</v>
      </c>
      <c r="B16" s="2" t="s">
        <v>643</v>
      </c>
      <c r="C16" s="2" t="s">
        <v>644</v>
      </c>
      <c r="D16" s="2" t="s">
        <v>645</v>
      </c>
      <c r="E16" s="2" t="s">
        <v>646</v>
      </c>
      <c r="F16" s="2" t="s">
        <v>647</v>
      </c>
      <c r="G16" s="2" t="s">
        <v>648</v>
      </c>
      <c r="H16" s="2" t="s">
        <v>649</v>
      </c>
      <c r="I16" s="2" t="s">
        <v>650</v>
      </c>
      <c r="J16" s="2" t="s">
        <v>609</v>
      </c>
      <c r="K16" s="2"/>
      <c r="L16" s="2"/>
      <c r="M16" s="2"/>
    </row>
    <row r="17" spans="1:13" ht="159.9" customHeight="1" x14ac:dyDescent="0.3">
      <c r="A17" s="3" t="s">
        <v>220</v>
      </c>
      <c r="B17" s="3" t="s">
        <v>651</v>
      </c>
      <c r="C17" s="3" t="s">
        <v>644</v>
      </c>
      <c r="D17" s="3" t="s">
        <v>652</v>
      </c>
      <c r="E17" s="3" t="s">
        <v>653</v>
      </c>
      <c r="F17" s="3" t="s">
        <v>654</v>
      </c>
      <c r="G17" s="3" t="s">
        <v>607</v>
      </c>
      <c r="H17" s="3" t="s">
        <v>655</v>
      </c>
      <c r="I17" s="3" t="s">
        <v>656</v>
      </c>
      <c r="J17" s="3" t="s">
        <v>609</v>
      </c>
      <c r="K17" s="3"/>
      <c r="L17" s="3"/>
      <c r="M17" s="3"/>
    </row>
    <row r="18" spans="1:13" ht="159.9" customHeight="1" x14ac:dyDescent="0.3">
      <c r="A18" s="2"/>
      <c r="B18" s="2"/>
      <c r="C18" s="2"/>
      <c r="D18" s="2"/>
      <c r="E18" s="2"/>
      <c r="F18" s="2"/>
      <c r="G18" s="2"/>
      <c r="H18" s="2"/>
      <c r="I18" s="2"/>
      <c r="J18" s="2"/>
      <c r="K18" s="2"/>
      <c r="L18" s="2"/>
      <c r="M18" s="2"/>
    </row>
    <row r="19" spans="1:13" ht="159.9" customHeight="1" x14ac:dyDescent="0.3">
      <c r="A19" s="3" t="s">
        <v>657</v>
      </c>
      <c r="B19" s="3"/>
      <c r="C19" s="3"/>
      <c r="D19" s="3"/>
      <c r="E19" s="3"/>
      <c r="F19" s="3"/>
      <c r="G19" s="3"/>
      <c r="H19" s="3"/>
      <c r="I19" s="3"/>
      <c r="J19" s="3"/>
      <c r="K19" s="3"/>
      <c r="L19" s="3"/>
      <c r="M19" s="3"/>
    </row>
  </sheetData>
  <autoFilter ref="A5:M19" xr:uid="{00000000-0009-0000-0000-00000A000000}"/>
  <mergeCells count="2">
    <mergeCell ref="A1:M1"/>
    <mergeCell ref="A2:M3"/>
  </mergeCells>
  <pageMargins left="0.3" right="0.3" top="0.4" bottom="0.4" header="0.3" footer="0.3"/>
  <pageSetup paperSize="8" fitToHeight="0" orientation="landscape"/>
  <headerFooter>
    <oddFooter>&amp;LHARBORLIGHT — projekt zasad, bez wdrożenia&amp;R&amp;P /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22</vt:i4>
      </vt:variant>
    </vt:vector>
  </HeadingPairs>
  <TitlesOfParts>
    <vt:vector size="33" baseType="lpstr">
      <vt:lpstr>Start</vt:lpstr>
      <vt:lpstr>Budynki</vt:lpstr>
      <vt:lpstr>Czlowiek</vt:lpstr>
      <vt:lpstr>Ustalenia - uwagi</vt:lpstr>
      <vt:lpstr>Czas budowy</vt:lpstr>
      <vt:lpstr>Parametry</vt:lpstr>
      <vt:lpstr>Decyzje i konflikty</vt:lpstr>
      <vt:lpstr>Populacja i szczescie</vt:lpstr>
      <vt:lpstr>Przystan</vt:lpstr>
      <vt:lpstr>Blogoslawienstwa</vt:lpstr>
      <vt:lpstr>Zrodlo</vt:lpstr>
      <vt:lpstr>Blogoslawienstwa!Print_Area</vt:lpstr>
      <vt:lpstr>Budynki!Print_Area</vt:lpstr>
      <vt:lpstr>'Czas budowy'!Print_Area</vt:lpstr>
      <vt:lpstr>Czlowiek!Print_Area</vt:lpstr>
      <vt:lpstr>'Decyzje i konflikty'!Print_Area</vt:lpstr>
      <vt:lpstr>Parametry!Print_Area</vt:lpstr>
      <vt:lpstr>'Populacja i szczescie'!Print_Area</vt:lpstr>
      <vt:lpstr>Przystan!Print_Area</vt:lpstr>
      <vt:lpstr>Start!Print_Area</vt:lpstr>
      <vt:lpstr>'Ustalenia - uwagi'!Print_Area</vt:lpstr>
      <vt:lpstr>Zrodlo!Print_Area</vt:lpstr>
      <vt:lpstr>Blogoslawienstwa!Print_Titles</vt:lpstr>
      <vt:lpstr>Budynki!Print_Titles</vt:lpstr>
      <vt:lpstr>'Czas budowy'!Print_Titles</vt:lpstr>
      <vt:lpstr>Czlowiek!Print_Titles</vt:lpstr>
      <vt:lpstr>'Decyzje i konflikty'!Print_Titles</vt:lpstr>
      <vt:lpstr>Parametry!Print_Titles</vt:lpstr>
      <vt:lpstr>'Populacja i szczescie'!Print_Titles</vt:lpstr>
      <vt:lpstr>Przystan!Print_Titles</vt:lpstr>
      <vt:lpstr>Start!Print_Titles</vt:lpstr>
      <vt:lpstr>'Ustalenia - uwagi'!Print_Titles</vt:lpstr>
      <vt:lpstr>Zrodlo!Print_Titles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HARBORLIGHT — tabela budynków i analiza zasad</dc:title>
  <dc:subject>Projekt zasad: Excel, bez zmian w grze</dc:subject>
  <dc:creator>HARBORLIGHT</dc:creator>
  <dc:description>Źródło zachowane w arkuszu Zrodlo. Propozycje i założenia nie są zatwierdzonymi zasadami.</dc:description>
  <cp:lastModifiedBy>Sobczak, Krzysztof</cp:lastModifiedBy>
  <dcterms:created xsi:type="dcterms:W3CDTF">2026-10-22T14:31:45Z</dcterms:created>
  <dcterms:modified xsi:type="dcterms:W3CDTF">2026-10-22T17:18:39Z</dcterms:modified>
</cp:coreProperties>
</file>