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8.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29.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8.xml" ContentType="application/vnd.openxmlformats-officedocument.drawing+xml"/>
  <Override PartName="/xl/drawings/drawing2.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25.xml" ContentType="application/vnd.openxmlformats-officedocument.drawing+xml"/>
  <Override PartName="/xl/drawings/drawing16.xml" ContentType="application/vnd.openxmlformats-officedocument.drawing+xml"/>
  <Override PartName="/xl/drawings/drawing1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17.xml" ContentType="application/vnd.openxmlformats-officedocument.drawing+xml"/>
  <Override PartName="/xl/drawings/drawing14.xml" ContentType="application/vnd.openxmlformats-officedocument.drawing+xml"/>
  <Override PartName="/xl/drawings/drawing24.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19.xml" ContentType="application/vnd.openxmlformats-officedocument.drawing+xml"/>
  <Override PartName="/xl/drawings/drawing22.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Budynki" sheetId="2" state="visible" r:id="rId4"/>
    <sheet name="Czlowiek" sheetId="3" state="visible" r:id="rId5"/>
    <sheet name="Premium" sheetId="4" state="visible" r:id="rId6"/>
    <sheet name="Premium - czas" sheetId="5" state="visible" r:id="rId7"/>
    <sheet name="Premium - transport" sheetId="6" state="visible" r:id="rId8"/>
    <sheet name="Premium - budynek" sheetId="7" state="visible" r:id="rId9"/>
    <sheet name="Social i polecenia" sheetId="8" state="visible" r:id="rId10"/>
    <sheet name="Platformy" sheetId="9" state="visible" r:id="rId11"/>
    <sheet name="Zadania latarni" sheetId="10" state="visible" r:id="rId12"/>
    <sheet name="Zadania przyklady" sheetId="11" state="visible" r:id="rId13"/>
    <sheet name="Zadania - zegary" sheetId="12" state="visible" r:id="rId14"/>
    <sheet name="Ekspedycje" sheetId="13" state="visible" r:id="rId15"/>
    <sheet name="Ekspedycje - poziomy" sheetId="14" state="visible" r:id="rId16"/>
    <sheet name="Bilans V3" sheetId="15" state="visible" r:id="rId17"/>
    <sheet name="Produkcja" sheetId="16" state="visible" r:id="rId18"/>
    <sheet name="Czas budowy" sheetId="17" state="visible" r:id="rId19"/>
    <sheet name="Transport i priorytety" sheetId="18" state="visible" r:id="rId20"/>
    <sheet name="Parametry" sheetId="19" state="visible" r:id="rId21"/>
    <sheet name="Decyzje i konflikty" sheetId="20" state="visible" r:id="rId22"/>
    <sheet name="Ustalenia - uwagi" sheetId="21" state="visible" r:id="rId23"/>
    <sheet name="Populacja i szczescie" sheetId="22" state="visible" r:id="rId24"/>
    <sheet name="Przystan" sheetId="23" state="visible" r:id="rId25"/>
    <sheet name="Blogoslawienstwa" sheetId="24" state="visible" r:id="rId26"/>
    <sheet name="Odpowiedzi i zmiany" sheetId="25" state="visible" r:id="rId27"/>
    <sheet name="Pomysly" sheetId="26" state="visible" r:id="rId28"/>
    <sheet name="Twoje wpisy v1" sheetId="27" state="visible" r:id="rId29"/>
    <sheet name="Zrodlo" sheetId="28" state="visible" r:id="rId30"/>
    <sheet name="Zrodlo v3" sheetId="29" state="visible" r:id="rId31"/>
  </sheets>
  <definedNames>
    <definedName function="false" hidden="false" localSheetId="14" name="_xlnm.Print_Area" vbProcedure="false">'Bilans V3'!$A$1:$C$19</definedName>
    <definedName function="false" hidden="false" localSheetId="14" name="_xlnm.Print_Titles" vbProcedure="false">'Bilans V3'!$1:$5</definedName>
    <definedName function="false" hidden="true" localSheetId="14" name="_xlnm._FilterDatabase" vbProcedure="false">'Bilans V3'!$A$5:$C$19</definedName>
    <definedName function="false" hidden="false" localSheetId="23" name="_xlnm.Print_Area" vbProcedure="false">Blogoslawienstwa!$A$1:$C$10</definedName>
    <definedName function="false" hidden="false" localSheetId="23" name="_xlnm.Print_Titles" vbProcedure="false">Blogoslawienstwa!$1:$5</definedName>
    <definedName function="false" hidden="true" localSheetId="23" name="_xlnm._FilterDatabase" vbProcedure="false">Blogoslawienstwa!$A$5:$C$10</definedName>
    <definedName function="false" hidden="false" localSheetId="1" name="_xlnm.Print_Area" vbProcedure="false">Budynki!$A$1:$O$18</definedName>
    <definedName function="false" hidden="false" localSheetId="1" name="_xlnm.Print_Titles" vbProcedure="false">Budynki!$1:$5</definedName>
    <definedName function="false" hidden="true" localSheetId="1" name="_xlnm._FilterDatabase" vbProcedure="false">Budynki!$A$5:$O$18</definedName>
    <definedName function="false" hidden="false" localSheetId="16" name="_xlnm.Print_Area" vbProcedure="false">'Czas budowy'!$A$1:$AA$79</definedName>
    <definedName function="false" hidden="false" localSheetId="16" name="_xlnm.Print_Titles" vbProcedure="false">'Czas budowy'!$1:$5</definedName>
    <definedName function="false" hidden="true" localSheetId="16" name="_xlnm._FilterDatabase" vbProcedure="false">'Czas budowy'!$A$5:$AA$79</definedName>
    <definedName function="false" hidden="false" localSheetId="2" name="_xlnm.Print_Area" vbProcedure="false">Czlowiek!$A$1:$E$37</definedName>
    <definedName function="false" hidden="false" localSheetId="2" name="_xlnm.Print_Titles" vbProcedure="false">Czlowiek!$1:$5</definedName>
    <definedName function="false" hidden="true" localSheetId="2" name="_xlnm._FilterDatabase" vbProcedure="false">Czlowiek!$A$5:$E$37</definedName>
    <definedName function="false" hidden="false" localSheetId="19" name="_xlnm.Print_Area" vbProcedure="false">'Decyzje i konflikty'!$A$1:$E$38</definedName>
    <definedName function="false" hidden="false" localSheetId="19" name="_xlnm.Print_Titles" vbProcedure="false">'Decyzje i konflikty'!$1:$5</definedName>
    <definedName function="false" hidden="true" localSheetId="19" name="_xlnm._FilterDatabase" vbProcedure="false">'Decyzje i konflikty'!$A$5:$E$38</definedName>
    <definedName function="false" hidden="false" localSheetId="12" name="_xlnm.Print_Area" vbProcedure="false">Ekspedycje!$A$1:$D$17</definedName>
    <definedName function="false" hidden="false" localSheetId="12" name="_xlnm.Print_Titles" vbProcedure="false">Ekspedycje!$1:$5</definedName>
    <definedName function="false" hidden="true" localSheetId="12" name="_xlnm._FilterDatabase" vbProcedure="false">Ekspedycje!$A$5:$D$17</definedName>
    <definedName function="false" hidden="false" localSheetId="13" name="_xlnm.Print_Area" vbProcedure="false">'Ekspedycje - poziomy'!$A$1:$G$19</definedName>
    <definedName function="false" hidden="false" localSheetId="13" name="_xlnm.Print_Titles" vbProcedure="false">'Ekspedycje - poziomy'!$1:$5</definedName>
    <definedName function="false" hidden="true" localSheetId="13" name="_xlnm._FilterDatabase" vbProcedure="false">'Ekspedycje - poziomy'!$A$5:$G$19</definedName>
    <definedName function="false" hidden="false" localSheetId="24" name="_xlnm.Print_Area" vbProcedure="false">'Odpowiedzi i zmiany'!$A$1:$C$14</definedName>
    <definedName function="false" hidden="false" localSheetId="24" name="_xlnm.Print_Titles" vbProcedure="false">'Odpowiedzi i zmiany'!$1:$5</definedName>
    <definedName function="false" hidden="true" localSheetId="24" name="_xlnm._FilterDatabase" vbProcedure="false">'Odpowiedzi i zmiany'!$A$5:$C$14</definedName>
    <definedName function="false" hidden="false" localSheetId="18" name="_xlnm.Print_Area" vbProcedure="false">Parametry!$A$1:$F$51</definedName>
    <definedName function="false" hidden="false" localSheetId="18" name="_xlnm.Print_Titles" vbProcedure="false">Parametry!$1:$5</definedName>
    <definedName function="false" hidden="true" localSheetId="18" name="_xlnm._FilterDatabase" vbProcedure="false">Parametry!$A$5:$F$51</definedName>
    <definedName function="false" hidden="false" localSheetId="8" name="_xlnm.Print_Area" vbProcedure="false">Platformy!$A$1:$G$16</definedName>
    <definedName function="false" hidden="false" localSheetId="8" name="_xlnm.Print_Titles" vbProcedure="false">Platformy!$1:$5</definedName>
    <definedName function="false" hidden="true" localSheetId="8" name="_xlnm._FilterDatabase" vbProcedure="false">Platformy!$A$5:$G$16</definedName>
    <definedName function="false" hidden="false" localSheetId="25" name="_xlnm.Print_Area" vbProcedure="false">Pomysly!$A$1:$C$8</definedName>
    <definedName function="false" hidden="true" localSheetId="25" name="_xlnm._FilterDatabase" vbProcedure="false">Pomysly!$A$5:$C$8</definedName>
    <definedName function="false" hidden="false" localSheetId="21" name="_xlnm.Print_Area" vbProcedure="false">'Populacja i szczescie'!$A$1:$O$18</definedName>
    <definedName function="false" hidden="false" localSheetId="21" name="_xlnm.Print_Titles" vbProcedure="false">'Populacja i szczescie'!$1:$5</definedName>
    <definedName function="false" hidden="true" localSheetId="21" name="_xlnm._FilterDatabase" vbProcedure="false">'Populacja i szczescie'!$A$5:$E$14</definedName>
    <definedName function="false" hidden="false" localSheetId="3" name="_xlnm.Print_Area" vbProcedure="false">Premium!$A$1:$E$27</definedName>
    <definedName function="false" hidden="false" localSheetId="3" name="_xlnm.Print_Titles" vbProcedure="false">Premium!$1:$5</definedName>
    <definedName function="false" hidden="true" localSheetId="3" name="_xlnm._FilterDatabase" vbProcedure="false">Premium!$A$5:$E$27</definedName>
    <definedName function="false" hidden="false" localSheetId="6" name="_xlnm.Print_Area" vbProcedure="false">'Premium - budynek'!$A$1:$Q$8</definedName>
    <definedName function="false" hidden="false" localSheetId="6" name="_xlnm.Print_Titles" vbProcedure="false">'Premium - budynek'!$1:$5</definedName>
    <definedName function="false" hidden="true" localSheetId="6" name="_xlnm._FilterDatabase" vbProcedure="false">'Premium - budynek'!$A$5:$Q$8</definedName>
    <definedName function="false" hidden="false" localSheetId="4" name="_xlnm.Print_Area" vbProcedure="false">'Premium - czas'!$A$1:$G$20</definedName>
    <definedName function="false" hidden="false" localSheetId="4" name="_xlnm.Print_Titles" vbProcedure="false">'Premium - czas'!$1:$5</definedName>
    <definedName function="false" hidden="true" localSheetId="4" name="_xlnm._FilterDatabase" vbProcedure="false">'Premium - czas'!$A$5:$G$20</definedName>
    <definedName function="false" hidden="false" localSheetId="5" name="_xlnm.Print_Area" vbProcedure="false">'Premium - transport'!$A$1:$K$18</definedName>
    <definedName function="false" hidden="false" localSheetId="5" name="_xlnm.Print_Titles" vbProcedure="false">'Premium - transport'!$1:$5</definedName>
    <definedName function="false" hidden="true" localSheetId="5" name="_xlnm._FilterDatabase" vbProcedure="false">'Premium - transport'!$A$5:$K$18</definedName>
    <definedName function="false" hidden="false" localSheetId="15" name="_xlnm.Print_Area" vbProcedure="false">Produkcja!$A$1:$F$15</definedName>
    <definedName function="false" hidden="false" localSheetId="15" name="_xlnm.Print_Titles" vbProcedure="false">Produkcja!$1:$5</definedName>
    <definedName function="false" hidden="true" localSheetId="15" name="_xlnm._FilterDatabase" vbProcedure="false">Produkcja!$A$5:$F$15</definedName>
    <definedName function="false" hidden="false" localSheetId="22" name="_xlnm.Print_Area" vbProcedure="false">Przystan!$A$1:$H$18</definedName>
    <definedName function="false" hidden="false" localSheetId="22" name="_xlnm.Print_Titles" vbProcedure="false">Przystan!$1:$5</definedName>
    <definedName function="false" hidden="true" localSheetId="22" name="_xlnm._FilterDatabase" vbProcedure="false">Przystan!$A$5:$H$18</definedName>
    <definedName function="false" hidden="false" localSheetId="7" name="_xlnm.Print_Area" vbProcedure="false">'Social i polecenia'!$A$1:$E$10</definedName>
    <definedName function="false" hidden="false" localSheetId="7" name="_xlnm.Print_Titles" vbProcedure="false">'Social i polecenia'!$1:$5</definedName>
    <definedName function="false" hidden="true" localSheetId="7" name="_xlnm._FilterDatabase" vbProcedure="false">'Social i polecenia'!$A$5:$E$10</definedName>
    <definedName function="false" hidden="false" localSheetId="0" name="_xlnm.Print_Area" vbProcedure="false">Start!$A$1:$C$24</definedName>
    <definedName function="false" hidden="false" localSheetId="0" name="_xlnm.Print_Titles" vbProcedure="false">Start!$1:$5</definedName>
    <definedName function="false" hidden="true" localSheetId="0" name="_xlnm._FilterDatabase" vbProcedure="false">Start!$A$5:$C$24</definedName>
    <definedName function="false" hidden="false" localSheetId="17" name="_xlnm.Print_Area" vbProcedure="false">'Transport i priorytety'!$A$1:$D$19</definedName>
    <definedName function="false" hidden="false" localSheetId="17" name="_xlnm.Print_Titles" vbProcedure="false">'Transport i priorytety'!$1:$5</definedName>
    <definedName function="false" hidden="true" localSheetId="17" name="_xlnm._FilterDatabase" vbProcedure="false">'Transport i priorytety'!$A$5:$D$19</definedName>
    <definedName function="false" hidden="false" localSheetId="26" name="_xlnm.Print_Area" vbProcedure="false">'Twoje wpisy v1'!$A$1:$D$80</definedName>
    <definedName function="false" hidden="false" localSheetId="26" name="_xlnm.Print_Titles" vbProcedure="false">'Twoje wpisy v1'!$1:$5</definedName>
    <definedName function="false" hidden="true" localSheetId="26" name="_xlnm._FilterDatabase" vbProcedure="false">'Twoje wpisy v1'!$A$5:$D$80</definedName>
    <definedName function="false" hidden="false" localSheetId="20" name="_xlnm.Print_Area" vbProcedure="false">'Ustalenia - uwagi'!$A$1:$F$187</definedName>
    <definedName function="false" hidden="false" localSheetId="20" name="_xlnm.Print_Titles" vbProcedure="false">'Ustalenia - uwagi'!$1:$5</definedName>
    <definedName function="false" hidden="true" localSheetId="20" name="_xlnm._FilterDatabase" vbProcedure="false">'Ustalenia - uwagi'!$A$5:$F$187</definedName>
    <definedName function="false" hidden="false" localSheetId="11" name="_xlnm.Print_Area" vbProcedure="false">'Zadania - zegary'!$A$1:$K$11</definedName>
    <definedName function="false" hidden="false" localSheetId="11" name="_xlnm.Print_Titles" vbProcedure="false">'Zadania - zegary'!$1:$5</definedName>
    <definedName function="false" hidden="true" localSheetId="11" name="_xlnm._FilterDatabase" vbProcedure="false">'Zadania - zegary'!$A$5:$K$11</definedName>
    <definedName function="false" hidden="false" localSheetId="9" name="_xlnm.Print_Area" vbProcedure="false">'Zadania latarni'!$A$1:$E$26</definedName>
    <definedName function="false" hidden="false" localSheetId="9" name="_xlnm.Print_Titles" vbProcedure="false">'Zadania latarni'!$1:$5</definedName>
    <definedName function="false" hidden="true" localSheetId="9" name="_xlnm._FilterDatabase" vbProcedure="false">'Zadania latarni'!$A$5:$E$26</definedName>
    <definedName function="false" hidden="false" localSheetId="10" name="_xlnm.Print_Area" vbProcedure="false">'Zadania przyklady'!$A$1:$X$17</definedName>
    <definedName function="false" hidden="false" localSheetId="10" name="_xlnm.Print_Titles" vbProcedure="false">'Zadania przyklady'!$1:$5</definedName>
    <definedName function="false" hidden="true" localSheetId="10" name="_xlnm._FilterDatabase" vbProcedure="false">'Zadania przyklady'!$A$5:$X$17</definedName>
    <definedName function="false" hidden="false" localSheetId="27" name="_xlnm.Print_Area" vbProcedure="false">Zrodlo!$A$1:$F$97</definedName>
    <definedName function="false" hidden="false" localSheetId="27" name="_xlnm.Print_Titles" vbProcedure="false">Zrodlo!$1:$5</definedName>
    <definedName function="false" hidden="true" localSheetId="27" name="_xlnm._FilterDatabase" vbProcedure="false">Zrodlo!$A$5:$M$19</definedName>
    <definedName function="false" hidden="false" localSheetId="28" name="_xlnm.Print_Area" vbProcedure="false">'Zrodlo v3'!$A$1:$C$43</definedName>
    <definedName function="false" hidden="false" localSheetId="28" name="_xlnm.Print_Titles" vbProcedure="false">'Zrodlo v3'!$1:$5</definedName>
    <definedName function="false" hidden="true" localSheetId="28"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<sst xmlns="http://schemas.openxmlformats.org/spreadsheetml/2006/main" count="3604" uniqueCount="2248">
  <si>
    <t xml:space="preserve">HARBORLIGHT V3 • Premium, zadania i ekspedycje</t>
  </si>
  <si>
    <t xml:space="preserve">Wersja 3 uwzględnia wpisy z 22.10.2026, zachowuje wcześniejsze zasady i źródła. To dokument projektu; nie zmienia kodu gry. Modele kalkulatorów i otwarte interpretacje oznaczono osobno.</t>
  </si>
  <si>
    <t xml:space="preserve">Obszar</t>
  </si>
  <si>
    <t xml:space="preserve">Co zmieniono</t>
  </si>
  <si>
    <t xml:space="preserve">Gdzie sprawdzić</t>
  </si>
  <si>
    <t xml:space="preserve">Główna tabela</t>
  </si>
  <si>
    <t xml:space="preserve">12 budynków + asset Człowiek; nowe koszty, limity własnego poziomu, efekty rozbudowy i czasy.</t>
  </si>
  <si>
    <t xml:space="preserve">Budynki</t>
  </si>
  <si>
    <t xml:space="preserve">Czasy</t>
  </si>
  <si>
    <t xml:space="preserve">5 min — pełny kurs, jeden rodzaj towaru, ładunki 60/66/72; Ratusz/Dom 2 T, Latarnia 5 T, Kaplica 4 T/7 T/10 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</si>
  <si>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</si>
  <si>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</si>
  <si>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</si>
  <si>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</si>
  <si>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</si>
  <si>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Własny limit 12 × poziom budynku; produkcja 10, 12, 13, 14…; 5 min do pracy i do domu.</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</si>
  <si>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</si>
  <si>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</si>
  <si>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</si>
  <si>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</si>
  <si>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Koszty</t>
  </si>
  <si>
    <t xml:space="preserve">Magazyn/Targ: 300 L każdego zasobu; Port: 400 L; Ratusz/Dom: 500 L; Latarnia: 500 × max(1, L).</t>
  </si>
  <si>
    <t xml:space="preserve">Parametry / Czas budowy</t>
  </si>
  <si>
    <t xml:space="preserve">Transport</t>
  </si>
  <si>
    <t xml:space="preserve">Rezerwa Food: 50 × poziom magazynu; priorytety: zaopatrzenie, potem budowy; własne załogi targu i portu.</t>
  </si>
  <si>
    <t xml:space="preserve">Transport i priorytety. Ratunkowy próg Food wymaga spójnego doprecyzowania.</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</si>
  <si>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</si>
  <si>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</si>
  <si>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</si>
  <si>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</si>
  <si>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</si>
  <si>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</si>
  <si>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</si>
  <si>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Kaplica = błogosławieństwo, Latarnia = zwiedzanie. Latarnia ustawia szczęście na 100%, nie dodaje +100.</t>
  </si>
  <si>
    <t xml:space="preserve">Blogoslawienstwa; szczegóły wizyt pozostają otwarte.</t>
  </si>
  <si>
    <t xml:space="preserve">Premium</t>
  </si>
  <si>
    <t xml:space="preserve">1 PLN = 10 monet; skrócenie budowy o 25/50/75% za 1 monetę za pełną minutę; transport: 10 monet/kurs; materiały według cen portu ×1,25 plus opłata czasowa.</t>
  </si>
  <si>
    <t xml:space="preserve">Premium / trzy kalkulatory Premium.</t>
  </si>
  <si>
    <t xml:space="preserve">Ludzie i ranking</t>
  </si>
  <si>
    <t xml:space="preserve">Nowi trafiają do domu, ubytek = odejście; priorytet: dom / największa załoga; ranking = Ratusz × złoto.</t>
  </si>
  <si>
    <t xml:space="preserve">Czlowiek; niepełna kolejność przy remisach w arkuszu Decyzje i konflikty.</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</si>
  <si>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</si>
  <si>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</si>
  <si>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</si>
  <si>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</si>
  <si>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Zablokowana produkcja i podatek, ratunkowy próg Food, kolejność remisów, globalność cen, oferty Premium.</t>
  </si>
  <si>
    <t xml:space="preserve">Decyzje i konflikty: jasno opisane luki, bez wymyślonych ustaleń.</t>
  </si>
  <si>
    <t xml:space="preserve">Nowe pomysły z repozytorium</t>
  </si>
  <si>
    <t xml:space="preserve">Ekspedycje i wyzwania latarni otrzymały nowe reguły; sterowanie labiryntem/piłeczką pozostaje do opisania.</t>
  </si>
  <si>
    <t xml:space="preserve">Zadania latarni / Ekspedycje / Zrodlo v3.</t>
  </si>
  <si>
    <t xml:space="preserve">Zadania latarni</t>
  </si>
  <si>
    <t xml:space="preserve">Zawsze trzy rozmiary zadań, każde z własnym terminem 6 h; wpłaty ratami; szybkie kliknięcie daje ×2/×3; nagrody są zawsze widoczne.</t>
  </si>
  <si>
    <t xml:space="preserve">Zadania latarni / Zadania przyklady / Zadania - zegary.</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</si>
  <si>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</si>
  <si>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</si>
  <si>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</si>
  <si>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</si>
  <si>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</si>
  <si>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</si>
  <si>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</si>
  <si>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Duże zadania wymagają wcześniejszych zapasów, a nagrody mogą nie mieścić się w centrali. Rozliczanie pełnych minut może dawać cenę 0; pula ekspedycji rośnie wykładniczo.</t>
  </si>
  <si>
    <t xml:space="preserve">Bilans V3 / Decyzje i konflikty.</t>
  </si>
  <si>
    <t xml:space="preserve">BUDYNKI V2 • uwzględnione wpisy i odpowiedzi</t>
  </si>
  <si>
    <t xml:space="preserve">Nowy plik 2; poprzednie pliki 0 i 1 pozostają. Czasy bazowe przy 6 DOSTĘPNYCH tragarzach, ładunki 60/66/72, pełny kurs 5 min. Bez zbierania, karmienia, oczekiwania w kolejce i wcześniejszych rozbudów. Kolejka ma osobne koszty i czasy z +10% w arkuszu Czas budowy. Wszystko działa offline.</t>
  </si>
  <si>
    <t xml:space="preserve">Budynek / asset</t>
  </si>
  <si>
    <t xml:space="preserve">Po co jest</t>
  </si>
  <si>
    <t xml:space="preserve">Ludzie</t>
  </si>
  <si>
    <t xml:space="preserve">Co daje rozbudowa</t>
  </si>
  <si>
    <t xml:space="preserve">Koszt bazowy</t>
  </si>
  <si>
    <t xml:space="preserve">Czas łączny</t>
  </si>
  <si>
    <t xml:space="preserve">Stan</t>
  </si>
  <si>
    <t xml:space="preserve">Notyfikacje</t>
  </si>
  <si>
    <t xml:space="preserve">Uwagi i reguły</t>
  </si>
  <si>
    <t xml:space="preserve">Twoje uwagi3 / doprecyzowania</t>
  </si>
  <si>
    <t xml:space="preserve">Źródło zmian</t>
  </si>
  <si>
    <t xml:space="preserve">1→2 transport+budowa</t>
  </si>
  <si>
    <t xml:space="preserve">2→3 transport+budowa</t>
  </si>
  <si>
    <t xml:space="preserve">3→4 transport+budowa</t>
  </si>
  <si>
    <t xml:space="preserve">Ratusz</t>
  </si>
  <si>
    <t xml:space="preserve">Wyznacza poziom gry i limity rozwoju; jest skarbcem monet i pokazuje podatek/h.</t>
  </si>
  <si>
    <t xml:space="preserve">Brak własnych pracowników.</t>
  </si>
  <si>
    <t xml:space="preserve">Maksymalna populacja: 24 × L; wyższy poziom innych budynków; L budów + L miejsc kolejki; lokalne bufory producentów: 200 × Ratusz.</t>
  </si>
  <si>
    <t xml:space="preserve">500×L KAŻDEGO z 6 zasobów</t>
  </si>
  <si>
    <t xml:space="preserve">2T = T transportu + T budowy</t>
  </si>
  <si>
    <t xml:space="preserve">Zasady uporządkowane; otwarte szczegóły w arkuszu Decyzje i konflikty.</t>
  </si>
  <si>
    <t xml:space="preserve">ZAWSZE: ukończenie budowy. Wcześniej także zlecenie/start/dostawa.</t>
  </si>
  <si>
    <t xml:space="preserve">Ranking = poziom ratusza × monety. L budów + L miejsc kolejki; zlecenia zakolejkowane mają koszt wyższy o 10%.</t>
  </si>
  <si>
    <t xml:space="preserve">V3: skrócenie budowy o 25/50/75% — 1 moneta za pełną zaoszczędzoną minutę. Kupno bez surowców: portowa wartość materiałów ×1,25 plus opłata czasowa. Podstawa czasu i szczegóły wyceny są oznaczone w Premium jako modele. Dotychczasowe natychmiastowe ukończenie nie ma zatwierdzonej ceny skrócenia o 100%.</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</si>
  <si>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</si>
  <si>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</si>
  <si>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Dom</t>
  </si>
  <si>
    <t xml:space="preserve">Zapewnia miejsca mieszkalne, osobno od maksymalnego limitu ratusza.</t>
  </si>
  <si>
    <t xml:space="preserve">Miejsca: 24 × poziom domu; zmniejszenie kary przeludnienia. Panel pokazuje ludzi i przydziały oraz pozwala wysyłać wizyty do kaplicy i latarni.</t>
  </si>
  <si>
    <t xml:space="preserve">ZAWSZE: ukończenie budowy. Wcześniej także zlecenie/start/dostawa. NOWE: przeludnienie; proponujemy na zmianę stanu, nie co klatkę.</t>
  </si>
  <si>
    <t xml:space="preserve">Kara przeludnienia: max(0, P − 24 × poziom domu) pp/h każdej osobie. Nowi mieszkańcy zawsze trafiają do domu.</t>
  </si>
  <si>
    <t xml:space="preserve">Z poziomu domu widzę wszystkich ludzi gdzie są dopisani, mogę ich stąd wysyłać do kaplicy lub na latarnię</t>
  </si>
  <si>
    <t xml:space="preserve">Budynki!wiersz 7; potwierdzenia w Odpowiedzi i zmiany</t>
  </si>
  <si>
    <t xml:space="preserve">Farma</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</si>
  <si>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</si>
  <si>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</si>
  <si>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Ratusz.</t>
  </si>
  <si>
    <t xml:space="preserve">L×(72 drewna+72 kamienia+120 zboża)</t>
  </si>
  <si>
    <t xml:space="preserve">ZAWSZE: ukończenie budowy. Wcześniej także zlecenie/start/dostawa. Powiadomienie o pełnym magazynie.</t>
  </si>
  <si>
    <t xml:space="preserve">Pełny lokalny bufor: produkcja STOP, osobny modyfikator −10…−50. Brak surowca/miejsca powoduje brak pracy; podatek i bonus +1 przy blokadzie pozostają do decyzji. Droga: 5 min w każdą stronę; drewno i zboże przez centralę.</t>
  </si>
  <si>
    <t xml:space="preserve">V3: skrócenie budowy o 25/50/75% — 1 moneta za pełną zaoszczędzoną minutę. Kupno bez surowców: portowa wartość materiałów ×1,25 plus opłata czasowa. Podstawa czasu i szczegóły wyceny są oznaczone w Premium jako modele. Dotychczasowe natychmiastowe ukończenie nie ma zatwierdzonej ceny skrócenia o 100%. Transport Premium: 10 monet za kurs; rozliczenie ostatniego niepełnego kursu pozostaje do potwierdzenia.</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</si>
  <si>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</si>
  <si>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</si>
  <si>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Młyn</t>
  </si>
  <si>
    <t xml:space="preserve">Przetwarza 2 zboża z centrali→1 żywność do lokalnego bufora.</t>
  </si>
  <si>
    <t xml:space="preserve">L×(72 drewna+72 kamienia+120 żywności)</t>
  </si>
  <si>
    <t xml:space="preserve">Budynki!wiersz 9; potwierdzenia w Odpowiedzi i zmiany</t>
  </si>
  <si>
    <t xml:space="preserve">Drwale</t>
  </si>
  <si>
    <t xml:space="preserve">Produkują drewno do tartaku i budowy.</t>
  </si>
  <si>
    <t xml:space="preserve">L×(192 drewna+72 kamienia)</t>
  </si>
  <si>
    <t xml:space="preserve">Budynki!wiersz 10; potwierdzenia w Odpowiedzi i zmiany</t>
  </si>
  <si>
    <t xml:space="preserve">Tartak</t>
  </si>
  <si>
    <t xml:space="preserve">Przetwarza 2 drewna z centrali→1 deskę do lokalnego bufora.</t>
  </si>
  <si>
    <t xml:space="preserve">L×(72 drewna+72 kamienia+120 desek)</t>
  </si>
  <si>
    <t xml:space="preserve">Budynki!wiersz 11; potwierdzenia w Odpowiedzi i zmiany</t>
  </si>
  <si>
    <t xml:space="preserve">Kamieniołom</t>
  </si>
  <si>
    <t xml:space="preserve">Produkuje kamień do budowy i wymiany.</t>
  </si>
  <si>
    <t xml:space="preserve">L×(72 drewna+192 kamienia)</t>
  </si>
  <si>
    <t xml:space="preserve">Budynki!wiersz 12; potwierdzenia w Odpowiedzi i zmiany</t>
  </si>
  <si>
    <t xml:space="preserve">Magazyn</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</si>
  <si>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</si>
  <si>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</si>
  <si>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</si>
  <si>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Food: 50 × poziom magazynu. Domyślnie uzupełnij centralę, potem budowy. Zmienne priorytety według budynku/zlecenia; ratunkowy 1 tragarz Food — próg do doprecyzowania. Pełny kurs: 5 min, 1 rodzaj towaru; niepełny ładunek wysyłany od razu.</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</si>
  <si>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</si>
  <si>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</si>
  <si>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Targ</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</si>
  <si>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</si>
  <si>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</si>
  <si>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</si>
  <si>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</si>
  <si>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</si>
  <si>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</si>
  <si>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</si>
  <si>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Za 100: podstawowe 40/50, przetworzone 140/150. Podwyżka zakupu liniowo +10% w 3 h. Własna załoga, dwa cykle; statek = pojemność portu; płatność za sprzedaż przy wypłynięciu, za zakup przy przypłynięciu. Nieodebrane przez 24 h przepada, bez opłaty 10.</t>
  </si>
  <si>
    <t xml:space="preserve">Tempo załogi jak w magazynie, premium jak w magazynie </t>
  </si>
  <si>
    <t xml:space="preserve">Budynki!wiersz 15; potwierdzenia w Odpowiedzi i zmiany</t>
  </si>
  <si>
    <t xml:space="preserve">Kaplica</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</si>
  <si>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</si>
  <si>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</si>
  <si>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</si>
  <si>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TYMCZASOWO:N×(180 monet+20 drewna+60 kamienia+10 desek). N=nowy poziom.</t>
  </si>
  <si>
    <t xml:space="preserve">T transportu + 3T × (N − 1) budowy; N = nowy poziom. Łącznie: 4T, 7T, 10T…</t>
  </si>
  <si>
    <t xml:space="preserve">ZAWSZE: ukończenie budowy. Wcześniej także zlecenie/start/dostawa. Uruchomienie premii i ręczne błogosławieństwo.</t>
  </si>
  <si>
    <t xml:space="preserve">Ręczne: +50 każdego zasobu, +20 szczęścia na 1 h; nowe odstępy i reklamy nadal odłożone. Wyjaśnienie dawnych notatek D09/D16 w arkuszu Decyzje i konflikty.</t>
  </si>
  <si>
    <t xml:space="preserve">Budynki!wiersz 16; potwierdzenia w Odpowiedzi i zmiany</t>
  </si>
  <si>
    <t xml:space="preserve">Latarnia</t>
  </si>
  <si>
    <t xml:space="preserve">Daje premie szczęścia i produkcji po ukończeniu poziomu.</t>
  </si>
  <si>
    <t xml:space="preserve">Ustawia efektywne szczęście wszystkich na 100% i produkcję ×2 na 24 h × N. Latarnia = zwiedzanie; szczegóły wizyt nie zostały jeszcze opisane.</t>
  </si>
  <si>
    <t xml:space="preserve">500×max(1, L) KAŻDEGO z 6 zasobów. Pierwsza budowa 0→1:500 każdego.</t>
  </si>
  <si>
    <t xml:space="preserve">5T = T transportu + 4T budowy</t>
  </si>
  <si>
    <t xml:space="preserve">ZAWSZE: ukończenie budowy. Wcześniej także zlecenie/start/dostawa. Uruchomienie premii latarni.</t>
  </si>
  <si>
    <t xml:space="preserve">100% to nie +100; wszyscy mają maksymalne efektywne szczęście w czasie premii. Produkcja ×2, podatki i transport bez mnożnika. Wizyta niesprecyzowana, premium osobno. Osobny panel: 3 zadania małe/średnie/duże, 6 h każde, wpłaty z centrali bez transportu. Nie mylić z premią rozbudowy ani zwiedzaniem.</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</si>
  <si>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</si>
  <si>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</si>
  <si>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</si>
  <si>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</si>
  <si>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</si>
  <si>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</si>
  <si>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</si>
  <si>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</si>
  <si>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Karta Czlowiek zaktualizowana.</t>
  </si>
  <si>
    <t xml:space="preserve">Odejście, nigdy śmierć; nowy mieszkaniec zawsze w domu.</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</si>
  <si>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</si>
  <si>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</si>
  <si>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</si>
  <si>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</si>
  <si>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</si>
  <si>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</si>
  <si>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Wersja 2: własny limit budynku 12×L, 5 min do pracy i 5 min do domu, cała gospodarka offline; nowi ludzie do Domu, ubytek to odejście. Latarnia ustawia 100%, nie dodaje 100. Tematy wizyt i zablokowanej produkcji oznaczone tam, gdzie brakuje szczegółów.</t>
  </si>
  <si>
    <t xml:space="preserve">Stan / obszar</t>
  </si>
  <si>
    <t xml:space="preserve">Zasada</t>
  </si>
  <si>
    <t xml:space="preserve">Wzór / liczby</t>
  </si>
  <si>
    <t xml:space="preserve">Konsekwencje</t>
  </si>
  <si>
    <t xml:space="preserve">Status</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</si>
  <si>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</si>
  <si>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</si>
  <si>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</si>
  <si>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</si>
  <si>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</si>
  <si>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</si>
  <si>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</si>
  <si>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</si>
  <si>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</si>
  <si>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</si>
  <si>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</si>
  <si>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</si>
  <si>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</si>
  <si>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</si>
  <si>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</si>
  <si>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Jedzenie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</si>
  <si>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</si>
  <si>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</si>
  <si>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</si>
  <si>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</si>
  <si>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</si>
  <si>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</si>
  <si>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</si>
  <si>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Osobny wpis mówi o tragarzu żywności dopiero poniżej 50; próg 50 kontra 50 × poziom pozostaje do ujednolicenia.</t>
  </si>
  <si>
    <t xml:space="preserve">NOWE; PRÓG TRAGARZA DO DECYZJI</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</si>
  <si>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</si>
  <si>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</si>
  <si>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</si>
  <si>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</si>
  <si>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</si>
  <si>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</si>
  <si>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</si>
  <si>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</si>
  <si>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</si>
  <si>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</si>
  <si>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</si>
  <si>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</si>
  <si>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</si>
  <si>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surowca lub miejsca zatrzymuje pracę. Nowy wpis nakazuje karę za brak pracy także mimo przypisania; szczegóły podatku do decyzji.</t>
  </si>
  <si>
    <t xml:space="preserve">UZGODNIONE + NOWY PRZESTÓJ</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</si>
  <si>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</si>
  <si>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</si>
  <si>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t>
  </si>
  <si>
    <t xml:space="preserve">POTWIERDZONE; ZAOKRĄGLENIE POJEMNOŚCI DO DECYZJI</t>
  </si>
  <si>
    <t xml:space="preserve">Podatek przy pracy</t>
  </si>
  <si>
    <t xml:space="preserve">Pracujący płaci podatek, bezrobotny lub idący do domu nie płaci. Premia kaplicy podwaja dochód.</t>
  </si>
  <si>
    <t xml:space="preserve">1 moneta/os./h zegarowej; podczas premii kaplicy 2.</t>
  </si>
  <si>
    <t xml:space="preserve">Dla osoby przypisanej, ale zablokowanej brakiem surowca lub miejsca, nowe zasady wymagają kary za brak pracy; dalsze naliczanie podatku nie zostało rozstrzygnięte.</t>
  </si>
  <si>
    <t xml:space="preserve">UZGODNIONE; PODATEK PODCZAS PRZESTOJU DO DECYZJI</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</si>
  <si>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</si>
  <si>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</si>
  <si>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</si>
  <si>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</si>
  <si>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</si>
  <si>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</si>
  <si>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</si>
  <si>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</si>
  <si>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</si>
  <si>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</si>
  <si>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</si>
  <si>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</si>
  <si>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</si>
  <si>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</si>
  <si>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</si>
  <si>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</si>
  <si>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</si>
  <si>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</si>
  <si>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</si>
  <si>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</si>
  <si>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</si>
  <si>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</si>
  <si>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</si>
  <si>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</si>
  <si>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</si>
  <si>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</si>
  <si>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</si>
  <si>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</si>
  <si>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nie oddaje utraconego szczęścia i nie kasuje historii człowieka. Przestój rzeczywistej pracy wymaga doprecyzowania tego resetu.</t>
  </si>
  <si>
    <t xml:space="preserve">UZGODNIONE; PRZESTÓJ DO DOPRECYZOWANIA</t>
  </si>
  <si>
    <t xml:space="preserve">Droga do pracy</t>
  </si>
  <si>
    <t xml:space="preserve">Po wysłaniu do nowego miejsca pracy osoba idzie przez ustalony czas.</t>
  </si>
  <si>
    <t xml:space="preserve">5 min do pracy.</t>
  </si>
  <si>
    <t xml:space="preserve">W drodze nie produkuje. Podatek i bonus pracy w czasie dojścia nie zostały określone osobno; proponowany brak pracy do chwili dojścia należy oznaczyć jako propozycję.</t>
  </si>
  <si>
    <t xml:space="preserve">NOWE; EFEKTY W DRODZE DO USTALENIA</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</si>
  <si>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</si>
  <si>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</si>
  <si>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</si>
  <si>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</si>
  <si>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</si>
  <si>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i według nowej notatki powoduje karę za brak pracy.</t>
  </si>
  <si>
    <t xml:space="preserve">Docelowo zastosowanie kary bezrobocia −5 pp/h po 12 h wymaga zgodności z dotychczasowym algorytmem.</t>
  </si>
  <si>
    <t xml:space="preserve">Nie wiadomo, czy nadal działa +1 za przypisanie, czy płynie podatek i kiedy resetuje się licznik. Nie zapisano tego jako gotowej decyzji.</t>
  </si>
  <si>
    <t xml:space="preserve">NOWE; SZCZEGÓŁY DO DECYZJI</t>
  </si>
  <si>
    <t xml:space="preserve">Pełny lokalny magazyn</t>
  </si>
  <si>
    <t xml:space="preserve">Produkcja staje. Kara szczęścia dotyczy załogi zapełnionego budynku.</t>
  </si>
  <si>
    <t xml:space="preserve">−10 od razu; po 24 h −20, 48 h −30, 72 h −40, 96 h i dalej −50.</t>
  </si>
  <si>
    <t xml:space="preserve">Nigdy mniej niż −50 z tego tytułu. To osobny modyfikator, nie −10 pp/h. Opróżnienie poniżej limitu usuwa ten modyfikator. Nowa kara przestoju może być drugą karą — do rozstrzygnięcia.</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</si>
  <si>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</si>
  <si>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</si>
  <si>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</si>
  <si>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</si>
  <si>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</si>
  <si>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</si>
  <si>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</si>
  <si>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</si>
  <si>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</si>
  <si>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</si>
  <si>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Dotychczas +50 każdego zasobu i +20 szczęścia wszystkim na 1 h.</t>
  </si>
  <si>
    <t xml:space="preserve">Nowe odstępy, płatne użycia, reklamy i konflikt natychmiastowego użycia pozostają odłożone. Przydział ludzi do wizyty i zasięg nagrody wymagają osobnej reguły.</t>
  </si>
  <si>
    <t xml:space="preserve">NAZWA WYJAŚNIONA; NOWE OFERTY ODŁOŻONE</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</si>
  <si>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</si>
  <si>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</si>
  <si>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</si>
  <si>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Osoba −50% ma mieć 100%, nie 50%. Nie ustalono jeszcze, jak powrócić do osobistej wartości po końcu tej wymuszonej premii. Podatki i transport bez mnożnika latarni.</t>
  </si>
  <si>
    <t xml:space="preserve">NOWA ZMIANA; ZAKOŃCZENIE EFEKTU DO DOPRECYZOWANIA</t>
  </si>
  <si>
    <t xml:space="preserve">Latarnia: zwiedzanie</t>
  </si>
  <si>
    <t xml:space="preserve">Dom pozwala wysłać mieszkańca do latarni na zwiedzanie prowadzące do premii.</t>
  </si>
  <si>
    <t xml:space="preserve">Czas pobytu i konkretna premia za wizytę nie zostały określone.</t>
  </si>
  <si>
    <t xml:space="preserve">Nie należy utożsamiać automatycznie bonusu wizyty z globalną premią rozbudowy latarni.</t>
  </si>
  <si>
    <t xml:space="preserve">NOWE; DO USTALENIA</t>
  </si>
  <si>
    <t xml:space="preserve">Średnia i prezentacja</t>
  </si>
  <si>
    <t xml:space="preserve">Osobiste wartości ograniczamy do −100…+100%, następnie liczymy średnią populacji.</t>
  </si>
  <si>
    <t xml:space="preserve">H wyspy = suma H osób / populacja.</t>
  </si>
  <si>
    <t xml:space="preserve">Pokazujemy pełne procenty zaokrąglone w górę. W obliczeniach zachowujemy ułamki. Czasowy force 100 latarni jest wyjątkiem wymagającym obsługi końca efektu.</t>
  </si>
  <si>
    <t xml:space="preserve">UZGODNIONE + NOWA LATARNIA</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</si>
  <si>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</si>
  <si>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</si>
  <si>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</si>
  <si>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</si>
  <si>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</si>
  <si>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Nowy mieszkaniec</t>
  </si>
  <si>
    <t xml:space="preserve">Nowa osoba zawsze trafia do domu i jest dostępna z domowej puli.</t>
  </si>
  <si>
    <t xml:space="preserve">Wcześniejszy model: własne szczęście 0% przed aktualnymi premiami wyspy.</t>
  </si>
  <si>
    <t xml:space="preserve">Nie przydziela się automatycznie do produkcji. Brak mieszkań może uruchomić karę przeludnienia.</t>
  </si>
  <si>
    <t xml:space="preserve">NOWE MIEJSCE; SZCZĘŚCIE 0 PRZYJĘTE WCZEŚNIEJ W MODELU</t>
  </si>
  <si>
    <t xml:space="preserve">Odejście mieszkańca</t>
  </si>
  <si>
    <t xml:space="preserve">Najpierw odchodzą osoby z domu. Jeśli ich brak, z gospodarstwa o największej obsadzie.</t>
  </si>
  <si>
    <t xml:space="preserve">Przy remisie: port → tartak → kamieniołom → drwale → na końcu produkcja żywności i transport.</t>
  </si>
  <si>
    <t xml:space="preserve">Kolejność targu, rozróżnienie farmy/młyna, ludzi w drodze lub na wizytach nie zostały określone. Nigdy poniżej 6 osób.</t>
  </si>
  <si>
    <t xml:space="preserve">NOWE; NIEPEŁNA KOLEJNOŚĆ REMISÓW</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</si>
  <si>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</si>
  <si>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</si>
  <si>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</si>
  <si>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Przyspieszenia mają działać czasowo z premiami; dokładne mnożniki i zakres przyspieszeń są jeszcze nieustalone. To zastępuje wcześniejsze zatrzymywanie po ukryciu/offline.</t>
  </si>
  <si>
    <t xml:space="preserve">Ranking</t>
  </si>
  <si>
    <t xml:space="preserve">Ranking w ustawieniach według poziomu i posiadanych monet.</t>
  </si>
  <si>
    <t xml:space="preserve">Wynik = poziom ratusza × ilość złota.</t>
  </si>
  <si>
    <t xml:space="preserve">Moment aktualizacji i remisy nie zostały doprecyzowane. Wydanie monet może obniżyć wynik.</t>
  </si>
  <si>
    <t xml:space="preserve">NOWE</t>
  </si>
  <si>
    <t xml:space="preserve">PREMIUM V3 • ceny i warunki</t>
  </si>
  <si>
    <t xml:space="preserve">1 PLN = 10 monet. Nowe stawki zastępują brak cennika z wersji 2. Kalkulatory rozdzielają uzgodnione ceny od roboczych interpretacji. Nie dodano sprzedaży ani płatności do gry.</t>
  </si>
  <si>
    <t xml:space="preserve">Akcja</t>
  </si>
  <si>
    <t xml:space="preserve">Wzór / stawka</t>
  </si>
  <si>
    <t xml:space="preserve">Uwagi</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</si>
  <si>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</si>
  <si>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</si>
  <si>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</si>
  <si>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</si>
  <si>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</si>
  <si>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</si>
  <si>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służą do Premium; użytkownik używa także nazwy złoto.</t>
  </si>
  <si>
    <t xml:space="preserve">W gospodarce istnieją już monety z podatków i portu.</t>
  </si>
  <si>
    <t xml:space="preserve">Nie określono, czy złoto, monety zarobione i monety kupione to ta sama pula. Kalkulator roboczo pokazuje jedną monetę, bez nowego tokena.</t>
  </si>
  <si>
    <t xml:space="preserve">DO DOPRECYZOWANIA</t>
  </si>
  <si>
    <t xml:space="preserve">Przyspieszenie 25%</t>
  </si>
  <si>
    <t xml:space="preserve">Skrócenie o 25% pozostałego czasu budowy.</t>
  </si>
  <si>
    <t xml:space="preserve">Cena = pełne minuty zaoszczędzonego czasu × 1 moneta.</t>
  </si>
  <si>
    <t xml:space="preserve">Roboczo FLOOR(pozostałe sekundy × 0,25 / 60). Wybranie pozostałego czasu zamiast czasu początkowego jest interpretacją.</t>
  </si>
  <si>
    <t xml:space="preserve">STAWKA POTWIERDZONA; PODSTAWA DO DOPRECYZOWANIA</t>
  </si>
  <si>
    <t xml:space="preserve">Przyspieszenie 50%</t>
  </si>
  <si>
    <t xml:space="preserve">Skrócenie o 50% pozostałego czasu budowy.</t>
  </si>
  <si>
    <t xml:space="preserve">Cena = FLOOR(pozostałe sekundy × 0,50 / 60) monet.</t>
  </si>
  <si>
    <t xml:space="preserve">Należy wyświetlać czas skrócenia i cenę przed zatwierdzeniem.</t>
  </si>
  <si>
    <t xml:space="preserve">STAWKA POTWIERDZONA; WZÓR MODELOWY</t>
  </si>
  <si>
    <t xml:space="preserve">Przyspieszenie 75%</t>
  </si>
  <si>
    <t xml:space="preserve">Skrócenie o 75% pozostałego czasu budowy.</t>
  </si>
  <si>
    <t xml:space="preserve">Cena = FLOOR(pozostałe sekundy × 0,75 / 60) monet.</t>
  </si>
  <si>
    <t xml:space="preserve">Nie ustalono limitu kolejnych przyspieszeń ani minimalnej ceny.</t>
  </si>
  <si>
    <t xml:space="preserve">Budowa natychmiast z zasobami</t>
  </si>
  <si>
    <t xml:space="preserve">Dotychczasowa oferta została zachowana; nowy cennik podaje tylko skrócenia 25%, 50%, 75%.</t>
  </si>
  <si>
    <t xml:space="preserve">Cena skrócenia 100% nie została potwierdzona.</t>
  </si>
  <si>
    <t xml:space="preserve">Nie oznaczać automatycznie ceny 100% jako ustalonej. Nie wiadomo także, czy można przyspieszać transport i budowanie łącznie.</t>
  </si>
  <si>
    <t xml:space="preserve">Transport całego bufora producenta</t>
  </si>
  <si>
    <t xml:space="preserve">Natychmiastowe wysłanie całego gotowego lokalnego zapasu do centrali.</t>
  </si>
  <si>
    <t xml:space="preserve">10 monet × liczba kursów potrzebnych do przewozu.</t>
  </si>
  <si>
    <t xml:space="preserve">Proponowane kursy = CEILING(ilość / ładunek). Ostatni niepełny kurs kosztuje tyle samo, zgodnie z zasadą 60 + 40 dla 100 sztuk. Słowo „pełnych” wymaga potwierdzenia.</t>
  </si>
  <si>
    <t xml:space="preserve">STAWKA POTWIERDZONA; NIEPEŁNY KURS DO DOPRECYZOWANIA</t>
  </si>
  <si>
    <t xml:space="preserve">Magazyn → budowa</t>
  </si>
  <si>
    <t xml:space="preserve">Natychmiastowy przewóz materiałów centralnych na konkretną budowę.</t>
  </si>
  <si>
    <t xml:space="preserve">10 monet × SUMA CEILING(ilość każdego materiału / ładunek).</t>
  </si>
  <si>
    <t xml:space="preserve">Każdy materiał liczy się osobno. Monety nie wymagają transportu. Nie ustalono, czy jedno kliknięcie obejmuje wszystkie brakujące materiały.</t>
  </si>
  <si>
    <t xml:space="preserve">POTWIERDZONE; ZAKRES KLIKNIĘCIA DO DOPRECYZOWANIA</t>
  </si>
  <si>
    <t xml:space="preserve">Magazyn ↔ targ</t>
  </si>
  <si>
    <t xml:space="preserve">Takie samo rozliczenie transportu towarów w obu kierunkach.</t>
  </si>
  <si>
    <t xml:space="preserve">10 monet za potrzebny kurs właściwej załogi, osobno dla każdego materiału.</t>
  </si>
  <si>
    <t xml:space="preserve">Premium nie tworzy towaru ani wolnej pojemności. Wpływ na blokadę 1 h i termin wygaśnięcia 24 h nadal nieustalony.</t>
  </si>
  <si>
    <t xml:space="preserve">STAWKA POTWIERDZONA</t>
  </si>
  <si>
    <t xml:space="preserve">Magazyn ↔ port</t>
  </si>
  <si>
    <t xml:space="preserve">Nie ustalono, czy opłata obejmuje również osobny etap port ↔ statek. Zachować rozróżnienie dwóch etapów portowych.</t>
  </si>
  <si>
    <t xml:space="preserve">STAWKA POTWIERDZONA; ETAP STATKU DO DOPRECYZOWANIA</t>
  </si>
  <si>
    <t xml:space="preserve">Kup budynek bez surowców</t>
  </si>
  <si>
    <t xml:space="preserve">Cena materiałów według zakupu w porcie × 1,25, powiększona o opłatę za skrócenie czasu.</t>
  </si>
  <si>
    <t xml:space="preserve">Cena = 1,25 × portowa wartość wymaganych materiałów + opłata czasowa.</t>
  </si>
  <si>
    <t xml:space="preserve">Do wyboru: materiały pełnego kosztu czy tylko brakujące; cena bazowa czy bieżąca po podwyżkach; proporcjonalna wartość czy pełne paczki 100.</t>
  </si>
  <si>
    <t xml:space="preserve">ZASADA POTWIERDZONA; WYCENA DO DOPRECYZOWANIA</t>
  </si>
  <si>
    <t xml:space="preserve">Monety w koszcie kupowanego budynku</t>
  </si>
  <si>
    <t xml:space="preserve">Ratusz i kilka innych budynków kosztują również monety.</t>
  </si>
  <si>
    <t xml:space="preserve">Nie można wyceniać monet tak jak kupowanego w porcie materiału.</t>
  </si>
  <si>
    <t xml:space="preserve">Proponowane: dodać wymagane monety nominalnie poza mnożnikiem 1,25. Użytkownik nie zatwierdził jeszcze tego szczegółu.</t>
  </si>
  <si>
    <t xml:space="preserve">KONIECZNE DOPRECYZOWANIE</t>
  </si>
  <si>
    <t xml:space="preserve">Pakiet budowlany</t>
  </si>
  <si>
    <t xml:space="preserve">Dotychczas +4 aktywne budowy, dowolnie długa kolejka i planowanie z prognoz dostaw.</t>
  </si>
  <si>
    <t xml:space="preserve">Nowa stawka nie ustala ceny ani czasu trwania pakietu.</t>
  </si>
  <si>
    <t xml:space="preserve">Nie zakładać, że mikropłatności zastępują pakiet lub znoszą dopłatę kolejki +10%.</t>
  </si>
  <si>
    <t xml:space="preserve">ZACHOWANO; CENA PAKIETU NIEUSTALONA</t>
  </si>
  <si>
    <t xml:space="preserve">Błogosławieństwa Premium</t>
  </si>
  <si>
    <t xml:space="preserve">Dotychczasowe oferty kaplicy pozostają osobnym tematem.</t>
  </si>
  <si>
    <t xml:space="preserve">Brak nowej ceny błogosławieństwa.</t>
  </si>
  <si>
    <t xml:space="preserve">Nie stosować automatycznie nowych nagród za post do zakupów błogosławieństw.</t>
  </si>
  <si>
    <t xml:space="preserve">ODŁOŻONE</t>
  </si>
  <si>
    <t xml:space="preserve">Pakiet +4 aktywne budowy</t>
  </si>
  <si>
    <t xml:space="preserve">W czasie pakietu limit aktywnych budów = poziom ratusza +4.</t>
  </si>
  <si>
    <t xml:space="preserve">Cena i warianty długości pakietu nieustalone.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</si>
  <si>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</si>
  <si>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</si>
  <si>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</si>
  <si>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</si>
  <si>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Oferta i ewentualne zwolnienie z dopłaty nieustalone.</t>
  </si>
  <si>
    <t xml:space="preserve">Pełny koszt dla opłaconej kolejki; plan z prognozy jest odrębny. Nowa dopłata kolejki +10%: nie określono, czy premium ją znosi.</t>
  </si>
  <si>
    <t xml:space="preserve">WCZEŚNIEJ UZGODNIONE + NOWA DOPŁATA</t>
  </si>
  <si>
    <t xml:space="preserve">Planowanie z estymaty dostaw</t>
  </si>
  <si>
    <t xml:space="preserve">Możliwość zlecenia przyszłej budowy według prognozowanych dostaw.</t>
  </si>
  <si>
    <t xml:space="preserve">Cena i długość uprawnienia w ramach pakietu nieustalone.</t>
  </si>
  <si>
    <t xml:space="preserve">Można zaplanować bez pełnych zapasów; plan nie tworzy surowców. Start/rezerwacja po rzeczywistym uzyskaniu kosztu, chyba że użyto osobno oferty kupna bez surowców.</t>
  </si>
  <si>
    <t xml:space="preserve">Płatne błogosławieństwo</t>
  </si>
  <si>
    <t xml:space="preserve">Dodatkowe pojedyncze błogosławieństwo.</t>
  </si>
  <si>
    <t xml:space="preserve">Cena i limity nieustalone.</t>
  </si>
  <si>
    <t xml:space="preserve">Dotychczas +50 każdego zasobu i +20 szczęścia na 1 h; nowe oferty odłożone. Natychmiastowy efekt kontra blokada aktywnej premii pozostaje nierozstrzygnięty.</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</si>
  <si>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</si>
  <si>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</si>
  <si>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</si>
  <si>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</si>
  <si>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</si>
  <si>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</si>
  <si>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</si>
  <si>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</si>
  <si>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</si>
  <si>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</si>
  <si>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</si>
  <si>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</si>
  <si>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</si>
  <si>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Zwiedzanie daje bonus/premię; odrębne od nazwy błogosławieństwa kaplicy.</t>
  </si>
  <si>
    <t xml:space="preserve">Cena, czas i limity nieustalone.</t>
  </si>
  <si>
    <t xml:space="preserve">Nie określono płatnej oferty ani warunków wejścia. Nie zakładać automatycznie globalnego bonusu rozbudowy za pojedynczą wizytę.</t>
  </si>
  <si>
    <t xml:space="preserve">NIEUSTALONE; NIE DOPISANO CENY</t>
  </si>
  <si>
    <t xml:space="preserve">PRZYSPIESZENIA • kalkulator ceny</t>
  </si>
  <si>
    <t xml:space="preserve">Model: procent od POZOSTAŁEJ FAZY BUDOWANIA, bez transportu; opłata za pełne zaoszczędzone minuty, zaokrąglenie w dół. Te interpretacje i ewentualna cena minimalna nie są jeszcze rozstrzygnięte. Niebieskie pola są edytowalne.</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</si>
  <si>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</si>
  <si>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</si>
  <si>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</si>
  <si>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</si>
  <si>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</si>
  <si>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</si>
  <si>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Jeśli cena wynosi 0, obliczenie ujawnia lukę przy niepełnej minucie. Brak zatwierdzonej minimalnej ceny; przykład nie ustanawia darmowych skróceń jako gotowej oferty.</t>
  </si>
  <si>
    <t xml:space="preserve">TRANSPORT PREMIUM • kursy i cena</t>
  </si>
  <si>
    <t xml:space="preserve">Model: ostatni niepełny kurs także kosztuje, SUMA(ROUNDUP(ilość rodzaju / ładunek)) × liczba odcinków × 10. Dwa rodzaje nie mogą dzielić kursu. Liczba pracowników zmienia czas, a nie liczbę płatnych kursów. Odpowiedź o niepełnym kursie jest oczekiwana.</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</si>
  <si>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</si>
  <si>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</si>
  <si>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</si>
  <si>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</si>
  <si>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</si>
  <si>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</si>
  <si>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</si>
  <si>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</si>
  <si>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</si>
  <si>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</si>
  <si>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</si>
  <si>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</si>
  <si>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</si>
  <si>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</si>
  <si>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</si>
  <si>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</si>
  <si>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</si>
  <si>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</si>
  <si>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</si>
  <si>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</si>
  <si>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</si>
  <si>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</si>
  <si>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</si>
  <si>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BUDYNEK BEZ ZASOBÓW • porównanie wyceny</t>
  </si>
  <si>
    <t xml:space="preserve">DWA WARIANTY DO DECYZJI: cena bazowa zakupu w porcie, bez podwyżek z okna 3 h. Model dodaje nominalny koszt monet osobno, +25% tylko do materiałów, wybrane przyspieszenie czasu osobno; końcową cenę zaokrągla w górę. Pytanie o te zasady jest oczekiwane.</t>
  </si>
  <si>
    <t xml:space="preserve">Przykład</t>
  </si>
  <si>
    <t xml:space="preserve">Monety w koszcie</t>
  </si>
  <si>
    <t xml:space="preserve">Drewno</t>
  </si>
  <si>
    <t xml:space="preserve">Kamień</t>
  </si>
  <si>
    <t xml:space="preserve">Zboże</t>
  </si>
  <si>
    <t xml:space="preserve">Food</t>
  </si>
  <si>
    <t xml:space="preserve">Deski</t>
  </si>
  <si>
    <t xml:space="preserve">Port: proporcje</t>
  </si>
  <si>
    <t xml:space="preserve">Port: pełne paczki 100</t>
  </si>
  <si>
    <t xml:space="preserve">Materiały ×1,25</t>
  </si>
  <si>
    <t xml:space="preserve">Cena czasu</t>
  </si>
  <si>
    <t xml:space="preserve">Razem proporcjonalnie</t>
  </si>
  <si>
    <t xml:space="preserve">Razem paczki 100</t>
  </si>
  <si>
    <t xml:space="preserve">PLN: proporcje</t>
  </si>
  <si>
    <t xml:space="preserve">100 drewna +100 Food</t>
  </si>
  <si>
    <t xml:space="preserve">Porównanie modeli, nie zatwierdzony cennik końcowy. Brakujące czy wszystkie materiały, wpływ kolejki +10%, podwyżki portu i los resztek paczek pozostają do ustalenia.</t>
  </si>
  <si>
    <t xml:space="preserve">Farma 1→2</t>
  </si>
  <si>
    <t xml:space="preserve">Farma 1→2: faza budowy 5 min z bazowej estymaty przy 6 dostępnych tragarzach. Koszt czasu przy skróceniu 50% = 2 monety za pełne 2 min z 2,5 min. Cena materiałów i zaokrąglenia to nadal modele do decyzji.</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</si>
  <si>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</si>
  <si>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</si>
  <si>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</si>
  <si>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</si>
  <si>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Warunek</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</si>
  <si>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</si>
  <si>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</si>
  <si>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</si>
  <si>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</si>
  <si>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</si>
  <si>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</si>
  <si>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</si>
  <si>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</si>
  <si>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</si>
  <si>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</si>
  <si>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</si>
  <si>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</si>
  <si>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</si>
  <si>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</si>
  <si>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</si>
  <si>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</si>
  <si>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</si>
  <si>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</si>
  <si>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</si>
  <si>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</si>
  <si>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</si>
  <si>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</si>
  <si>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</si>
  <si>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</si>
  <si>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</si>
  <si>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</si>
  <si>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</si>
  <si>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</si>
  <si>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</si>
  <si>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</si>
  <si>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</si>
  <si>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</si>
  <si>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</si>
  <si>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</si>
  <si>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</si>
  <si>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</si>
  <si>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</si>
  <si>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</si>
  <si>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</si>
  <si>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</si>
  <si>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</si>
  <si>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</si>
  <si>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</si>
  <si>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</si>
  <si>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</si>
  <si>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</si>
  <si>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</si>
  <si>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</si>
  <si>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</si>
  <si>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</si>
  <si>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</si>
  <si>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</si>
  <si>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</si>
  <si>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</si>
  <si>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</si>
  <si>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</si>
  <si>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</si>
  <si>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</si>
  <si>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</si>
  <si>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</si>
  <si>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</si>
  <si>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</si>
  <si>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</si>
  <si>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</si>
  <si>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</si>
  <si>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</si>
  <si>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</si>
  <si>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</si>
  <si>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</si>
  <si>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</si>
  <si>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</si>
  <si>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</si>
  <si>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</si>
  <si>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</si>
  <si>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</si>
  <si>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</si>
  <si>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</si>
  <si>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</si>
  <si>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</si>
  <si>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</si>
  <si>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</si>
  <si>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</si>
  <si>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</si>
  <si>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</si>
  <si>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</si>
  <si>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</si>
  <si>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</si>
  <si>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</si>
  <si>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</si>
  <si>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</si>
  <si>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</si>
  <si>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</si>
  <si>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</si>
  <si>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</si>
  <si>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LATARNIA • zasady zadań</t>
  </si>
  <si>
    <t xml:space="preserve">Zadania to dostawy dla latarni, odrębne od rozbudowy i zwiedzania. Zachowano Twoje reguły, a brakujące szczegóły wyraźnie oznaczono. W przykładach losowanie jest zamrożone; ponowne otwarcie pliku nie zmienia nagród ani kosztów.</t>
  </si>
  <si>
    <t xml:space="preserve">Panel</t>
  </si>
  <si>
    <t xml:space="preserve">W prawym górnym rogu wyświetlamy trzy aktualne zadania latarni: małe, średnie i duże.</t>
  </si>
  <si>
    <t xml:space="preserve">3 miejsca, po jednym na rozmiar</t>
  </si>
  <si>
    <t xml:space="preserve">Nagrody są widoczne zawsze, przed rozpoczęciem i wpłatami.</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</si>
  <si>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</si>
  <si>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</si>
  <si>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</si>
  <si>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</si>
  <si>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</si>
  <si>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MODEL DO POTWIERDZENIA</t>
  </si>
  <si>
    <t xml:space="preserve">Koszt rodzaju i liczymy z maksymalnej obsady obecnego poziomu jego producenta, niezależnie od faktycznej obsady.</t>
  </si>
  <si>
    <t xml:space="preserve">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</si>
  <si>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</si>
  <si>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</si>
  <si>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</si>
  <si>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</si>
  <si>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</si>
  <si>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</si>
  <si>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</si>
  <si>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</si>
  <si>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Sposób porównania z małym nie jest zdefiniowany; przykład używa h_średnie ≥ h_małe oraz nie mniejszej sumy godzin znormalizowanych.</t>
  </si>
  <si>
    <t xml:space="preserve">Duże</t>
  </si>
  <si>
    <t xml:space="preserve">Wymagane są cztery produkty, w ilości odpowiadającej 4–10 h maksymalnej produkcji, nie mniej niż bieżące średnie.</t>
  </si>
  <si>
    <t xml:space="preserve">4 rodzaje; h∈[4,10]</t>
  </si>
  <si>
    <t xml:space="preserve">W przykładzie h_duże ≥ h_średnie. Duże może wymagać więcej niż 6 h produkcji mimo terminu 6 h: zakłada wcześniejsze zapasy lub jest trudno osiągalne od zera.</t>
  </si>
  <si>
    <t xml:space="preserve">Ramy losowania</t>
  </si>
  <si>
    <t xml:space="preserve">MODEL PRZYKŁADU</t>
  </si>
  <si>
    <t xml:space="preserve">W przykładach jedna liczba pełnych godzin h obowiązuje wszystkie wymagane rodzaje danego zadania.</t>
  </si>
  <si>
    <t xml:space="preserve">h_małe ≤ h_średnie ≤ h_duże; H = Σ(koszt_i/R_i)</t>
  </si>
  <si>
    <t xml:space="preserve">Jest to czytelna interpretacja „nie mniejsze”, a nie dodatkowa zatwierdzona reguła. Użytkownik nie określił, czy godziny mają być całkowite ani wspólne dla wszystkich składników.</t>
  </si>
  <si>
    <t xml:space="preserve">Nagroda w monetach</t>
  </si>
  <si>
    <t xml:space="preserve">UZGODNIONE / DOLNY PRÓG CZĘŚCIOWO MODELOWY</t>
  </si>
  <si>
    <t xml:space="preserve">Małe losuje 100–200 monet; średnie do 400; duże do 600.</t>
  </si>
  <si>
    <t xml:space="preserve">Przykłady: 100–200, 100–400 i 100–600 monet</t>
  </si>
  <si>
    <t xml:space="preserve">Dolny próg 100 dla średniego i dużego jest interpretacją; użytkownik podał dla nich tylko górną granicę.</t>
  </si>
  <si>
    <t xml:space="preserve">Nagroda towarowa</t>
  </si>
  <si>
    <t xml:space="preserve">UZGODNIONE / LICZBA RODZAJÓW OTWARTA</t>
  </si>
  <si>
    <t xml:space="preserve">Każde zadanie daje także losowy towar lub towary w ilości 50–1000.</t>
  </si>
  <si>
    <t xml:space="preserve">Przykłady: 1 losowy rodzaj, 50–1000 szt.</t>
  </si>
  <si>
    <t xml:space="preserve">Do decyzji: liczba rodzajów nagród; limit na każdy rodzaj czy łącznie; obsługa braku miejsca w magazynie.</t>
  </si>
  <si>
    <t xml:space="preserve">Premia szybkiej reakcji</t>
  </si>
  <si>
    <t xml:space="preserve">Kliknięcie zadania w pierwszych 15 sekundach daje nagrodę ×3; później do 5 minut daje ×2; następnie ×1.</t>
  </si>
  <si>
    <t xml:space="preserve">Przykład granic: wiek &lt;15 s → ×3; 15 s ≤ wiek &lt;300 s → ×2; od 300 s → ×1</t>
  </si>
  <si>
    <t xml:space="preserve">×3 nie mnoży się ponownie przez ×2. Dokładne granice 15 s i 5 min oraz znaczenie kliknięcia wymagają ustalenia.</t>
  </si>
  <si>
    <t xml:space="preserve">Utrwalenie premii</t>
  </si>
  <si>
    <t xml:space="preserve">Przykład zakłada, że pierwsze świadome przyjęcie zadania utrwala mnożnik aż do ukończenia.</t>
  </si>
  <si>
    <t xml:space="preserve">Nagroda końcowa = bazowa nagroda × utrwalony mnożnik</t>
  </si>
  <si>
    <t xml:space="preserve">Samo otwarcie panelu, pierwsza wpłata czy ukończenie w oknie bonusowym to różne możliwe warianty. Nie przesądzamy ich jako ustalenia.</t>
  </si>
  <si>
    <t xml:space="preserve">Termin</t>
  </si>
  <si>
    <t xml:space="preserve">Każde zadanie ma własny 6-godzinny licznik od pojawienia się.</t>
  </si>
  <si>
    <t xml:space="preserve">Termin = pojawienie +6 h zegarowych</t>
  </si>
  <si>
    <t xml:space="preserve">Zgodnie z wcześniejszą zasadą świata licznik działa również offline. Zadania nie powinny być przemieszane jednym wspólnym resetem wszystkich trzech.</t>
  </si>
  <si>
    <t xml:space="preserve">Zastępowanie zadań</t>
  </si>
  <si>
    <t xml:space="preserve">UZGODNIONE / WCZEŚNIEJSZE UKOŃCZENIE OTWARTE</t>
  </si>
  <si>
    <t xml:space="preserve">Po upływie terminu pojawia się nowe zadanie danego rozmiaru.</t>
  </si>
  <si>
    <t xml:space="preserve">Każde miejsce ma własny cykl</t>
  </si>
  <si>
    <t xml:space="preserve">Aby stale były trzy, proponujemy natychmiastowe uzupełnienie po ukończeniu; użytkownik nie określił wprost momentu odnowienia po wcześniejszym ukończeniu.</t>
  </si>
  <si>
    <t xml:space="preserve">Porównanie rozmiarów po odnowieniu</t>
  </si>
  <si>
    <t xml:space="preserve">DO DECYZJI</t>
  </si>
  <si>
    <t xml:space="preserve">Przy niezależnych terminach nowy mały może stać się droższy od starego średniego, a nowy średni od starego dużego.</t>
  </si>
  <si>
    <t xml:space="preserve">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</si>
  <si>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</si>
  <si>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</si>
  <si>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</si>
  <si>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</si>
  <si>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</si>
  <si>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</si>
  <si>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</si>
  <si>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</si>
  <si>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</si>
  <si>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</si>
  <si>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Natychmiastowa wpłata Food może kolidować z rezerwą jedzenia 50 × poziom magazynu.</t>
  </si>
  <si>
    <t xml:space="preserve">Poprzednia zasada chroni rezerwę przed operacjami nieżywieniowymi</t>
  </si>
  <si>
    <t xml:space="preserve">Propozycja: zadanie można zasilać tylko nadwyżką ponad chronioną rezerwę; to nie jest nowo zatwierdzony wyjątek.</t>
  </si>
  <si>
    <t xml:space="preserve">Nagroda i pojemność</t>
  </si>
  <si>
    <t xml:space="preserve">Nie zdefiniowano momentu wypłaty ani obsługi nagrody, która nie mieści się w magazynie.</t>
  </si>
  <si>
    <t xml:space="preserve">Maksimum przy ×3: 1800 monet i do 3000 szt. jednego towaru w przykładzie</t>
  </si>
  <si>
    <t xml:space="preserve">Propozycje do wyboru później: skrzynka do odebrania, odbiór częściowy lub rezerwacja miejsca; nic nie może znikać bez jawnej reguły.</t>
  </si>
  <si>
    <t xml:space="preserve">PROJEKT INTERFEJSU</t>
  </si>
  <si>
    <t xml:space="preserve">Pojawienie się zadania, utrwalenie premii, wpłata, ukończenie i wygaśnięcie mogą mieć wpis w panelu powiadomień.</t>
  </si>
  <si>
    <t xml:space="preserve">Zawsze widoczne: tytuł, rozmiar, nagroda, mnożnik, czas i postęp</t>
  </si>
  <si>
    <t xml:space="preserve">Nie dodajemy wymyślonego czasu przypomnienia ani automatycznych wpłat.</t>
  </si>
  <si>
    <t xml:space="preserve">Skalowanie</t>
  </si>
  <si>
    <t xml:space="preserve">OSTRZEŻENIE BALANSU</t>
  </si>
  <si>
    <t xml:space="preserve">Wymagania rosną jak 12 × L × p(L), natomiast zakresy nagród są stałe.</t>
  </si>
  <si>
    <t xml:space="preserve">L1: 120/h; L2: 288/h; L3: 468/h; L4: 672/h</t>
  </si>
  <si>
    <t xml:space="preserve">Na wysokim poziomie stosunek nagrody do wpłat może być słaby. Losowa nagroda nie gwarantuje zwrotu wartości portowej wkładu.</t>
  </si>
  <si>
    <t xml:space="preserve">Produkcja maksymalna a realny czas</t>
  </si>
  <si>
    <t xml:space="preserve">Pełna załoga 12 × L w każdym z 2–4 zakładów nie może być założona jednocześnie przy jednej wspólnej populacji.</t>
  </si>
  <si>
    <t xml:space="preserve">L1: 12 osób na start, maks. 24; duże: 4 zakłady × 12 = 48 stanowisk</t>
  </si>
  <si>
    <t xml:space="preserve">Norma ma określać koszt zadania. Nie jest estymatą możliwego zebrania całości w 2–10 h; dodatkowo młyn i tartak zużywają po 2 surowce na produkt.</t>
  </si>
  <si>
    <t xml:space="preserve">LATARNIA • 12 wylosowanych przykładów</t>
  </si>
  <si>
    <t xml:space="preserve">4 zestawy dla poziomów 1–4, seed 20261022. Jedna norma h na rodzaj; w zestawie h małe ≤ h średnie ≤ h duże. Przykłady mają 1 rodzaj nagrody towarowej; 100 to modelowy dolny próg monet średniego/dużego. To wariant generatora do decyzji, nie wdrożona funkcja.</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</si>
  <si>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</si>
  <si>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</si>
  <si>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</si>
  <si>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</si>
  <si>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</si>
  <si>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</si>
  <si>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</si>
  <si>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</si>
  <si>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</si>
  <si>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</si>
  <si>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</si>
  <si>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</si>
  <si>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</si>
  <si>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</si>
  <si>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</si>
  <si>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</si>
  <si>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</si>
  <si>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</si>
  <si>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Naprawa poręczy na schodach</t>
  </si>
  <si>
    <t xml:space="preserve">0/480 drewno; 0/480 kamień</t>
  </si>
  <si>
    <t xml:space="preserve">kamień</t>
  </si>
  <si>
    <t xml:space="preserve">Materiały służą remontowi i zabezpieczeniu obiektu, a żywność lub zboże — zaopatrzeniu ekipy latarników. Dobór rodzaju jest przykładowy i losowy. Mnożnik obejmuje monety i towary; limit 1000 dotyczy nagrody bazowej w tym modelu.</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</si>
  <si>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</si>
  <si>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</si>
  <si>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</si>
  <si>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</si>
  <si>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</si>
  <si>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Łatanie podestu wejściowego</t>
  </si>
  <si>
    <t xml:space="preserve">0/864 deski; 0/864 drewno</t>
  </si>
  <si>
    <t xml:space="preserve">zboże</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</si>
  <si>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</si>
  <si>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</si>
  <si>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</si>
  <si>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</si>
  <si>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</si>
  <si>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</si>
  <si>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</si>
  <si>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</si>
  <si>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</si>
  <si>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</si>
  <si>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</si>
  <si>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</si>
  <si>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</si>
  <si>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</si>
  <si>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</si>
  <si>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</si>
  <si>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</si>
  <si>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</si>
  <si>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LATARNIA • niezależne zegary i raty</t>
  </si>
  <si>
    <t xml:space="preserve">To przykłady kalkulacji, nie działający licznik. Model: pierwsze kliknięcie utrwala mnożnik, a pełna wpłata przed upływem 6 h daje nagrodę. Wybrane granice: &lt;15 s ×3; 15–&lt;300 s ×2; od 300 s ×1. Sposób utrwalenia czeka na odpowiedź.</t>
  </si>
  <si>
    <t xml:space="preserve">Wiek zadania [s]</t>
  </si>
  <si>
    <t xml:space="preserve">Mnożnik po kliknięciu</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</si>
  <si>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</si>
  <si>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</si>
  <si>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</si>
  <si>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</si>
  <si>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</si>
  <si>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</si>
  <si>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</si>
  <si>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</si>
  <si>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</si>
  <si>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</si>
  <si>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</si>
  <si>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</si>
  <si>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</si>
  <si>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</si>
  <si>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</si>
  <si>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</si>
  <si>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</si>
  <si>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</si>
  <si>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</si>
  <si>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</si>
  <si>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</si>
  <si>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</si>
  <si>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</si>
  <si>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</si>
  <si>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</si>
  <si>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</si>
  <si>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</si>
  <si>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</si>
  <si>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</si>
  <si>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</si>
  <si>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</si>
  <si>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</si>
  <si>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</si>
  <si>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</si>
  <si>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</si>
  <si>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</si>
  <si>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</si>
  <si>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</si>
  <si>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</si>
  <si>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</si>
  <si>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</si>
  <si>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</si>
  <si>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</si>
  <si>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</si>
  <si>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</si>
  <si>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</si>
  <si>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</si>
  <si>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</si>
  <si>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</si>
  <si>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</si>
  <si>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</si>
  <si>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</si>
  <si>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</si>
  <si>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</si>
  <si>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</si>
  <si>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</si>
  <si>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</si>
  <si>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</si>
  <si>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</si>
  <si>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</si>
  <si>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</si>
  <si>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</si>
  <si>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</si>
  <si>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</si>
  <si>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</si>
  <si>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</si>
  <si>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</si>
  <si>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</si>
  <si>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miejsca wymagające decyzji</t>
  </si>
  <si>
    <t xml:space="preserve">Nie zmieniamy uzgodnionych wartości. Wskazujemy skutki, które mogą utrudnić grę albo generować nadmierne nagrody. Ukończenie zadania latarni wymaga zapasów i nie musi oznaczać zebrania wszystkiego od zera w jego 6 h.</t>
  </si>
  <si>
    <t xml:space="preserve">Temat</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</si>
  <si>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</si>
  <si>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</si>
  <si>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</si>
  <si>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</si>
  <si>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</si>
  <si>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</si>
  <si>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</si>
  <si>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</si>
  <si>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</si>
  <si>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</si>
  <si>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</si>
  <si>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</si>
  <si>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</si>
  <si>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</si>
  <si>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</si>
  <si>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</si>
  <si>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</si>
  <si>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</si>
  <si>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</si>
  <si>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</si>
  <si>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Zadanie z normą 8–10 h może być niewykonalne od zera w 6 h. Jedna wspólna populacja, wejścia 2:1 i żywienie dodatkowo wydłużają realne zbieranie.</t>
  </si>
  <si>
    <t xml:space="preserve">Losowe nagrody stałych zakresów nie muszą pokrywać wartości wpłat. To świadomy element balansu do oceny, nie błąd wzoru.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</si>
  <si>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</si>
  <si>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</si>
  <si>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</si>
  <si>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</si>
  <si>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</si>
  <si>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Potrzebna reguła odbioru nadmiaru; nie kasujemy nagrody bez decyzji.</t>
  </si>
  <si>
    <t xml:space="preserve">Niezależne odnowienia a trudność</t>
  </si>
  <si>
    <t xml:space="preserve">Nowe małe może stać się droższe od istniejącego średniego; niezależne losowania bez ograniczeń nie zachowają małe ≤ średnie ≤ duże.</t>
  </si>
  <si>
    <t xml:space="preserve">Generator musi porównywać sąsiadów; dokładna miara trudności do ustalenia.</t>
  </si>
  <si>
    <t xml:space="preserve">Niepełna minuta</t>
  </si>
  <si>
    <t xml:space="preserve">Przy 1,5 min pozostałej budowy skrócenie o 50% oszczędza 45 s i kosztuje 0 przy dosłownej opłacie za pełne minuty.</t>
  </si>
  <si>
    <t xml:space="preserve">Potrzebna decyzja o minimum ceny lub minimalnym skróceniu.</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</si>
  <si>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</si>
  <si>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</si>
  <si>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</si>
  <si>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</si>
  <si>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</si>
  <si>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</si>
  <si>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</si>
  <si>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</si>
  <si>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</si>
  <si>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</si>
  <si>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200×Ratusz.</t>
  </si>
  <si>
    <t xml:space="preserve">NOWE CZASY • liczymy kursy, nie sztuki na godzinę</t>
  </si>
  <si>
    <t xml:space="preserve">Potwierdzone:5 min cały kurs, 1 rodzaj na kurs; 6 tragarzy faktycznie dostępnych; materiały gotowe, bez zbierania, karmienia, wcześniejszych rozbudów i oczekiwania. Osobny wariant+10%kolejki zwiększa koszt i liczbę kursów. Pojemność bazowa 60, magazyn L→floor(60×1.1^(L−1)).</t>
  </si>
  <si>
    <t xml:space="preserve">Budynek</t>
  </si>
  <si>
    <t xml:space="preserve">Etap</t>
  </si>
  <si>
    <t xml:space="preserve">Tryb kosztu</t>
  </si>
  <si>
    <t xml:space="preserve">Obecny L</t>
  </si>
  <si>
    <t xml:space="preserve">Nowy N</t>
  </si>
  <si>
    <t xml:space="preserve">Poziom magazynu</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</si>
  <si>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</si>
  <si>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</si>
  <si>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</si>
  <si>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</si>
  <si>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</si>
  <si>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</si>
  <si>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</si>
  <si>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</si>
  <si>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</si>
  <si>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</si>
  <si>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</si>
  <si>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</si>
  <si>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</si>
  <si>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Założenia</t>
  </si>
  <si>
    <t xml:space="preserve">1→2</t>
  </si>
  <si>
    <t xml:space="preserve">Bez kolejki</t>
  </si>
  <si>
    <t xml:space="preserve">Tylko ta budowa; 6 dostępnych po uwzględnieniu priorytetów; poziom magazynu=scenariusz L. Jeśli priorytety blokują dostawy, rzeczywiste ETA rośnie.</t>
  </si>
  <si>
    <t xml:space="preserve">Kolejka +10%</t>
  </si>
  <si>
    <t xml:space="preserve">2→3</t>
  </si>
  <si>
    <t xml:space="preserve">3→4</t>
  </si>
  <si>
    <t xml:space="preserve">0→1</t>
  </si>
  <si>
    <t xml:space="preserve">LOGISTYKA • ujednolicone nowe zasady</t>
  </si>
  <si>
    <t xml:space="preserve">Źródło: Twoje wpisy w K13/K14/K15 oraz odpowiedzi. Nie wdrażamy niczego w grze. Czas offline i paczki transportowe zastępują dawny model godzinowy i zatrzymywanie po wylogowaniu.</t>
  </si>
  <si>
    <t xml:space="preserve">Uwaga</t>
  </si>
  <si>
    <t xml:space="preserve">Kurs</t>
  </si>
  <si>
    <t xml:space="preserve">Pełny kurs z powrotem 5 min. Każdy tragarz niesie tylko 1 rodzaj. Ładunek bazowo 60, rośnie z poziomem własnego magazynu/targu/portu.</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</si>
  <si>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</si>
  <si>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</si>
  <si>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</si>
  <si>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</si>
  <si>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</si>
  <si>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</si>
  <si>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</si>
  <si>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</si>
  <si>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</si>
  <si>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</si>
  <si>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Ratunkowy tragarz Food</t>
  </si>
  <si>
    <t xml:space="preserve">1 tragarz ma nosić Food, jeśli jest gotowy i centrala poniżej progu.</t>
  </si>
  <si>
    <t xml:space="preserve">Notatka mówi &lt;50, podczas gdy nowe minimum to 50 × L. Robocze ujednolicenie: próg 50 × L; do potwierdzenia. Przy 0 tragarzy nie tworzymy nowej osoby.</t>
  </si>
  <si>
    <t xml:space="preserve">SZCZEGÓŁ DO DECYZJI</t>
  </si>
  <si>
    <t xml:space="preserve">Domyślne priorytety</t>
  </si>
  <si>
    <t xml:space="preserve">Najpierw zaopatrzenie centralnego magazynu, potem dostawy na budowy.</t>
  </si>
  <si>
    <t xml:space="preserve">Gracz może zmienić kolejność i nadać priorytet konkretnemu gospodarstwu lub budowie.</t>
  </si>
  <si>
    <t xml:space="preserve">ETA budowy</t>
  </si>
  <si>
    <t xml:space="preserve">Pokazuje wymagane/dostarczone materiały, np. 60/100, oraz estymatę transportu i budowy przy aktualnych priorytetach.</t>
  </si>
  <si>
    <t xml:space="preserve">6 tragarzy w kalkulatorze oznacza 6 dostępnych DO TEGO ZLECENIA, nie całkowitą obsadę magazynu.</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</si>
  <si>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</si>
  <si>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</si>
  <si>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</si>
  <si>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</si>
  <si>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</si>
  <si>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</si>
  <si>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</si>
  <si>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Gdy statek przypływa następuje zapłata, potem rozładunek i transport własną załogą do centrali.</t>
  </si>
  <si>
    <t xml:space="preserve">Towar w porcie nie jest jeszcze dostępny do jedzenia ani budowy. Rezerwowanie monet przed rejsem i czas rejsu są nieokreślone.</t>
  </si>
  <si>
    <t xml:space="preserve">TRASA POTWIERDZONA; SZCZEGÓŁY OTWARTE</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</si>
  <si>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</si>
  <si>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</si>
  <si>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</si>
  <si>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</si>
  <si>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Brak wejściowego surowca albo miejsca zatrzymuje producenta i powoduje karę za brak pracy.</t>
  </si>
  <si>
    <t xml:space="preserve">Do decyzji: czy przydzielony, zablokowany pracownik od razu traci +1 pp/h i podatek; czy −5 po 12 h liczyć od blokady. Pełny magazyn nadal ma osobny modyfikator −10…−50.</t>
  </si>
  <si>
    <t xml:space="preserve">NOWA ZASADA; SZCZEGÓŁY OTWARTE</t>
  </si>
  <si>
    <t xml:space="preserve">Wizyty</t>
  </si>
  <si>
    <t xml:space="preserve">Z panelu domu widać wszystkich ludzi i ich przydziały; można ich wysyłać do kaplicy na błogosławieństwo oraz do latarni na zwiedzanie.</t>
  </si>
  <si>
    <t xml:space="preserve">Czas pobytu, zwrot do pracy, podatki i indywidualny/globalny bonus wizyty jeszcze nieopisane. Wizyty nie oznaczają etatów w kaplicy/latarni.</t>
  </si>
  <si>
    <t xml:space="preserve">FUNKCJA OKREŚLONA; SZCZEGÓŁY OTWARTE</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</si>
  <si>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</si>
  <si>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</si>
  <si>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</si>
  <si>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PARAMETRY V2 • aktualne liczby i jednostki</t>
  </si>
  <si>
    <t xml:space="preserve">Niebieskie wartości edytowalne. Wszystkie zegary gospodarki działają również offline. +10% ładunku roboczo składane i zaokrąglone w dół do całych sztuk; koszt kolejki osobno w górę. Estymaty tylko transport+budowa.</t>
  </si>
  <si>
    <t xml:space="preserve">ID</t>
  </si>
  <si>
    <t xml:space="preserve">Parametr</t>
  </si>
  <si>
    <t xml:space="preserve">Wartość</t>
  </si>
  <si>
    <t xml:space="preserve">Jednostka</t>
  </si>
  <si>
    <t xml:space="preserve">people_start</t>
  </si>
  <si>
    <t xml:space="preserve">Ludzie na starcie</t>
  </si>
  <si>
    <t xml:space="preserve">osób</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</si>
  <si>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</si>
  <si>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</si>
  <si>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</si>
  <si>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</si>
  <si>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</si>
  <si>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</si>
  <si>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</si>
  <si>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</si>
  <si>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</si>
  <si>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</si>
  <si>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</si>
  <si>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</si>
  <si>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</si>
  <si>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</si>
  <si>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</si>
  <si>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</si>
  <si>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</si>
  <si>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Roboczo wzrost składany, pojemność całkowita FLOOR; 60,66,72…</t>
  </si>
  <si>
    <t xml:space="preserve">trip</t>
  </si>
  <si>
    <t xml:space="preserve">Pełny kurs, z powrotem</t>
  </si>
  <si>
    <t xml:space="preserve">min</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</si>
  <si>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</si>
  <si>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</si>
  <si>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</si>
  <si>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</si>
  <si>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</si>
  <si>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</si>
  <si>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</si>
  <si>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</si>
  <si>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</si>
  <si>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</si>
  <si>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</si>
  <si>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</si>
  <si>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</si>
  <si>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W drodze nie pracuje; 5 min w każdą stronę.</t>
  </si>
  <si>
    <t xml:space="preserve">queue</t>
  </si>
  <si>
    <t xml:space="preserve">Dopłata do zlecenia w kolejce</t>
  </si>
  <si>
    <t xml:space="preserve">mnożnik kosztu</t>
  </si>
  <si>
    <t xml:space="preserve">Obejmuje całą cenę; każdy składnik zaokrąglony w górę — interpretacja dla całych zasobów.</t>
  </si>
  <si>
    <t xml:space="preserve">norm</t>
  </si>
  <si>
    <t xml:space="preserve">Norma kosztu producenta</t>
  </si>
  <si>
    <t xml:space="preserve">szt./dobę×L</t>
  </si>
  <si>
    <t xml:space="preserve">30%drewna, 30%kamienia, 50%produktu; norma cenowa nie realna produkcja.</t>
  </si>
  <si>
    <t xml:space="preserve">wood_share</t>
  </si>
  <si>
    <t xml:space="preserve">Drewno: udział normy</t>
  </si>
  <si>
    <t xml:space="preserve">udział</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</si>
  <si>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</si>
  <si>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</si>
  <si>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</si>
  <si>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</si>
  <si>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</si>
  <si>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</si>
  <si>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</si>
  <si>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</si>
  <si>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</si>
  <si>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</si>
  <si>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</si>
  <si>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</si>
  <si>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</si>
  <si>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</si>
  <si>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</si>
  <si>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</si>
  <si>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</si>
  <si>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</si>
  <si>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</si>
  <si>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</si>
  <si>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</si>
  <si>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</si>
  <si>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</si>
  <si>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szt.</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</si>
  <si>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</si>
  <si>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</si>
  <si>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</si>
  <si>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</si>
  <si>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</si>
  <si>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</si>
  <si>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</si>
  <si>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</si>
  <si>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</si>
  <si>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</si>
  <si>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</si>
  <si>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Kaplica czasowo×2; stojący producent a podatek do decyzji.</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</si>
  <si>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</si>
  <si>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</si>
  <si>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</si>
  <si>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</si>
  <si>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</si>
  <si>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</si>
  <si>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</si>
  <si>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</si>
  <si>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</si>
  <si>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</si>
  <si>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</si>
  <si>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</si>
  <si>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</si>
  <si>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</si>
  <si>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monet</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</si>
  <si>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</si>
  <si>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</si>
  <si>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</si>
  <si>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</si>
  <si>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</si>
  <si>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</si>
  <si>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</si>
  <si>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</si>
  <si>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</si>
  <si>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</si>
  <si>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</si>
  <si>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</si>
  <si>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</si>
  <si>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</si>
  <si>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</si>
  <si>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W ruchomych 3 h; zakres licznika per towar/globalnie jeszcze do określenia.</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</si>
  <si>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</si>
  <si>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</si>
  <si>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</si>
  <si>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</si>
  <si>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</si>
  <si>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</si>
  <si>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</si>
  <si>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</si>
  <si>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</si>
  <si>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</si>
  <si>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</si>
  <si>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</si>
  <si>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</si>
  <si>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</si>
  <si>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</si>
  <si>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</si>
  <si>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</si>
  <si>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</si>
  <si>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</si>
  <si>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</si>
  <si>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</si>
  <si>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</si>
  <si>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</si>
  <si>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Opcje 25%, 50%, 75%; pozostała faza i FLOOR są modelem kalkulatora.</t>
  </si>
  <si>
    <t xml:space="preserve">haul_coin</t>
  </si>
  <si>
    <t xml:space="preserve">Premium: kurs tragarza</t>
  </si>
  <si>
    <t xml:space="preserve">monet/kurs</t>
  </si>
  <si>
    <t xml:space="preserve">Ostatni niepełny kurs — oczekuje na odpowiedź; przykład liczy go jako potrzebny kurs.</t>
  </si>
  <si>
    <t xml:space="preserve">building_markup</t>
  </si>
  <si>
    <t xml:space="preserve">Mnożnik portowej ceny materiałów</t>
  </si>
  <si>
    <t xml:space="preserve">Sposób liczenia paczek, monet i zaokrągleń jest oznaczony w kalkulatorze.</t>
  </si>
  <si>
    <t xml:space="preserve">quest_hours</t>
  </si>
  <si>
    <t xml:space="preserve">Termin zadania latarni</t>
  </si>
  <si>
    <t xml:space="preserve">Każdy licznik niezależny.</t>
  </si>
  <si>
    <t xml:space="preserve">quest_fast_s</t>
  </si>
  <si>
    <t xml:space="preserve">Szybka reakcja ×3</t>
  </si>
  <si>
    <t xml:space="preserve">sekund</t>
  </si>
  <si>
    <t xml:space="preserve">Znaczenie kliknięcia i granice czasowe opisano w decyzjach.</t>
  </si>
  <si>
    <t xml:space="preserve">quest_fast_m</t>
  </si>
  <si>
    <t xml:space="preserve">Szybka reakcja ×2</t>
  </si>
  <si>
    <t xml:space="preserve">minut</t>
  </si>
  <si>
    <t xml:space="preserve">×3 ma pierwszeństwo; nie mnożymy ×3 przez ×2.</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</si>
  <si>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</si>
  <si>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</si>
  <si>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</si>
  <si>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</si>
  <si>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</si>
  <si>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</si>
  <si>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</si>
  <si>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</si>
  <si>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</si>
  <si>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</si>
  <si>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</si>
  <si>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</si>
  <si>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</si>
  <si>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DECYZJE V2 • co ustalone, co nadal otwarte</t>
  </si>
  <si>
    <t xml:space="preserve">Wszystkie odpowiedzi uwzględniono. Zamknięte pytania nie wracają jako alarmy. Niejednoznaczne szczegóły zostały jawnie oznaczone, bez wybierania za gracza. Dane z pliku 1 są archiwizowane.</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</si>
  <si>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</si>
  <si>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</si>
  <si>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</si>
  <si>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</si>
  <si>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</si>
  <si>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</si>
  <si>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</si>
  <si>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</si>
  <si>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</si>
  <si>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</si>
  <si>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</si>
  <si>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</si>
  <si>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</si>
  <si>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</si>
  <si>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</si>
  <si>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</si>
  <si>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</si>
  <si>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</si>
  <si>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</si>
  <si>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</si>
  <si>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</si>
  <si>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</si>
  <si>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</si>
  <si>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Dodana kara za brak pracy</t>
  </si>
  <si>
    <t xml:space="preserve">Czy znika bonus +1 za pracę i podatek? Czy kara −5/h zaczyna działać po 12 h blokady? Czy pełny bufor daje równocześnie osobny modyfikator −10…−50?</t>
  </si>
  <si>
    <t xml:space="preserve">Q08</t>
  </si>
  <si>
    <t xml:space="preserve">Ratunkowy transport Food</t>
  </si>
  <si>
    <t xml:space="preserve">Rezerwa 50 × L, a w notatce próg tragarza &lt;50</t>
  </si>
  <si>
    <t xml:space="preserve">Roboczo ujednolicono do 50 × poziom magazynu; bez tworzenia pracownika, gdy obsada wynosi 0.</t>
  </si>
  <si>
    <t xml:space="preserve">Q09</t>
  </si>
  <si>
    <t xml:space="preserve">Odejścia</t>
  </si>
  <si>
    <t xml:space="preserve">Dom, największa załoga, remisy według podanej listy</t>
  </si>
  <si>
    <t xml:space="preserve">Nie określono miejsca targu ani osób w drodze w kolejności; farma, młyn i transport nie są w pełni uszeregowane.</t>
  </si>
  <si>
    <t xml:space="preserve">Q10</t>
  </si>
  <si>
    <t xml:space="preserve">Licznik zakupów w oknie 3 h</t>
  </si>
  <si>
    <t xml:space="preserve">Wzrost liniowy potwierdzony</t>
  </si>
  <si>
    <t xml:space="preserve">Osobno na produkt czy globalnie? Czy zamówienie zamraża cenę zakupu, czy cena jest liczona przy przypłynięciu?</t>
  </si>
  <si>
    <t xml:space="preserve">Q11</t>
  </si>
  <si>
    <t xml:space="preserve">CZĘŚCIOWO ROZSTRZYGNIĘTE V3</t>
  </si>
  <si>
    <t xml:space="preserve">Przyspieszenia</t>
  </si>
  <si>
    <t xml:space="preserve">Przyspieszenie budynku25/50/75%,1 moneta za pełną minutę. Transport:10 monet/kurs.</t>
  </si>
  <si>
    <t xml:space="preserve">Zakres przyspieszenia, zaokrąglenia i szczegóły cennika w Premium oraz decyzjach V3.</t>
  </si>
  <si>
    <t xml:space="preserve">Q12</t>
  </si>
  <si>
    <t xml:space="preserve">Zaokrąglenia</t>
  </si>
  <si>
    <t xml:space="preserve">Ładunek: zaokrąglenie w dół; kolejka: ROUNDUP każdego materiału</t>
  </si>
  <si>
    <t xml:space="preserve">Zasoby są całkowite. Składany wzrost ładunku ×1.1/poziom jest interpretacją zapisu +10%.</t>
  </si>
  <si>
    <t xml:space="preserve">Q13</t>
  </si>
  <si>
    <t xml:space="preserve">WYJAŚNIENIE „NIEROZUMIEM”</t>
  </si>
  <si>
    <t xml:space="preserve">D09 starego arkusza</t>
  </si>
  <si>
    <t xml:space="preserve">Chodziło o to, czy odstęp między użyciami błogosławieństwa liczyć od startu czy od końca efektu trwającego 1 h.</t>
  </si>
  <si>
    <t xml:space="preserve">ODŁOŻONE; nie rozstrzygamy teraz harmonogramu.</t>
  </si>
  <si>
    <t xml:space="preserve">Q14</t>
  </si>
  <si>
    <t xml:space="preserve">D16 starego arkusza</t>
  </si>
  <si>
    <t xml:space="preserve">Cennik kaplicy był zachowanym tymczasowym cennikiem: N × (180 monet +20 drewna +60 kamienia +10 desek).</t>
  </si>
  <si>
    <t xml:space="preserve">Nie ustaliliśmy nowej ceny. W arkuszu pozostawiono go jako jawnie tymczasowy.</t>
  </si>
  <si>
    <t xml:space="preserve">V3-E01</t>
  </si>
  <si>
    <t xml:space="preserve">DO USTALENIA — WYSOKI</t>
  </si>
  <si>
    <t xml:space="preserve">Jedna waluta czy osobna Premium</t>
  </si>
  <si>
    <t xml:space="preserve">Czy złoto z wypraw, podatków i portu można bezpośrednio wydawać na Premium tak samo jak kupione monety?</t>
  </si>
  <si>
    <t xml:space="preserve">Przelicznik PLN jest ceną zakupu; nie oznacza prawa do wypłaty na PLN.</t>
  </si>
  <si>
    <t xml:space="preserve">V3-E02</t>
  </si>
  <si>
    <t xml:space="preserve">Skracany odcinek czasu</t>
  </si>
  <si>
    <t xml:space="preserve">Czy 25/50/75% liczymy od pozostałej fazy budowy, czy od transportu i budowy łącznie?</t>
  </si>
  <si>
    <t xml:space="preserve">Roboczy kalkulator: pozostała faza; zachować opis warunkowy.</t>
  </si>
  <si>
    <t xml:space="preserve">V3-E03</t>
  </si>
  <si>
    <t xml:space="preserve">DO USTALENIA — ŚREDNI</t>
  </si>
  <si>
    <t xml:space="preserve">Pełne minuty i wielokrotne kliknięcia</t>
  </si>
  <si>
    <t xml:space="preserve">Zaoszczędzone sekundy poniżej minuty dają cenę 0 przy literalnym FLOOR. Czy ma być minimalna cena 1 monety lub minimalna skracana minuta?</t>
  </si>
  <si>
    <t xml:space="preserve">Nie wprowadzać minimum bez decyzji. Seria małych skróceń może wykorzystywać zaokrąglenie.</t>
  </si>
  <si>
    <t xml:space="preserve">V3-E04</t>
  </si>
  <si>
    <t xml:space="preserve">Pełny kurs a częściowy ładunek</t>
  </si>
  <si>
    <t xml:space="preserve">Czy 100 sztuk przy 60 na kurs kosztuje 20 monet?</t>
  </si>
  <si>
    <t xml:space="preserve">Tak wynika z wcześniejszego obowiązku wykonania dwóch kursów. Dosłowne liczenie tylko całkowicie zapełnionych kursów dałoby darmowe przewozy poniżej 60.</t>
  </si>
  <si>
    <t xml:space="preserve">V3-E05</t>
  </si>
  <si>
    <t xml:space="preserve">Portowy koszt kupna budynku</t>
  </si>
  <si>
    <t xml:space="preserve">Czy liczyć pełny koszt czy brakujące zasoby, bazowe czy bieżące ceny, proporcje czy paczki 100?</t>
  </si>
  <si>
    <t xml:space="preserve">To istotnie zmienia cenę; nowe reguły nie wybierają wariantu.</t>
  </si>
  <si>
    <t xml:space="preserve">V3-E06</t>
  </si>
  <si>
    <t xml:space="preserve">Monety w koszcie budynku</t>
  </si>
  <si>
    <t xml:space="preserve">Jak potraktować pozycję „monety”, która nie jest towarem w porcie?</t>
  </si>
  <si>
    <t xml:space="preserve">Propozycja: nominalna wymagana suma monet osobno + 1,25 × portowa wartość pięciu materiałów.</t>
  </si>
  <si>
    <t xml:space="preserve">V3-E07</t>
  </si>
  <si>
    <t xml:space="preserve">Społecznościowe limity i potwierdzanie</t>
  </si>
  <si>
    <t xml:space="preserve">Ile razy można odebrać premię i czy jedna publikacja może aktywować kilka nagród?</t>
  </si>
  <si>
    <t xml:space="preserve">Bez limitu i potwierdzenia można generować nieograniczone monety; użytkownik nie ustalił zasad kwalifikacji.</t>
  </si>
  <si>
    <t xml:space="preserve">V3-E08</t>
  </si>
  <si>
    <t xml:space="preserve">Polecenie i dzień 3</t>
  </si>
  <si>
    <t xml:space="preserve">Kto dostaje premię, co oznacza aktywny dzień i co mieści się w „500 wszystkiego”?</t>
  </si>
  <si>
    <t xml:space="preserve">Nagrody materiałowe wymagają reguły dostarczenia i pojemności.</t>
  </si>
  <si>
    <t xml:space="preserve">V3-E09</t>
  </si>
  <si>
    <t xml:space="preserve">Ekspedycja: wzrost i dokupowanie ratunku</t>
  </si>
  <si>
    <t xml:space="preserve">Jaka jest długość serii, cena dodatkowego czasu/ruchów i liczba reklam?</t>
  </si>
  <si>
    <t xml:space="preserve">Podwajanie bez końca i ratowanie bez limitu może zdominować wszystkie przychody gospodarcze.</t>
  </si>
  <si>
    <t xml:space="preserve">V3-E10</t>
  </si>
  <si>
    <t xml:space="preserve">Ekspedycja: zegar</t>
  </si>
  <si>
    <t xml:space="preserve">Czy zegar stoi podczas reklamy, braku aktywnej karty i rozłączenia?</t>
  </si>
  <si>
    <t xml:space="preserve">Świat wyspy działa offline, ale nie przesądza to uczciwego pomiaru aktywnej minigry.</t>
  </si>
  <si>
    <t xml:space="preserve">V3-E11</t>
  </si>
  <si>
    <t xml:space="preserve">Ekspedycja: nagroda z reklamy</t>
  </si>
  <si>
    <t xml:space="preserve">Czy wystarcza obejrzenie, czy potrzebne jest wpisanie jednosekundowego hasła?</t>
  </si>
  <si>
    <t xml:space="preserve">Nie ustalono momentu sprawdzania, liczby prób ani nagrody za sam kod.</t>
  </si>
  <si>
    <t xml:space="preserve">V3-L01</t>
  </si>
  <si>
    <t xml:space="preserve">DO USTALENIA</t>
  </si>
  <si>
    <t xml:space="preserve">Podstawa poziomu</t>
  </si>
  <si>
    <t xml:space="preserve">Czy koszt każdego towaru używa własnego aktualnego poziomu producenta, najwyższego z producentów, czy poziomu ratusza?</t>
  </si>
  <si>
    <t xml:space="preserve">Przykłady zakładają wspólny znany poziom producentów.</t>
  </si>
  <si>
    <t xml:space="preserve">V3-L02</t>
  </si>
  <si>
    <t xml:space="preserve">Definicja „nie mniejsze”</t>
  </si>
  <si>
    <t xml:space="preserve">Czy porównujemy godziny na rodzaj, sumę godzin znormalizowanych, liczbę sztuk czy wartość portową?</t>
  </si>
  <si>
    <t xml:space="preserve">Proponowany przykład spełnia oba porównania godzinowe; nie nadaje rangi surowcom i produktom.</t>
  </si>
  <si>
    <t xml:space="preserve">V3-L03</t>
  </si>
  <si>
    <t xml:space="preserve">Niezależne odnowienia</t>
  </si>
  <si>
    <t xml:space="preserve">Jak utrzymać kolejność małe≤średnie≤duże, gdy każde odnawia się osobno?</t>
  </si>
  <si>
    <t xml:space="preserve">Wybór ma wpływ na losowanie i trudność.</t>
  </si>
  <si>
    <t xml:space="preserve">V3-L04</t>
  </si>
  <si>
    <t xml:space="preserve">Szybki bonus</t>
  </si>
  <si>
    <t xml:space="preserve">Czy mnożnik utrwala kliknięcie, przyjęcie, pierwszą wpłatę czy ukończenie?</t>
  </si>
  <si>
    <t xml:space="preserve">Propozycja: osobne świadome „Przyjmij”; kliknięcie panelu nie powinno niejawnie zużywać decyzji.</t>
  </si>
  <si>
    <t xml:space="preserve">V3-L05</t>
  </si>
  <si>
    <t xml:space="preserve">Odnowienie po sukcesie</t>
  </si>
  <si>
    <t xml:space="preserve">Nowe zadanie natychmiast po ukończeniu czy dopiero po końcu poprzedniego terminu 6 h?</t>
  </si>
  <si>
    <t xml:space="preserve">Wymóg stale trzech sugeruje natychmiastowe uzupełnienie, ale brak jednoznacznego zapisu.</t>
  </si>
  <si>
    <t xml:space="preserve">V3-L06</t>
  </si>
  <si>
    <t xml:space="preserve">Zakres nagrody</t>
  </si>
  <si>
    <t xml:space="preserve">Ile rodzajów towaru losujemy? Czy 50–1000 dotyczy każdego czy sumy?</t>
  </si>
  <si>
    <t xml:space="preserve">W przykładzie tylko 1 rodzaj towaru; dla średniego i dużego dolny próg 100 monet jest modelowy.</t>
  </si>
  <si>
    <t xml:space="preserve">V3-L07</t>
  </si>
  <si>
    <t xml:space="preserve">Nagroda a pojemność</t>
  </si>
  <si>
    <t xml:space="preserve">Gdzie czeka nagroda, która nie mieści się w magazynie?</t>
  </si>
  <si>
    <t xml:space="preserve">×3 może dać 3000 jednego towaru przy limicie 1000 na L1.</t>
  </si>
  <si>
    <t xml:space="preserve">V3-L08</t>
  </si>
  <si>
    <t xml:space="preserve">Food i rezerwa</t>
  </si>
  <si>
    <t xml:space="preserve">Czy do wpłat można używać chronionej rezerwy jedzenia?</t>
  </si>
  <si>
    <t xml:space="preserve">Poprzednia reguła zakazuje wywożenia rezerwy do innych celów niż karmienie; zadanie nie powinno omijać jej niejawnie.</t>
  </si>
  <si>
    <t xml:space="preserve">USTALENIA V2 • starsze wartości zastąpione jawnie</t>
  </si>
  <si>
    <t xml:space="preserve">Pełny rejestr dotychczasowych ustaleń z aktualizacją po pliku 1 i odpowiedziach. ZASTĄPIONE oznacza historię, nie obecną zasadę. Nowe komentarze źródłowe zachowano osobno. Bez implementacji w grze.</t>
  </si>
  <si>
    <t xml:space="preserve">Assety</t>
  </si>
  <si>
    <t xml:space="preserve">Uwagi / źródło</t>
  </si>
  <si>
    <t xml:space="preserve">U001</t>
  </si>
  <si>
    <t xml:space="preserve">Start</t>
  </si>
  <si>
    <t xml:space="preserve">Wszystkie</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</si>
  <si>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</si>
  <si>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</si>
  <si>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</si>
  <si>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</si>
  <si>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</si>
  <si>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</si>
  <si>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</si>
  <si>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</si>
  <si>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</si>
  <si>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</si>
  <si>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</si>
  <si>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</si>
  <si>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</si>
  <si>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</si>
  <si>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</si>
  <si>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</si>
  <si>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</si>
  <si>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</si>
  <si>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</si>
  <si>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</si>
  <si>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</si>
  <si>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</si>
  <si>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</si>
  <si>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</si>
  <si>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</si>
  <si>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</si>
  <si>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</si>
  <si>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</si>
  <si>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</si>
  <si>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</si>
  <si>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</si>
  <si>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</si>
  <si>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</si>
  <si>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</si>
  <si>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</si>
  <si>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</si>
  <si>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</si>
  <si>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</si>
  <si>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</si>
  <si>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</si>
  <si>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</si>
  <si>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</si>
  <si>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</si>
  <si>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</si>
  <si>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</si>
  <si>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</si>
  <si>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</si>
  <si>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</si>
  <si>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</si>
  <si>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</si>
  <si>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</si>
  <si>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</si>
  <si>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</si>
  <si>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</si>
  <si>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</si>
  <si>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</si>
  <si>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</si>
  <si>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</si>
  <si>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</si>
  <si>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Produkcja</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</si>
  <si>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</si>
  <si>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</si>
  <si>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</si>
  <si>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</si>
  <si>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</si>
  <si>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</si>
  <si>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</si>
  <si>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</si>
  <si>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</si>
  <si>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</si>
  <si>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</si>
  <si>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</si>
  <si>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</si>
  <si>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</si>
  <si>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</si>
  <si>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</si>
  <si>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</si>
  <si>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</si>
  <si>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</si>
  <si>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</si>
  <si>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</si>
  <si>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</si>
  <si>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producenta=200×poziom Ratusza.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</si>
  <si>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</si>
  <si>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</si>
  <si>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</si>
  <si>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</si>
  <si>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</si>
  <si>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</si>
  <si>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</si>
  <si>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Kolejne−10 co 24 h ciągłego zapełnienia, maksymalnie−50:−20 po 24 h, −30 po 48 h, −40 po 72 h, −50 po 96 h.</t>
  </si>
  <si>
    <t xml:space="preserve">Po zwolnieniu miejsca ta osobna kara znika.</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</si>
  <si>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</si>
  <si>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</si>
  <si>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</si>
  <si>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</si>
  <si>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</si>
  <si>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</si>
  <si>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</si>
  <si>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</si>
  <si>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</si>
  <si>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</si>
  <si>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</si>
  <si>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</si>
  <si>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</si>
  <si>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</si>
  <si>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</si>
  <si>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</si>
  <si>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</si>
  <si>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</si>
  <si>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</si>
  <si>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</si>
  <si>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</si>
  <si>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</si>
  <si>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</si>
  <si>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</si>
  <si>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</si>
  <si>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</si>
  <si>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</si>
  <si>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</si>
  <si>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</si>
  <si>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</si>
  <si>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</si>
  <si>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</si>
  <si>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</si>
  <si>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</si>
  <si>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</si>
  <si>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</si>
  <si>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</si>
  <si>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Szczęście</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</si>
  <si>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</si>
  <si>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</si>
  <si>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</si>
  <si>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</si>
  <si>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</si>
  <si>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</si>
  <si>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</si>
  <si>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</si>
  <si>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</si>
  <si>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</si>
  <si>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</si>
  <si>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</si>
  <si>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</si>
  <si>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</si>
  <si>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</si>
  <si>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</si>
  <si>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</si>
  <si>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</si>
  <si>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</si>
  <si>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</si>
  <si>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</si>
  <si>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U041</t>
  </si>
  <si>
    <t xml:space="preserve">Człowiek; Magazyn; Przystań; Farma; Młyn; Drwale; Tartak; Kamieniołom</t>
  </si>
  <si>
    <t xml:space="preserve">Głód od razu zmniejsza efektywną wydajność pracy i transportu o 50%.</t>
  </si>
  <si>
    <t xml:space="preserve">Estymaty zakładają nakarmionych. Techniczny wybór mniejszego ładunku/dłuższego kursu jeszcze nieustalony.</t>
  </si>
  <si>
    <t xml:space="preserve">U042</t>
  </si>
  <si>
    <t xml:space="preserve">Podatki</t>
  </si>
  <si>
    <t xml:space="preserve">Człowiek;Ratusz</t>
  </si>
  <si>
    <t xml:space="preserve">DO UJEDNOLICENIA PO NOWEJ ZASADZIE</t>
  </si>
  <si>
    <t xml:space="preserve">Pracujący płaci 1 monetę/h; bezrobotny i wracający do domu nie płacą. Wpływ dojścia do nowej pracy opisano jako nieustalony w karcie Człowiek.</t>
  </si>
  <si>
    <t xml:space="preserve">Blokada produkcji powoduje brak pracy. Podatek i bonus +1 podczas blokady wymagają doprecyzowania w Q07.</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</si>
  <si>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</si>
  <si>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</si>
  <si>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</si>
  <si>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</si>
  <si>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</si>
  <si>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</si>
  <si>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</si>
  <si>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</si>
  <si>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</si>
  <si>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</si>
  <si>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</si>
  <si>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</si>
  <si>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</si>
  <si>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</si>
  <si>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</si>
  <si>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</si>
  <si>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</si>
  <si>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</si>
  <si>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</si>
  <si>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</si>
  <si>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</si>
  <si>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</si>
  <si>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Czas</t>
  </si>
  <si>
    <t xml:space="preserve">Cała gospodarka liczyczas zegarowy również offline.</t>
  </si>
  <si>
    <t xml:space="preserve">Zastępuje zatrzymywanie po ukryciu/zamknięciu karty. Guziki przyspieszenia powiązane z czasowymi premiami.</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</si>
  <si>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</si>
  <si>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</si>
  <si>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</si>
  <si>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</si>
  <si>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</si>
  <si>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</si>
  <si>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</si>
  <si>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</si>
  <si>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</si>
  <si>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</si>
  <si>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</si>
  <si>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</si>
  <si>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</si>
  <si>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</si>
  <si>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</si>
  <si>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</si>
  <si>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</si>
  <si>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</si>
  <si>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</si>
  <si>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</si>
  <si>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</si>
  <si>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</si>
  <si>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</si>
  <si>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</si>
  <si>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</si>
  <si>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</si>
  <si>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</si>
  <si>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</si>
  <si>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</si>
  <si>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</si>
  <si>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</si>
  <si>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</si>
  <si>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</si>
  <si>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</si>
  <si>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</si>
  <si>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</si>
  <si>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</si>
  <si>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Lojalność</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</si>
  <si>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</si>
  <si>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</si>
  <si>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</si>
  <si>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</si>
  <si>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</si>
  <si>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Norma 240×obecny poziom/dobę. Koszt 30%drewna, 30%kamienia, 50%własnego produktu.</t>
  </si>
  <si>
    <t xml:space="preserve">72 Ldrewna+72 Lkamienia+120 Lproduktu; nakładające się materiały sumujemy.</t>
  </si>
  <si>
    <t xml:space="preserve">U062</t>
  </si>
  <si>
    <t xml:space="preserve">Drwale 192 Ldrewna+72 Lkamienia; kamieniołom 72 Ldrewna+192 Lkamienia.</t>
  </si>
  <si>
    <t xml:space="preserve">To nie dodatkowe podwójne naliczenie; suma składnika bazowego i produktu.</t>
  </si>
  <si>
    <t xml:space="preserve">U063</t>
  </si>
  <si>
    <t xml:space="preserve">Ratusz; Dom; Targ; Magazyn; Przystań</t>
  </si>
  <si>
    <t xml:space="preserve">Każdego z 6 zasobów: Ratusz/Dom 500 L; Magazyn/Targ 300 L; Przystań 400 L.</t>
  </si>
  <si>
    <t xml:space="preserve">Kolejka+10%całej ceny.</t>
  </si>
  <si>
    <t xml:space="preserve">U064</t>
  </si>
  <si>
    <t xml:space="preserve">TYMCZASOWE</t>
  </si>
  <si>
    <t xml:space="preserve">N×(180 monet+20 drewna+60 kamienia+10 desek), N nowy poziom.</t>
  </si>
  <si>
    <t xml:space="preserve">Cena nie była docelowo ustalona; do przewozu 90×N.</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</si>
  <si>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</si>
  <si>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</si>
  <si>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</si>
  <si>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</si>
  <si>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</si>
  <si>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</si>
  <si>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</si>
  <si>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</si>
  <si>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</si>
  <si>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</si>
  <si>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</si>
  <si>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</si>
  <si>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</si>
  <si>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</si>
  <si>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</si>
  <si>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</si>
  <si>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</si>
  <si>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</si>
  <si>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</si>
  <si>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</si>
  <si>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</si>
  <si>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</si>
  <si>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</si>
  <si>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</si>
  <si>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</si>
  <si>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</si>
  <si>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</si>
  <si>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</si>
  <si>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</si>
  <si>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</si>
  <si>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</si>
  <si>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</si>
  <si>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</si>
  <si>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</si>
  <si>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</si>
  <si>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</si>
  <si>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</si>
  <si>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</si>
  <si>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</si>
  <si>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</si>
  <si>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</si>
  <si>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</si>
  <si>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</si>
  <si>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</si>
  <si>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U077</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</si>
  <si>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</si>
  <si>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</si>
  <si>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</si>
  <si>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U078</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</si>
  <si>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</si>
  <si>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</si>
  <si>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</si>
  <si>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U079</t>
  </si>
  <si>
    <t xml:space="preserve">Latarnia;Człowiek</t>
  </si>
  <si>
    <t xml:space="preserve">Latarnia ustawia efektywne szczęście KAŻDEGO na 100%, nie dodaje+100. Produkcja×2.</t>
  </si>
  <si>
    <t xml:space="preserve">Obie premie 24 h×N; podatki/transport bez mnożnika.</t>
  </si>
  <si>
    <t xml:space="preserve">U080</t>
  </si>
  <si>
    <t xml:space="preserve">Kolejna rozbudowa odświeża czas, a nie mnożnik produkcji do ×4.</t>
  </si>
  <si>
    <t xml:space="preserve">Premia zaczyna się po ukończeniu; nowe błogosławieństwa ODŁOŻONE.</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</si>
  <si>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</si>
  <si>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</si>
  <si>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</si>
  <si>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</si>
  <si>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</si>
  <si>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</si>
  <si>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</si>
  <si>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</si>
  <si>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</si>
  <si>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</si>
  <si>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</si>
  <si>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Port — sprzedaż:centrala→port+port→statek; płatność/notyfikacja przy wypłynięciu. Zakup:płatność przy przypłynięciu, rozładunek i powrót towarów do centrali.</t>
  </si>
  <si>
    <t xml:space="preserve">Załoga własna, zasady jak magazyn; statek ma pojemność portu.</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</si>
  <si>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</si>
  <si>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</si>
  <si>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</si>
  <si>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</si>
  <si>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</si>
  <si>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</si>
  <si>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</si>
  <si>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</si>
  <si>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</si>
  <si>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</si>
  <si>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</si>
  <si>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Powiadomienia</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</si>
  <si>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</si>
  <si>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</si>
  <si>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</si>
  <si>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</si>
  <si>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</si>
  <si>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</si>
  <si>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</si>
  <si>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</si>
  <si>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</si>
  <si>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</si>
  <si>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</si>
  <si>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</si>
  <si>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</si>
  <si>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</si>
  <si>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</si>
  <si>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</si>
  <si>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200×ratusz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</si>
  <si>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</si>
  <si>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</si>
  <si>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</si>
  <si>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</si>
  <si>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</si>
  <si>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Źródło</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</si>
  <si>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</si>
  <si>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</si>
  <si>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</si>
  <si>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</si>
  <si>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</si>
  <si>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</si>
  <si>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</si>
  <si>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</si>
  <si>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</si>
  <si>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Z panelu domu widać wszystkich ludzi i przydziały oraz można wysyłać do kaplicy lub latarni.</t>
  </si>
  <si>
    <t xml:space="preserve">Na starcie 12 osób znajduje się w domu.
Źródło: Budynki! K7; Czlowiek! C7</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</si>
  <si>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</si>
  <si>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</si>
  <si>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</si>
  <si>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</si>
  <si>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Przestój</t>
  </si>
  <si>
    <t xml:space="preserve">Młyn; Tartak; Człowiek</t>
  </si>
  <si>
    <t xml:space="preserve">NOWE; DO DOPRECYZOWANIA</t>
  </si>
  <si>
    <t xml:space="preserve">Brak surowca lub miejsca zatrzymuje produkcję i powoduje karę za brak pracy.</t>
  </si>
  <si>
    <t xml:space="preserve">Próg po 12 h zgodnie z dotychczasową karą; nie ustalono naliczania podatku i bonusu pracy ani nakładania z karą pełnego magazynu.
Źródło: Ustalenia - uwagi! F24; F25</t>
  </si>
  <si>
    <t xml:space="preserve">V2-006</t>
  </si>
  <si>
    <t xml:space="preserve">Droga</t>
  </si>
  <si>
    <t xml:space="preserve">Dojście do nowego miejsca pracy 5 min; zejście do domu również 5 min.</t>
  </si>
  <si>
    <t xml:space="preserve">Powrót bez pracy/podatku. Status podatku/bonusu przy dojściu nie opisany osobno.
Źródło: Ustalenia - uwagi! E19; E20; Czlowiek! C21</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</si>
  <si>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</si>
  <si>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</si>
  <si>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</si>
  <si>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</si>
  <si>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</si>
  <si>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</si>
  <si>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</si>
  <si>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</si>
  <si>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</si>
  <si>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</si>
  <si>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Priorytety</t>
  </si>
  <si>
    <t xml:space="preserve">Domyślnie najpierw zaopatrzenie magazynu, później budowy; gracz może zmieniać priorytety kategorii, producenta i konkretnej budowy.</t>
  </si>
  <si>
    <t xml:space="preserve">ETA ma wynikać z aktualnych priorytetów i już dostarczonych partii.
Źródło: Budynki! K13</t>
  </si>
  <si>
    <t xml:space="preserve">V2-010</t>
  </si>
  <si>
    <t xml:space="preserve">Transport żywności</t>
  </si>
  <si>
    <t xml:space="preserve">NOWE; PRÓG DO UJEDNOLICENIA</t>
  </si>
  <si>
    <t xml:space="preserve">Jeden tragarz ma nosić żywność, gdy jest wyprodukowana, a centrala spadnie poniżej progu.</t>
  </si>
  <si>
    <t xml:space="preserve">Nowa rezerwa to 50 × poziom magazynu, ale opis tragarza nadal używa 50. Nie wolno stworzyć pracownika, gdy obsada wynosi 0.
Źródło: Budynki! K13; Start! E12</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</si>
  <si>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</si>
  <si>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</si>
  <si>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</si>
  <si>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</si>
  <si>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</si>
  <si>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</si>
  <si>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</si>
  <si>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</si>
  <si>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</si>
  <si>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</si>
  <si>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</si>
  <si>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</si>
  <si>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</si>
  <si>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</si>
  <si>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</si>
  <si>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</si>
  <si>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</si>
  <si>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</si>
  <si>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</si>
  <si>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</si>
  <si>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daje L aktywnych rozbudów i L pozycji kolejki; kolejka wymaga surowców już przy zlecaniu.</t>
  </si>
  <si>
    <t xml:space="preserve">Dopłata +10% jest nowa; oferty premium zebrane osobno.
Źródło: Budynki! K6</t>
  </si>
  <si>
    <t xml:space="preserve">V2-017</t>
  </si>
  <si>
    <t xml:space="preserve">Postęp budowy</t>
  </si>
  <si>
    <t xml:space="preserve">Panel pokazuje potrzebną i dostarczoną ilość każdego materiału, np. 60/100, oraz ETA transportu i budowy przy bieżących priorytetach.</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</si>
  <si>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</si>
  <si>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</si>
  <si>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</si>
  <si>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</si>
  <si>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</si>
  <si>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</si>
  <si>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</si>
  <si>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</si>
  <si>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</si>
  <si>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</si>
  <si>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</si>
  <si>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</si>
  <si>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</si>
  <si>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</si>
  <si>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NOWE; SZCZEGÓŁY DO USTALENIA</t>
  </si>
  <si>
    <t xml:space="preserve">Guziki przyspieszania mają działać czasowo w powiązaniu z premiami.</t>
  </si>
  <si>
    <t xml:space="preserve">Nie przyjęto stałego darmowego 2×/4× dla ekonomii. Dokładny zakres i czas bonusów później.
Źródło: Czlowiek! C29</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</si>
  <si>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</si>
  <si>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</si>
  <si>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</si>
  <si>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</si>
  <si>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</si>
  <si>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Towar na targu znika po 24 h od przyniesienia; wynik wymiany także znika po własnych 24 h.</t>
  </si>
  <si>
    <t xml:space="preserve">Nie określono osobno zasad dzielenia/łączenia partii ani wpływu premium na wiek.
Źródło: Budynki! D14</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</si>
  <si>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</si>
  <si>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</si>
  <si>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</si>
  <si>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</si>
  <si>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</si>
  <si>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</si>
  <si>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</si>
  <si>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WYJAŚNIONE</t>
  </si>
  <si>
    <t xml:space="preserve">Sprzedaż: z centrali do portu, potem na statek, własną załogą. Przy wypłynięciu statku notyfikacja i zapłata.</t>
  </si>
  <si>
    <t xml:space="preserve">Przy zakupie zapłata przy przypłynięciu, potem rozładunek i transport do centrali. Przed dowozem zakup nie jest wydawalny centralnie.
Źródło: Decyzje i konflikty! I9</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</si>
  <si>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</si>
  <si>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</si>
  <si>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</si>
  <si>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</si>
  <si>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</si>
  <si>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</si>
  <si>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</si>
  <si>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</si>
  <si>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</si>
  <si>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</si>
  <si>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</si>
  <si>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</si>
  <si>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</si>
  <si>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</si>
  <si>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</si>
  <si>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</si>
  <si>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</si>
  <si>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</si>
  <si>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</si>
  <si>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</si>
  <si>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</si>
  <si>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</si>
  <si>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</si>
  <si>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</si>
  <si>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Podczas premii wszyscy mają ustawione 100% szczęścia, nie dodane +100 pp.</t>
  </si>
  <si>
    <t xml:space="preserve">Obie premie nadal 24 h × osiągnięty poziom; produkcja ×2; powrót do osobistych wartości po zakończeniu wymaga doprecyzowania.
Źródło: Blogoslawienstwa! B8</t>
  </si>
  <si>
    <t xml:space="preserve">V2-033</t>
  </si>
  <si>
    <t xml:space="preserve">W ustawieniach ranking według wyniku: poziom ratusza × ilość złota.</t>
  </si>
  <si>
    <t xml:space="preserve">Brak osobnych reguł remisu, częstotliwości aktualizacji i ochrony przed manipulacją stanem skarbca.
Źródło: Ustalenia - uwagi! E9</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</si>
  <si>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</si>
  <si>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</si>
  <si>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</si>
  <si>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</si>
  <si>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</si>
  <si>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</si>
  <si>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</si>
  <si>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</si>
  <si>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</si>
  <si>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</si>
  <si>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NOWE; NIEPEŁNE REMISY</t>
  </si>
  <si>
    <t xml:space="preserve">Przy remisie największych załóg: port, tartak, kamieniołom, drwale; na końcu żywność i transport.</t>
  </si>
  <si>
    <t xml:space="preserve">Brak miejsca targu, dokładnego rozdzielenia farmy/młyna oraz osób w drodze i na wizytach.
Źródło: Populacja i szczescie! E6</t>
  </si>
  <si>
    <t xml:space="preserve">V2-037</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</si>
  <si>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</si>
  <si>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</si>
  <si>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</si>
  <si>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V2-038</t>
  </si>
  <si>
    <t xml:space="preserve">Premium i pytania</t>
  </si>
  <si>
    <t xml:space="preserve">Kaplica; Latarnia; Wszystkie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</si>
  <si>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</si>
  <si>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</si>
  <si>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</si>
  <si>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V3-001</t>
  </si>
  <si>
    <t xml:space="preserve">Budynki; transport</t>
  </si>
  <si>
    <t xml:space="preserve">1 PLN = 10 monet. Cena w PLN = cena w monetach / 10.</t>
  </si>
  <si>
    <t xml:space="preserve">Ustalono przelicznik; nie zdefiniowano wypłaty monet na PLN. Źródło: wiadomość 22.10.2026 / docs/arkusze/pomysły.</t>
  </si>
  <si>
    <t xml:space="preserve">V3-002</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</si>
  <si>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</si>
  <si>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</si>
  <si>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V3-003</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</si>
  <si>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</si>
  <si>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</si>
  <si>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V3-004</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</si>
  <si>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</si>
  <si>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</si>
  <si>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V3-005</t>
  </si>
  <si>
    <t xml:space="preserve">Skrócenie o 75% pozostałego czasu budowy. Cena = FLOOR(pozostałe sekundy × 0,75 / 60) monet.</t>
  </si>
  <si>
    <t xml:space="preserve">Nie ustalono limitu kolejnych przyspieszeń ani minimalnej ceny. Źródło: wiadomość 22.10.2026 / docs/arkusze/pomysły.</t>
  </si>
  <si>
    <t xml:space="preserve">V3-006</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</si>
  <si>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</si>
  <si>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</si>
  <si>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V3-007</t>
  </si>
  <si>
    <t xml:space="preserve">Natychmiastowe wysłanie całego gotowego lokalnego zapasu do centrali. 10 monet × liczba kursów potrzebnych do przewozu.</t>
  </si>
  <si>
    <t xml:space="preserve">Proponowane kursy = CEILING(ilość / ładunek). Ostatni niepełny kurs kosztuje tyle samo, zgodnie z zasadą 60 + 40 dla 100 sztuk. Słowo „pełnych” wymaga potwierdzenia. Źródło: wiadomość 22.10.2026 / docs/arkusze/pomysły.</t>
  </si>
  <si>
    <t xml:space="preserve">V3-008</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</si>
  <si>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</si>
  <si>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</si>
  <si>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V3-009</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</si>
  <si>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</si>
  <si>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</si>
  <si>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V3-010</t>
  </si>
  <si>
    <t xml:space="preserve">Nie ustalono, czy opłata obejmuje również osobny etap port ↔ statek. Zachować rozróżnienie dwóch etapów portowych. Źródło: wiadomość 22.10.2026 / docs/arkusze/pomysły.</t>
  </si>
  <si>
    <t xml:space="preserve">V3-011</t>
  </si>
  <si>
    <t xml:space="preserve">Cena materiałów według zakupu w porcie × 1,25, powiększona o opłatę za skrócenie czasu. Cena = 1,25 × portowa wartość wymaganych materiałów + opłata czasowa.</t>
  </si>
  <si>
    <t xml:space="preserve">Do wyboru: materiały pełnego kosztu czy tylko brakujące; cena bazowa czy bieżąca po podwyżkach; proporcjonalna wartość czy pełne paczki 100. Źródło: wiadomość 22.10.2026 / docs/arkusze/pomysły.</t>
  </si>
  <si>
    <t xml:space="preserve">V3-012</t>
  </si>
  <si>
    <t xml:space="preserve">Ratusz i kilka innych budynków kosztują również monety. Nie można wyceniać monet tak jak kupowanego w porcie materiału.</t>
  </si>
  <si>
    <t xml:space="preserve">Proponowane: dodać wymagane monety nominalnie poza mnożnikiem 1,25. Użytkownik nie zatwierdził jeszcze tego szczegółu. Źródło: wiadomość 22.10.2026 / docs/arkusze/pomysły.</t>
  </si>
  <si>
    <t xml:space="preserve">V3-013</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</si>
  <si>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</si>
  <si>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</si>
  <si>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</si>
  <si>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</si>
  <si>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</si>
  <si>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</si>
  <si>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</si>
  <si>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</si>
  <si>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</si>
  <si>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</si>
  <si>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</si>
  <si>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</si>
  <si>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</si>
  <si>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</si>
  <si>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</si>
  <si>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</si>
  <si>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</si>
  <si>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</si>
  <si>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</si>
  <si>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</si>
  <si>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</si>
  <si>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</si>
  <si>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</si>
  <si>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</si>
  <si>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</si>
  <si>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</si>
  <si>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</si>
  <si>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</si>
  <si>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</si>
  <si>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</si>
  <si>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</si>
  <si>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</si>
  <si>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</si>
  <si>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</si>
  <si>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</si>
  <si>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</si>
  <si>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</si>
  <si>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</si>
  <si>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V3-025</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</si>
  <si>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</si>
  <si>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</si>
  <si>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V3-026</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</si>
  <si>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</si>
  <si>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</si>
  <si>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V3-027</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</si>
  <si>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</si>
  <si>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</si>
  <si>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V3-028</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</si>
  <si>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</si>
  <si>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</si>
  <si>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V3-029</t>
  </si>
  <si>
    <t xml:space="preserve">Kliknięcie zadania w pierwszych 15 sekundach daje nagrodę ×3; później do 5 minut daje ×2; następnie ×1. Przykład granic: wiek &lt;15 s → ×3; 15 s ≤ wiek &lt;300 s → ×2; od 300 s → ×1</t>
  </si>
  <si>
    <t xml:space="preserve">×3 nie mnoży się ponownie przez ×2. Dokładne granice 15 s i 5 min oraz znaczenie kliknięcia wymagają ustalenia. Źródło: wiadomość 22.10.2026 / docs/arkusze/pomysły.</t>
  </si>
  <si>
    <t xml:space="preserve">V3-030</t>
  </si>
  <si>
    <t xml:space="preserve">Przykład zakłada, że pierwsze świadome przyjęcie zadania utrwala mnożnik aż do ukończenia. Nagroda końcowa = bazowa nagroda × utrwalony mnożnik</t>
  </si>
  <si>
    <t xml:space="preserve">Samo otwarcie panelu, pierwsza wpłata czy ukończenie w oknie bonusowym to różne możliwe warianty. Nie przesądzamy ich jako ustalenia. Źródło: wiadomość 22.10.2026 / docs/arkusze/pomysły.</t>
  </si>
  <si>
    <t xml:space="preserve">V3-031</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</si>
  <si>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</si>
  <si>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</si>
  <si>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V3-032</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</si>
  <si>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</si>
  <si>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</si>
  <si>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V3-033</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</si>
  <si>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</si>
  <si>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</si>
  <si>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</si>
  <si>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</si>
  <si>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</si>
  <si>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</si>
  <si>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</si>
  <si>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</si>
  <si>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</si>
  <si>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</si>
  <si>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</si>
  <si>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V3-037</t>
  </si>
  <si>
    <t xml:space="preserve">Nie zdefiniowano momentu wypłaty ani obsługi nagrody, która nie mieści się w magazynie. Maksimum przy ×3: 1800 monet i do 3000 szt. jednego towaru w przykładzie</t>
  </si>
  <si>
    <t xml:space="preserve">Propozycje do wyboru później: skrzynka do odebrania, odbiór częściowy lub rezerwacja miejsca; nic nie może znikać bez jawnej reguły. Źródło: wiadomość 22.10.2026 / docs/arkusze/pomysły.</t>
  </si>
  <si>
    <t xml:space="preserve">V3-038</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</si>
  <si>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</si>
  <si>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</si>
  <si>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</si>
  <si>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</si>
  <si>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</si>
  <si>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V3-040</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</si>
  <si>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</si>
  <si>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</si>
  <si>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</si>
  <si>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</si>
  <si>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</si>
  <si>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</si>
  <si>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</si>
  <si>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</si>
  <si>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Ekspedycja nie przyznaje materiałów ani szczęścia. Nazwa waluty do ujednolicenia. Źródło: wiadomość 22.10.2026 / docs/arkusze/pomysły.</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</si>
  <si>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</si>
  <si>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</si>
  <si>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</si>
  <si>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</si>
  <si>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</si>
  <si>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</si>
  <si>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</si>
  <si>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</si>
  <si>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</si>
  <si>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</si>
  <si>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</si>
  <si>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</si>
  <si>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</si>
  <si>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</si>
  <si>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</si>
  <si>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</si>
  <si>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</si>
  <si>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</si>
  <si>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</si>
  <si>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</si>
  <si>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</si>
  <si>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</si>
  <si>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</si>
  <si>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Znaczenie</t>
  </si>
  <si>
    <t xml:space="preserve">Ubywa</t>
  </si>
  <si>
    <t xml:space="preserve">Minimum 6, maksimum 24 × Ratusz; nowi do domu. Odejście: najpierw dom, potem największa załoga. Przy remisie: port, tartak, kamieniołom, drwale; produkcja żywności i transport na końcu. Targ, farma/młyn i osoby w drodze: pełna kolejność do decyzji.</t>
  </si>
  <si>
    <t xml:space="preserve">Populacja bez zmian</t>
  </si>
  <si>
    <t xml:space="preserve">Przybywa</t>
  </si>
  <si>
    <t xml:space="preserve">WZÓR I PRZYKŁAD</t>
  </si>
  <si>
    <t xml:space="preserve">Dla H=|szczęście|: tempo=H/300 osoby/h dla 0…50%; dla 50…100%:1/6+(H−50)/60. Znak dodatni daje przyrost, ujemny ubytek. ±75% daje 1 osobę co 1 h 42 min 51 s. Przy 0% brak zmiany. Nowa osoba ma własne szczęście 0, dopiero potem otrzymuje aktualne premie wyspy.</t>
  </si>
  <si>
    <t xml:space="preserve">PORT • nowe 140/150 i liniowa podwyżka</t>
  </si>
  <si>
    <t xml:space="preserve">Ceny za 100. Port 40/50 podstawowe i 140/150 przetworzone. Targ bez monetowy+marża 10%. Od 2 paczki zakupu w ruchomych 3 h liniowo+10%ceny bazowej; zakres licznika globalny/per materiał jeszcze do określenia. Przykład dla kolejnych paczekjednego rodzaju bez wygaśnięć okna.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</si>
  <si>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</si>
  <si>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</si>
  <si>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</si>
  <si>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</si>
  <si>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</si>
  <si>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</si>
  <si>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</si>
  <si>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</si>
  <si>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</si>
  <si>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</si>
  <si>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</si>
  <si>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Dwa cykle sprzedaży, pojemność statku=port, płatność przy wypłynięciu. Zakup:płatność przy przypłynięciu, rozładunek i dowóz. Towar 24 hnieodebrany przepada; opłata 10 monet zniesiona.</t>
  </si>
  <si>
    <t xml:space="preserve">KAPLICA / LATARNIA • dwa źródła premii</t>
  </si>
  <si>
    <t xml:space="preserve">Kaplica = błogosławieństwo, Latarnia = zwiedzanie. W domu widać ludzi i ich przydziały; można ich stamtąd wysyłać. Nowe zasady wizyt są odrębne od premii ZA ukończenie rozbudowy i nie zastępują ich bez decyzji.</t>
  </si>
  <si>
    <t xml:space="preserve">Element</t>
  </si>
  <si>
    <t xml:space="preserve">Aktualna zasada</t>
  </si>
  <si>
    <t xml:space="preserve">Co pozostaje do później</t>
  </si>
  <si>
    <t xml:space="preserve">Kaplica: rozbudowa</t>
  </si>
  <si>
    <t xml:space="preserve">+10 × N szczęścia i podatki ×2 przez 10 h; poziom 1 bez pasywnego bonusu.</t>
  </si>
  <si>
    <t xml:space="preserve">Koszt kaplicy nadal tymczasowy; premia po ukończeniu.</t>
  </si>
  <si>
    <t xml:space="preserve">Dotychczas: +50 każdego zasobu, +20 szczęścia na 1 h; liczba bezpłatnych użyć = poziom kaplicy.</t>
  </si>
  <si>
    <t xml:space="preserve">Czas pobytu, indywidualny/globalny bonus wizyt, praca, podatki i powrót.</t>
  </si>
  <si>
    <t xml:space="preserve">Latarnia: rozbudowa</t>
  </si>
  <si>
    <t xml:space="preserve">Efektywne szczęście WSZYSTKICH 100%, produkcja materiałów ×2; obie premie przez 24 h × N.</t>
  </si>
  <si>
    <t xml:space="preserve">Nie dodajemy+100; po zakończeniu powrót do bieżących osobistych liczników jest interpretacją modelu.</t>
  </si>
  <si>
    <t xml:space="preserve">Ludzi można wysłać z Domu; zwiedzanie prowadzi do premii.</t>
  </si>
  <si>
    <t xml:space="preserve">Czas wizyty, liczba ludzi, konkretna nagroda i limity.</t>
  </si>
  <si>
    <t xml:space="preserve">Cooldown/reklamy/zakup</t>
  </si>
  <si>
    <t xml:space="preserve">Notatkę źródłową zachowano; oferty zebrano w Premium.</t>
  </si>
  <si>
    <t xml:space="preserve">Nadal odłożone: rosnące odstępy +25%, reklama 60 s, 2/h, natychmiastowe zakupy.</t>
  </si>
  <si>
    <t xml:space="preserve">POTWIERDZENIA • odpowiedzi z rozmowy</t>
  </si>
  <si>
    <t xml:space="preserve">22.10.2026, Europa/Warszawa. Ten arkusz pozwala odróżnić Twoje dosłowne odpowiedzi od roboczych interpretacji. Wersja 2 to wynik analizy, nie kod ani wdrożenie.</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</si>
  <si>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</si>
  <si>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</si>
  <si>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</si>
  <si>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</si>
  <si>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</si>
  <si>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</si>
  <si>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</si>
  <si>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</si>
  <si>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</si>
  <si>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</si>
  <si>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</si>
  <si>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</si>
  <si>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</si>
  <si>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</si>
  <si>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</si>
  <si>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</si>
  <si>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</si>
  <si>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Pytania V3</t>
  </si>
  <si>
    <t xml:space="preserve">Ostatni niepełny kurs; proporcjonalna wycena materiałów i monety osobno; utrwalenie bonusu zadania po kliknięciu.</t>
  </si>
  <si>
    <t xml:space="preserve">Pytania wysłano; do odpowiedzi warianty pozostają oznaczone jako modele.</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</si>
  <si>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</si>
  <si>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</si>
  <si>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</si>
  <si>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</si>
  <si>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</si>
  <si>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</si>
  <si>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</si>
  <si>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</si>
  <si>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</si>
  <si>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</si>
  <si>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</si>
  <si>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</si>
  <si>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</si>
  <si>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</si>
  <si>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</si>
  <si>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</si>
  <si>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</si>
  <si>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</si>
  <si>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</si>
  <si>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</si>
  <si>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</si>
  <si>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</si>
  <si>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</si>
  <si>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</si>
  <si>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</si>
  <si>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</si>
  <si>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</si>
  <si>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</si>
  <si>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</si>
  <si>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</si>
  <si>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</si>
  <si>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</si>
  <si>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</si>
  <si>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</si>
  <si>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</si>
  <si>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</si>
  <si>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</si>
  <si>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</si>
  <si>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</si>
  <si>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</si>
  <si>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</si>
  <si>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</si>
  <si>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</si>
  <si>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</si>
  <si>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</si>
  <si>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</si>
  <si>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</si>
  <si>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</si>
  <si>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</si>
  <si>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</si>
  <si>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</si>
  <si>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</si>
  <si>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</si>
  <si>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</si>
  <si>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</si>
  <si>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</si>
  <si>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</si>
  <si>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</si>
  <si>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</si>
  <si>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</si>
  <si>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</si>
  <si>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</si>
  <si>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</si>
  <si>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</si>
  <si>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</si>
  <si>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</si>
  <si>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</si>
  <si>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</si>
  <si>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</si>
  <si>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</si>
  <si>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</si>
  <si>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</si>
  <si>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</si>
  <si>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</si>
  <si>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</si>
  <si>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</si>
  <si>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</si>
  <si>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</si>
  <si>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</si>
  <si>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</si>
  <si>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</si>
  <si>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</si>
  <si>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</si>
  <si>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</si>
  <si>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</si>
  <si>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</si>
  <si>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</si>
  <si>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</si>
  <si>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</si>
  <si>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</si>
  <si>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</si>
  <si>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</si>
  <si>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</si>
  <si>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</si>
  <si>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</si>
  <si>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</si>
  <si>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</si>
  <si>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</si>
  <si>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</si>
  <si>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</si>
  <si>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</si>
  <si>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</si>
  <si>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</si>
  <si>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</si>
  <si>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</si>
  <si>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</si>
  <si>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</si>
  <si>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</si>
  <si>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</si>
  <si>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</si>
  <si>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</si>
  <si>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</si>
  <si>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</si>
  <si>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</si>
  <si>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</si>
  <si>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</si>
  <si>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</si>
  <si>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</si>
  <si>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</si>
  <si>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</si>
  <si>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</si>
  <si>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</si>
  <si>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</si>
  <si>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</si>
  <si>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</si>
  <si>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</si>
  <si>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</si>
  <si>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</si>
  <si>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</si>
  <si>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</si>
  <si>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</si>
  <si>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</si>
  <si>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</si>
  <si>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</si>
  <si>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</si>
  <si>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</si>
  <si>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</si>
  <si>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</si>
  <si>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</si>
  <si>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</si>
  <si>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</si>
  <si>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</si>
  <si>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</si>
  <si>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</si>
  <si>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</si>
  <si>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</si>
  <si>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</si>
  <si>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</si>
  <si>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</si>
  <si>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</si>
  <si>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</si>
  <si>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</si>
  <si>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</si>
  <si>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</si>
  <si>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</si>
  <si>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</si>
  <si>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</si>
  <si>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</si>
  <si>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</si>
  <si>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</si>
  <si>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</si>
  <si>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</si>
  <si>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</si>
  <si>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</si>
  <si>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</si>
  <si>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</si>
  <si>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</si>
  <si>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</si>
  <si>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</si>
  <si>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</si>
  <si>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</si>
  <si>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</si>
  <si>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</si>
  <si>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</si>
  <si>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</si>
  <si>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</si>
  <si>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</si>
  <si>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</si>
  <si>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</si>
  <si>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</si>
  <si>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</si>
  <si>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</si>
  <si>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</si>
  <si>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</si>
  <si>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</si>
  <si>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</si>
  <si>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</si>
  <si>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</si>
  <si>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</si>
  <si>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</si>
  <si>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</si>
  <si>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</si>
  <si>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</si>
  <si>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</si>
  <si>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</si>
  <si>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</si>
  <si>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</si>
  <si>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</si>
  <si>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</si>
  <si>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</si>
  <si>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</si>
  <si>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</si>
  <si>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</si>
  <si>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</si>
  <si>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</si>
  <si>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</si>
  <si>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2 zboża → 1 żywność</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</si>
  <si>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</si>
  <si>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</si>
  <si>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</si>
  <si>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</si>
  <si>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2 drewna → 1 deska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</si>
  <si>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</si>
  <si>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</si>
  <si>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</si>
  <si>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</si>
  <si>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</si>
  <si>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</si>
  <si>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</si>
  <si>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</si>
  <si>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</si>
  <si>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</si>
  <si>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</si>
  <si>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</si>
  <si>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</si>
  <si>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</si>
  <si>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</si>
  <si>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</si>
  <si>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</si>
  <si>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</si>
  <si>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</si>
  <si>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4T</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</si>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</sst>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00&quot; h&quot;"/>
  </numFmts>
  <fonts count="15">
    <font>
      <sz val="11"/>
      <color theme="1"/>
      <name val="Calibri"/>
      <family val="2"/>
      <charset val="1"/>
    </font>
    <font>
      <sz val="10"/>
      <name val="Arial"/>
      <family val="0"/>
    </font>
    <font>
      <sz val="10"/>
      <name val="Arial"/>
      <family val="0"/>
    </font>
    <font>
      <sz val="10"/>
      <name val="Arial"/>
      <family val="0"/>
    </font>
    <font>
      <b val="true"/>
      <sz val="18"/>
      <color rgb="FFF0CE80"/>
      <name val="Calibri"/>
      <family val="0"/>
      <charset val="1"/>
    </font>
    <font>
      <sz val="11"/>
      <color rgb="FF123140"/>
      <name val="Calibri"/>
      <family val="0"/>
      <charset val="1"/>
    </font>
    <font>
      <b val="true"/>
      <sz val="10"/>
      <color rgb="FFFFFFFF"/>
      <name val="Calibri"/>
      <family val="0"/>
      <charset val="1"/>
    </font>
    <font>
      <sz val="10"/>
      <color rgb="FF123140"/>
      <name val="Calibri"/>
      <family val="0"/>
      <charset val="1"/>
    </font>
    <font>
      <sz val="10"/>
      <name val="Arial"/>
      <family val="2"/>
    </font>
    <font>
      <sz val="11"/>
      <color rgb="FF135CAA"/>
      <name val="Calibri"/>
      <family val="0"/>
      <charset val="1"/>
    </font>
    <font>
      <u val="single"/>
      <sz val="10"/>
      <color rgb="FF135CAA"/>
      <name val="Calibri"/>
      <family val="0"/>
      <charset val="1"/>
    </font>
    <font>
      <b val="true"/>
      <sz val="18"/>
      <color rgb="FFF0CE80"/>
      <name val="Calibri"/>
      <family val="2"/>
      <charset val="1"/>
    </font>
    <font>
      <sz val="10"/>
      <color rgb="FF12314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3">
    <border diagonalUp="false" diagonalDown="false">
      <left/>
      <right/>
      <top/>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5" fontId="9" fillId="7"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6" fontId="7"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7" fontId="7" fillId="5" borderId="1" xfId="0" applyFont="true" applyBorder="true" applyAlignment="true" applyProtection="false">
      <alignment horizontal="general" vertical="top" textRotation="0" wrapText="true" indent="0" shrinkToFit="false"/>
      <protection locked="true" hidden="false"/>
    </xf>
    <xf numFmtId="167" fontId="9" fillId="7" borderId="1" xfId="0" applyFont="true" applyBorder="true" applyAlignment="true" applyProtection="false">
      <alignment horizontal="general" vertical="top" textRotation="0" wrapText="true" indent="0" shrinkToFit="false"/>
      <protection locked="true" hidden="false"/>
    </xf>
    <xf numFmtId="166" fontId="9"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true" applyAlignment="true" applyProtection="false">
      <alignment horizontal="general" vertical="top" textRotation="0" wrapText="true" indent="0" shrinkToFit="false"/>
      <protection locked="true" hidden="false"/>
    </xf>
    <xf numFmtId="164" fontId="13" fillId="4" borderId="2"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8" fontId="0" fillId="0" borderId="1" xfId="0" applyFont="fals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fgColor rgb="FFE4F2E9"/>
          <bgColor rgb="FF000000"/>
        </patternFill>
      </fill>
    </dxf>
    <dxf>
      <fill>
        <patternFill patternType="solid">
          <fgColor rgb="FFEAF2FF"/>
          <bgColor rgb="FF000000"/>
        </patternFill>
      </fill>
    </dxf>
    <dxf>
      <fill>
        <patternFill patternType="solid">
          <fgColor rgb="FF135CAA"/>
          <bgColor rgb="FF000000"/>
        </patternFill>
      </fill>
    </dxf>
    <dxf>
      <fill>
        <patternFill patternType="solid">
          <fgColor rgb="FFFFF0C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input/HARBORLIGHT2-zasady.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_rels/sheet29.xml.rels><?xml version="1.0" encoding="UTF-8"?>
<Relationships xmlns="http://schemas.openxmlformats.org/package/2006/relationships"><Relationship Id="rId1" Type="http://schemas.openxmlformats.org/officeDocument/2006/relationships/drawing" Target="../drawings/drawing2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4"/>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9"/>
    <col collapsed="false" customWidth="true" hidden="false" outlineLevel="0" max="2" min="2" style="1" width="145"/>
    <col collapsed="false" customWidth="true" hidden="false" outlineLevel="0" max="3" min="3" style="1" width="95"/>
  </cols>
  <sheetData>
    <row r="1" customFormat="false" ht="33.75" hidden="false" customHeight="true" outlineLevel="0" collapsed="false">
      <c r="A1" s="2" t="s">
        <v>0</v>
      </c>
      <c r="B1" s="2"/>
      <c r="C1" s="2"/>
    </row>
    <row r="2" customFormat="false" ht="24.75" hidden="false" customHeight="true" outlineLevel="0" collapsed="false">
      <c r="A2" s="3" t="s">
        <v>1</v>
      </c>
      <c r="B2" s="3"/>
      <c r="C2" s="3"/>
    </row>
    <row r="3" customFormat="false" ht="24.75" hidden="false" customHeight="true" outlineLevel="0" collapsed="false">
      <c r="A3" s="3"/>
      <c r="B3" s="3"/>
      <c r="C3" s="3"/>
    </row>
    <row r="5" customFormat="false" ht="48" hidden="false" customHeight="true" outlineLevel="0" collapsed="false">
      <c r="A5" s="4" t="s">
        <v>2</v>
      </c>
      <c r="B5" s="4" t="s">
        <v>3</v>
      </c>
      <c r="C5" s="4" t="s">
        <v>4</v>
      </c>
    </row>
    <row r="6" customFormat="false" ht="90" hidden="false" customHeight="true" outlineLevel="0" collapsed="false">
      <c r="A6" s="5" t="s">
        <v>5</v>
      </c>
      <c r="B6" s="5" t="s">
        <v>6</v>
      </c>
      <c r="C6" s="5" t="s">
        <v>7</v>
      </c>
    </row>
    <row r="7" customFormat="false" ht="90" hidden="false" customHeight="true" outlineLevel="0" collapsed="false">
      <c r="A7" s="6" t="s">
        <v>8</v>
      </c>
      <c r="B7" s="6" t="s">
        <v>9</v>
      </c>
      <c r="C7" s="6" t="s">
        <v>10</v>
      </c>
    </row>
    <row r="8" customFormat="false" ht="90" hidden="false" customHeight="true" outlineLevel="0" collapsed="false">
      <c r="A8" s="5" t="s">
        <v>11</v>
      </c>
      <c r="B8" s="5" t="s">
        <v>12</v>
      </c>
      <c r="C8" s="5" t="s">
        <v>13</v>
      </c>
    </row>
    <row r="9" customFormat="false" ht="90" hidden="false" customHeight="true" outlineLevel="0" collapsed="false">
      <c r="A9" s="6" t="s">
        <v>14</v>
      </c>
      <c r="B9" s="6" t="s">
        <v>15</v>
      </c>
      <c r="C9" s="6" t="s">
        <v>16</v>
      </c>
    </row>
    <row r="10" customFormat="false" ht="90" hidden="false" customHeight="true" outlineLevel="0" collapsed="false">
      <c r="A10" s="5" t="s">
        <v>17</v>
      </c>
      <c r="B10" s="5" t="s">
        <v>18</v>
      </c>
      <c r="C10" s="5" t="s">
        <v>19</v>
      </c>
    </row>
    <row r="11" customFormat="false" ht="90" hidden="false" customHeight="true" outlineLevel="0" collapsed="false">
      <c r="A11" s="6" t="s">
        <v>20</v>
      </c>
      <c r="B11" s="6" t="s">
        <v>21</v>
      </c>
      <c r="C11" s="6" t="s">
        <v>22</v>
      </c>
    </row>
    <row r="12" customFormat="false" ht="90" hidden="false" customHeight="true" outlineLevel="0" collapsed="false">
      <c r="A12" s="5" t="s">
        <v>23</v>
      </c>
      <c r="B12" s="5" t="s">
        <v>24</v>
      </c>
      <c r="C12" s="5" t="s">
        <v>25</v>
      </c>
    </row>
    <row r="13" customFormat="false" ht="90" hidden="false" customHeight="true" outlineLevel="0" collapsed="false">
      <c r="A13" s="6" t="s">
        <v>26</v>
      </c>
      <c r="B13" s="6" t="s">
        <v>27</v>
      </c>
      <c r="C13" s="6" t="s">
        <v>28</v>
      </c>
    </row>
    <row r="14" customFormat="false" ht="90" hidden="false" customHeight="true" outlineLevel="0" collapsed="false">
      <c r="A14" s="5" t="s">
        <v>29</v>
      </c>
      <c r="B14" s="5" t="s">
        <v>30</v>
      </c>
      <c r="C14" s="5" t="s">
        <v>31</v>
      </c>
    </row>
    <row r="15" customFormat="false" ht="90" hidden="false" customHeight="true" outlineLevel="0" collapsed="false">
      <c r="A15" s="6" t="s">
        <v>32</v>
      </c>
      <c r="B15" s="6" t="s">
        <v>33</v>
      </c>
      <c r="C15" s="6" t="s">
        <v>34</v>
      </c>
    </row>
    <row r="16" customFormat="false" ht="90" hidden="false" customHeight="true" outlineLevel="0" collapsed="false">
      <c r="A16" s="5" t="s">
        <v>35</v>
      </c>
      <c r="B16" s="5" t="s">
        <v>36</v>
      </c>
      <c r="C16" s="5" t="s">
        <v>37</v>
      </c>
    </row>
    <row r="17" customFormat="false" ht="90" hidden="false" customHeight="true" outlineLevel="0" collapsed="false">
      <c r="A17" s="6" t="s">
        <v>38</v>
      </c>
      <c r="B17" s="6" t="s">
        <v>39</v>
      </c>
      <c r="C17" s="6" t="s">
        <v>40</v>
      </c>
    </row>
    <row r="18" customFormat="false" ht="90" hidden="false" customHeight="true" outlineLevel="0" collapsed="false">
      <c r="A18" s="5" t="s">
        <v>41</v>
      </c>
      <c r="B18" s="5" t="s">
        <v>42</v>
      </c>
      <c r="C18" s="5" t="s">
        <v>43</v>
      </c>
    </row>
    <row r="19" customFormat="false" ht="90" hidden="false" customHeight="true" outlineLevel="0" collapsed="false">
      <c r="A19" s="6" t="s">
        <v>44</v>
      </c>
      <c r="B19" s="6" t="s">
        <v>45</v>
      </c>
      <c r="C19" s="6" t="s">
        <v>46</v>
      </c>
    </row>
    <row r="20" customFormat="false" ht="69.75" hidden="false" customHeight="true" outlineLevel="0" collapsed="false">
      <c r="A20" s="6" t="s">
        <v>47</v>
      </c>
      <c r="B20" s="6" t="s">
        <v>48</v>
      </c>
      <c r="C20" s="6" t="s">
        <v>49</v>
      </c>
    </row>
    <row r="21" customFormat="false" ht="99.75" hidden="false" customHeight="true" outlineLevel="0" collapsed="false">
      <c r="A21" s="6" t="s">
        <v>50</v>
      </c>
      <c r="B21" s="6" t="s">
        <v>51</v>
      </c>
      <c r="C21" s="6" t="s">
        <v>52</v>
      </c>
    </row>
    <row r="22" customFormat="false" ht="99.75" hidden="false" customHeight="true" outlineLevel="0" collapsed="false">
      <c r="A22" s="5" t="s">
        <v>53</v>
      </c>
      <c r="B22" s="5" t="s">
        <v>54</v>
      </c>
      <c r="C22" s="5" t="s">
        <v>55</v>
      </c>
    </row>
    <row r="23" customFormat="false" ht="99.75" hidden="false" customHeight="true" outlineLevel="0" collapsed="false">
      <c r="A23" s="6" t="s">
        <v>56</v>
      </c>
      <c r="B23" s="6" t="s">
        <v>57</v>
      </c>
      <c r="C23" s="6" t="s">
        <v>58</v>
      </c>
    </row>
    <row r="24" customFormat="false" ht="99.75" hidden="false" customHeight="true" outlineLevel="0" collapsed="false">
      <c r="A24" s="5" t="s">
        <v>59</v>
      </c>
      <c r="B24" s="5" t="s">
        <v>60</v>
      </c>
      <c r="C24" s="5" t="s">
        <v>61</v>
      </c>
    </row>
  </sheetData>
  <autoFilter ref="A5:C24"/>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1"/>
    <col collapsed="false" customWidth="true" hidden="false" outlineLevel="0" max="2" min="2" style="1" width="42"/>
    <col collapsed="false" customWidth="true" hidden="false" outlineLevel="0" max="3" min="3" style="1" width="44"/>
    <col collapsed="false" customWidth="true" hidden="false" outlineLevel="0" max="4" min="4" style="1" width="65"/>
    <col collapsed="false" customWidth="true" hidden="false" outlineLevel="0" max="5" min="5" style="1" width="47"/>
    <col collapsed="false" customWidth="true" hidden="false" outlineLevel="0" max="6" min="6" style="1" width="35"/>
    <col collapsed="false" customWidth="true" hidden="false" outlineLevel="0" max="7" min="7" style="1" width="38"/>
    <col collapsed="false" customWidth="true" hidden="false" outlineLevel="0" max="8" min="8" style="1" width="46"/>
    <col collapsed="false" customWidth="true" hidden="false" outlineLevel="0" max="9" min="9" style="1" width="90"/>
    <col collapsed="false" customWidth="true" hidden="false" outlineLevel="0" max="10" min="10" style="1" width="65"/>
    <col collapsed="false" customWidth="true" hidden="false" outlineLevel="0" max="11" min="11" style="1" width="90"/>
    <col collapsed="false" customWidth="true" hidden="false" outlineLevel="0" max="12" min="12" style="1" width="47"/>
    <col collapsed="false" customWidth="true" hidden="false" outlineLevel="0" max="15" min="13" style="1" width="39"/>
  </cols>
  <sheetData>
    <row r="1" customFormat="false" ht="33.75" hidden="false" customHeight="true" outlineLevel="0" collapsed="false">
      <c r="A1" s="7" t="s">
        <v>62</v>
      </c>
      <c r="B1" s="7"/>
      <c r="C1" s="7"/>
      <c r="D1" s="7"/>
      <c r="E1" s="7"/>
      <c r="F1" s="7"/>
      <c r="G1" s="7"/>
      <c r="H1" s="7"/>
      <c r="I1" s="7"/>
      <c r="J1" s="7"/>
      <c r="K1" s="7"/>
      <c r="L1" s="7"/>
      <c r="M1" s="7"/>
      <c r="N1" s="7"/>
      <c r="O1" s="7"/>
    </row>
    <row r="2" customFormat="false" ht="24.75" hidden="false" customHeight="true" outlineLevel="0" collapsed="false">
      <c r="A2" s="3" t="s">
        <v>63</v>
      </c>
      <c r="B2" s="3"/>
      <c r="C2" s="3"/>
      <c r="D2" s="3"/>
      <c r="E2" s="3"/>
      <c r="F2" s="3"/>
      <c r="G2" s="3"/>
      <c r="H2" s="3"/>
      <c r="I2" s="3"/>
      <c r="J2" s="3"/>
      <c r="K2" s="3"/>
      <c r="L2" s="3"/>
      <c r="M2" s="3"/>
      <c r="N2" s="3"/>
      <c r="O2" s="3"/>
    </row>
    <row r="3" customFormat="false" ht="24.75" hidden="false" customHeight="true" outlineLevel="0" collapsed="false">
      <c r="A3" s="3"/>
      <c r="B3" s="3"/>
      <c r="C3" s="3"/>
      <c r="D3" s="3"/>
      <c r="E3" s="3"/>
      <c r="F3" s="3"/>
      <c r="G3" s="3"/>
      <c r="H3" s="3"/>
      <c r="I3" s="3"/>
      <c r="J3" s="3"/>
      <c r="K3" s="3"/>
      <c r="L3" s="3"/>
      <c r="M3" s="3"/>
      <c r="N3" s="3"/>
      <c r="O3" s="3"/>
    </row>
    <row r="5" customFormat="false" ht="48" hidden="false" customHeight="true" outlineLevel="0" collapsed="false">
      <c r="A5" s="4" t="s">
        <v>64</v>
      </c>
      <c r="B5" s="4" t="s">
        <v>65</v>
      </c>
      <c r="C5" s="4" t="s">
        <v>66</v>
      </c>
      <c r="D5" s="4" t="s">
        <v>67</v>
      </c>
      <c r="E5" s="4" t="s">
        <v>68</v>
      </c>
      <c r="F5" s="4" t="s">
        <v>69</v>
      </c>
      <c r="G5" s="4" t="s">
        <v>70</v>
      </c>
      <c r="H5" s="4" t="s">
        <v>71</v>
      </c>
      <c r="I5" s="4" t="s">
        <v>72</v>
      </c>
      <c r="J5" s="4" t="s">
        <v>35</v>
      </c>
      <c r="K5" s="4" t="s">
        <v>73</v>
      </c>
      <c r="L5" s="4" t="s">
        <v>74</v>
      </c>
      <c r="M5" s="4" t="s">
        <v>75</v>
      </c>
      <c r="N5" s="4" t="s">
        <v>76</v>
      </c>
      <c r="O5" s="4" t="s">
        <v>77</v>
      </c>
    </row>
    <row r="6" customFormat="false" ht="244.5" hidden="false" customHeight="true" outlineLevel="0" collapsed="false">
      <c r="A6" s="5" t="s">
        <v>78</v>
      </c>
      <c r="B6" s="5" t="s">
        <v>79</v>
      </c>
      <c r="C6" s="5" t="s">
        <v>80</v>
      </c>
      <c r="D6" s="5" t="s">
        <v>81</v>
      </c>
      <c r="E6" s="5" t="s">
        <v>82</v>
      </c>
      <c r="F6" s="5" t="s">
        <v>83</v>
      </c>
      <c r="G6" s="8" t="s">
        <v>84</v>
      </c>
      <c r="H6" s="5" t="s">
        <v>85</v>
      </c>
      <c r="I6" s="5" t="s">
        <v>86</v>
      </c>
      <c r="J6" s="5" t="s">
        <v>87</v>
      </c>
      <c r="K6" s="5" t="s">
        <v>88</v>
      </c>
      <c r="L6" s="5" t="s">
        <v>89</v>
      </c>
      <c r="M6" s="5" t="str">
        <f aca="false">TEXT('Czas budowy'!Y6,"0")&amp;" min bazowo; T="&amp;TEXT('Czas budowy'!V6,"0")&amp;" min; budowa="&amp;TEXT('Czas budowy'!X6,"0")&amp;" min. Kolejka +10%: "&amp;TEXT('Czas budowy'!Y7,"0")&amp;" min (bez czekania)."</f>
        <v>80 min bazowo; T=40 min; budowa=40 min. Kolejka +10%: 90 min (bez czekania).</v>
      </c>
      <c r="N6" s="5" t="str">
        <f aca="false">TEXT('Czas budowy'!Y8,"0")&amp;" min bazowo; T="&amp;TEXT('Czas budowy'!V8,"0")&amp;" min; budowa="&amp;TEXT('Czas budowy'!X8,"0")&amp;" min. Kolejka +10%: "&amp;TEXT('Czas budowy'!Y9,"0")&amp;" min (bez czekania)."</f>
        <v>140 min bazowo; T=70 min; budowa=70 min. Kolejka +10%: 150 min (bez czekania).</v>
      </c>
      <c r="O6" s="5"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6" t="s">
        <v>90</v>
      </c>
      <c r="B7" s="6" t="s">
        <v>91</v>
      </c>
      <c r="C7" s="6" t="s">
        <v>80</v>
      </c>
      <c r="D7" s="6" t="s">
        <v>92</v>
      </c>
      <c r="E7" s="6" t="s">
        <v>82</v>
      </c>
      <c r="F7" s="6" t="s">
        <v>83</v>
      </c>
      <c r="G7" s="8" t="s">
        <v>84</v>
      </c>
      <c r="H7" s="6" t="s">
        <v>93</v>
      </c>
      <c r="I7" s="6" t="s">
        <v>94</v>
      </c>
      <c r="J7" s="6" t="s">
        <v>87</v>
      </c>
      <c r="K7" s="6" t="s">
        <v>95</v>
      </c>
      <c r="L7" s="6" t="s">
        <v>96</v>
      </c>
      <c r="M7" s="6" t="str">
        <f aca="false">TEXT('Czas budowy'!Y12,"0")&amp;" min bazowo; T="&amp;TEXT('Czas budowy'!V12,"0")&amp;" min; budowa="&amp;TEXT('Czas budowy'!X12,"0")&amp;" min. Kolejka +10%: "&amp;TEXT('Czas budowy'!Y13,"0")&amp;" min (bez czekania)."</f>
        <v>80 min bazowo; T=40 min; budowa=40 min. Kolejka +10%: 90 min (bez czekania).</v>
      </c>
      <c r="N7" s="6" t="str">
        <f aca="false">TEXT('Czas budowy'!Y14,"0")&amp;" min bazowo; T="&amp;TEXT('Czas budowy'!V14,"0")&amp;" min; budowa="&amp;TEXT('Czas budowy'!X14,"0")&amp;" min. Kolejka +10%: "&amp;TEXT('Czas budowy'!Y15,"0")&amp;" min (bez czekania)."</f>
        <v>140 min bazowo; T=70 min; budowa=70 min. Kolejka +10%: 150 min (bez czekania).</v>
      </c>
      <c r="O7" s="6"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5" t="s">
        <v>97</v>
      </c>
      <c r="B8" s="5" t="s">
        <v>98</v>
      </c>
      <c r="C8" s="5" t="s">
        <v>99</v>
      </c>
      <c r="D8" s="5" t="s">
        <v>100</v>
      </c>
      <c r="E8" s="5" t="s">
        <v>101</v>
      </c>
      <c r="F8" s="5" t="s">
        <v>83</v>
      </c>
      <c r="G8" s="8" t="s">
        <v>84</v>
      </c>
      <c r="H8" s="5" t="s">
        <v>102</v>
      </c>
      <c r="I8" s="5" t="s">
        <v>103</v>
      </c>
      <c r="J8" s="5" t="s">
        <v>104</v>
      </c>
      <c r="K8" s="5" t="s">
        <v>105</v>
      </c>
      <c r="L8" s="5" t="s">
        <v>106</v>
      </c>
      <c r="M8" s="5" t="str">
        <f aca="false">TEXT('Czas budowy'!Y18,"0")&amp;" min bazowo; T="&amp;TEXT('Czas budowy'!V18,"0")&amp;" min; budowa="&amp;TEXT('Czas budowy'!X18,"0")&amp;" min. Kolejka +10%: "&amp;TEXT('Czas budowy'!Y19,"0")&amp;" min (bez czekania)."</f>
        <v>10 min bazowo; T=5 min; budowa=5 min. Kolejka +10%: 20 min (bez czekania).</v>
      </c>
      <c r="N8" s="5" t="str">
        <f aca="false">TEXT('Czas budowy'!Y20,"0")&amp;" min bazowo; T="&amp;TEXT('Czas budowy'!V20,"0")&amp;" min; budowa="&amp;TEXT('Czas budowy'!X20,"0")&amp;" min. Kolejka +10%: "&amp;TEXT('Czas budowy'!Y21,"0")&amp;" min (bez czekania)."</f>
        <v>20 min bazowo; T=10 min; budowa=10 min. Kolejka +10%: 20 min (bez czekania).</v>
      </c>
      <c r="O8" s="5"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6" t="s">
        <v>107</v>
      </c>
      <c r="B9" s="6" t="s">
        <v>108</v>
      </c>
      <c r="C9" s="6" t="s">
        <v>99</v>
      </c>
      <c r="D9" s="6" t="s">
        <v>100</v>
      </c>
      <c r="E9" s="6" t="s">
        <v>109</v>
      </c>
      <c r="F9" s="6" t="s">
        <v>83</v>
      </c>
      <c r="G9" s="8" t="s">
        <v>84</v>
      </c>
      <c r="H9" s="6" t="s">
        <v>102</v>
      </c>
      <c r="I9" s="6" t="s">
        <v>103</v>
      </c>
      <c r="J9" s="6" t="s">
        <v>104</v>
      </c>
      <c r="K9" s="6"/>
      <c r="L9" s="6" t="s">
        <v>110</v>
      </c>
      <c r="M9" s="6" t="str">
        <f aca="false">TEXT('Czas budowy'!Y24,"0")&amp;" min bazowo; T="&amp;TEXT('Czas budowy'!V24,"0")&amp;" min; budowa="&amp;TEXT('Czas budowy'!X24,"0")&amp;" min. Kolejka +10%: "&amp;TEXT('Czas budowy'!Y25,"0")&amp;" min (bez czekania)."</f>
        <v>10 min bazowo; T=5 min; budowa=5 min. Kolejka +10%: 20 min (bez czekania).</v>
      </c>
      <c r="N9" s="6" t="str">
        <f aca="false">TEXT('Czas budowy'!Y26,"0")&amp;" min bazowo; T="&amp;TEXT('Czas budowy'!V26,"0")&amp;" min; budowa="&amp;TEXT('Czas budowy'!X26,"0")&amp;" min. Kolejka +10%: "&amp;TEXT('Czas budowy'!Y27,"0")&amp;" min (bez czekania)."</f>
        <v>20 min bazowo; T=10 min; budowa=10 min. Kolejka +10%: 20 min (bez czekania).</v>
      </c>
      <c r="O9" s="6" t="str">
        <f aca="false">TEXT('Czas budowy'!Y28,"0")&amp;" min bazowo; T="&amp;TEXT('Czas budowy'!V28,"0")&amp;" min; budowa="&amp;TEXT('Czas budowy'!X28,"0")&amp;" min. Kolejka +10%: "&amp;TEXT('Czas budowy'!Y29,"0")&amp;" min (bez czekania)."</f>
        <v>20 min bazowo; T=10 min; budowa=10 min. Kolejka +10%: 30 min (bez czekania).</v>
      </c>
    </row>
    <row r="10" customFormat="false" ht="244.5" hidden="false" customHeight="true" outlineLevel="0" collapsed="false">
      <c r="A10" s="5" t="s">
        <v>111</v>
      </c>
      <c r="B10" s="5" t="s">
        <v>112</v>
      </c>
      <c r="C10" s="5" t="s">
        <v>99</v>
      </c>
      <c r="D10" s="5" t="s">
        <v>100</v>
      </c>
      <c r="E10" s="5" t="s">
        <v>113</v>
      </c>
      <c r="F10" s="5" t="s">
        <v>83</v>
      </c>
      <c r="G10" s="8" t="s">
        <v>84</v>
      </c>
      <c r="H10" s="5" t="s">
        <v>102</v>
      </c>
      <c r="I10" s="5" t="s">
        <v>103</v>
      </c>
      <c r="J10" s="5" t="s">
        <v>104</v>
      </c>
      <c r="K10" s="5"/>
      <c r="L10" s="5" t="s">
        <v>114</v>
      </c>
      <c r="M10" s="5" t="str">
        <f aca="false">TEXT('Czas budowy'!Y30,"0")&amp;" min bazowo; T="&amp;TEXT('Czas budowy'!V30,"0")&amp;" min; budowa="&amp;TEXT('Czas budowy'!X30,"0")&amp;" min. Kolejka +10%: "&amp;TEXT('Czas budowy'!Y31,"0")&amp;" min (bez czekania)."</f>
        <v>10 min bazowo; T=5 min; budowa=5 min. Kolejka +10%: 10 min (bez czekania).</v>
      </c>
      <c r="N10" s="5" t="str">
        <f aca="false">TEXT('Czas budowy'!Y32,"0")&amp;" min bazowo; T="&amp;TEXT('Czas budowy'!V32,"0")&amp;" min; budowa="&amp;TEXT('Czas budowy'!X32,"0")&amp;" min. Kolejka +10%: "&amp;TEXT('Czas budowy'!Y33,"0")&amp;" min (bez czekania)."</f>
        <v>20 min bazowo; T=10 min; budowa=10 min. Kolejka +10%: 20 min (bez czekania).</v>
      </c>
      <c r="O10" s="5" t="str">
        <f aca="false">TEXT('Czas budowy'!Y34,"0")&amp;" min bazowo; T="&amp;TEXT('Czas budowy'!V34,"0")&amp;" min; budowa="&amp;TEXT('Czas budowy'!X34,"0")&amp;" min. Kolejka +10%: "&amp;TEXT('Czas budowy'!Y35,"0")&amp;" min (bez czekania)."</f>
        <v>20 min bazowo; T=10 min; budowa=10 min. Kolejka +10%: 30 min (bez czekania).</v>
      </c>
    </row>
    <row r="11" customFormat="false" ht="244.5" hidden="false" customHeight="true" outlineLevel="0" collapsed="false">
      <c r="A11" s="6" t="s">
        <v>115</v>
      </c>
      <c r="B11" s="6" t="s">
        <v>116</v>
      </c>
      <c r="C11" s="6" t="s">
        <v>99</v>
      </c>
      <c r="D11" s="6" t="s">
        <v>100</v>
      </c>
      <c r="E11" s="6" t="s">
        <v>117</v>
      </c>
      <c r="F11" s="6" t="s">
        <v>83</v>
      </c>
      <c r="G11" s="8" t="s">
        <v>84</v>
      </c>
      <c r="H11" s="6" t="s">
        <v>102</v>
      </c>
      <c r="I11" s="6" t="s">
        <v>103</v>
      </c>
      <c r="J11" s="6" t="s">
        <v>104</v>
      </c>
      <c r="K11" s="6"/>
      <c r="L11" s="6" t="s">
        <v>118</v>
      </c>
      <c r="M11" s="6" t="str">
        <f aca="false">TEXT('Czas budowy'!Y36,"0")&amp;" min bazowo; T="&amp;TEXT('Czas budowy'!V36,"0")&amp;" min; budowa="&amp;TEXT('Czas budowy'!X36,"0")&amp;" min. Kolejka +10%: "&amp;TEXT('Czas budowy'!Y37,"0")&amp;" min (bez czekania)."</f>
        <v>10 min bazowo; T=5 min; budowa=5 min. Kolejka +10%: 20 min (bez czekania).</v>
      </c>
      <c r="N11" s="6" t="str">
        <f aca="false">TEXT('Czas budowy'!Y38,"0")&amp;" min bazowo; T="&amp;TEXT('Czas budowy'!V38,"0")&amp;" min; budowa="&amp;TEXT('Czas budowy'!X38,"0")&amp;" min. Kolejka +10%: "&amp;TEXT('Czas budowy'!Y39,"0")&amp;" min (bez czekania)."</f>
        <v>20 min bazowo; T=10 min; budowa=10 min. Kolejka +10%: 20 min (bez czekania).</v>
      </c>
      <c r="O11" s="6" t="str">
        <f aca="false">TEXT('Czas budowy'!Y40,"0")&amp;" min bazowo; T="&amp;TEXT('Czas budowy'!V40,"0")&amp;" min; budowa="&amp;TEXT('Czas budowy'!X40,"0")&amp;" min. Kolejka +10%: "&amp;TEXT('Czas budowy'!Y41,"0")&amp;" min (bez czekania)."</f>
        <v>20 min bazowo; T=10 min; budowa=10 min. Kolejka +10%: 30 min (bez czekania).</v>
      </c>
    </row>
    <row r="12" customFormat="false" ht="244.5" hidden="false" customHeight="true" outlineLevel="0" collapsed="false">
      <c r="A12" s="5" t="s">
        <v>119</v>
      </c>
      <c r="B12" s="5" t="s">
        <v>120</v>
      </c>
      <c r="C12" s="5" t="s">
        <v>99</v>
      </c>
      <c r="D12" s="5" t="s">
        <v>100</v>
      </c>
      <c r="E12" s="5" t="s">
        <v>121</v>
      </c>
      <c r="F12" s="5" t="s">
        <v>83</v>
      </c>
      <c r="G12" s="8" t="s">
        <v>84</v>
      </c>
      <c r="H12" s="5" t="s">
        <v>102</v>
      </c>
      <c r="I12" s="5" t="s">
        <v>103</v>
      </c>
      <c r="J12" s="5" t="s">
        <v>104</v>
      </c>
      <c r="K12" s="5"/>
      <c r="L12" s="5" t="s">
        <v>122</v>
      </c>
      <c r="M12" s="5" t="str">
        <f aca="false">TEXT('Czas budowy'!Y42,"0")&amp;" min bazowo; T="&amp;TEXT('Czas budowy'!V42,"0")&amp;" min; budowa="&amp;TEXT('Czas budowy'!X42,"0")&amp;" min. Kolejka +10%: "&amp;TEXT('Czas budowy'!Y43,"0")&amp;" min (bez czekania)."</f>
        <v>10 min bazowo; T=5 min; budowa=5 min. Kolejka +10%: 10 min (bez czekania).</v>
      </c>
      <c r="N12" s="5" t="str">
        <f aca="false">TEXT('Czas budowy'!Y44,"0")&amp;" min bazowo; T="&amp;TEXT('Czas budowy'!V44,"0")&amp;" min; budowa="&amp;TEXT('Czas budowy'!X44,"0")&amp;" min. Kolejka +10%: "&amp;TEXT('Czas budowy'!Y45,"0")&amp;" min (bez czekania)."</f>
        <v>20 min bazowo; T=10 min; budowa=10 min. Kolejka +10%: 20 min (bez czekania).</v>
      </c>
      <c r="O12" s="5" t="str">
        <f aca="false">TEXT('Czas budowy'!Y46,"0")&amp;" min bazowo; T="&amp;TEXT('Czas budowy'!V46,"0")&amp;" min; budowa="&amp;TEXT('Czas budowy'!X46,"0")&amp;" min. Kolejka +10%: "&amp;TEXT('Czas budowy'!Y47,"0")&amp;" min (bez czekania)."</f>
        <v>20 min bazowo; T=10 min; budowa=10 min. Kolejka +10%: 30 min (bez czekania).</v>
      </c>
    </row>
    <row r="13" customFormat="false" ht="244.5" hidden="false" customHeight="true" outlineLevel="0" collapsed="false">
      <c r="A13" s="6" t="s">
        <v>123</v>
      </c>
      <c r="B13" s="6" t="s">
        <v>124</v>
      </c>
      <c r="C13" s="6" t="s">
        <v>99</v>
      </c>
      <c r="D13" s="6" t="s">
        <v>125</v>
      </c>
      <c r="E13" s="6" t="s">
        <v>126</v>
      </c>
      <c r="F13" s="6" t="s">
        <v>83</v>
      </c>
      <c r="G13" s="8" t="s">
        <v>84</v>
      </c>
      <c r="H13" s="6" t="s">
        <v>102</v>
      </c>
      <c r="I13" s="6" t="s">
        <v>127</v>
      </c>
      <c r="J13" s="6" t="s">
        <v>104</v>
      </c>
      <c r="K13" s="6" t="s">
        <v>128</v>
      </c>
      <c r="L13" s="6" t="s">
        <v>129</v>
      </c>
      <c r="M13" s="6" t="str">
        <f aca="false">TEXT('Czas budowy'!Y48,"0")&amp;" min bazowo; T="&amp;TEXT('Czas budowy'!V48,"0")&amp;" min; budowa="&amp;TEXT('Czas budowy'!X48,"0")&amp;" min. Kolejka +10%: "&amp;TEXT('Czas budowy'!Y49,"0")&amp;" min (bez czekania)."</f>
        <v>50 min bazowo; T=25 min; budowa=25 min. Kolejka +10%: 50 min (bez czekania).</v>
      </c>
      <c r="N13" s="6" t="str">
        <f aca="false">TEXT('Czas budowy'!Y50,"0")&amp;" min bazowo; T="&amp;TEXT('Czas budowy'!V50,"0")&amp;" min; budowa="&amp;TEXT('Czas budowy'!X50,"0")&amp;" min. Kolejka +10%: "&amp;TEXT('Czas budowy'!Y51,"0")&amp;" min (bez czekania)."</f>
        <v>90 min bazowo; T=45 min; budowa=45 min. Kolejka +10%: 90 min (bez czekania).</v>
      </c>
      <c r="O13" s="6"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5" t="s">
        <v>130</v>
      </c>
      <c r="B14" s="5" t="s">
        <v>131</v>
      </c>
      <c r="C14" s="5" t="s">
        <v>99</v>
      </c>
      <c r="D14" s="5" t="s">
        <v>125</v>
      </c>
      <c r="E14" s="5" t="s">
        <v>126</v>
      </c>
      <c r="F14" s="5" t="s">
        <v>83</v>
      </c>
      <c r="G14" s="8" t="s">
        <v>84</v>
      </c>
      <c r="H14" s="5" t="s">
        <v>102</v>
      </c>
      <c r="I14" s="5" t="s">
        <v>132</v>
      </c>
      <c r="J14" s="5" t="s">
        <v>104</v>
      </c>
      <c r="K14" s="5" t="s">
        <v>133</v>
      </c>
      <c r="L14" s="5" t="s">
        <v>134</v>
      </c>
      <c r="M14" s="5" t="str">
        <f aca="false">TEXT('Czas budowy'!Y54,"0")&amp;" min bazowo; T="&amp;TEXT('Czas budowy'!V54,"0")&amp;" min; budowa="&amp;TEXT('Czas budowy'!X54,"0")&amp;" min. Kolejka +10%: "&amp;TEXT('Czas budowy'!Y55,"0")&amp;" min (bez czekania)."</f>
        <v>50 min bazowo; T=25 min; budowa=25 min. Kolejka +10%: 50 min (bez czekania).</v>
      </c>
      <c r="N14" s="5" t="str">
        <f aca="false">TEXT('Czas budowy'!Y56,"0")&amp;" min bazowo; T="&amp;TEXT('Czas budowy'!V56,"0")&amp;" min; budowa="&amp;TEXT('Czas budowy'!X56,"0")&amp;" min. Kolejka +10%: "&amp;TEXT('Czas budowy'!Y57,"0")&amp;" min (bez czekania)."</f>
        <v>90 min bazowo; T=45 min; budowa=45 min. Kolejka +10%: 90 min (bez czekania).</v>
      </c>
      <c r="O14" s="5"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6" t="s">
        <v>135</v>
      </c>
      <c r="B15" s="6" t="s">
        <v>136</v>
      </c>
      <c r="C15" s="6" t="s">
        <v>99</v>
      </c>
      <c r="D15" s="6" t="s">
        <v>125</v>
      </c>
      <c r="E15" s="6" t="s">
        <v>137</v>
      </c>
      <c r="F15" s="6" t="s">
        <v>83</v>
      </c>
      <c r="G15" s="8" t="s">
        <v>84</v>
      </c>
      <c r="H15" s="6" t="s">
        <v>102</v>
      </c>
      <c r="I15" s="6" t="s">
        <v>138</v>
      </c>
      <c r="J15" s="6" t="s">
        <v>104</v>
      </c>
      <c r="K15" s="6" t="s">
        <v>139</v>
      </c>
      <c r="L15" s="6" t="s">
        <v>140</v>
      </c>
      <c r="M15" s="6" t="str">
        <f aca="false">TEXT('Czas budowy'!Y60,"0")&amp;" min bazowo; T="&amp;TEXT('Czas budowy'!V60,"0")&amp;" min; budowa="&amp;TEXT('Czas budowy'!X60,"0")&amp;" min. Kolejka +10%: "&amp;TEXT('Czas budowy'!Y61,"0")&amp;" min (bez czekania)."</f>
        <v>60 min bazowo; T=30 min; budowa=30 min. Kolejka +10%: 70 min (bez czekania).</v>
      </c>
      <c r="N15" s="6" t="str">
        <f aca="false">TEXT('Czas budowy'!Y62,"0")&amp;" min bazowo; T="&amp;TEXT('Czas budowy'!V62,"0")&amp;" min; budowa="&amp;TEXT('Czas budowy'!X62,"0")&amp;" min. Kolejka +10%: "&amp;TEXT('Czas budowy'!Y63,"0")&amp;" min (bez czekania)."</f>
        <v>110 min bazowo; T=55 min; budowa=55 min. Kolejka +10%: 120 min (bez czekania).</v>
      </c>
      <c r="O15" s="6"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5" t="s">
        <v>141</v>
      </c>
      <c r="B16" s="5" t="s">
        <v>142</v>
      </c>
      <c r="C16" s="5" t="s">
        <v>143</v>
      </c>
      <c r="D16" s="5" t="s">
        <v>144</v>
      </c>
      <c r="E16" s="5" t="s">
        <v>145</v>
      </c>
      <c r="F16" s="5" t="s">
        <v>146</v>
      </c>
      <c r="G16" s="8" t="s">
        <v>84</v>
      </c>
      <c r="H16" s="5" t="s">
        <v>147</v>
      </c>
      <c r="I16" s="5" t="s">
        <v>148</v>
      </c>
      <c r="J16" s="5" t="s">
        <v>87</v>
      </c>
      <c r="K16" s="5"/>
      <c r="L16" s="5" t="s">
        <v>149</v>
      </c>
      <c r="M16" s="5" t="str">
        <f aca="false">TEXT('Czas budowy'!Y66,"0")&amp;" min bazowo; T="&amp;TEXT('Czas budowy'!V66,"0")&amp;" min; budowa="&amp;TEXT('Czas budowy'!X66,"0")&amp;" min. Kolejka +10%: "&amp;TEXT('Czas budowy'!Y67,"0")&amp;" min (bez czekania)."</f>
        <v>20 min bazowo; T=5 min; budowa=15 min. Kolejka +10%: 20 min (bez czekania).</v>
      </c>
      <c r="N16" s="5" t="str">
        <f aca="false">TEXT('Czas budowy'!Y68,"0")&amp;" min bazowo; T="&amp;TEXT('Czas budowy'!V68,"0")&amp;" min; budowa="&amp;TEXT('Czas budowy'!X68,"0")&amp;" min. Kolejka +10%: "&amp;TEXT('Czas budowy'!Y69,"0")&amp;" min (bez czekania)."</f>
        <v>35 min bazowo; T=5 min; budowa=30 min. Kolejka +10%: 35 min (bez czekania).</v>
      </c>
      <c r="O16" s="5"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6" t="s">
        <v>150</v>
      </c>
      <c r="B17" s="6" t="s">
        <v>151</v>
      </c>
      <c r="C17" s="6" t="s">
        <v>143</v>
      </c>
      <c r="D17" s="6" t="s">
        <v>152</v>
      </c>
      <c r="E17" s="6" t="s">
        <v>153</v>
      </c>
      <c r="F17" s="6" t="s">
        <v>154</v>
      </c>
      <c r="G17" s="8" t="s">
        <v>84</v>
      </c>
      <c r="H17" s="6" t="s">
        <v>155</v>
      </c>
      <c r="I17" s="6" t="s">
        <v>156</v>
      </c>
      <c r="J17" s="6" t="s">
        <v>87</v>
      </c>
      <c r="K17" s="6" t="s">
        <v>157</v>
      </c>
      <c r="L17" s="6" t="s">
        <v>158</v>
      </c>
      <c r="M17" s="6" t="str">
        <f aca="false">TEXT('Czas budowy'!Y72,"0")&amp;" min bazowo; T="&amp;TEXT('Czas budowy'!V72,"0")&amp;" min; budowa="&amp;TEXT('Czas budowy'!X72,"0")&amp;" min. Kolejka +10%: "&amp;TEXT('Czas budowy'!Y73,"0")&amp;" min (bez czekania)."</f>
        <v>200 min bazowo; T=40 min; budowa=160 min. Kolejka +10%: 225 min (bez czekania).</v>
      </c>
      <c r="N17" s="6" t="str">
        <f aca="false">TEXT('Czas budowy'!Y74,"0")&amp;" min bazowo; T="&amp;TEXT('Czas budowy'!V74,"0")&amp;" min; budowa="&amp;TEXT('Czas budowy'!X74,"0")&amp;" min. Kolejka +10%: "&amp;TEXT('Czas budowy'!Y75,"0")&amp;" min (bez czekania)."</f>
        <v>350 min bazowo; T=70 min; budowa=280 min. Kolejka +10%: 375 min (bez czekania).</v>
      </c>
      <c r="O17" s="6"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5" t="s">
        <v>159</v>
      </c>
      <c r="B18" s="5" t="s">
        <v>160</v>
      </c>
      <c r="C18" s="5" t="s">
        <v>161</v>
      </c>
      <c r="D18" s="5" t="s">
        <v>162</v>
      </c>
      <c r="E18" s="5" t="s">
        <v>163</v>
      </c>
      <c r="F18" s="5" t="s">
        <v>164</v>
      </c>
      <c r="G18" s="5" t="s">
        <v>165</v>
      </c>
      <c r="H18" s="5" t="s">
        <v>166</v>
      </c>
      <c r="I18" s="5" t="s">
        <v>167</v>
      </c>
      <c r="J18" s="5" t="s">
        <v>168</v>
      </c>
      <c r="K18" s="5" t="s">
        <v>169</v>
      </c>
      <c r="L18" s="5" t="s">
        <v>170</v>
      </c>
      <c r="M18" s="5" t="s">
        <v>171</v>
      </c>
      <c r="N18" s="5" t="s">
        <v>171</v>
      </c>
      <c r="O18" s="5" t="s">
        <v>171</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3"/>
    <col collapsed="false" customWidth="true" hidden="false" outlineLevel="0" max="2" min="2" style="1" width="87"/>
    <col collapsed="false" customWidth="true" hidden="false" outlineLevel="0" max="3" min="3" style="1" width="75"/>
    <col collapsed="false" customWidth="true" hidden="false" outlineLevel="0" max="4" min="4" style="1" width="115"/>
    <col collapsed="false" customWidth="true" hidden="false" outlineLevel="0" max="5" min="5" style="1" width="60"/>
  </cols>
  <sheetData>
    <row r="1" customFormat="false" ht="33.75" hidden="false" customHeight="true" outlineLevel="0" collapsed="false">
      <c r="A1" s="7" t="s">
        <v>172</v>
      </c>
      <c r="B1" s="7"/>
      <c r="C1" s="7"/>
      <c r="D1" s="7"/>
      <c r="E1" s="7"/>
    </row>
    <row r="2" customFormat="false" ht="24.75" hidden="false" customHeight="true" outlineLevel="0" collapsed="false">
      <c r="A2" s="3" t="s">
        <v>173</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174</v>
      </c>
      <c r="B5" s="4" t="s">
        <v>175</v>
      </c>
      <c r="C5" s="4" t="s">
        <v>176</v>
      </c>
      <c r="D5" s="4" t="s">
        <v>177</v>
      </c>
      <c r="E5" s="4" t="s">
        <v>178</v>
      </c>
    </row>
    <row r="6" customFormat="false" ht="109.5" hidden="false" customHeight="true" outlineLevel="0" collapsed="false">
      <c r="A6" s="5" t="s">
        <v>179</v>
      </c>
      <c r="B6" s="5" t="s">
        <v>180</v>
      </c>
      <c r="C6" s="5" t="s">
        <v>181</v>
      </c>
      <c r="D6" s="5" t="s">
        <v>182</v>
      </c>
      <c r="E6" s="5" t="s">
        <v>183</v>
      </c>
    </row>
    <row r="7" customFormat="false" ht="109.5" hidden="false" customHeight="true" outlineLevel="0" collapsed="false">
      <c r="A7" s="6" t="s">
        <v>184</v>
      </c>
      <c r="B7" s="6" t="s">
        <v>185</v>
      </c>
      <c r="C7" s="6" t="s">
        <v>186</v>
      </c>
      <c r="D7" s="6" t="s">
        <v>187</v>
      </c>
      <c r="E7" s="6" t="s">
        <v>188</v>
      </c>
    </row>
    <row r="8" customFormat="false" ht="109.5" hidden="false" customHeight="true" outlineLevel="0" collapsed="false">
      <c r="A8" s="5" t="s">
        <v>189</v>
      </c>
      <c r="B8" s="5" t="s">
        <v>190</v>
      </c>
      <c r="C8" s="5" t="s">
        <v>191</v>
      </c>
      <c r="D8" s="5" t="s">
        <v>192</v>
      </c>
      <c r="E8" s="5" t="s">
        <v>193</v>
      </c>
    </row>
    <row r="9" customFormat="false" ht="109.5" hidden="false" customHeight="true" outlineLevel="0" collapsed="false">
      <c r="A9" s="6" t="s">
        <v>194</v>
      </c>
      <c r="B9" s="6" t="s">
        <v>195</v>
      </c>
      <c r="C9" s="6" t="s">
        <v>196</v>
      </c>
      <c r="D9" s="6" t="s">
        <v>197</v>
      </c>
      <c r="E9" s="6" t="s">
        <v>198</v>
      </c>
    </row>
    <row r="10" customFormat="false" ht="109.5" hidden="false" customHeight="true" outlineLevel="0" collapsed="false">
      <c r="A10" s="5" t="s">
        <v>199</v>
      </c>
      <c r="B10" s="5" t="s">
        <v>200</v>
      </c>
      <c r="C10" s="5" t="s">
        <v>201</v>
      </c>
      <c r="D10" s="5" t="s">
        <v>202</v>
      </c>
      <c r="E10" s="5" t="s">
        <v>203</v>
      </c>
    </row>
    <row r="11" customFormat="false" ht="109.5" hidden="false" customHeight="true" outlineLevel="0" collapsed="false">
      <c r="A11" s="6" t="s">
        <v>204</v>
      </c>
      <c r="B11" s="6" t="s">
        <v>205</v>
      </c>
      <c r="C11" s="6" t="s">
        <v>206</v>
      </c>
      <c r="D11" s="6" t="s">
        <v>207</v>
      </c>
      <c r="E11" s="6" t="s">
        <v>208</v>
      </c>
    </row>
    <row r="12" customFormat="false" ht="109.5" hidden="false" customHeight="true" outlineLevel="0" collapsed="false">
      <c r="A12" s="5" t="s">
        <v>209</v>
      </c>
      <c r="B12" s="5" t="s">
        <v>210</v>
      </c>
      <c r="C12" s="5" t="s">
        <v>211</v>
      </c>
      <c r="D12" s="5" t="s">
        <v>212</v>
      </c>
      <c r="E12" s="5" t="s">
        <v>213</v>
      </c>
    </row>
    <row r="13" customFormat="false" ht="109.5" hidden="false" customHeight="true" outlineLevel="0" collapsed="false">
      <c r="A13" s="6" t="s">
        <v>214</v>
      </c>
      <c r="B13" s="6" t="s">
        <v>215</v>
      </c>
      <c r="C13" s="6" t="s">
        <v>216</v>
      </c>
      <c r="D13" s="6" t="s">
        <v>217</v>
      </c>
      <c r="E13" s="6" t="s">
        <v>218</v>
      </c>
    </row>
    <row r="14" customFormat="false" ht="109.5" hidden="false" customHeight="true" outlineLevel="0" collapsed="false">
      <c r="A14" s="5" t="s">
        <v>23</v>
      </c>
      <c r="B14" s="5" t="s">
        <v>219</v>
      </c>
      <c r="C14" s="5" t="s">
        <v>220</v>
      </c>
      <c r="D14" s="5" t="s">
        <v>221</v>
      </c>
      <c r="E14" s="5" t="s">
        <v>222</v>
      </c>
    </row>
    <row r="15" customFormat="false" ht="109.5" hidden="false" customHeight="true" outlineLevel="0" collapsed="false">
      <c r="A15" s="6" t="s">
        <v>223</v>
      </c>
      <c r="B15" s="6" t="s">
        <v>224</v>
      </c>
      <c r="C15" s="6" t="s">
        <v>225</v>
      </c>
      <c r="D15" s="6" t="s">
        <v>226</v>
      </c>
      <c r="E15" s="6" t="s">
        <v>227</v>
      </c>
    </row>
    <row r="16" customFormat="false" ht="109.5" hidden="false" customHeight="true" outlineLevel="0" collapsed="false">
      <c r="A16" s="5" t="s">
        <v>228</v>
      </c>
      <c r="B16" s="5" t="s">
        <v>229</v>
      </c>
      <c r="C16" s="5" t="s">
        <v>230</v>
      </c>
      <c r="D16" s="5" t="s">
        <v>231</v>
      </c>
      <c r="E16" s="5" t="s">
        <v>232</v>
      </c>
    </row>
    <row r="17" customFormat="false" ht="109.5" hidden="false" customHeight="true" outlineLevel="0" collapsed="false">
      <c r="A17" s="6" t="s">
        <v>233</v>
      </c>
      <c r="B17" s="6" t="s">
        <v>234</v>
      </c>
      <c r="C17" s="6" t="s">
        <v>235</v>
      </c>
      <c r="D17" s="6" t="s">
        <v>236</v>
      </c>
      <c r="E17" s="6" t="s">
        <v>232</v>
      </c>
    </row>
    <row r="18" customFormat="false" ht="109.5" hidden="false" customHeight="true" outlineLevel="0" collapsed="false">
      <c r="A18" s="5" t="s">
        <v>237</v>
      </c>
      <c r="B18" s="5" t="s">
        <v>238</v>
      </c>
      <c r="C18" s="5" t="s">
        <v>239</v>
      </c>
      <c r="D18" s="5" t="s">
        <v>240</v>
      </c>
      <c r="E18" s="5" t="s">
        <v>232</v>
      </c>
    </row>
    <row r="19" customFormat="false" ht="109.5" hidden="false" customHeight="true" outlineLevel="0" collapsed="false">
      <c r="A19" s="6" t="s">
        <v>241</v>
      </c>
      <c r="B19" s="6" t="s">
        <v>242</v>
      </c>
      <c r="C19" s="6" t="s">
        <v>243</v>
      </c>
      <c r="D19" s="6" t="s">
        <v>244</v>
      </c>
      <c r="E19" s="6" t="s">
        <v>232</v>
      </c>
    </row>
    <row r="20" customFormat="false" ht="109.5" hidden="false" customHeight="true" outlineLevel="0" collapsed="false">
      <c r="A20" s="5" t="s">
        <v>245</v>
      </c>
      <c r="B20" s="5" t="s">
        <v>246</v>
      </c>
      <c r="C20" s="5" t="s">
        <v>247</v>
      </c>
      <c r="D20" s="5" t="s">
        <v>248</v>
      </c>
      <c r="E20" s="5" t="s">
        <v>232</v>
      </c>
    </row>
    <row r="21" customFormat="false" ht="109.5" hidden="false" customHeight="true" outlineLevel="0" collapsed="false">
      <c r="A21" s="6" t="s">
        <v>249</v>
      </c>
      <c r="B21" s="6" t="s">
        <v>250</v>
      </c>
      <c r="C21" s="6" t="s">
        <v>251</v>
      </c>
      <c r="D21" s="6" t="s">
        <v>252</v>
      </c>
      <c r="E21" s="6" t="s">
        <v>232</v>
      </c>
    </row>
    <row r="22" customFormat="false" ht="109.5" hidden="false" customHeight="true" outlineLevel="0" collapsed="false">
      <c r="A22" s="5" t="s">
        <v>253</v>
      </c>
      <c r="B22" s="5" t="s">
        <v>254</v>
      </c>
      <c r="C22" s="5" t="s">
        <v>255</v>
      </c>
      <c r="D22" s="5" t="s">
        <v>256</v>
      </c>
      <c r="E22" s="5" t="s">
        <v>257</v>
      </c>
    </row>
    <row r="23" customFormat="false" ht="109.5" hidden="false" customHeight="true" outlineLevel="0" collapsed="false">
      <c r="A23" s="6" t="s">
        <v>258</v>
      </c>
      <c r="B23" s="6" t="s">
        <v>259</v>
      </c>
      <c r="C23" s="6" t="s">
        <v>260</v>
      </c>
      <c r="D23" s="6" t="s">
        <v>261</v>
      </c>
      <c r="E23" s="6" t="s">
        <v>262</v>
      </c>
    </row>
    <row r="24" customFormat="false" ht="109.5" hidden="false" customHeight="true" outlineLevel="0" collapsed="false">
      <c r="A24" s="5" t="s">
        <v>263</v>
      </c>
      <c r="B24" s="5" t="s">
        <v>264</v>
      </c>
      <c r="C24" s="5" t="s">
        <v>265</v>
      </c>
      <c r="D24" s="5" t="s">
        <v>266</v>
      </c>
      <c r="E24" s="5" t="s">
        <v>232</v>
      </c>
    </row>
    <row r="25" customFormat="false" ht="109.5" hidden="false" customHeight="true" outlineLevel="0" collapsed="false">
      <c r="A25" s="6" t="s">
        <v>267</v>
      </c>
      <c r="B25" s="6" t="s">
        <v>268</v>
      </c>
      <c r="C25" s="6" t="s">
        <v>269</v>
      </c>
      <c r="D25" s="6" t="s">
        <v>270</v>
      </c>
      <c r="E25" s="6" t="s">
        <v>271</v>
      </c>
    </row>
    <row r="26" customFormat="false" ht="109.5" hidden="false" customHeight="true" outlineLevel="0" collapsed="false">
      <c r="A26" s="5" t="s">
        <v>272</v>
      </c>
      <c r="B26" s="5" t="s">
        <v>273</v>
      </c>
      <c r="C26" s="5" t="s">
        <v>274</v>
      </c>
      <c r="D26" s="5" t="s">
        <v>275</v>
      </c>
      <c r="E26" s="5" t="s">
        <v>218</v>
      </c>
    </row>
    <row r="27" customFormat="false" ht="109.5" hidden="false" customHeight="true" outlineLevel="0" collapsed="false">
      <c r="A27" s="6" t="s">
        <v>276</v>
      </c>
      <c r="B27" s="6" t="s">
        <v>277</v>
      </c>
      <c r="C27" s="6" t="s">
        <v>278</v>
      </c>
      <c r="D27" s="6" t="s">
        <v>279</v>
      </c>
      <c r="E27" s="6" t="s">
        <v>232</v>
      </c>
    </row>
    <row r="28" customFormat="false" ht="109.5" hidden="false" customHeight="true" outlineLevel="0" collapsed="false">
      <c r="A28" s="5" t="s">
        <v>280</v>
      </c>
      <c r="B28" s="5" t="s">
        <v>281</v>
      </c>
      <c r="C28" s="5" t="s">
        <v>282</v>
      </c>
      <c r="D28" s="5" t="s">
        <v>283</v>
      </c>
      <c r="E28" s="5" t="s">
        <v>232</v>
      </c>
    </row>
    <row r="29" customFormat="false" ht="109.5" hidden="false" customHeight="true" outlineLevel="0" collapsed="false">
      <c r="A29" s="6" t="s">
        <v>284</v>
      </c>
      <c r="B29" s="6" t="s">
        <v>285</v>
      </c>
      <c r="C29" s="6" t="s">
        <v>286</v>
      </c>
      <c r="D29" s="6" t="s">
        <v>287</v>
      </c>
      <c r="E29" s="6" t="s">
        <v>288</v>
      </c>
    </row>
    <row r="30" customFormat="false" ht="109.5" hidden="false" customHeight="true" outlineLevel="0" collapsed="false">
      <c r="A30" s="5" t="s">
        <v>289</v>
      </c>
      <c r="B30" s="5" t="s">
        <v>290</v>
      </c>
      <c r="C30" s="5" t="s">
        <v>291</v>
      </c>
      <c r="D30" s="5" t="s">
        <v>292</v>
      </c>
      <c r="E30" s="5" t="s">
        <v>293</v>
      </c>
    </row>
    <row r="31" customFormat="false" ht="109.5" hidden="false" customHeight="true" outlineLevel="0" collapsed="false">
      <c r="A31" s="6" t="s">
        <v>294</v>
      </c>
      <c r="B31" s="6" t="s">
        <v>295</v>
      </c>
      <c r="C31" s="6" t="s">
        <v>296</v>
      </c>
      <c r="D31" s="6" t="s">
        <v>297</v>
      </c>
      <c r="E31" s="6" t="s">
        <v>298</v>
      </c>
    </row>
    <row r="32" customFormat="false" ht="109.5" hidden="false" customHeight="true" outlineLevel="0" collapsed="false">
      <c r="A32" s="5" t="s">
        <v>299</v>
      </c>
      <c r="B32" s="5" t="s">
        <v>300</v>
      </c>
      <c r="C32" s="5" t="s">
        <v>301</v>
      </c>
      <c r="D32" s="5" t="s">
        <v>302</v>
      </c>
      <c r="E32" s="5" t="s">
        <v>303</v>
      </c>
    </row>
    <row r="33" customFormat="false" ht="109.5" hidden="false" customHeight="true" outlineLevel="0" collapsed="false">
      <c r="A33" s="6" t="s">
        <v>304</v>
      </c>
      <c r="B33" s="6" t="s">
        <v>305</v>
      </c>
      <c r="C33" s="6" t="s">
        <v>306</v>
      </c>
      <c r="D33" s="6" t="s">
        <v>307</v>
      </c>
      <c r="E33" s="6" t="s">
        <v>308</v>
      </c>
    </row>
    <row r="34" customFormat="false" ht="109.5" hidden="false" customHeight="true" outlineLevel="0" collapsed="false">
      <c r="A34" s="5" t="s">
        <v>309</v>
      </c>
      <c r="B34" s="5" t="s">
        <v>310</v>
      </c>
      <c r="C34" s="5" t="s">
        <v>311</v>
      </c>
      <c r="D34" s="5" t="s">
        <v>312</v>
      </c>
      <c r="E34" s="5" t="s">
        <v>313</v>
      </c>
    </row>
    <row r="35" customFormat="false" ht="109.5" hidden="false" customHeight="true" outlineLevel="0" collapsed="false">
      <c r="A35" s="6" t="s">
        <v>314</v>
      </c>
      <c r="B35" s="6" t="s">
        <v>315</v>
      </c>
      <c r="C35" s="6" t="s">
        <v>316</v>
      </c>
      <c r="D35" s="6" t="s">
        <v>317</v>
      </c>
      <c r="E35" s="6" t="s">
        <v>318</v>
      </c>
    </row>
    <row r="36" customFormat="false" ht="109.5" hidden="false" customHeight="true" outlineLevel="0" collapsed="false">
      <c r="A36" s="5" t="s">
        <v>319</v>
      </c>
      <c r="B36" s="5" t="s">
        <v>320</v>
      </c>
      <c r="C36" s="5" t="s">
        <v>321</v>
      </c>
      <c r="D36" s="5" t="s">
        <v>322</v>
      </c>
      <c r="E36" s="5" t="s">
        <v>208</v>
      </c>
    </row>
    <row r="37" customFormat="false" ht="109.5" hidden="false" customHeight="true" outlineLevel="0" collapsed="false">
      <c r="A37" s="6" t="s">
        <v>323</v>
      </c>
      <c r="B37" s="6" t="s">
        <v>324</v>
      </c>
      <c r="C37" s="6" t="s">
        <v>325</v>
      </c>
      <c r="D37" s="6" t="s">
        <v>326</v>
      </c>
      <c r="E37" s="6" t="s">
        <v>327</v>
      </c>
    </row>
  </sheetData>
  <autoFilter ref="A5:E3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90"/>
    <col collapsed="false" customWidth="true" hidden="false" outlineLevel="0" max="3" min="3" style="0" width="78"/>
    <col collapsed="false" customWidth="true" hidden="false" outlineLevel="0" max="4" min="4" style="0" width="115"/>
    <col collapsed="false" customWidth="true" hidden="false" outlineLevel="0" max="5" min="5" style="0" width="55"/>
  </cols>
  <sheetData>
    <row r="1" customFormat="false" ht="33.75" hidden="false" customHeight="true" outlineLevel="0" collapsed="false">
      <c r="A1" s="9" t="s">
        <v>328</v>
      </c>
      <c r="B1" s="9"/>
      <c r="C1" s="9"/>
      <c r="D1" s="9"/>
      <c r="E1" s="9"/>
    </row>
    <row r="2" customFormat="false" ht="27" hidden="false" customHeight="true" outlineLevel="0" collapsed="false">
      <c r="A2" s="3" t="s">
        <v>329</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330</v>
      </c>
      <c r="B5" s="4" t="s">
        <v>175</v>
      </c>
      <c r="C5" s="4" t="s">
        <v>331</v>
      </c>
      <c r="D5" s="4" t="s">
        <v>332</v>
      </c>
      <c r="E5" s="4" t="s">
        <v>178</v>
      </c>
    </row>
    <row r="6" customFormat="false" ht="99.75" hidden="false" customHeight="true" outlineLevel="0" collapsed="false">
      <c r="A6" s="5" t="s">
        <v>333</v>
      </c>
      <c r="B6" s="5" t="s">
        <v>334</v>
      </c>
      <c r="C6" s="5" t="s">
        <v>335</v>
      </c>
      <c r="D6" s="5" t="s">
        <v>336</v>
      </c>
      <c r="E6" s="5" t="s">
        <v>337</v>
      </c>
    </row>
    <row r="7" customFormat="false" ht="99.75" hidden="false" customHeight="true" outlineLevel="0" collapsed="false">
      <c r="A7" s="6" t="s">
        <v>338</v>
      </c>
      <c r="B7" s="6" t="s">
        <v>339</v>
      </c>
      <c r="C7" s="6" t="s">
        <v>340</v>
      </c>
      <c r="D7" s="6" t="s">
        <v>341</v>
      </c>
      <c r="E7" s="6" t="s">
        <v>342</v>
      </c>
    </row>
    <row r="8" customFormat="false" ht="99.75" hidden="false" customHeight="true" outlineLevel="0" collapsed="false">
      <c r="A8" s="5" t="s">
        <v>343</v>
      </c>
      <c r="B8" s="5" t="s">
        <v>344</v>
      </c>
      <c r="C8" s="5" t="s">
        <v>345</v>
      </c>
      <c r="D8" s="5" t="s">
        <v>346</v>
      </c>
      <c r="E8" s="5" t="s">
        <v>347</v>
      </c>
    </row>
    <row r="9" customFormat="false" ht="99.75" hidden="false" customHeight="true" outlineLevel="0" collapsed="false">
      <c r="A9" s="6" t="s">
        <v>348</v>
      </c>
      <c r="B9" s="6" t="s">
        <v>349</v>
      </c>
      <c r="C9" s="6" t="s">
        <v>350</v>
      </c>
      <c r="D9" s="6" t="s">
        <v>351</v>
      </c>
      <c r="E9" s="6" t="s">
        <v>352</v>
      </c>
    </row>
    <row r="10" customFormat="false" ht="99.75" hidden="false" customHeight="true" outlineLevel="0" collapsed="false">
      <c r="A10" s="5" t="s">
        <v>353</v>
      </c>
      <c r="B10" s="5" t="s">
        <v>354</v>
      </c>
      <c r="C10" s="5" t="s">
        <v>355</v>
      </c>
      <c r="D10" s="5" t="s">
        <v>356</v>
      </c>
      <c r="E10" s="5" t="s">
        <v>352</v>
      </c>
    </row>
    <row r="11" customFormat="false" ht="99.75" hidden="false" customHeight="true" outlineLevel="0" collapsed="false">
      <c r="A11" s="6" t="s">
        <v>357</v>
      </c>
      <c r="B11" s="6" t="s">
        <v>358</v>
      </c>
      <c r="C11" s="6" t="s">
        <v>359</v>
      </c>
      <c r="D11" s="6" t="s">
        <v>360</v>
      </c>
      <c r="E11" s="6" t="s">
        <v>342</v>
      </c>
    </row>
    <row r="12" customFormat="false" ht="99.75" hidden="false" customHeight="true" outlineLevel="0" collapsed="false">
      <c r="A12" s="5" t="s">
        <v>361</v>
      </c>
      <c r="B12" s="5" t="s">
        <v>362</v>
      </c>
      <c r="C12" s="5" t="s">
        <v>363</v>
      </c>
      <c r="D12" s="5" t="s">
        <v>364</v>
      </c>
      <c r="E12" s="5" t="s">
        <v>365</v>
      </c>
    </row>
    <row r="13" customFormat="false" ht="99.75" hidden="false" customHeight="true" outlineLevel="0" collapsed="false">
      <c r="A13" s="6" t="s">
        <v>366</v>
      </c>
      <c r="B13" s="6" t="s">
        <v>367</v>
      </c>
      <c r="C13" s="6" t="s">
        <v>368</v>
      </c>
      <c r="D13" s="6" t="s">
        <v>369</v>
      </c>
      <c r="E13" s="6" t="s">
        <v>370</v>
      </c>
    </row>
    <row r="14" customFormat="false" ht="99.75" hidden="false" customHeight="true" outlineLevel="0" collapsed="false">
      <c r="A14" s="5" t="s">
        <v>371</v>
      </c>
      <c r="B14" s="5" t="s">
        <v>372</v>
      </c>
      <c r="C14" s="5" t="s">
        <v>373</v>
      </c>
      <c r="D14" s="5" t="s">
        <v>374</v>
      </c>
      <c r="E14" s="5" t="s">
        <v>375</v>
      </c>
    </row>
    <row r="15" customFormat="false" ht="99.75" hidden="false" customHeight="true" outlineLevel="0" collapsed="false">
      <c r="A15" s="6" t="s">
        <v>376</v>
      </c>
      <c r="B15" s="6" t="s">
        <v>372</v>
      </c>
      <c r="C15" s="6" t="s">
        <v>373</v>
      </c>
      <c r="D15" s="6" t="s">
        <v>377</v>
      </c>
      <c r="E15" s="6" t="s">
        <v>378</v>
      </c>
    </row>
    <row r="16" customFormat="false" ht="99.75" hidden="false" customHeight="true" outlineLevel="0" collapsed="false">
      <c r="A16" s="5" t="s">
        <v>379</v>
      </c>
      <c r="B16" s="5" t="s">
        <v>380</v>
      </c>
      <c r="C16" s="5" t="s">
        <v>381</v>
      </c>
      <c r="D16" s="5" t="s">
        <v>382</v>
      </c>
      <c r="E16" s="5" t="s">
        <v>383</v>
      </c>
    </row>
    <row r="17" customFormat="false" ht="99.75" hidden="false" customHeight="true" outlineLevel="0" collapsed="false">
      <c r="A17" s="6" t="s">
        <v>384</v>
      </c>
      <c r="B17" s="6" t="s">
        <v>385</v>
      </c>
      <c r="C17" s="6" t="s">
        <v>386</v>
      </c>
      <c r="D17" s="6" t="s">
        <v>387</v>
      </c>
      <c r="E17" s="6" t="s">
        <v>388</v>
      </c>
    </row>
    <row r="18" customFormat="false" ht="99.75" hidden="false" customHeight="true" outlineLevel="0" collapsed="false">
      <c r="A18" s="5" t="s">
        <v>389</v>
      </c>
      <c r="B18" s="5" t="s">
        <v>390</v>
      </c>
      <c r="C18" s="5" t="s">
        <v>391</v>
      </c>
      <c r="D18" s="5" t="s">
        <v>392</v>
      </c>
      <c r="E18" s="5" t="s">
        <v>393</v>
      </c>
    </row>
    <row r="19" customFormat="false" ht="99.75" hidden="false" customHeight="true" outlineLevel="0" collapsed="false">
      <c r="A19" s="6" t="s">
        <v>394</v>
      </c>
      <c r="B19" s="6" t="s">
        <v>395</v>
      </c>
      <c r="C19" s="6" t="s">
        <v>396</v>
      </c>
      <c r="D19" s="6" t="s">
        <v>397</v>
      </c>
      <c r="E19" s="6" t="s">
        <v>398</v>
      </c>
    </row>
    <row r="20" customFormat="false" ht="105" hidden="false" customHeight="true" outlineLevel="0" collapsed="false">
      <c r="A20" s="5" t="s">
        <v>399</v>
      </c>
      <c r="B20" s="5" t="s">
        <v>400</v>
      </c>
      <c r="C20" s="5" t="s">
        <v>401</v>
      </c>
      <c r="D20" s="5" t="s">
        <v>402</v>
      </c>
      <c r="E20" s="5" t="s">
        <v>403</v>
      </c>
    </row>
    <row r="21" customFormat="false" ht="105" hidden="false" customHeight="true" outlineLevel="0" collapsed="false">
      <c r="A21" s="6" t="s">
        <v>404</v>
      </c>
      <c r="B21" s="6" t="s">
        <v>405</v>
      </c>
      <c r="C21" s="6" t="s">
        <v>406</v>
      </c>
      <c r="D21" s="6" t="s">
        <v>407</v>
      </c>
      <c r="E21" s="6" t="s">
        <v>408</v>
      </c>
    </row>
    <row r="22" customFormat="false" ht="105" hidden="false" customHeight="true" outlineLevel="0" collapsed="false">
      <c r="A22" s="5" t="s">
        <v>409</v>
      </c>
      <c r="B22" s="5" t="s">
        <v>410</v>
      </c>
      <c r="C22" s="5" t="s">
        <v>411</v>
      </c>
      <c r="D22" s="5" t="s">
        <v>412</v>
      </c>
      <c r="E22" s="5" t="s">
        <v>403</v>
      </c>
    </row>
    <row r="23" customFormat="false" ht="105" hidden="false" customHeight="true" outlineLevel="0" collapsed="false">
      <c r="A23" s="6" t="s">
        <v>413</v>
      </c>
      <c r="B23" s="6" t="s">
        <v>414</v>
      </c>
      <c r="C23" s="6" t="s">
        <v>415</v>
      </c>
      <c r="D23" s="6" t="s">
        <v>416</v>
      </c>
      <c r="E23" s="6" t="s">
        <v>398</v>
      </c>
    </row>
    <row r="24" customFormat="false" ht="105" hidden="false" customHeight="true" outlineLevel="0" collapsed="false">
      <c r="A24" s="5" t="s">
        <v>417</v>
      </c>
      <c r="B24" s="5" t="s">
        <v>418</v>
      </c>
      <c r="C24" s="5" t="s">
        <v>419</v>
      </c>
      <c r="D24" s="5" t="s">
        <v>420</v>
      </c>
      <c r="E24" s="5" t="s">
        <v>398</v>
      </c>
    </row>
    <row r="25" customFormat="false" ht="105" hidden="false" customHeight="true" outlineLevel="0" collapsed="false">
      <c r="A25" s="6" t="s">
        <v>421</v>
      </c>
      <c r="B25" s="6" t="s">
        <v>422</v>
      </c>
      <c r="C25" s="6" t="s">
        <v>423</v>
      </c>
      <c r="D25" s="6" t="s">
        <v>424</v>
      </c>
      <c r="E25" s="6" t="s">
        <v>398</v>
      </c>
    </row>
    <row r="26" customFormat="false" ht="105" hidden="false" customHeight="true" outlineLevel="0" collapsed="false">
      <c r="A26" s="5" t="s">
        <v>425</v>
      </c>
      <c r="B26" s="5" t="s">
        <v>426</v>
      </c>
      <c r="C26" s="5" t="s">
        <v>427</v>
      </c>
      <c r="D26" s="5" t="s">
        <v>428</v>
      </c>
      <c r="E26" s="5" t="s">
        <v>398</v>
      </c>
    </row>
    <row r="27" customFormat="false" ht="105" hidden="false" customHeight="true" outlineLevel="0" collapsed="false">
      <c r="A27" s="6" t="s">
        <v>429</v>
      </c>
      <c r="B27" s="6" t="s">
        <v>430</v>
      </c>
      <c r="C27" s="6" t="s">
        <v>431</v>
      </c>
      <c r="D27" s="6" t="s">
        <v>432</v>
      </c>
      <c r="E27" s="6" t="s">
        <v>433</v>
      </c>
    </row>
  </sheetData>
  <autoFilter ref="A5:E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1"/>
    <col collapsed="false" customWidth="true" hidden="false" outlineLevel="0" max="3" min="3" style="0" width="29"/>
    <col collapsed="false" customWidth="true" hidden="false" outlineLevel="0" max="4" min="4" style="0" width="24"/>
    <col collapsed="false" customWidth="true" hidden="false" outlineLevel="0" max="5" min="5" style="0" width="25"/>
    <col collapsed="false" customWidth="true" hidden="false" outlineLevel="0" max="6" min="6" style="0" width="30"/>
    <col collapsed="false" customWidth="true" hidden="false" outlineLevel="0" max="7" min="7" style="0" width="110"/>
  </cols>
  <sheetData>
    <row r="1" customFormat="false" ht="33.75" hidden="false" customHeight="true" outlineLevel="0" collapsed="false">
      <c r="A1" s="9" t="s">
        <v>434</v>
      </c>
      <c r="B1" s="9"/>
      <c r="C1" s="9"/>
      <c r="D1" s="9"/>
      <c r="E1" s="9"/>
      <c r="F1" s="9"/>
      <c r="G1" s="9"/>
    </row>
    <row r="2" customFormat="false" ht="27" hidden="false" customHeight="true" outlineLevel="0" collapsed="false">
      <c r="A2" s="3" t="s">
        <v>435</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436</v>
      </c>
      <c r="B5" s="4" t="s">
        <v>437</v>
      </c>
      <c r="C5" s="4" t="s">
        <v>438</v>
      </c>
      <c r="D5" s="4" t="s">
        <v>439</v>
      </c>
      <c r="E5" s="4" t="s">
        <v>440</v>
      </c>
      <c r="F5" s="4" t="s">
        <v>441</v>
      </c>
      <c r="G5" s="4" t="s">
        <v>332</v>
      </c>
    </row>
    <row r="6" customFormat="false" ht="64.5" hidden="false" customHeight="true" outlineLevel="0" collapsed="false">
      <c r="A6" s="10" t="n">
        <v>1.5</v>
      </c>
      <c r="B6" s="11" t="n">
        <v>0.25</v>
      </c>
      <c r="C6" s="5" t="n">
        <f aca="false">A6*B6</f>
        <v>0.375</v>
      </c>
      <c r="D6" s="5" t="n">
        <f aca="false">A6-C6</f>
        <v>1.125</v>
      </c>
      <c r="E6" s="5" t="n">
        <f aca="false">ROUNDDOWN(C6,0)*Parametry!$C$42</f>
        <v>0</v>
      </c>
      <c r="F6" s="12" t="n">
        <f aca="false">E6/Parametry!$C$41</f>
        <v>0</v>
      </c>
      <c r="G6" s="5" t="s">
        <v>442</v>
      </c>
    </row>
    <row r="7" customFormat="false" ht="64.5" hidden="false" customHeight="true" outlineLevel="0" collapsed="false">
      <c r="A7" s="10" t="n">
        <v>1.5</v>
      </c>
      <c r="B7" s="11" t="n">
        <v>0.5</v>
      </c>
      <c r="C7" s="6" t="n">
        <f aca="false">A7*B7</f>
        <v>0.75</v>
      </c>
      <c r="D7" s="6" t="n">
        <f aca="false">A7-C7</f>
        <v>0.75</v>
      </c>
      <c r="E7" s="6" t="n">
        <f aca="false">ROUNDDOWN(C7,0)*Parametry!$C$42</f>
        <v>0</v>
      </c>
      <c r="F7" s="13" t="n">
        <f aca="false">E7/Parametry!$C$41</f>
        <v>0</v>
      </c>
      <c r="G7" s="6" t="s">
        <v>442</v>
      </c>
    </row>
    <row r="8" customFormat="false" ht="64.5" hidden="false" customHeight="true" outlineLevel="0" collapsed="false">
      <c r="A8" s="10" t="n">
        <v>1.5</v>
      </c>
      <c r="B8" s="11" t="n">
        <v>0.75</v>
      </c>
      <c r="C8" s="5" t="n">
        <f aca="false">A8*B8</f>
        <v>1.125</v>
      </c>
      <c r="D8" s="5" t="n">
        <f aca="false">A8-C8</f>
        <v>0.375</v>
      </c>
      <c r="E8" s="5" t="n">
        <f aca="false">ROUNDDOWN(C8,0)*Parametry!$C$42</f>
        <v>1</v>
      </c>
      <c r="F8" s="12" t="n">
        <f aca="false">E8/Parametry!$C$41</f>
        <v>0.1</v>
      </c>
      <c r="G8" s="5" t="s">
        <v>442</v>
      </c>
    </row>
    <row r="9" customFormat="false" ht="64.5" hidden="false" customHeight="true" outlineLevel="0" collapsed="false">
      <c r="A9" s="10" t="n">
        <v>10</v>
      </c>
      <c r="B9" s="11" t="n">
        <v>0.25</v>
      </c>
      <c r="C9" s="6" t="n">
        <f aca="false">A9*B9</f>
        <v>2.5</v>
      </c>
      <c r="D9" s="6" t="n">
        <f aca="false">A9-C9</f>
        <v>7.5</v>
      </c>
      <c r="E9" s="6" t="n">
        <f aca="false">ROUNDDOWN(C9,0)*Parametry!$C$42</f>
        <v>2</v>
      </c>
      <c r="F9" s="13" t="n">
        <f aca="false">E9/Parametry!$C$41</f>
        <v>0.2</v>
      </c>
      <c r="G9" s="6" t="s">
        <v>442</v>
      </c>
    </row>
    <row r="10" customFormat="false" ht="64.5" hidden="false" customHeight="true" outlineLevel="0" collapsed="false">
      <c r="A10" s="10" t="n">
        <v>10</v>
      </c>
      <c r="B10" s="11" t="n">
        <v>0.5</v>
      </c>
      <c r="C10" s="5" t="n">
        <f aca="false">A10*B10</f>
        <v>5</v>
      </c>
      <c r="D10" s="5" t="n">
        <f aca="false">A10-C10</f>
        <v>5</v>
      </c>
      <c r="E10" s="5" t="n">
        <f aca="false">ROUNDDOWN(C10,0)*Parametry!$C$42</f>
        <v>5</v>
      </c>
      <c r="F10" s="12" t="n">
        <f aca="false">E10/Parametry!$C$41</f>
        <v>0.5</v>
      </c>
      <c r="G10" s="5" t="s">
        <v>442</v>
      </c>
    </row>
    <row r="11" customFormat="false" ht="64.5" hidden="false" customHeight="true" outlineLevel="0" collapsed="false">
      <c r="A11" s="10" t="n">
        <v>10</v>
      </c>
      <c r="B11" s="11" t="n">
        <v>0.75</v>
      </c>
      <c r="C11" s="6" t="n">
        <f aca="false">A11*B11</f>
        <v>7.5</v>
      </c>
      <c r="D11" s="6" t="n">
        <f aca="false">A11-C11</f>
        <v>2.5</v>
      </c>
      <c r="E11" s="6" t="n">
        <f aca="false">ROUNDDOWN(C11,0)*Parametry!$C$42</f>
        <v>7</v>
      </c>
      <c r="F11" s="13" t="n">
        <f aca="false">E11/Parametry!$C$41</f>
        <v>0.7</v>
      </c>
      <c r="G11" s="6" t="s">
        <v>442</v>
      </c>
    </row>
    <row r="12" customFormat="false" ht="64.5" hidden="false" customHeight="true" outlineLevel="0" collapsed="false">
      <c r="A12" s="10" t="n">
        <v>25</v>
      </c>
      <c r="B12" s="11" t="n">
        <v>0.25</v>
      </c>
      <c r="C12" s="5" t="n">
        <f aca="false">A12*B12</f>
        <v>6.25</v>
      </c>
      <c r="D12" s="5" t="n">
        <f aca="false">A12-C12</f>
        <v>18.75</v>
      </c>
      <c r="E12" s="5" t="n">
        <f aca="false">ROUNDDOWN(C12,0)*Parametry!$C$42</f>
        <v>6</v>
      </c>
      <c r="F12" s="12" t="n">
        <f aca="false">E12/Parametry!$C$41</f>
        <v>0.6</v>
      </c>
      <c r="G12" s="5" t="s">
        <v>442</v>
      </c>
    </row>
    <row r="13" customFormat="false" ht="64.5" hidden="false" customHeight="true" outlineLevel="0" collapsed="false">
      <c r="A13" s="10" t="n">
        <v>25</v>
      </c>
      <c r="B13" s="11" t="n">
        <v>0.5</v>
      </c>
      <c r="C13" s="6" t="n">
        <f aca="false">A13*B13</f>
        <v>12.5</v>
      </c>
      <c r="D13" s="6" t="n">
        <f aca="false">A13-C13</f>
        <v>12.5</v>
      </c>
      <c r="E13" s="6" t="n">
        <f aca="false">ROUNDDOWN(C13,0)*Parametry!$C$42</f>
        <v>12</v>
      </c>
      <c r="F13" s="13" t="n">
        <f aca="false">E13/Parametry!$C$41</f>
        <v>1.2</v>
      </c>
      <c r="G13" s="6" t="s">
        <v>442</v>
      </c>
    </row>
    <row r="14" customFormat="false" ht="64.5" hidden="false" customHeight="true" outlineLevel="0" collapsed="false">
      <c r="A14" s="10" t="n">
        <v>25</v>
      </c>
      <c r="B14" s="11" t="n">
        <v>0.75</v>
      </c>
      <c r="C14" s="5" t="n">
        <f aca="false">A14*B14</f>
        <v>18.75</v>
      </c>
      <c r="D14" s="5" t="n">
        <f aca="false">A14-C14</f>
        <v>6.25</v>
      </c>
      <c r="E14" s="5" t="n">
        <f aca="false">ROUNDDOWN(C14,0)*Parametry!$C$42</f>
        <v>18</v>
      </c>
      <c r="F14" s="12" t="n">
        <f aca="false">E14/Parametry!$C$41</f>
        <v>1.8</v>
      </c>
      <c r="G14" s="5" t="s">
        <v>442</v>
      </c>
    </row>
    <row r="15" customFormat="false" ht="64.5" hidden="false" customHeight="true" outlineLevel="0" collapsed="false">
      <c r="A15" s="10" t="n">
        <v>60</v>
      </c>
      <c r="B15" s="11" t="n">
        <v>0.25</v>
      </c>
      <c r="C15" s="6" t="n">
        <f aca="false">A15*B15</f>
        <v>15</v>
      </c>
      <c r="D15" s="6" t="n">
        <f aca="false">A15-C15</f>
        <v>45</v>
      </c>
      <c r="E15" s="6" t="n">
        <f aca="false">ROUNDDOWN(C15,0)*Parametry!$C$42</f>
        <v>15</v>
      </c>
      <c r="F15" s="13" t="n">
        <f aca="false">E15/Parametry!$C$41</f>
        <v>1.5</v>
      </c>
      <c r="G15" s="6" t="s">
        <v>442</v>
      </c>
    </row>
    <row r="16" customFormat="false" ht="64.5" hidden="false" customHeight="true" outlineLevel="0" collapsed="false">
      <c r="A16" s="10" t="n">
        <v>60</v>
      </c>
      <c r="B16" s="11" t="n">
        <v>0.5</v>
      </c>
      <c r="C16" s="5" t="n">
        <f aca="false">A16*B16</f>
        <v>30</v>
      </c>
      <c r="D16" s="5" t="n">
        <f aca="false">A16-C16</f>
        <v>30</v>
      </c>
      <c r="E16" s="5" t="n">
        <f aca="false">ROUNDDOWN(C16,0)*Parametry!$C$42</f>
        <v>30</v>
      </c>
      <c r="F16" s="12" t="n">
        <f aca="false">E16/Parametry!$C$41</f>
        <v>3</v>
      </c>
      <c r="G16" s="5" t="s">
        <v>442</v>
      </c>
    </row>
    <row r="17" customFormat="false" ht="64.5" hidden="false" customHeight="true" outlineLevel="0" collapsed="false">
      <c r="A17" s="10" t="n">
        <v>60</v>
      </c>
      <c r="B17" s="11" t="n">
        <v>0.75</v>
      </c>
      <c r="C17" s="6" t="n">
        <f aca="false">A17*B17</f>
        <v>45</v>
      </c>
      <c r="D17" s="6" t="n">
        <f aca="false">A17-C17</f>
        <v>15</v>
      </c>
      <c r="E17" s="6" t="n">
        <f aca="false">ROUNDDOWN(C17,0)*Parametry!$C$42</f>
        <v>45</v>
      </c>
      <c r="F17" s="13" t="n">
        <f aca="false">E17/Parametry!$C$41</f>
        <v>4.5</v>
      </c>
      <c r="G17" s="6" t="s">
        <v>442</v>
      </c>
    </row>
    <row r="18" customFormat="false" ht="64.5" hidden="false" customHeight="true" outlineLevel="0" collapsed="false">
      <c r="A18" s="10" t="n">
        <v>120</v>
      </c>
      <c r="B18" s="11" t="n">
        <v>0.25</v>
      </c>
      <c r="C18" s="5" t="n">
        <f aca="false">A18*B18</f>
        <v>30</v>
      </c>
      <c r="D18" s="5" t="n">
        <f aca="false">A18-C18</f>
        <v>90</v>
      </c>
      <c r="E18" s="5" t="n">
        <f aca="false">ROUNDDOWN(C18,0)*Parametry!$C$42</f>
        <v>30</v>
      </c>
      <c r="F18" s="12" t="n">
        <f aca="false">E18/Parametry!$C$41</f>
        <v>3</v>
      </c>
      <c r="G18" s="5" t="s">
        <v>442</v>
      </c>
    </row>
    <row r="19" customFormat="false" ht="64.5" hidden="false" customHeight="true" outlineLevel="0" collapsed="false">
      <c r="A19" s="10" t="n">
        <v>120</v>
      </c>
      <c r="B19" s="11" t="n">
        <v>0.5</v>
      </c>
      <c r="C19" s="6" t="n">
        <f aca="false">A19*B19</f>
        <v>60</v>
      </c>
      <c r="D19" s="6" t="n">
        <f aca="false">A19-C19</f>
        <v>60</v>
      </c>
      <c r="E19" s="6" t="n">
        <f aca="false">ROUNDDOWN(C19,0)*Parametry!$C$42</f>
        <v>60</v>
      </c>
      <c r="F19" s="13" t="n">
        <f aca="false">E19/Parametry!$C$41</f>
        <v>6</v>
      </c>
      <c r="G19" s="6" t="s">
        <v>442</v>
      </c>
    </row>
    <row r="20" customFormat="false" ht="64.5" hidden="false" customHeight="true" outlineLevel="0" collapsed="false">
      <c r="A20" s="10" t="n">
        <v>120</v>
      </c>
      <c r="B20" s="11" t="n">
        <v>0.75</v>
      </c>
      <c r="C20" s="5" t="n">
        <f aca="false">A20*B20</f>
        <v>90</v>
      </c>
      <c r="D20" s="5" t="n">
        <f aca="false">A20-C20</f>
        <v>30</v>
      </c>
      <c r="E20" s="5" t="n">
        <f aca="false">ROUNDDOWN(C20,0)*Parametry!$C$42</f>
        <v>90</v>
      </c>
      <c r="F20" s="12" t="n">
        <f aca="false">E20/Parametry!$C$41</f>
        <v>9</v>
      </c>
      <c r="G20" s="5" t="s">
        <v>442</v>
      </c>
    </row>
  </sheetData>
  <autoFilter ref="A5:G20"/>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5" min="2" style="0" width="24"/>
    <col collapsed="false" customWidth="true" hidden="false" outlineLevel="0" max="7" min="6" style="0" width="19"/>
    <col collapsed="false" customWidth="true" hidden="false" outlineLevel="0" max="8" min="8" style="0" width="23"/>
    <col collapsed="false" customWidth="true" hidden="false" outlineLevel="0" max="9" min="9" style="0" width="22"/>
    <col collapsed="false" customWidth="true" hidden="false" outlineLevel="0" max="10" min="10" style="0" width="28"/>
    <col collapsed="false" customWidth="true" hidden="false" outlineLevel="0" max="11" min="11" style="0" width="110"/>
  </cols>
  <sheetData>
    <row r="1" customFormat="false" ht="33.75" hidden="false" customHeight="true" outlineLevel="0" collapsed="false">
      <c r="A1" s="9" t="s">
        <v>443</v>
      </c>
      <c r="B1" s="9"/>
      <c r="C1" s="9"/>
      <c r="D1" s="9"/>
      <c r="E1" s="9"/>
      <c r="F1" s="9"/>
      <c r="G1" s="9"/>
      <c r="H1" s="9"/>
      <c r="I1" s="9"/>
      <c r="J1" s="9"/>
      <c r="K1" s="9"/>
    </row>
    <row r="2" customFormat="false" ht="27" hidden="false" customHeight="true" outlineLevel="0" collapsed="false">
      <c r="A2" s="3" t="s">
        <v>444</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445</v>
      </c>
      <c r="B5" s="4" t="s">
        <v>446</v>
      </c>
      <c r="C5" s="4" t="s">
        <v>447</v>
      </c>
      <c r="D5" s="4" t="s">
        <v>448</v>
      </c>
      <c r="E5" s="4" t="s">
        <v>449</v>
      </c>
      <c r="F5" s="4" t="s">
        <v>450</v>
      </c>
      <c r="G5" s="4" t="s">
        <v>451</v>
      </c>
      <c r="H5" s="4" t="s">
        <v>452</v>
      </c>
      <c r="I5" s="4" t="s">
        <v>453</v>
      </c>
      <c r="J5" s="4" t="s">
        <v>441</v>
      </c>
      <c r="K5" s="4" t="s">
        <v>332</v>
      </c>
    </row>
    <row r="6" customFormat="false" ht="69.75" hidden="false" customHeight="true" outlineLevel="0" collapsed="false">
      <c r="A6" s="5" t="s">
        <v>454</v>
      </c>
      <c r="B6" s="10" t="n">
        <v>40</v>
      </c>
      <c r="C6" s="10" t="n">
        <v>0</v>
      </c>
      <c r="D6" s="10" t="n">
        <v>60</v>
      </c>
      <c r="E6" s="10" t="n">
        <v>1</v>
      </c>
      <c r="F6" s="5" t="n">
        <f aca="false">ROUNDUP(B6/D6,0)</f>
        <v>1</v>
      </c>
      <c r="G6" s="5" t="n">
        <f aca="false">ROUNDUP(C6/D6,0)</f>
        <v>0</v>
      </c>
      <c r="H6" s="5" t="n">
        <f aca="false">(F6+G6)*E6</f>
        <v>1</v>
      </c>
      <c r="I6" s="5" t="n">
        <f aca="false">H6*Parametry!$C$43</f>
        <v>10</v>
      </c>
      <c r="J6" s="12" t="n">
        <f aca="false">I6/Parametry!$C$41</f>
        <v>1</v>
      </c>
      <c r="K6" s="5" t="s">
        <v>455</v>
      </c>
    </row>
    <row r="7" customFormat="false" ht="69.75" hidden="false" customHeight="true" outlineLevel="0" collapsed="false">
      <c r="A7" s="6" t="s">
        <v>456</v>
      </c>
      <c r="B7" s="10" t="n">
        <v>60</v>
      </c>
      <c r="C7" s="10" t="n">
        <v>0</v>
      </c>
      <c r="D7" s="10" t="n">
        <v>60</v>
      </c>
      <c r="E7" s="10" t="n">
        <v>1</v>
      </c>
      <c r="F7" s="6" t="n">
        <f aca="false">ROUNDUP(B7/D7,0)</f>
        <v>1</v>
      </c>
      <c r="G7" s="6" t="n">
        <f aca="false">ROUNDUP(C7/D7,0)</f>
        <v>0</v>
      </c>
      <c r="H7" s="6" t="n">
        <f aca="false">(F7+G7)*E7</f>
        <v>1</v>
      </c>
      <c r="I7" s="6" t="n">
        <f aca="false">H7*Parametry!$C$43</f>
        <v>10</v>
      </c>
      <c r="J7" s="13" t="n">
        <f aca="false">I7/Parametry!$C$41</f>
        <v>1</v>
      </c>
      <c r="K7" s="6" t="s">
        <v>455</v>
      </c>
    </row>
    <row r="8" customFormat="false" ht="69.75" hidden="false" customHeight="true" outlineLevel="0" collapsed="false">
      <c r="A8" s="5" t="s">
        <v>457</v>
      </c>
      <c r="B8" s="10" t="n">
        <v>100</v>
      </c>
      <c r="C8" s="10" t="n">
        <v>0</v>
      </c>
      <c r="D8" s="10" t="n">
        <v>60</v>
      </c>
      <c r="E8" s="10" t="n">
        <v>1</v>
      </c>
      <c r="F8" s="5" t="n">
        <f aca="false">ROUNDUP(B8/D8,0)</f>
        <v>2</v>
      </c>
      <c r="G8" s="5" t="n">
        <f aca="false">ROUNDUP(C8/D8,0)</f>
        <v>0</v>
      </c>
      <c r="H8" s="5" t="n">
        <f aca="false">(F8+G8)*E8</f>
        <v>2</v>
      </c>
      <c r="I8" s="5" t="n">
        <f aca="false">H8*Parametry!$C$43</f>
        <v>20</v>
      </c>
      <c r="J8" s="12" t="n">
        <f aca="false">I8/Parametry!$C$41</f>
        <v>2</v>
      </c>
      <c r="K8" s="5" t="s">
        <v>455</v>
      </c>
    </row>
    <row r="9" customFormat="false" ht="69.75" hidden="false" customHeight="true" outlineLevel="0" collapsed="false">
      <c r="A9" s="6" t="s">
        <v>458</v>
      </c>
      <c r="B9" s="10" t="n">
        <v>180</v>
      </c>
      <c r="C9" s="10" t="n">
        <v>0</v>
      </c>
      <c r="D9" s="10" t="n">
        <v>60</v>
      </c>
      <c r="E9" s="10" t="n">
        <v>1</v>
      </c>
      <c r="F9" s="6" t="n">
        <f aca="false">ROUNDUP(B9/D9,0)</f>
        <v>3</v>
      </c>
      <c r="G9" s="6" t="n">
        <f aca="false">ROUNDUP(C9/D9,0)</f>
        <v>0</v>
      </c>
      <c r="H9" s="6" t="n">
        <f aca="false">(F9+G9)*E9</f>
        <v>3</v>
      </c>
      <c r="I9" s="6" t="n">
        <f aca="false">H9*Parametry!$C$43</f>
        <v>30</v>
      </c>
      <c r="J9" s="13" t="n">
        <f aca="false">I9/Parametry!$C$41</f>
        <v>3</v>
      </c>
      <c r="K9" s="6" t="s">
        <v>455</v>
      </c>
    </row>
    <row r="10" customFormat="false" ht="69.75" hidden="false" customHeight="true" outlineLevel="0" collapsed="false">
      <c r="A10" s="5" t="s">
        <v>459</v>
      </c>
      <c r="B10" s="10" t="n">
        <v>181</v>
      </c>
      <c r="C10" s="10" t="n">
        <v>0</v>
      </c>
      <c r="D10" s="10" t="n">
        <v>60</v>
      </c>
      <c r="E10" s="10" t="n">
        <v>1</v>
      </c>
      <c r="F10" s="5" t="n">
        <f aca="false">ROUNDUP(B10/D10,0)</f>
        <v>4</v>
      </c>
      <c r="G10" s="5" t="n">
        <f aca="false">ROUNDUP(C10/D10,0)</f>
        <v>0</v>
      </c>
      <c r="H10" s="5" t="n">
        <f aca="false">(F10+G10)*E10</f>
        <v>4</v>
      </c>
      <c r="I10" s="5" t="n">
        <f aca="false">H10*Parametry!$C$43</f>
        <v>40</v>
      </c>
      <c r="J10" s="12" t="n">
        <f aca="false">I10/Parametry!$C$41</f>
        <v>4</v>
      </c>
      <c r="K10" s="5" t="s">
        <v>455</v>
      </c>
    </row>
    <row r="11" customFormat="false" ht="69.75" hidden="false" customHeight="true" outlineLevel="0" collapsed="false">
      <c r="A11" s="6" t="s">
        <v>460</v>
      </c>
      <c r="B11" s="10" t="n">
        <v>100</v>
      </c>
      <c r="C11" s="10" t="n">
        <v>100</v>
      </c>
      <c r="D11" s="10" t="n">
        <v>60</v>
      </c>
      <c r="E11" s="10" t="n">
        <v>1</v>
      </c>
      <c r="F11" s="6" t="n">
        <f aca="false">ROUNDUP(B11/D11,0)</f>
        <v>2</v>
      </c>
      <c r="G11" s="6" t="n">
        <f aca="false">ROUNDUP(C11/D11,0)</f>
        <v>2</v>
      </c>
      <c r="H11" s="6" t="n">
        <f aca="false">(F11+G11)*E11</f>
        <v>4</v>
      </c>
      <c r="I11" s="6" t="n">
        <f aca="false">H11*Parametry!$C$43</f>
        <v>40</v>
      </c>
      <c r="J11" s="13" t="n">
        <f aca="false">I11/Parametry!$C$41</f>
        <v>4</v>
      </c>
      <c r="K11" s="6" t="s">
        <v>455</v>
      </c>
    </row>
    <row r="12" customFormat="false" ht="69.75" hidden="false" customHeight="true" outlineLevel="0" collapsed="false">
      <c r="A12" s="5" t="s">
        <v>461</v>
      </c>
      <c r="B12" s="10" t="n">
        <v>200</v>
      </c>
      <c r="C12" s="10" t="n">
        <v>0</v>
      </c>
      <c r="D12" s="10" t="n">
        <v>60</v>
      </c>
      <c r="E12" s="10" t="n">
        <v>1</v>
      </c>
      <c r="F12" s="5" t="n">
        <f aca="false">ROUNDUP(B12/D12,0)</f>
        <v>4</v>
      </c>
      <c r="G12" s="5" t="n">
        <f aca="false">ROUNDUP(C12/D12,0)</f>
        <v>0</v>
      </c>
      <c r="H12" s="5" t="n">
        <f aca="false">(F12+G12)*E12</f>
        <v>4</v>
      </c>
      <c r="I12" s="5" t="n">
        <f aca="false">H12*Parametry!$C$43</f>
        <v>40</v>
      </c>
      <c r="J12" s="12" t="n">
        <f aca="false">I12/Parametry!$C$41</f>
        <v>4</v>
      </c>
      <c r="K12" s="5" t="s">
        <v>455</v>
      </c>
    </row>
    <row r="13" customFormat="false" ht="69.75" hidden="false" customHeight="true" outlineLevel="0" collapsed="false">
      <c r="A13" s="6" t="s">
        <v>462</v>
      </c>
      <c r="B13" s="10" t="n">
        <v>200</v>
      </c>
      <c r="C13" s="10" t="n">
        <v>0</v>
      </c>
      <c r="D13" s="10" t="n">
        <v>60</v>
      </c>
      <c r="E13" s="10" t="n">
        <v>1</v>
      </c>
      <c r="F13" s="6" t="n">
        <f aca="false">ROUNDUP(B13/D13,0)</f>
        <v>4</v>
      </c>
      <c r="G13" s="6" t="n">
        <f aca="false">ROUNDUP(C13/D13,0)</f>
        <v>0</v>
      </c>
      <c r="H13" s="6" t="n">
        <f aca="false">(F13+G13)*E13</f>
        <v>4</v>
      </c>
      <c r="I13" s="6" t="n">
        <f aca="false">H13*Parametry!$C$43</f>
        <v>40</v>
      </c>
      <c r="J13" s="13" t="n">
        <f aca="false">I13/Parametry!$C$41</f>
        <v>4</v>
      </c>
      <c r="K13" s="6" t="s">
        <v>455</v>
      </c>
    </row>
    <row r="14" customFormat="false" ht="69.75" hidden="false" customHeight="true" outlineLevel="0" collapsed="false">
      <c r="A14" s="5" t="s">
        <v>463</v>
      </c>
      <c r="B14" s="10" t="n">
        <v>200</v>
      </c>
      <c r="C14" s="10" t="n">
        <v>0</v>
      </c>
      <c r="D14" s="10" t="n">
        <v>60</v>
      </c>
      <c r="E14" s="10" t="n">
        <v>1</v>
      </c>
      <c r="F14" s="5" t="n">
        <f aca="false">ROUNDUP(B14/D14,0)</f>
        <v>4</v>
      </c>
      <c r="G14" s="5" t="n">
        <f aca="false">ROUNDUP(C14/D14,0)</f>
        <v>0</v>
      </c>
      <c r="H14" s="5" t="n">
        <f aca="false">(F14+G14)*E14</f>
        <v>4</v>
      </c>
      <c r="I14" s="5" t="n">
        <f aca="false">H14*Parametry!$C$43</f>
        <v>40</v>
      </c>
      <c r="J14" s="12" t="n">
        <f aca="false">I14/Parametry!$C$41</f>
        <v>4</v>
      </c>
      <c r="K14" s="5" t="s">
        <v>455</v>
      </c>
    </row>
    <row r="15" customFormat="false" ht="69.75" hidden="false" customHeight="true" outlineLevel="0" collapsed="false">
      <c r="A15" s="6" t="s">
        <v>464</v>
      </c>
      <c r="B15" s="10" t="n">
        <v>200</v>
      </c>
      <c r="C15" s="10" t="n">
        <v>0</v>
      </c>
      <c r="D15" s="10" t="n">
        <v>60</v>
      </c>
      <c r="E15" s="10" t="n">
        <v>1</v>
      </c>
      <c r="F15" s="6" t="n">
        <f aca="false">ROUNDUP(B15/D15,0)</f>
        <v>4</v>
      </c>
      <c r="G15" s="6" t="n">
        <f aca="false">ROUNDUP(C15/D15,0)</f>
        <v>0</v>
      </c>
      <c r="H15" s="6" t="n">
        <f aca="false">(F15+G15)*E15</f>
        <v>4</v>
      </c>
      <c r="I15" s="6" t="n">
        <f aca="false">H15*Parametry!$C$43</f>
        <v>40</v>
      </c>
      <c r="J15" s="13" t="n">
        <f aca="false">I15/Parametry!$C$41</f>
        <v>4</v>
      </c>
      <c r="K15" s="6" t="s">
        <v>455</v>
      </c>
    </row>
    <row r="16" customFormat="false" ht="69.75" hidden="false" customHeight="true" outlineLevel="0" collapsed="false">
      <c r="A16" s="5" t="s">
        <v>465</v>
      </c>
      <c r="B16" s="10" t="n">
        <v>100</v>
      </c>
      <c r="C16" s="10" t="n">
        <v>0</v>
      </c>
      <c r="D16" s="10" t="n">
        <v>60</v>
      </c>
      <c r="E16" s="10" t="n">
        <v>2</v>
      </c>
      <c r="F16" s="5" t="n">
        <f aca="false">ROUNDUP(B16/D16,0)</f>
        <v>2</v>
      </c>
      <c r="G16" s="5" t="n">
        <f aca="false">ROUNDUP(C16/D16,0)</f>
        <v>0</v>
      </c>
      <c r="H16" s="5" t="n">
        <f aca="false">(F16+G16)*E16</f>
        <v>4</v>
      </c>
      <c r="I16" s="5" t="n">
        <f aca="false">H16*Parametry!$C$43</f>
        <v>40</v>
      </c>
      <c r="J16" s="12" t="n">
        <f aca="false">I16/Parametry!$C$41</f>
        <v>4</v>
      </c>
      <c r="K16" s="5" t="s">
        <v>455</v>
      </c>
    </row>
    <row r="17" customFormat="false" ht="69.75" hidden="false" customHeight="true" outlineLevel="0" collapsed="false">
      <c r="A17" s="6" t="s">
        <v>466</v>
      </c>
      <c r="B17" s="10" t="n">
        <v>200</v>
      </c>
      <c r="C17" s="10" t="n">
        <v>0</v>
      </c>
      <c r="D17" s="10" t="n">
        <v>66</v>
      </c>
      <c r="E17" s="10" t="n">
        <v>1</v>
      </c>
      <c r="F17" s="6" t="n">
        <f aca="false">ROUNDUP(B17/D17,0)</f>
        <v>4</v>
      </c>
      <c r="G17" s="6" t="n">
        <f aca="false">ROUNDUP(C17/D17,0)</f>
        <v>0</v>
      </c>
      <c r="H17" s="6" t="n">
        <f aca="false">(F17+G17)*E17</f>
        <v>4</v>
      </c>
      <c r="I17" s="6" t="n">
        <f aca="false">H17*Parametry!$C$43</f>
        <v>40</v>
      </c>
      <c r="J17" s="13" t="n">
        <f aca="false">I17/Parametry!$C$41</f>
        <v>4</v>
      </c>
      <c r="K17" s="6" t="s">
        <v>455</v>
      </c>
    </row>
    <row r="18" customFormat="false" ht="69.75" hidden="false" customHeight="true" outlineLevel="0" collapsed="false">
      <c r="A18" s="5" t="s">
        <v>467</v>
      </c>
      <c r="B18" s="10" t="n">
        <v>0</v>
      </c>
      <c r="C18" s="10" t="n">
        <v>0</v>
      </c>
      <c r="D18" s="10" t="n">
        <v>60</v>
      </c>
      <c r="E18" s="10" t="n">
        <v>1</v>
      </c>
      <c r="F18" s="5" t="n">
        <f aca="false">ROUNDUP(B18/D18,0)</f>
        <v>0</v>
      </c>
      <c r="G18" s="5" t="n">
        <f aca="false">ROUNDUP(C18/D18,0)</f>
        <v>0</v>
      </c>
      <c r="H18" s="5" t="n">
        <f aca="false">(F18+G18)*E18</f>
        <v>0</v>
      </c>
      <c r="I18" s="5" t="n">
        <f aca="false">H18*Parametry!$C$43</f>
        <v>0</v>
      </c>
      <c r="J18" s="12" t="n">
        <f aca="false">I18/Parametry!$C$41</f>
        <v>0</v>
      </c>
      <c r="K18" s="5" t="s">
        <v>455</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7" min="3" style="0" width="19"/>
    <col collapsed="false" customWidth="true" hidden="false" outlineLevel="0" max="8" min="8" style="0" width="28"/>
    <col collapsed="false" customWidth="true" hidden="false" outlineLevel="0" max="9" min="9" style="0" width="29"/>
    <col collapsed="false" customWidth="true" hidden="false" outlineLevel="0" max="10" min="10" style="0" width="27"/>
    <col collapsed="false" customWidth="true" hidden="false" outlineLevel="0" max="11" min="11" style="0" width="29"/>
    <col collapsed="false" customWidth="true" hidden="false" outlineLevel="0" max="12" min="12" style="0" width="22"/>
    <col collapsed="false" customWidth="true" hidden="false" outlineLevel="0" max="13" min="13" style="0" width="23"/>
    <col collapsed="false" customWidth="true" hidden="false" outlineLevel="0" max="14" min="14" style="0" width="30"/>
    <col collapsed="false" customWidth="true" hidden="false" outlineLevel="0" max="15" min="15" style="0" width="29"/>
    <col collapsed="false" customWidth="true" hidden="false" outlineLevel="0" max="16" min="16" style="0" width="26"/>
    <col collapsed="false" customWidth="true" hidden="false" outlineLevel="0" max="17" min="17" style="0" width="120"/>
  </cols>
  <sheetData>
    <row r="1" customFormat="false" ht="33.75" hidden="false" customHeight="true" outlineLevel="0" collapsed="false">
      <c r="A1" s="9" t="s">
        <v>468</v>
      </c>
      <c r="B1" s="9"/>
      <c r="C1" s="9"/>
      <c r="D1" s="9"/>
      <c r="E1" s="9"/>
      <c r="F1" s="9"/>
      <c r="G1" s="9"/>
      <c r="H1" s="9"/>
      <c r="I1" s="9"/>
      <c r="J1" s="9"/>
      <c r="K1" s="9"/>
      <c r="L1" s="9"/>
      <c r="M1" s="9"/>
      <c r="N1" s="9"/>
      <c r="O1" s="9"/>
      <c r="P1" s="9"/>
      <c r="Q1" s="9"/>
    </row>
    <row r="2" customFormat="false" ht="27" hidden="false" customHeight="true" outlineLevel="0" collapsed="false">
      <c r="A2" s="3" t="s">
        <v>469</v>
      </c>
      <c r="B2" s="3"/>
      <c r="C2" s="3"/>
      <c r="D2" s="3"/>
      <c r="E2" s="3"/>
      <c r="F2" s="3"/>
      <c r="G2" s="3"/>
      <c r="H2" s="3"/>
      <c r="I2" s="3"/>
      <c r="J2" s="3"/>
      <c r="K2" s="3"/>
      <c r="L2" s="3"/>
      <c r="M2" s="3"/>
      <c r="N2" s="3"/>
      <c r="O2" s="3"/>
      <c r="P2" s="3"/>
      <c r="Q2" s="3"/>
    </row>
    <row r="3" customFormat="false" ht="27" hidden="false" customHeight="true" outlineLevel="0" collapsed="false">
      <c r="A3" s="3"/>
      <c r="B3" s="3"/>
      <c r="C3" s="3"/>
      <c r="D3" s="3"/>
      <c r="E3" s="3"/>
      <c r="F3" s="3"/>
      <c r="G3" s="3"/>
      <c r="H3" s="3"/>
      <c r="I3" s="3"/>
      <c r="J3" s="3"/>
      <c r="K3" s="3"/>
      <c r="L3" s="3"/>
      <c r="M3" s="3"/>
      <c r="N3" s="3"/>
      <c r="O3" s="3"/>
      <c r="P3" s="3"/>
      <c r="Q3" s="3"/>
    </row>
    <row r="5" customFormat="false" ht="45" hidden="false" customHeight="true" outlineLevel="0" collapsed="false">
      <c r="A5" s="4" t="s">
        <v>470</v>
      </c>
      <c r="B5" s="4" t="s">
        <v>471</v>
      </c>
      <c r="C5" s="4" t="s">
        <v>472</v>
      </c>
      <c r="D5" s="4" t="s">
        <v>473</v>
      </c>
      <c r="E5" s="4" t="s">
        <v>474</v>
      </c>
      <c r="F5" s="4" t="s">
        <v>475</v>
      </c>
      <c r="G5" s="4" t="s">
        <v>476</v>
      </c>
      <c r="H5" s="4" t="s">
        <v>477</v>
      </c>
      <c r="I5" s="4" t="s">
        <v>478</v>
      </c>
      <c r="J5" s="4" t="s">
        <v>479</v>
      </c>
      <c r="K5" s="4" t="s">
        <v>436</v>
      </c>
      <c r="L5" s="4" t="s">
        <v>437</v>
      </c>
      <c r="M5" s="4" t="s">
        <v>480</v>
      </c>
      <c r="N5" s="4" t="s">
        <v>481</v>
      </c>
      <c r="O5" s="4" t="s">
        <v>482</v>
      </c>
      <c r="P5" s="4" t="s">
        <v>483</v>
      </c>
      <c r="Q5" s="4" t="s">
        <v>332</v>
      </c>
    </row>
    <row r="6" customFormat="false" ht="114.75" hidden="false" customHeight="true" outlineLevel="0" collapsed="false">
      <c r="A6" s="5" t="s">
        <v>484</v>
      </c>
      <c r="B6" s="10" t="n">
        <v>0</v>
      </c>
      <c r="C6" s="10" t="n">
        <v>100</v>
      </c>
      <c r="D6" s="10" t="n">
        <v>0</v>
      </c>
      <c r="E6" s="10" t="n">
        <v>0</v>
      </c>
      <c r="F6" s="10" t="n">
        <v>100</v>
      </c>
      <c r="G6" s="10" t="n">
        <v>0</v>
      </c>
      <c r="H6" s="5" t="n">
        <f aca="false">(C6+D6+E6)*Parametry!$C$32/100+(F6+G6)*Parametry!$C$34/100</f>
        <v>200</v>
      </c>
      <c r="I6" s="5" t="n">
        <f aca="false">(ROUNDUP(C6/100,0)+ROUNDUP(D6/100,0)+ROUNDUP(E6/100,0))*Parametry!$C$32+(ROUNDUP(F6/100,0)+ROUNDUP(G6/100,0))*Parametry!$C$34</f>
        <v>200</v>
      </c>
      <c r="J6" s="5" t="n">
        <f aca="false">H6*Parametry!$C$44</f>
        <v>250</v>
      </c>
      <c r="K6" s="10" t="n">
        <v>120</v>
      </c>
      <c r="L6" s="11" t="n">
        <v>0.5</v>
      </c>
      <c r="M6" s="5" t="n">
        <f aca="false">ROUNDDOWN(K6*L6,0)*Parametry!$C$42</f>
        <v>60</v>
      </c>
      <c r="N6" s="5" t="n">
        <f aca="false">ROUNDUP(B6+J6+M6,0)</f>
        <v>310</v>
      </c>
      <c r="O6" s="5" t="n">
        <f aca="false">ROUNDUP(B6+I6*Parametry!$C$44+M6,0)</f>
        <v>310</v>
      </c>
      <c r="P6" s="12" t="n">
        <f aca="false">N6/Parametry!$C$41</f>
        <v>31</v>
      </c>
      <c r="Q6" s="5" t="s">
        <v>485</v>
      </c>
    </row>
    <row r="7" customFormat="false" ht="114.75" hidden="false" customHeight="true" outlineLevel="0" collapsed="false">
      <c r="A7" s="6" t="s">
        <v>486</v>
      </c>
      <c r="B7" s="10" t="n">
        <v>0</v>
      </c>
      <c r="C7" s="10" t="n">
        <v>72</v>
      </c>
      <c r="D7" s="10" t="n">
        <v>72</v>
      </c>
      <c r="E7" s="10" t="n">
        <v>120</v>
      </c>
      <c r="F7" s="10" t="n">
        <v>0</v>
      </c>
      <c r="G7" s="10" t="n">
        <v>0</v>
      </c>
      <c r="H7" s="6" t="n">
        <f aca="false">(C7+D7+E7)*Parametry!$C$32/100+(F7+G7)*Parametry!$C$34/100</f>
        <v>132</v>
      </c>
      <c r="I7" s="6" t="n">
        <f aca="false">(ROUNDUP(C7/100,0)+ROUNDUP(D7/100,0)+ROUNDUP(E7/100,0))*Parametry!$C$32+(ROUNDUP(F7/100,0)+ROUNDUP(G7/100,0))*Parametry!$C$34</f>
        <v>200</v>
      </c>
      <c r="J7" s="6" t="n">
        <f aca="false">H7*Parametry!$C$44</f>
        <v>165</v>
      </c>
      <c r="K7" s="10" t="n">
        <f aca="false">'Czas budowy'!X18</f>
        <v>5</v>
      </c>
      <c r="L7" s="11" t="n">
        <v>0.5</v>
      </c>
      <c r="M7" s="6" t="n">
        <f aca="false">ROUNDDOWN(K7*L7,0)*Parametry!$C$42</f>
        <v>2</v>
      </c>
      <c r="N7" s="6" t="n">
        <f aca="false">ROUNDUP(B7+J7+M7,0)</f>
        <v>167</v>
      </c>
      <c r="O7" s="6" t="n">
        <f aca="false">ROUNDUP(B7+I7*Parametry!$C$44+M7,0)</f>
        <v>252</v>
      </c>
      <c r="P7" s="13" t="n">
        <f aca="false">N7/Parametry!$C$41</f>
        <v>16.7</v>
      </c>
      <c r="Q7" s="6" t="s">
        <v>487</v>
      </c>
    </row>
    <row r="8" customFormat="false" ht="114.75" hidden="false" customHeight="true" outlineLevel="0" collapsed="false">
      <c r="A8" s="5" t="s">
        <v>488</v>
      </c>
      <c r="B8" s="10" t="n">
        <v>500</v>
      </c>
      <c r="C8" s="10" t="n">
        <v>500</v>
      </c>
      <c r="D8" s="10" t="n">
        <v>500</v>
      </c>
      <c r="E8" s="10" t="n">
        <v>500</v>
      </c>
      <c r="F8" s="10" t="n">
        <v>500</v>
      </c>
      <c r="G8" s="10" t="n">
        <v>500</v>
      </c>
      <c r="H8" s="5" t="n">
        <f aca="false">(C8+D8+E8)*Parametry!$C$32/100+(F8+G8)*Parametry!$C$34/100</f>
        <v>2250</v>
      </c>
      <c r="I8" s="5" t="n">
        <f aca="false">(ROUNDUP(C8/100,0)+ROUNDUP(D8/100,0)+ROUNDUP(E8/100,0))*Parametry!$C$32+(ROUNDUP(F8/100,0)+ROUNDUP(G8/100,0))*Parametry!$C$34</f>
        <v>2250</v>
      </c>
      <c r="J8" s="5" t="n">
        <f aca="false">H8*Parametry!$C$44</f>
        <v>2812.5</v>
      </c>
      <c r="K8" s="10" t="n">
        <f aca="false">'Czas budowy'!X6</f>
        <v>40</v>
      </c>
      <c r="L8" s="11" t="n">
        <v>0.5</v>
      </c>
      <c r="M8" s="5" t="n">
        <f aca="false">ROUNDDOWN(K8*L8,0)*Parametry!$C$42</f>
        <v>20</v>
      </c>
      <c r="N8" s="5" t="n">
        <f aca="false">ROUNDUP(B8+J8+M8,0)</f>
        <v>3333</v>
      </c>
      <c r="O8" s="5" t="n">
        <f aca="false">ROUNDUP(B8+I8*Parametry!$C$44+M8,0)</f>
        <v>3333</v>
      </c>
      <c r="P8" s="12" t="n">
        <f aca="false">N8/Parametry!$C$41</f>
        <v>333.3</v>
      </c>
      <c r="Q8" s="5" t="s">
        <v>485</v>
      </c>
    </row>
  </sheetData>
  <autoFilter ref="A5:Q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3"/>
    <col collapsed="false" customWidth="true" hidden="false" outlineLevel="0" max="2" min="2" style="0" width="32"/>
    <col collapsed="false" customWidth="true" hidden="false" outlineLevel="0" max="3" min="3" style="0" width="95"/>
    <col collapsed="false" customWidth="true" hidden="false" outlineLevel="0" max="4" min="4" style="0" width="125"/>
    <col collapsed="false" customWidth="true" hidden="false" outlineLevel="0" max="5" min="5" style="0" width="35"/>
  </cols>
  <sheetData>
    <row r="1" customFormat="false" ht="33.75" hidden="false" customHeight="true" outlineLevel="0" collapsed="false">
      <c r="A1" s="9" t="s">
        <v>489</v>
      </c>
      <c r="B1" s="9"/>
      <c r="C1" s="9"/>
      <c r="D1" s="9"/>
      <c r="E1" s="9"/>
    </row>
    <row r="2" customFormat="false" ht="27" hidden="false" customHeight="true" outlineLevel="0" collapsed="false">
      <c r="A2" s="3" t="s">
        <v>490</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330</v>
      </c>
      <c r="B5" s="4" t="s">
        <v>491</v>
      </c>
      <c r="C5" s="4" t="s">
        <v>492</v>
      </c>
      <c r="D5" s="4" t="s">
        <v>493</v>
      </c>
      <c r="E5" s="4" t="s">
        <v>494</v>
      </c>
    </row>
    <row r="6" customFormat="false" ht="109.5" hidden="false" customHeight="true" outlineLevel="0" collapsed="false">
      <c r="A6" s="5" t="s">
        <v>495</v>
      </c>
      <c r="B6" s="5" t="n">
        <v>1000</v>
      </c>
      <c r="C6" s="5" t="s">
        <v>496</v>
      </c>
      <c r="D6" s="5" t="s">
        <v>497</v>
      </c>
      <c r="E6" s="5" t="n">
        <f aca="false">B6/Parametry!$C$41</f>
        <v>100</v>
      </c>
    </row>
    <row r="7" customFormat="false" ht="109.5" hidden="false" customHeight="true" outlineLevel="0" collapsed="false">
      <c r="A7" s="6" t="s">
        <v>498</v>
      </c>
      <c r="B7" s="6" t="n">
        <v>500</v>
      </c>
      <c r="C7" s="6" t="s">
        <v>499</v>
      </c>
      <c r="D7" s="6" t="s">
        <v>500</v>
      </c>
      <c r="E7" s="6" t="n">
        <f aca="false">B7/Parametry!$C$41</f>
        <v>50</v>
      </c>
    </row>
    <row r="8" customFormat="false" ht="109.5" hidden="false" customHeight="true" outlineLevel="0" collapsed="false">
      <c r="A8" s="5" t="s">
        <v>501</v>
      </c>
      <c r="B8" s="5" t="n">
        <v>1000</v>
      </c>
      <c r="C8" s="5" t="s">
        <v>502</v>
      </c>
      <c r="D8" s="5" t="s">
        <v>503</v>
      </c>
      <c r="E8" s="5" t="n">
        <f aca="false">B8/Parametry!$C$41</f>
        <v>100</v>
      </c>
    </row>
    <row r="9" customFormat="false" ht="109.5" hidden="false" customHeight="true" outlineLevel="0" collapsed="false">
      <c r="A9" s="6" t="s">
        <v>504</v>
      </c>
      <c r="B9" s="6" t="s">
        <v>505</v>
      </c>
      <c r="C9" s="6" t="s">
        <v>506</v>
      </c>
      <c r="D9" s="6" t="s">
        <v>507</v>
      </c>
      <c r="E9" s="6" t="s">
        <v>508</v>
      </c>
    </row>
    <row r="10" customFormat="false" ht="109.5" hidden="false" customHeight="true" outlineLevel="0" collapsed="false">
      <c r="A10" s="5" t="s">
        <v>509</v>
      </c>
      <c r="B10" s="5" t="n">
        <v>1000</v>
      </c>
      <c r="C10" s="5" t="s">
        <v>510</v>
      </c>
      <c r="D10" s="5" t="s">
        <v>511</v>
      </c>
      <c r="E10" s="5" t="n">
        <f aca="false">B10/Parametry!$C$41</f>
        <v>100</v>
      </c>
    </row>
  </sheetData>
  <autoFilter ref="A5:E1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60"/>
    <col collapsed="false" customWidth="true" hidden="false" outlineLevel="0" max="3" min="3" style="0" width="75"/>
    <col collapsed="false" customWidth="true" hidden="false" outlineLevel="0" max="4" min="4" style="0" width="115"/>
    <col collapsed="false" customWidth="true" hidden="false" outlineLevel="0" max="5" min="5" style="0" width="83"/>
    <col collapsed="false" customWidth="true" hidden="false" outlineLevel="0" max="6" min="6" style="0" width="70"/>
    <col collapsed="false" customWidth="true" hidden="false" outlineLevel="0" max="7" min="7" style="0" width="95"/>
  </cols>
  <sheetData>
    <row r="1" customFormat="false" ht="33.75" hidden="false" customHeight="true" outlineLevel="0" collapsed="false">
      <c r="A1" s="9" t="s">
        <v>512</v>
      </c>
      <c r="B1" s="9"/>
      <c r="C1" s="9"/>
      <c r="D1" s="9"/>
      <c r="E1" s="9"/>
      <c r="F1" s="9"/>
      <c r="G1" s="9"/>
    </row>
    <row r="2" customFormat="false" ht="27" hidden="false" customHeight="true" outlineLevel="0" collapsed="false">
      <c r="A2" s="3" t="s">
        <v>513</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514</v>
      </c>
      <c r="B5" s="4" t="s">
        <v>515</v>
      </c>
      <c r="C5" s="4" t="s">
        <v>516</v>
      </c>
      <c r="D5" s="4" t="s">
        <v>517</v>
      </c>
      <c r="E5" s="4" t="s">
        <v>518</v>
      </c>
      <c r="F5" s="4" t="s">
        <v>519</v>
      </c>
      <c r="G5" s="4" t="s">
        <v>520</v>
      </c>
    </row>
    <row r="6" customFormat="false" ht="139.5" hidden="false" customHeight="true" outlineLevel="0" collapsed="false">
      <c r="A6" s="5" t="s">
        <v>521</v>
      </c>
      <c r="B6" s="5" t="s">
        <v>522</v>
      </c>
      <c r="C6" s="5" t="s">
        <v>523</v>
      </c>
      <c r="D6" s="5" t="s">
        <v>524</v>
      </c>
      <c r="E6" s="14" t="s">
        <v>525</v>
      </c>
      <c r="F6" s="5" t="s">
        <v>526</v>
      </c>
      <c r="G6" s="5" t="s">
        <v>527</v>
      </c>
    </row>
    <row r="7" customFormat="false" ht="139.5" hidden="false" customHeight="true" outlineLevel="0" collapsed="false">
      <c r="A7" s="6" t="s">
        <v>528</v>
      </c>
      <c r="B7" s="6" t="s">
        <v>529</v>
      </c>
      <c r="C7" s="6" t="s">
        <v>530</v>
      </c>
      <c r="D7" s="6" t="s">
        <v>531</v>
      </c>
      <c r="E7" s="15" t="s">
        <v>532</v>
      </c>
      <c r="F7" s="6" t="s">
        <v>526</v>
      </c>
      <c r="G7" s="6" t="s">
        <v>533</v>
      </c>
    </row>
    <row r="8" customFormat="false" ht="139.5" hidden="false" customHeight="true" outlineLevel="0" collapsed="false">
      <c r="A8" s="5" t="s">
        <v>534</v>
      </c>
      <c r="B8" s="5" t="s">
        <v>535</v>
      </c>
      <c r="C8" s="5" t="s">
        <v>536</v>
      </c>
      <c r="D8" s="5" t="s">
        <v>537</v>
      </c>
      <c r="E8" s="14" t="s">
        <v>538</v>
      </c>
      <c r="F8" s="5" t="s">
        <v>526</v>
      </c>
      <c r="G8" s="5" t="s">
        <v>539</v>
      </c>
    </row>
    <row r="9" customFormat="false" ht="139.5" hidden="false" customHeight="true" outlineLevel="0" collapsed="false">
      <c r="A9" s="6" t="s">
        <v>540</v>
      </c>
      <c r="B9" s="6" t="s">
        <v>541</v>
      </c>
      <c r="C9" s="6" t="s">
        <v>542</v>
      </c>
      <c r="D9" s="6" t="s">
        <v>543</v>
      </c>
      <c r="E9" s="15" t="s">
        <v>544</v>
      </c>
      <c r="F9" s="6" t="s">
        <v>526</v>
      </c>
      <c r="G9" s="6" t="s">
        <v>545</v>
      </c>
    </row>
    <row r="10" customFormat="false" ht="139.5" hidden="false" customHeight="true" outlineLevel="0" collapsed="false">
      <c r="A10" s="5" t="s">
        <v>546</v>
      </c>
      <c r="B10" s="5" t="s">
        <v>547</v>
      </c>
      <c r="C10" s="5" t="s">
        <v>548</v>
      </c>
      <c r="D10" s="5" t="s">
        <v>549</v>
      </c>
      <c r="E10" s="14" t="s">
        <v>550</v>
      </c>
      <c r="F10" s="5" t="s">
        <v>526</v>
      </c>
      <c r="G10" s="5" t="s">
        <v>551</v>
      </c>
    </row>
    <row r="11" customFormat="false" ht="139.5" hidden="false" customHeight="true" outlineLevel="0" collapsed="false">
      <c r="A11" s="6" t="s">
        <v>552</v>
      </c>
      <c r="B11" s="6" t="s">
        <v>553</v>
      </c>
      <c r="C11" s="6" t="s">
        <v>554</v>
      </c>
      <c r="D11" s="6" t="s">
        <v>555</v>
      </c>
      <c r="E11" s="15" t="s">
        <v>556</v>
      </c>
      <c r="F11" s="6" t="s">
        <v>526</v>
      </c>
      <c r="G11" s="6" t="s">
        <v>557</v>
      </c>
    </row>
    <row r="12" customFormat="false" ht="139.5" hidden="false" customHeight="true" outlineLevel="0" collapsed="false">
      <c r="A12" s="5" t="s">
        <v>558</v>
      </c>
      <c r="B12" s="5" t="s">
        <v>559</v>
      </c>
      <c r="C12" s="5" t="s">
        <v>560</v>
      </c>
      <c r="D12" s="5" t="s">
        <v>561</v>
      </c>
      <c r="E12" s="14" t="s">
        <v>562</v>
      </c>
      <c r="F12" s="5" t="s">
        <v>526</v>
      </c>
      <c r="G12" s="5" t="s">
        <v>563</v>
      </c>
    </row>
    <row r="13" customFormat="false" ht="139.5" hidden="false" customHeight="true" outlineLevel="0" collapsed="false">
      <c r="A13" s="6" t="s">
        <v>564</v>
      </c>
      <c r="B13" s="6" t="s">
        <v>565</v>
      </c>
      <c r="C13" s="6" t="s">
        <v>566</v>
      </c>
      <c r="D13" s="6" t="s">
        <v>567</v>
      </c>
      <c r="E13" s="15" t="s">
        <v>568</v>
      </c>
      <c r="F13" s="6" t="s">
        <v>526</v>
      </c>
      <c r="G13" s="6" t="s">
        <v>569</v>
      </c>
    </row>
    <row r="14" customFormat="false" ht="139.5" hidden="false" customHeight="true" outlineLevel="0" collapsed="false">
      <c r="A14" s="5" t="s">
        <v>570</v>
      </c>
      <c r="B14" s="5" t="s">
        <v>571</v>
      </c>
      <c r="C14" s="5" t="s">
        <v>566</v>
      </c>
      <c r="D14" s="5" t="s">
        <v>572</v>
      </c>
      <c r="E14" s="14" t="s">
        <v>573</v>
      </c>
      <c r="F14" s="5" t="s">
        <v>526</v>
      </c>
      <c r="G14" s="5" t="s">
        <v>574</v>
      </c>
    </row>
    <row r="15" customFormat="false" ht="139.5" hidden="false" customHeight="true" outlineLevel="0" collapsed="false">
      <c r="A15" s="6" t="s">
        <v>575</v>
      </c>
      <c r="B15" s="6" t="s">
        <v>576</v>
      </c>
      <c r="C15" s="6" t="s">
        <v>577</v>
      </c>
      <c r="D15" s="6" t="s">
        <v>578</v>
      </c>
      <c r="E15" s="15" t="s">
        <v>579</v>
      </c>
      <c r="F15" s="6" t="s">
        <v>526</v>
      </c>
      <c r="G15" s="6" t="s">
        <v>580</v>
      </c>
    </row>
    <row r="16" customFormat="false" ht="139.5" hidden="false" customHeight="true" outlineLevel="0" collapsed="false">
      <c r="A16" s="5" t="s">
        <v>581</v>
      </c>
      <c r="B16" s="5" t="s">
        <v>582</v>
      </c>
      <c r="C16" s="5" t="s">
        <v>583</v>
      </c>
      <c r="D16" s="5" t="s">
        <v>584</v>
      </c>
      <c r="E16" s="14" t="s">
        <v>585</v>
      </c>
      <c r="F16" s="5" t="s">
        <v>526</v>
      </c>
      <c r="G16" s="5" t="s">
        <v>586</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45"/>
    <col collapsed="false" customWidth="true" hidden="false" outlineLevel="0" max="3" min="3" style="0" width="118"/>
    <col collapsed="false" customWidth="true" hidden="false" outlineLevel="0" max="4" min="4" style="0" width="89"/>
    <col collapsed="false" customWidth="true" hidden="false" outlineLevel="0" max="5" min="5" style="0" width="130"/>
  </cols>
  <sheetData>
    <row r="1" customFormat="false" ht="33.75" hidden="false" customHeight="true" outlineLevel="0" collapsed="false">
      <c r="A1" s="9" t="s">
        <v>587</v>
      </c>
      <c r="B1" s="9"/>
      <c r="C1" s="9"/>
      <c r="D1" s="9"/>
      <c r="E1" s="9"/>
    </row>
    <row r="2" customFormat="false" ht="27" hidden="false" customHeight="true" outlineLevel="0" collapsed="false">
      <c r="A2" s="3" t="s">
        <v>588</v>
      </c>
      <c r="B2" s="3"/>
      <c r="C2" s="3"/>
      <c r="D2" s="3"/>
      <c r="E2" s="3"/>
    </row>
    <row r="3" customFormat="false" ht="27" hidden="false" customHeight="true" outlineLevel="0" collapsed="false">
      <c r="A3" s="3"/>
      <c r="B3" s="3"/>
      <c r="C3" s="3"/>
      <c r="D3" s="3"/>
      <c r="E3" s="3"/>
    </row>
    <row r="5" customFormat="false" ht="45" hidden="false" customHeight="true" outlineLevel="0" collapsed="false">
      <c r="A5" s="4" t="s">
        <v>2</v>
      </c>
      <c r="B5" s="4" t="s">
        <v>178</v>
      </c>
      <c r="C5" s="4" t="s">
        <v>175</v>
      </c>
      <c r="D5" s="4" t="s">
        <v>176</v>
      </c>
      <c r="E5" s="4" t="s">
        <v>332</v>
      </c>
    </row>
    <row r="6" customFormat="false" ht="109.5" hidden="false" customHeight="true" outlineLevel="0" collapsed="false">
      <c r="A6" s="5" t="s">
        <v>589</v>
      </c>
      <c r="B6" s="5" t="s">
        <v>232</v>
      </c>
      <c r="C6" s="5" t="s">
        <v>590</v>
      </c>
      <c r="D6" s="5" t="s">
        <v>591</v>
      </c>
      <c r="E6" s="5" t="s">
        <v>592</v>
      </c>
    </row>
    <row r="7" customFormat="false" ht="109.5" hidden="false" customHeight="true" outlineLevel="0" collapsed="false">
      <c r="A7" s="6" t="s">
        <v>593</v>
      </c>
      <c r="B7" s="6" t="s">
        <v>232</v>
      </c>
      <c r="C7" s="6" t="s">
        <v>594</v>
      </c>
      <c r="D7" s="6" t="s">
        <v>595</v>
      </c>
      <c r="E7" s="6" t="s">
        <v>596</v>
      </c>
    </row>
    <row r="8" customFormat="false" ht="109.5" hidden="false" customHeight="true" outlineLevel="0" collapsed="false">
      <c r="A8" s="5" t="s">
        <v>597</v>
      </c>
      <c r="B8" s="5" t="s">
        <v>598</v>
      </c>
      <c r="C8" s="5" t="s">
        <v>599</v>
      </c>
      <c r="D8" s="5" t="s">
        <v>600</v>
      </c>
      <c r="E8" s="5" t="s">
        <v>601</v>
      </c>
    </row>
    <row r="9" customFormat="false" ht="109.5" hidden="false" customHeight="true" outlineLevel="0" collapsed="false">
      <c r="A9" s="6" t="s">
        <v>602</v>
      </c>
      <c r="B9" s="6" t="s">
        <v>232</v>
      </c>
      <c r="C9" s="6" t="s">
        <v>603</v>
      </c>
      <c r="D9" s="6" t="s">
        <v>604</v>
      </c>
      <c r="E9" s="6" t="s">
        <v>605</v>
      </c>
    </row>
    <row r="10" customFormat="false" ht="109.5" hidden="false" customHeight="true" outlineLevel="0" collapsed="false">
      <c r="A10" s="5" t="s">
        <v>606</v>
      </c>
      <c r="B10" s="5" t="s">
        <v>232</v>
      </c>
      <c r="C10" s="5" t="s">
        <v>607</v>
      </c>
      <c r="D10" s="5" t="s">
        <v>608</v>
      </c>
      <c r="E10" s="5" t="s">
        <v>609</v>
      </c>
    </row>
    <row r="11" customFormat="false" ht="109.5" hidden="false" customHeight="true" outlineLevel="0" collapsed="false">
      <c r="A11" s="6" t="s">
        <v>610</v>
      </c>
      <c r="B11" s="6" t="s">
        <v>232</v>
      </c>
      <c r="C11" s="6" t="s">
        <v>611</v>
      </c>
      <c r="D11" s="6" t="s">
        <v>612</v>
      </c>
      <c r="E11" s="6" t="s">
        <v>613</v>
      </c>
    </row>
    <row r="12" customFormat="false" ht="109.5" hidden="false" customHeight="true" outlineLevel="0" collapsed="false">
      <c r="A12" s="5" t="s">
        <v>614</v>
      </c>
      <c r="B12" s="5" t="s">
        <v>615</v>
      </c>
      <c r="C12" s="5" t="s">
        <v>616</v>
      </c>
      <c r="D12" s="5" t="s">
        <v>617</v>
      </c>
      <c r="E12" s="5" t="s">
        <v>618</v>
      </c>
    </row>
    <row r="13" customFormat="false" ht="109.5" hidden="false" customHeight="true" outlineLevel="0" collapsed="false">
      <c r="A13" s="6" t="s">
        <v>619</v>
      </c>
      <c r="B13" s="6" t="s">
        <v>620</v>
      </c>
      <c r="C13" s="6" t="s">
        <v>621</v>
      </c>
      <c r="D13" s="6" t="s">
        <v>622</v>
      </c>
      <c r="E13" s="6" t="s">
        <v>623</v>
      </c>
    </row>
    <row r="14" customFormat="false" ht="109.5" hidden="false" customHeight="true" outlineLevel="0" collapsed="false">
      <c r="A14" s="5" t="s">
        <v>624</v>
      </c>
      <c r="B14" s="5" t="s">
        <v>625</v>
      </c>
      <c r="C14" s="5" t="s">
        <v>626</v>
      </c>
      <c r="D14" s="5" t="s">
        <v>627</v>
      </c>
      <c r="E14" s="5" t="s">
        <v>628</v>
      </c>
    </row>
    <row r="15" customFormat="false" ht="109.5" hidden="false" customHeight="true" outlineLevel="0" collapsed="false">
      <c r="A15" s="6" t="s">
        <v>629</v>
      </c>
      <c r="B15" s="6" t="s">
        <v>232</v>
      </c>
      <c r="C15" s="6" t="s">
        <v>630</v>
      </c>
      <c r="D15" s="6" t="s">
        <v>631</v>
      </c>
      <c r="E15" s="6" t="s">
        <v>632</v>
      </c>
    </row>
    <row r="16" customFormat="false" ht="109.5" hidden="false" customHeight="true" outlineLevel="0" collapsed="false">
      <c r="A16" s="5" t="s">
        <v>633</v>
      </c>
      <c r="B16" s="5" t="s">
        <v>598</v>
      </c>
      <c r="C16" s="5" t="s">
        <v>634</v>
      </c>
      <c r="D16" s="5" t="s">
        <v>635</v>
      </c>
      <c r="E16" s="5" t="s">
        <v>636</v>
      </c>
    </row>
    <row r="17" customFormat="false" ht="109.5" hidden="false" customHeight="true" outlineLevel="0" collapsed="false">
      <c r="A17" s="6" t="s">
        <v>637</v>
      </c>
      <c r="B17" s="6" t="s">
        <v>232</v>
      </c>
      <c r="C17" s="6" t="s">
        <v>638</v>
      </c>
      <c r="D17" s="6" t="s">
        <v>639</v>
      </c>
      <c r="E17" s="6" t="s">
        <v>640</v>
      </c>
    </row>
    <row r="18" customFormat="false" ht="109.5" hidden="false" customHeight="true" outlineLevel="0" collapsed="false">
      <c r="A18" s="5" t="s">
        <v>641</v>
      </c>
      <c r="B18" s="5" t="s">
        <v>642</v>
      </c>
      <c r="C18" s="5" t="s">
        <v>643</v>
      </c>
      <c r="D18" s="5" t="s">
        <v>644</v>
      </c>
      <c r="E18" s="5" t="s">
        <v>645</v>
      </c>
    </row>
    <row r="19" customFormat="false" ht="109.5" hidden="false" customHeight="true" outlineLevel="0" collapsed="false">
      <c r="A19" s="6" t="s">
        <v>646</v>
      </c>
      <c r="B19" s="6" t="s">
        <v>647</v>
      </c>
      <c r="C19" s="6" t="s">
        <v>648</v>
      </c>
      <c r="D19" s="6" t="s">
        <v>649</v>
      </c>
      <c r="E19" s="6" t="s">
        <v>650</v>
      </c>
    </row>
    <row r="20" customFormat="false" ht="109.5" hidden="false" customHeight="true" outlineLevel="0" collapsed="false">
      <c r="A20" s="5" t="s">
        <v>651</v>
      </c>
      <c r="B20" s="5" t="s">
        <v>232</v>
      </c>
      <c r="C20" s="5" t="s">
        <v>652</v>
      </c>
      <c r="D20" s="5" t="s">
        <v>653</v>
      </c>
      <c r="E20" s="5" t="s">
        <v>654</v>
      </c>
    </row>
    <row r="21" customFormat="false" ht="109.5" hidden="false" customHeight="true" outlineLevel="0" collapsed="false">
      <c r="A21" s="6" t="s">
        <v>655</v>
      </c>
      <c r="B21" s="6" t="s">
        <v>232</v>
      </c>
      <c r="C21" s="6" t="s">
        <v>656</v>
      </c>
      <c r="D21" s="6" t="s">
        <v>657</v>
      </c>
      <c r="E21" s="6" t="s">
        <v>658</v>
      </c>
    </row>
    <row r="22" customFormat="false" ht="109.5" hidden="false" customHeight="true" outlineLevel="0" collapsed="false">
      <c r="A22" s="5" t="s">
        <v>659</v>
      </c>
      <c r="B22" s="5" t="s">
        <v>647</v>
      </c>
      <c r="C22" s="5" t="s">
        <v>660</v>
      </c>
      <c r="D22" s="5" t="s">
        <v>661</v>
      </c>
      <c r="E22" s="5" t="s">
        <v>662</v>
      </c>
    </row>
    <row r="23" customFormat="false" ht="109.5" hidden="false" customHeight="true" outlineLevel="0" collapsed="false">
      <c r="A23" s="6" t="s">
        <v>663</v>
      </c>
      <c r="B23" s="6" t="s">
        <v>647</v>
      </c>
      <c r="C23" s="6" t="s">
        <v>664</v>
      </c>
      <c r="D23" s="6" t="s">
        <v>665</v>
      </c>
      <c r="E23" s="6" t="s">
        <v>666</v>
      </c>
    </row>
    <row r="24" customFormat="false" ht="109.5" hidden="false" customHeight="true" outlineLevel="0" collapsed="false">
      <c r="A24" s="5" t="s">
        <v>71</v>
      </c>
      <c r="B24" s="5" t="s">
        <v>667</v>
      </c>
      <c r="C24" s="5" t="s">
        <v>668</v>
      </c>
      <c r="D24" s="5" t="s">
        <v>669</v>
      </c>
      <c r="E24" s="5" t="s">
        <v>670</v>
      </c>
    </row>
    <row r="25" customFormat="false" ht="109.5" hidden="false" customHeight="true" outlineLevel="0" collapsed="false">
      <c r="A25" s="6" t="s">
        <v>671</v>
      </c>
      <c r="B25" s="6" t="s">
        <v>672</v>
      </c>
      <c r="C25" s="6" t="s">
        <v>673</v>
      </c>
      <c r="D25" s="6" t="s">
        <v>674</v>
      </c>
      <c r="E25" s="6" t="s">
        <v>675</v>
      </c>
    </row>
    <row r="26" customFormat="false" ht="109.5" hidden="false" customHeight="true" outlineLevel="0" collapsed="false">
      <c r="A26" s="5" t="s">
        <v>676</v>
      </c>
      <c r="B26" s="5" t="s">
        <v>672</v>
      </c>
      <c r="C26" s="5" t="s">
        <v>677</v>
      </c>
      <c r="D26" s="5" t="s">
        <v>678</v>
      </c>
      <c r="E26" s="5" t="s">
        <v>679</v>
      </c>
    </row>
  </sheetData>
  <autoFilter ref="A5:E26"/>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9"/>
    <col collapsed="false" customWidth="true" hidden="false" outlineLevel="0" max="3" min="3" style="0" width="66"/>
    <col collapsed="false" customWidth="true" hidden="false" outlineLevel="0" max="4" min="4" style="0" width="24"/>
    <col collapsed="false" customWidth="true" hidden="false" outlineLevel="0" max="5" min="5" style="0" width="28"/>
    <col collapsed="false" customWidth="true" hidden="false" outlineLevel="0" max="6" min="6" style="0" width="23"/>
    <col collapsed="false" customWidth="true" hidden="false" outlineLevel="0" max="7" min="7" style="0" width="24"/>
    <col collapsed="false" customWidth="true" hidden="false" outlineLevel="0" max="8" min="8" style="0" width="27"/>
    <col collapsed="false" customWidth="true" hidden="false" outlineLevel="0" max="9" min="9" style="0" width="24"/>
    <col collapsed="false" customWidth="true" hidden="false" outlineLevel="0" max="14" min="10" style="0" width="19"/>
    <col collapsed="false" customWidth="true" hidden="false" outlineLevel="0" max="15" min="15" style="0" width="48"/>
    <col collapsed="false" customWidth="true" hidden="false" outlineLevel="0" max="16" min="16" style="0" width="25"/>
    <col collapsed="false" customWidth="true" hidden="false" outlineLevel="0" max="17" min="17" style="0" width="26"/>
    <col collapsed="false" customWidth="true" hidden="false" outlineLevel="0" max="18" min="18" style="0" width="25"/>
    <col collapsed="false" customWidth="true" hidden="false" outlineLevel="0" max="23" min="19" style="0" width="24"/>
    <col collapsed="false" customWidth="true" hidden="false" outlineLevel="0" max="24" min="24" style="0" width="110"/>
  </cols>
  <sheetData>
    <row r="1" customFormat="false" ht="33.75" hidden="false" customHeight="true" outlineLevel="0" collapsed="false">
      <c r="A1" s="9" t="s">
        <v>680</v>
      </c>
      <c r="B1" s="9"/>
      <c r="C1" s="9"/>
      <c r="D1" s="9"/>
      <c r="E1" s="9"/>
      <c r="F1" s="9"/>
      <c r="G1" s="9"/>
      <c r="H1" s="9"/>
      <c r="I1" s="9"/>
      <c r="J1" s="9"/>
      <c r="K1" s="9"/>
      <c r="L1" s="9"/>
      <c r="M1" s="9"/>
      <c r="N1" s="9"/>
      <c r="O1" s="9"/>
      <c r="P1" s="9"/>
      <c r="Q1" s="9"/>
      <c r="R1" s="9"/>
      <c r="S1" s="9"/>
      <c r="T1" s="9"/>
      <c r="U1" s="9"/>
      <c r="V1" s="9"/>
      <c r="W1" s="9"/>
      <c r="X1" s="9"/>
    </row>
    <row r="2" customFormat="false" ht="27" hidden="false" customHeight="true" outlineLevel="0" collapsed="false">
      <c r="A2" s="3" t="s">
        <v>681</v>
      </c>
      <c r="B2" s="3"/>
      <c r="C2" s="3"/>
      <c r="D2" s="3"/>
      <c r="E2" s="3"/>
      <c r="F2" s="3"/>
      <c r="G2" s="3"/>
      <c r="H2" s="3"/>
      <c r="I2" s="3"/>
      <c r="J2" s="3"/>
      <c r="K2" s="3"/>
      <c r="L2" s="3"/>
      <c r="M2" s="3"/>
      <c r="N2" s="3"/>
      <c r="O2" s="3"/>
      <c r="P2" s="3"/>
      <c r="Q2" s="3"/>
      <c r="R2" s="3"/>
      <c r="S2" s="3"/>
      <c r="T2" s="3"/>
      <c r="U2" s="3"/>
      <c r="V2" s="3"/>
      <c r="W2" s="3"/>
      <c r="X2" s="3"/>
    </row>
    <row r="3" customFormat="false" ht="27"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5" customFormat="false" ht="45" hidden="false" customHeight="true" outlineLevel="0" collapsed="false">
      <c r="A5" s="4" t="s">
        <v>682</v>
      </c>
      <c r="B5" s="4" t="s">
        <v>683</v>
      </c>
      <c r="C5" s="4" t="s">
        <v>684</v>
      </c>
      <c r="D5" s="4" t="s">
        <v>685</v>
      </c>
      <c r="E5" s="4" t="s">
        <v>686</v>
      </c>
      <c r="F5" s="4" t="s">
        <v>687</v>
      </c>
      <c r="G5" s="4" t="s">
        <v>688</v>
      </c>
      <c r="H5" s="4" t="s">
        <v>689</v>
      </c>
      <c r="I5" s="4" t="s">
        <v>690</v>
      </c>
      <c r="J5" s="4" t="s">
        <v>472</v>
      </c>
      <c r="K5" s="4" t="s">
        <v>473</v>
      </c>
      <c r="L5" s="4" t="s">
        <v>474</v>
      </c>
      <c r="M5" s="4" t="s">
        <v>475</v>
      </c>
      <c r="N5" s="4" t="s">
        <v>476</v>
      </c>
      <c r="O5" s="4" t="s">
        <v>691</v>
      </c>
      <c r="P5" s="4" t="s">
        <v>692</v>
      </c>
      <c r="Q5" s="4" t="s">
        <v>693</v>
      </c>
      <c r="R5" s="4" t="s">
        <v>694</v>
      </c>
      <c r="S5" s="4" t="s">
        <v>695</v>
      </c>
      <c r="T5" s="4" t="s">
        <v>696</v>
      </c>
      <c r="U5" s="4" t="s">
        <v>697</v>
      </c>
      <c r="V5" s="4" t="s">
        <v>698</v>
      </c>
      <c r="W5" s="4" t="s">
        <v>699</v>
      </c>
      <c r="X5" s="4" t="s">
        <v>332</v>
      </c>
    </row>
    <row r="6" customFormat="false" ht="109.5" hidden="false" customHeight="true" outlineLevel="0" collapsed="false">
      <c r="A6" s="5" t="n">
        <v>1</v>
      </c>
      <c r="B6" s="5" t="s">
        <v>602</v>
      </c>
      <c r="C6" s="5" t="s">
        <v>700</v>
      </c>
      <c r="D6" s="5" t="n">
        <v>1</v>
      </c>
      <c r="E6" s="5" t="n">
        <f aca="false">D6*12</f>
        <v>12</v>
      </c>
      <c r="F6" s="5" t="n">
        <f aca="false">IF(D6=1,10,D6+10)</f>
        <v>10</v>
      </c>
      <c r="G6" s="5" t="n">
        <f aca="false">E6*F6</f>
        <v>120</v>
      </c>
      <c r="H6" s="5" t="n">
        <v>4</v>
      </c>
      <c r="I6" s="5" t="n">
        <v>2</v>
      </c>
      <c r="J6" s="5" t="n">
        <f aca="false">G6*H6</f>
        <v>480</v>
      </c>
      <c r="K6" s="5" t="n">
        <f aca="false">G6*H6</f>
        <v>480</v>
      </c>
      <c r="L6" s="5" t="n">
        <v>0</v>
      </c>
      <c r="M6" s="5" t="n">
        <v>0</v>
      </c>
      <c r="N6" s="5" t="n">
        <v>0</v>
      </c>
      <c r="O6" s="5" t="s">
        <v>701</v>
      </c>
      <c r="P6" s="5" t="n">
        <v>130</v>
      </c>
      <c r="Q6" s="5" t="s">
        <v>702</v>
      </c>
      <c r="R6" s="5" t="n">
        <v>52</v>
      </c>
      <c r="S6" s="5" t="n">
        <f aca="false">P6*2</f>
        <v>260</v>
      </c>
      <c r="T6" s="5" t="n">
        <f aca="false">P6*3</f>
        <v>390</v>
      </c>
      <c r="U6" s="5" t="n">
        <f aca="false">R6*2</f>
        <v>104</v>
      </c>
      <c r="V6" s="5" t="n">
        <f aca="false">R6*3</f>
        <v>156</v>
      </c>
      <c r="W6" s="5" t="n">
        <f aca="false">Parametry!$C$45</f>
        <v>6</v>
      </c>
      <c r="X6" s="5" t="s">
        <v>703</v>
      </c>
    </row>
    <row r="7" customFormat="false" ht="109.5" hidden="false" customHeight="true" outlineLevel="0" collapsed="false">
      <c r="A7" s="6" t="n">
        <v>1</v>
      </c>
      <c r="B7" s="6" t="s">
        <v>606</v>
      </c>
      <c r="C7" s="6" t="s">
        <v>704</v>
      </c>
      <c r="D7" s="6" t="n">
        <v>1</v>
      </c>
      <c r="E7" s="6" t="n">
        <f aca="false">D7*12</f>
        <v>12</v>
      </c>
      <c r="F7" s="6" t="n">
        <f aca="false">IF(D7=1,10,D7+10)</f>
        <v>10</v>
      </c>
      <c r="G7" s="6" t="n">
        <f aca="false">E7*F7</f>
        <v>120</v>
      </c>
      <c r="H7" s="6" t="n">
        <v>8</v>
      </c>
      <c r="I7" s="6" t="n">
        <v>2</v>
      </c>
      <c r="J7" s="6" t="n">
        <v>0</v>
      </c>
      <c r="K7" s="6" t="n">
        <f aca="false">G7*H7</f>
        <v>960</v>
      </c>
      <c r="L7" s="6" t="n">
        <v>0</v>
      </c>
      <c r="M7" s="6" t="n">
        <v>0</v>
      </c>
      <c r="N7" s="6" t="n">
        <f aca="false">G7*H7</f>
        <v>960</v>
      </c>
      <c r="O7" s="6" t="s">
        <v>705</v>
      </c>
      <c r="P7" s="6" t="n">
        <v>201</v>
      </c>
      <c r="Q7" s="6" t="s">
        <v>706</v>
      </c>
      <c r="R7" s="6" t="n">
        <v>248</v>
      </c>
      <c r="S7" s="6" t="n">
        <f aca="false">P7*2</f>
        <v>402</v>
      </c>
      <c r="T7" s="6" t="n">
        <f aca="false">P7*3</f>
        <v>603</v>
      </c>
      <c r="U7" s="6" t="n">
        <f aca="false">R7*2</f>
        <v>496</v>
      </c>
      <c r="V7" s="6" t="n">
        <f aca="false">R7*3</f>
        <v>744</v>
      </c>
      <c r="W7" s="6" t="n">
        <f aca="false">Parametry!$C$45</f>
        <v>6</v>
      </c>
      <c r="X7" s="6" t="s">
        <v>703</v>
      </c>
    </row>
    <row r="8" customFormat="false" ht="109.5" hidden="false" customHeight="true" outlineLevel="0" collapsed="false">
      <c r="A8" s="5" t="n">
        <v>1</v>
      </c>
      <c r="B8" s="5" t="s">
        <v>610</v>
      </c>
      <c r="C8" s="5" t="s">
        <v>707</v>
      </c>
      <c r="D8" s="5" t="n">
        <v>1</v>
      </c>
      <c r="E8" s="5" t="n">
        <f aca="false">D8*12</f>
        <v>12</v>
      </c>
      <c r="F8" s="5" t="n">
        <f aca="false">IF(D8=1,10,D8+10)</f>
        <v>10</v>
      </c>
      <c r="G8" s="5" t="n">
        <f aca="false">E8*F8</f>
        <v>120</v>
      </c>
      <c r="H8" s="5" t="n">
        <v>9</v>
      </c>
      <c r="I8" s="5" t="n">
        <v>4</v>
      </c>
      <c r="J8" s="5" t="n">
        <f aca="false">G8*H8</f>
        <v>1080</v>
      </c>
      <c r="K8" s="5" t="n">
        <v>0</v>
      </c>
      <c r="L8" s="5" t="n">
        <f aca="false">G8*H8</f>
        <v>1080</v>
      </c>
      <c r="M8" s="5" t="n">
        <f aca="false">G8*H8</f>
        <v>1080</v>
      </c>
      <c r="N8" s="5" t="n">
        <f aca="false">G8*H8</f>
        <v>1080</v>
      </c>
      <c r="O8" s="5" t="s">
        <v>708</v>
      </c>
      <c r="P8" s="5" t="n">
        <v>360</v>
      </c>
      <c r="Q8" s="5" t="s">
        <v>702</v>
      </c>
      <c r="R8" s="5" t="n">
        <v>168</v>
      </c>
      <c r="S8" s="5" t="n">
        <f aca="false">P8*2</f>
        <v>720</v>
      </c>
      <c r="T8" s="5" t="n">
        <f aca="false">P8*3</f>
        <v>1080</v>
      </c>
      <c r="U8" s="5" t="n">
        <f aca="false">R8*2</f>
        <v>336</v>
      </c>
      <c r="V8" s="5" t="n">
        <f aca="false">R8*3</f>
        <v>504</v>
      </c>
      <c r="W8" s="5" t="n">
        <f aca="false">Parametry!$C$45</f>
        <v>6</v>
      </c>
      <c r="X8" s="5" t="s">
        <v>703</v>
      </c>
    </row>
    <row r="9" customFormat="false" ht="109.5" hidden="false" customHeight="true" outlineLevel="0" collapsed="false">
      <c r="A9" s="6" t="n">
        <v>2</v>
      </c>
      <c r="B9" s="6" t="s">
        <v>602</v>
      </c>
      <c r="C9" s="6" t="s">
        <v>709</v>
      </c>
      <c r="D9" s="6" t="n">
        <v>2</v>
      </c>
      <c r="E9" s="6" t="n">
        <f aca="false">D9*12</f>
        <v>24</v>
      </c>
      <c r="F9" s="6" t="n">
        <f aca="false">IF(D9=1,10,D9+10)</f>
        <v>12</v>
      </c>
      <c r="G9" s="6" t="n">
        <f aca="false">E9*F9</f>
        <v>288</v>
      </c>
      <c r="H9" s="6" t="n">
        <v>3</v>
      </c>
      <c r="I9" s="6" t="n">
        <v>2</v>
      </c>
      <c r="J9" s="6" t="n">
        <f aca="false">G9*H9</f>
        <v>864</v>
      </c>
      <c r="K9" s="6" t="n">
        <v>0</v>
      </c>
      <c r="L9" s="6" t="n">
        <v>0</v>
      </c>
      <c r="M9" s="6" t="n">
        <v>0</v>
      </c>
      <c r="N9" s="6" t="n">
        <f aca="false">G9*H9</f>
        <v>864</v>
      </c>
      <c r="O9" s="6" t="s">
        <v>710</v>
      </c>
      <c r="P9" s="6" t="n">
        <v>118</v>
      </c>
      <c r="Q9" s="6" t="s">
        <v>711</v>
      </c>
      <c r="R9" s="6" t="n">
        <v>648</v>
      </c>
      <c r="S9" s="6" t="n">
        <f aca="false">P9*2</f>
        <v>236</v>
      </c>
      <c r="T9" s="6" t="n">
        <f aca="false">P9*3</f>
        <v>354</v>
      </c>
      <c r="U9" s="6" t="n">
        <f aca="false">R9*2</f>
        <v>1296</v>
      </c>
      <c r="V9" s="6" t="n">
        <f aca="false">R9*3</f>
        <v>1944</v>
      </c>
      <c r="W9" s="6" t="n">
        <f aca="false">Parametry!$C$45</f>
        <v>6</v>
      </c>
      <c r="X9" s="6" t="s">
        <v>703</v>
      </c>
    </row>
    <row r="10" customFormat="false" ht="109.5" hidden="false" customHeight="true" outlineLevel="0" collapsed="false">
      <c r="A10" s="5" t="n">
        <v>2</v>
      </c>
      <c r="B10" s="5" t="s">
        <v>606</v>
      </c>
      <c r="C10" s="5" t="s">
        <v>712</v>
      </c>
      <c r="D10" s="5" t="n">
        <v>2</v>
      </c>
      <c r="E10" s="5" t="n">
        <f aca="false">D10*12</f>
        <v>24</v>
      </c>
      <c r="F10" s="5" t="n">
        <f aca="false">IF(D10=1,10,D10+10)</f>
        <v>12</v>
      </c>
      <c r="G10" s="5" t="n">
        <f aca="false">E10*F10</f>
        <v>288</v>
      </c>
      <c r="H10" s="5" t="n">
        <v>7</v>
      </c>
      <c r="I10" s="5" t="n">
        <v>2</v>
      </c>
      <c r="J10" s="5" t="n">
        <v>0</v>
      </c>
      <c r="K10" s="5" t="n">
        <v>0</v>
      </c>
      <c r="L10" s="5" t="n">
        <f aca="false">G10*H10</f>
        <v>2016</v>
      </c>
      <c r="M10" s="5" t="n">
        <f aca="false">G10*H10</f>
        <v>2016</v>
      </c>
      <c r="N10" s="5" t="n">
        <v>0</v>
      </c>
      <c r="O10" s="5" t="s">
        <v>713</v>
      </c>
      <c r="P10" s="5" t="n">
        <v>131</v>
      </c>
      <c r="Q10" s="5" t="s">
        <v>706</v>
      </c>
      <c r="R10" s="5" t="n">
        <v>903</v>
      </c>
      <c r="S10" s="5" t="n">
        <f aca="false">P10*2</f>
        <v>262</v>
      </c>
      <c r="T10" s="5" t="n">
        <f aca="false">P10*3</f>
        <v>393</v>
      </c>
      <c r="U10" s="5" t="n">
        <f aca="false">R10*2</f>
        <v>1806</v>
      </c>
      <c r="V10" s="5" t="n">
        <f aca="false">R10*3</f>
        <v>2709</v>
      </c>
      <c r="W10" s="5" t="n">
        <f aca="false">Parametry!$C$45</f>
        <v>6</v>
      </c>
      <c r="X10" s="5" t="s">
        <v>703</v>
      </c>
    </row>
    <row r="11" customFormat="false" ht="109.5" hidden="false" customHeight="true" outlineLevel="0" collapsed="false">
      <c r="A11" s="6" t="n">
        <v>2</v>
      </c>
      <c r="B11" s="6" t="s">
        <v>610</v>
      </c>
      <c r="C11" s="6" t="s">
        <v>714</v>
      </c>
      <c r="D11" s="6" t="n">
        <v>2</v>
      </c>
      <c r="E11" s="6" t="n">
        <f aca="false">D11*12</f>
        <v>24</v>
      </c>
      <c r="F11" s="6" t="n">
        <f aca="false">IF(D11=1,10,D11+10)</f>
        <v>12</v>
      </c>
      <c r="G11" s="6" t="n">
        <f aca="false">E11*F11</f>
        <v>288</v>
      </c>
      <c r="H11" s="6" t="n">
        <v>10</v>
      </c>
      <c r="I11" s="6" t="n">
        <v>4</v>
      </c>
      <c r="J11" s="6" t="n">
        <f aca="false">G11*H11</f>
        <v>2880</v>
      </c>
      <c r="K11" s="6" t="n">
        <f aca="false">G11*H11</f>
        <v>2880</v>
      </c>
      <c r="L11" s="6" t="n">
        <v>0</v>
      </c>
      <c r="M11" s="6" t="n">
        <f aca="false">G11*H11</f>
        <v>2880</v>
      </c>
      <c r="N11" s="6" t="n">
        <f aca="false">G11*H11</f>
        <v>2880</v>
      </c>
      <c r="O11" s="6" t="s">
        <v>715</v>
      </c>
      <c r="P11" s="6" t="n">
        <v>388</v>
      </c>
      <c r="Q11" s="6" t="s">
        <v>706</v>
      </c>
      <c r="R11" s="6" t="n">
        <v>279</v>
      </c>
      <c r="S11" s="6" t="n">
        <f aca="false">P11*2</f>
        <v>776</v>
      </c>
      <c r="T11" s="6" t="n">
        <f aca="false">P11*3</f>
        <v>1164</v>
      </c>
      <c r="U11" s="6" t="n">
        <f aca="false">R11*2</f>
        <v>558</v>
      </c>
      <c r="V11" s="6" t="n">
        <f aca="false">R11*3</f>
        <v>837</v>
      </c>
      <c r="W11" s="6" t="n">
        <f aca="false">Parametry!$C$45</f>
        <v>6</v>
      </c>
      <c r="X11" s="6" t="s">
        <v>703</v>
      </c>
    </row>
    <row r="12" customFormat="false" ht="109.5" hidden="false" customHeight="true" outlineLevel="0" collapsed="false">
      <c r="A12" s="5" t="n">
        <v>3</v>
      </c>
      <c r="B12" s="5" t="s">
        <v>602</v>
      </c>
      <c r="C12" s="5" t="s">
        <v>716</v>
      </c>
      <c r="D12" s="5" t="n">
        <v>3</v>
      </c>
      <c r="E12" s="5" t="n">
        <f aca="false">D12*12</f>
        <v>36</v>
      </c>
      <c r="F12" s="5" t="n">
        <f aca="false">IF(D12=1,10,D12+10)</f>
        <v>13</v>
      </c>
      <c r="G12" s="5" t="n">
        <f aca="false">E12*F12</f>
        <v>468</v>
      </c>
      <c r="H12" s="5" t="n">
        <v>6</v>
      </c>
      <c r="I12" s="5" t="n">
        <v>2</v>
      </c>
      <c r="J12" s="5" t="n">
        <v>0</v>
      </c>
      <c r="K12" s="5" t="n">
        <f aca="false">G12*H12</f>
        <v>2808</v>
      </c>
      <c r="L12" s="5" t="n">
        <v>0</v>
      </c>
      <c r="M12" s="5" t="n">
        <f aca="false">G12*H12</f>
        <v>2808</v>
      </c>
      <c r="N12" s="5" t="n">
        <v>0</v>
      </c>
      <c r="O12" s="5" t="s">
        <v>717</v>
      </c>
      <c r="P12" s="5" t="n">
        <v>197</v>
      </c>
      <c r="Q12" s="5" t="s">
        <v>718</v>
      </c>
      <c r="R12" s="5" t="n">
        <v>476</v>
      </c>
      <c r="S12" s="5" t="n">
        <f aca="false">P12*2</f>
        <v>394</v>
      </c>
      <c r="T12" s="5" t="n">
        <f aca="false">P12*3</f>
        <v>591</v>
      </c>
      <c r="U12" s="5" t="n">
        <f aca="false">R12*2</f>
        <v>952</v>
      </c>
      <c r="V12" s="5" t="n">
        <f aca="false">R12*3</f>
        <v>1428</v>
      </c>
      <c r="W12" s="5" t="n">
        <f aca="false">Parametry!$C$45</f>
        <v>6</v>
      </c>
      <c r="X12" s="5" t="s">
        <v>703</v>
      </c>
    </row>
    <row r="13" customFormat="false" ht="109.5" hidden="false" customHeight="true" outlineLevel="0" collapsed="false">
      <c r="A13" s="6" t="n">
        <v>3</v>
      </c>
      <c r="B13" s="6" t="s">
        <v>606</v>
      </c>
      <c r="C13" s="6" t="s">
        <v>719</v>
      </c>
      <c r="D13" s="6" t="n">
        <v>3</v>
      </c>
      <c r="E13" s="6" t="n">
        <f aca="false">D13*12</f>
        <v>36</v>
      </c>
      <c r="F13" s="6" t="n">
        <f aca="false">IF(D13=1,10,D13+10)</f>
        <v>13</v>
      </c>
      <c r="G13" s="6" t="n">
        <f aca="false">E13*F13</f>
        <v>468</v>
      </c>
      <c r="H13" s="6" t="n">
        <v>8</v>
      </c>
      <c r="I13" s="6" t="n">
        <v>2</v>
      </c>
      <c r="J13" s="6" t="n">
        <f aca="false">G13*H13</f>
        <v>3744</v>
      </c>
      <c r="K13" s="6" t="n">
        <v>0</v>
      </c>
      <c r="L13" s="6" t="n">
        <v>0</v>
      </c>
      <c r="M13" s="6" t="n">
        <f aca="false">G13*H13</f>
        <v>3744</v>
      </c>
      <c r="N13" s="6" t="n">
        <v>0</v>
      </c>
      <c r="O13" s="6" t="s">
        <v>720</v>
      </c>
      <c r="P13" s="6" t="n">
        <v>123</v>
      </c>
      <c r="Q13" s="6" t="s">
        <v>721</v>
      </c>
      <c r="R13" s="6" t="n">
        <v>179</v>
      </c>
      <c r="S13" s="6" t="n">
        <f aca="false">P13*2</f>
        <v>246</v>
      </c>
      <c r="T13" s="6" t="n">
        <f aca="false">P13*3</f>
        <v>369</v>
      </c>
      <c r="U13" s="6" t="n">
        <f aca="false">R13*2</f>
        <v>358</v>
      </c>
      <c r="V13" s="6" t="n">
        <f aca="false">R13*3</f>
        <v>537</v>
      </c>
      <c r="W13" s="6" t="n">
        <f aca="false">Parametry!$C$45</f>
        <v>6</v>
      </c>
      <c r="X13" s="6" t="s">
        <v>703</v>
      </c>
    </row>
    <row r="14" customFormat="false" ht="109.5" hidden="false" customHeight="true" outlineLevel="0" collapsed="false">
      <c r="A14" s="5" t="n">
        <v>3</v>
      </c>
      <c r="B14" s="5" t="s">
        <v>610</v>
      </c>
      <c r="C14" s="5" t="s">
        <v>722</v>
      </c>
      <c r="D14" s="5" t="n">
        <v>3</v>
      </c>
      <c r="E14" s="5" t="n">
        <f aca="false">D14*12</f>
        <v>36</v>
      </c>
      <c r="F14" s="5" t="n">
        <f aca="false">IF(D14=1,10,D14+10)</f>
        <v>13</v>
      </c>
      <c r="G14" s="5" t="n">
        <f aca="false">E14*F14</f>
        <v>468</v>
      </c>
      <c r="H14" s="5" t="n">
        <v>9</v>
      </c>
      <c r="I14" s="5" t="n">
        <v>4</v>
      </c>
      <c r="J14" s="5" t="n">
        <f aca="false">G14*H14</f>
        <v>4212</v>
      </c>
      <c r="K14" s="5" t="n">
        <f aca="false">G14*H14</f>
        <v>4212</v>
      </c>
      <c r="L14" s="5" t="n">
        <f aca="false">G14*H14</f>
        <v>4212</v>
      </c>
      <c r="M14" s="5" t="n">
        <f aca="false">G14*H14</f>
        <v>4212</v>
      </c>
      <c r="N14" s="5" t="n">
        <v>0</v>
      </c>
      <c r="O14" s="5" t="s">
        <v>723</v>
      </c>
      <c r="P14" s="5" t="n">
        <v>149</v>
      </c>
      <c r="Q14" s="5" t="s">
        <v>711</v>
      </c>
      <c r="R14" s="5" t="n">
        <v>354</v>
      </c>
      <c r="S14" s="5" t="n">
        <f aca="false">P14*2</f>
        <v>298</v>
      </c>
      <c r="T14" s="5" t="n">
        <f aca="false">P14*3</f>
        <v>447</v>
      </c>
      <c r="U14" s="5" t="n">
        <f aca="false">R14*2</f>
        <v>708</v>
      </c>
      <c r="V14" s="5" t="n">
        <f aca="false">R14*3</f>
        <v>1062</v>
      </c>
      <c r="W14" s="5" t="n">
        <f aca="false">Parametry!$C$45</f>
        <v>6</v>
      </c>
      <c r="X14" s="5" t="s">
        <v>703</v>
      </c>
    </row>
    <row r="15" customFormat="false" ht="109.5" hidden="false" customHeight="true" outlineLevel="0" collapsed="false">
      <c r="A15" s="6" t="n">
        <v>4</v>
      </c>
      <c r="B15" s="6" t="s">
        <v>602</v>
      </c>
      <c r="C15" s="6" t="s">
        <v>724</v>
      </c>
      <c r="D15" s="6" t="n">
        <v>4</v>
      </c>
      <c r="E15" s="6" t="n">
        <f aca="false">D15*12</f>
        <v>48</v>
      </c>
      <c r="F15" s="6" t="n">
        <f aca="false">IF(D15=1,10,D15+10)</f>
        <v>14</v>
      </c>
      <c r="G15" s="6" t="n">
        <f aca="false">E15*F15</f>
        <v>672</v>
      </c>
      <c r="H15" s="6" t="n">
        <v>6</v>
      </c>
      <c r="I15" s="6" t="n">
        <v>2</v>
      </c>
      <c r="J15" s="6" t="n">
        <f aca="false">G15*H15</f>
        <v>4032</v>
      </c>
      <c r="K15" s="6" t="n">
        <v>0</v>
      </c>
      <c r="L15" s="6" t="n">
        <v>0</v>
      </c>
      <c r="M15" s="6" t="n">
        <f aca="false">G15*H15</f>
        <v>4032</v>
      </c>
      <c r="N15" s="6" t="n">
        <v>0</v>
      </c>
      <c r="O15" s="6" t="s">
        <v>725</v>
      </c>
      <c r="P15" s="6" t="n">
        <v>172</v>
      </c>
      <c r="Q15" s="6" t="s">
        <v>702</v>
      </c>
      <c r="R15" s="6" t="n">
        <v>548</v>
      </c>
      <c r="S15" s="6" t="n">
        <f aca="false">P15*2</f>
        <v>344</v>
      </c>
      <c r="T15" s="6" t="n">
        <f aca="false">P15*3</f>
        <v>516</v>
      </c>
      <c r="U15" s="6" t="n">
        <f aca="false">R15*2</f>
        <v>1096</v>
      </c>
      <c r="V15" s="6" t="n">
        <f aca="false">R15*3</f>
        <v>1644</v>
      </c>
      <c r="W15" s="6" t="n">
        <f aca="false">Parametry!$C$45</f>
        <v>6</v>
      </c>
      <c r="X15" s="6" t="s">
        <v>703</v>
      </c>
    </row>
    <row r="16" customFormat="false" ht="109.5" hidden="false" customHeight="true" outlineLevel="0" collapsed="false">
      <c r="A16" s="5" t="n">
        <v>4</v>
      </c>
      <c r="B16" s="5" t="s">
        <v>606</v>
      </c>
      <c r="C16" s="5" t="s">
        <v>726</v>
      </c>
      <c r="D16" s="5" t="n">
        <v>4</v>
      </c>
      <c r="E16" s="5" t="n">
        <f aca="false">D16*12</f>
        <v>48</v>
      </c>
      <c r="F16" s="5" t="n">
        <f aca="false">IF(D16=1,10,D16+10)</f>
        <v>14</v>
      </c>
      <c r="G16" s="5" t="n">
        <f aca="false">E16*F16</f>
        <v>672</v>
      </c>
      <c r="H16" s="5" t="n">
        <v>6</v>
      </c>
      <c r="I16" s="5" t="n">
        <v>2</v>
      </c>
      <c r="J16" s="5" t="n">
        <f aca="false">G16*H16</f>
        <v>4032</v>
      </c>
      <c r="K16" s="5" t="n">
        <v>0</v>
      </c>
      <c r="L16" s="5" t="n">
        <v>0</v>
      </c>
      <c r="M16" s="5" t="n">
        <f aca="false">G16*H16</f>
        <v>4032</v>
      </c>
      <c r="N16" s="5" t="n">
        <v>0</v>
      </c>
      <c r="O16" s="5" t="s">
        <v>727</v>
      </c>
      <c r="P16" s="5" t="n">
        <v>130</v>
      </c>
      <c r="Q16" s="5" t="s">
        <v>718</v>
      </c>
      <c r="R16" s="5" t="n">
        <v>424</v>
      </c>
      <c r="S16" s="5" t="n">
        <f aca="false">P16*2</f>
        <v>260</v>
      </c>
      <c r="T16" s="5" t="n">
        <f aca="false">P16*3</f>
        <v>390</v>
      </c>
      <c r="U16" s="5" t="n">
        <f aca="false">R16*2</f>
        <v>848</v>
      </c>
      <c r="V16" s="5" t="n">
        <f aca="false">R16*3</f>
        <v>1272</v>
      </c>
      <c r="W16" s="5" t="n">
        <f aca="false">Parametry!$C$45</f>
        <v>6</v>
      </c>
      <c r="X16" s="5" t="s">
        <v>703</v>
      </c>
    </row>
    <row r="17" customFormat="false" ht="109.5" hidden="false" customHeight="true" outlineLevel="0" collapsed="false">
      <c r="A17" s="6" t="n">
        <v>4</v>
      </c>
      <c r="B17" s="6" t="s">
        <v>610</v>
      </c>
      <c r="C17" s="6" t="s">
        <v>728</v>
      </c>
      <c r="D17" s="6" t="n">
        <v>4</v>
      </c>
      <c r="E17" s="6" t="n">
        <f aca="false">D17*12</f>
        <v>48</v>
      </c>
      <c r="F17" s="6" t="n">
        <f aca="false">IF(D17=1,10,D17+10)</f>
        <v>14</v>
      </c>
      <c r="G17" s="6" t="n">
        <f aca="false">E17*F17</f>
        <v>672</v>
      </c>
      <c r="H17" s="6" t="n">
        <v>6</v>
      </c>
      <c r="I17" s="6" t="n">
        <v>4</v>
      </c>
      <c r="J17" s="6" t="n">
        <f aca="false">G17*H17</f>
        <v>4032</v>
      </c>
      <c r="K17" s="6" t="n">
        <f aca="false">G17*H17</f>
        <v>4032</v>
      </c>
      <c r="L17" s="6" t="n">
        <v>0</v>
      </c>
      <c r="M17" s="6" t="n">
        <f aca="false">G17*H17</f>
        <v>4032</v>
      </c>
      <c r="N17" s="6" t="n">
        <f aca="false">G17*H17</f>
        <v>4032</v>
      </c>
      <c r="O17" s="6" t="s">
        <v>729</v>
      </c>
      <c r="P17" s="6" t="n">
        <v>221</v>
      </c>
      <c r="Q17" s="6" t="s">
        <v>706</v>
      </c>
      <c r="R17" s="6" t="n">
        <v>956</v>
      </c>
      <c r="S17" s="6" t="n">
        <f aca="false">P17*2</f>
        <v>442</v>
      </c>
      <c r="T17" s="6" t="n">
        <f aca="false">P17*3</f>
        <v>663</v>
      </c>
      <c r="U17" s="6" t="n">
        <f aca="false">R17*2</f>
        <v>1912</v>
      </c>
      <c r="V17" s="6" t="n">
        <f aca="false">R17*3</f>
        <v>2868</v>
      </c>
      <c r="W17" s="6" t="n">
        <f aca="false">Parametry!$C$45</f>
        <v>6</v>
      </c>
      <c r="X17" s="6" t="s">
        <v>703</v>
      </c>
    </row>
  </sheetData>
  <autoFilter ref="A5:X17"/>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9"/>
    <col collapsed="false" customWidth="true" hidden="false" outlineLevel="0" max="3" min="2" style="0" width="29"/>
    <col collapsed="false" customWidth="true" hidden="false" outlineLevel="0" max="4" min="4" style="0" width="30"/>
    <col collapsed="false" customWidth="true" hidden="false" outlineLevel="0" max="7" min="5" style="0" width="25"/>
    <col collapsed="false" customWidth="true" hidden="false" outlineLevel="0" max="8" min="8" style="0" width="26"/>
    <col collapsed="false" customWidth="true" hidden="false" outlineLevel="0" max="10" min="9" style="0" width="28"/>
    <col collapsed="false" customWidth="true" hidden="false" outlineLevel="0" max="11" min="11" style="0" width="120"/>
  </cols>
  <sheetData>
    <row r="1" customFormat="false" ht="33.75" hidden="false" customHeight="true" outlineLevel="0" collapsed="false">
      <c r="A1" s="9" t="s">
        <v>730</v>
      </c>
      <c r="B1" s="9"/>
      <c r="C1" s="9"/>
      <c r="D1" s="9"/>
      <c r="E1" s="9"/>
      <c r="F1" s="9"/>
      <c r="G1" s="9"/>
      <c r="H1" s="9"/>
      <c r="I1" s="9"/>
      <c r="J1" s="9"/>
      <c r="K1" s="9"/>
    </row>
    <row r="2" customFormat="false" ht="27" hidden="false" customHeight="true" outlineLevel="0" collapsed="false">
      <c r="A2" s="3" t="s">
        <v>731</v>
      </c>
      <c r="B2" s="3"/>
      <c r="C2" s="3"/>
      <c r="D2" s="3"/>
      <c r="E2" s="3"/>
      <c r="F2" s="3"/>
      <c r="G2" s="3"/>
      <c r="H2" s="3"/>
      <c r="I2" s="3"/>
      <c r="J2" s="3"/>
      <c r="K2" s="3"/>
    </row>
    <row r="3" customFormat="false" ht="27" hidden="false" customHeight="true" outlineLevel="0" collapsed="false">
      <c r="A3" s="3"/>
      <c r="B3" s="3"/>
      <c r="C3" s="3"/>
      <c r="D3" s="3"/>
      <c r="E3" s="3"/>
      <c r="F3" s="3"/>
      <c r="G3" s="3"/>
      <c r="H3" s="3"/>
      <c r="I3" s="3"/>
      <c r="J3" s="3"/>
      <c r="K3" s="3"/>
    </row>
    <row r="5" customFormat="false" ht="45" hidden="false" customHeight="true" outlineLevel="0" collapsed="false">
      <c r="A5" s="4" t="s">
        <v>470</v>
      </c>
      <c r="B5" s="4" t="s">
        <v>732</v>
      </c>
      <c r="C5" s="4" t="s">
        <v>439</v>
      </c>
      <c r="D5" s="4" t="s">
        <v>733</v>
      </c>
      <c r="E5" s="4" t="s">
        <v>734</v>
      </c>
      <c r="F5" s="4" t="s">
        <v>735</v>
      </c>
      <c r="G5" s="4" t="s">
        <v>736</v>
      </c>
      <c r="H5" s="4" t="s">
        <v>737</v>
      </c>
      <c r="I5" s="4" t="s">
        <v>738</v>
      </c>
      <c r="J5" s="4" t="s">
        <v>739</v>
      </c>
      <c r="K5" s="4" t="s">
        <v>332</v>
      </c>
    </row>
    <row r="6" customFormat="false" ht="94.5" hidden="false" customHeight="true" outlineLevel="0" collapsed="false">
      <c r="A6" s="5" t="s">
        <v>740</v>
      </c>
      <c r="B6" s="5" t="n">
        <v>10</v>
      </c>
      <c r="C6" s="5" t="n">
        <f aca="false">MAX(0,(Parametry!$C$45*3600-B6)/60)</f>
        <v>359.833333333333</v>
      </c>
      <c r="D6" s="5" t="n">
        <f aca="false">IF(B6&lt;15,3,IF(B6&lt;300,2,1))</f>
        <v>3</v>
      </c>
      <c r="E6" s="5" t="n">
        <v>200</v>
      </c>
      <c r="F6" s="5" t="n">
        <v>100</v>
      </c>
      <c r="G6" s="5" t="n">
        <f aca="false">MAX(0,E6-F6)</f>
        <v>100</v>
      </c>
      <c r="H6" s="5" t="n">
        <v>50</v>
      </c>
      <c r="I6" s="5" t="n">
        <f aca="false">IF(C6&gt;0,MIN(E6,F6+H6),0)</f>
        <v>150</v>
      </c>
      <c r="J6" s="5" t="n">
        <v>0</v>
      </c>
      <c r="K6" s="5" t="s">
        <v>741</v>
      </c>
    </row>
    <row r="7" customFormat="false" ht="94.5" hidden="false" customHeight="true" outlineLevel="0" collapsed="false">
      <c r="A7" s="6" t="s">
        <v>742</v>
      </c>
      <c r="B7" s="6" t="n">
        <v>120</v>
      </c>
      <c r="C7" s="6" t="n">
        <f aca="false">MAX(0,(Parametry!$C$45*3600-B7)/60)</f>
        <v>358</v>
      </c>
      <c r="D7" s="6" t="n">
        <f aca="false">IF(B7&lt;15,3,IF(B7&lt;300,2,1))</f>
        <v>2</v>
      </c>
      <c r="E7" s="6" t="n">
        <v>400</v>
      </c>
      <c r="F7" s="6" t="n">
        <v>100</v>
      </c>
      <c r="G7" s="6" t="n">
        <f aca="false">MAX(0,E7-F7)</f>
        <v>300</v>
      </c>
      <c r="H7" s="6" t="n">
        <v>300</v>
      </c>
      <c r="I7" s="6" t="n">
        <f aca="false">IF(C7&gt;0,MIN(E7,F7+H7),0)</f>
        <v>400</v>
      </c>
      <c r="J7" s="6" t="n">
        <v>0</v>
      </c>
      <c r="K7" s="6" t="s">
        <v>741</v>
      </c>
    </row>
    <row r="8" customFormat="false" ht="94.5" hidden="false" customHeight="true" outlineLevel="0" collapsed="false">
      <c r="A8" s="5" t="s">
        <v>743</v>
      </c>
      <c r="B8" s="5" t="n">
        <v>1800</v>
      </c>
      <c r="C8" s="5" t="n">
        <f aca="false">MAX(0,(Parametry!$C$45*3600-B8)/60)</f>
        <v>330</v>
      </c>
      <c r="D8" s="5" t="n">
        <f aca="false">IF(B8&lt;15,3,IF(B8&lt;300,2,1))</f>
        <v>1</v>
      </c>
      <c r="E8" s="5" t="n">
        <v>1200</v>
      </c>
      <c r="F8" s="5" t="n">
        <v>600</v>
      </c>
      <c r="G8" s="5" t="n">
        <f aca="false">MAX(0,E8-F8)</f>
        <v>600</v>
      </c>
      <c r="H8" s="5" t="n">
        <v>100</v>
      </c>
      <c r="I8" s="5" t="n">
        <f aca="false">IF(C8&gt;0,MIN(E8,F8+H8),0)</f>
        <v>700</v>
      </c>
      <c r="J8" s="5" t="n">
        <v>0</v>
      </c>
      <c r="K8" s="5" t="s">
        <v>741</v>
      </c>
    </row>
    <row r="9" customFormat="false" ht="94.5" hidden="false" customHeight="true" outlineLevel="0" collapsed="false">
      <c r="A9" s="6" t="s">
        <v>744</v>
      </c>
      <c r="B9" s="6" t="n">
        <v>15</v>
      </c>
      <c r="C9" s="6" t="n">
        <f aca="false">MAX(0,(Parametry!$C$45*3600-B9)/60)</f>
        <v>359.75</v>
      </c>
      <c r="D9" s="6" t="n">
        <f aca="false">IF(B9&lt;15,3,IF(B9&lt;300,2,1))</f>
        <v>2</v>
      </c>
      <c r="E9" s="6" t="n">
        <v>200</v>
      </c>
      <c r="F9" s="6" t="n">
        <v>0</v>
      </c>
      <c r="G9" s="6" t="n">
        <f aca="false">MAX(0,E9-F9)</f>
        <v>200</v>
      </c>
      <c r="H9" s="6" t="n">
        <v>0</v>
      </c>
      <c r="I9" s="6" t="n">
        <f aca="false">IF(C9&gt;0,MIN(E9,F9+H9),0)</f>
        <v>0</v>
      </c>
      <c r="J9" s="6" t="n">
        <v>0</v>
      </c>
      <c r="K9" s="6" t="s">
        <v>741</v>
      </c>
    </row>
    <row r="10" customFormat="false" ht="94.5" hidden="false" customHeight="true" outlineLevel="0" collapsed="false">
      <c r="A10" s="5" t="s">
        <v>745</v>
      </c>
      <c r="B10" s="5" t="n">
        <v>300</v>
      </c>
      <c r="C10" s="5" t="n">
        <f aca="false">MAX(0,(Parametry!$C$45*3600-B10)/60)</f>
        <v>355</v>
      </c>
      <c r="D10" s="5" t="n">
        <f aca="false">IF(B10&lt;15,3,IF(B10&lt;300,2,1))</f>
        <v>1</v>
      </c>
      <c r="E10" s="5" t="n">
        <v>200</v>
      </c>
      <c r="F10" s="5" t="n">
        <v>0</v>
      </c>
      <c r="G10" s="5" t="n">
        <f aca="false">MAX(0,E10-F10)</f>
        <v>200</v>
      </c>
      <c r="H10" s="5" t="n">
        <v>0</v>
      </c>
      <c r="I10" s="5" t="n">
        <f aca="false">IF(C10&gt;0,MIN(E10,F10+H10),0)</f>
        <v>0</v>
      </c>
      <c r="J10" s="5" t="n">
        <v>0</v>
      </c>
      <c r="K10" s="5" t="s">
        <v>741</v>
      </c>
    </row>
    <row r="11" customFormat="false" ht="94.5" hidden="false" customHeight="true" outlineLevel="0" collapsed="false">
      <c r="A11" s="6" t="s">
        <v>746</v>
      </c>
      <c r="B11" s="6" t="n">
        <v>21600</v>
      </c>
      <c r="C11" s="6" t="n">
        <f aca="false">MAX(0,(Parametry!$C$45*3600-B11)/60)</f>
        <v>0</v>
      </c>
      <c r="D11" s="6" t="n">
        <f aca="false">IF(B11&lt;15,3,IF(B11&lt;300,2,1))</f>
        <v>1</v>
      </c>
      <c r="E11" s="6" t="n">
        <v>200</v>
      </c>
      <c r="F11" s="6" t="n">
        <v>100</v>
      </c>
      <c r="G11" s="6" t="n">
        <f aca="false">MAX(0,E11-F11)</f>
        <v>100</v>
      </c>
      <c r="H11" s="6" t="n">
        <v>0</v>
      </c>
      <c r="I11" s="6" t="n">
        <f aca="false">IF(C11&gt;0,MIN(E11,F11+H11),0)</f>
        <v>0</v>
      </c>
      <c r="J11" s="6" t="n">
        <v>0</v>
      </c>
      <c r="K11" s="6" t="s">
        <v>741</v>
      </c>
    </row>
  </sheetData>
  <autoFilter ref="A5:K11"/>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10"/>
    <col collapsed="false" customWidth="true" hidden="false" outlineLevel="0" max="3" min="3" style="0" width="135"/>
    <col collapsed="false" customWidth="true" hidden="false" outlineLevel="0" max="4" min="4" style="0" width="63"/>
  </cols>
  <sheetData>
    <row r="1" customFormat="false" ht="33.75" hidden="false" customHeight="true" outlineLevel="0" collapsed="false">
      <c r="A1" s="9" t="s">
        <v>747</v>
      </c>
      <c r="B1" s="9"/>
      <c r="C1" s="9"/>
      <c r="D1" s="9"/>
    </row>
    <row r="2" customFormat="false" ht="27" hidden="false" customHeight="true" outlineLevel="0" collapsed="false">
      <c r="A2" s="3" t="s">
        <v>748</v>
      </c>
      <c r="B2" s="3"/>
      <c r="C2" s="3"/>
      <c r="D2" s="3"/>
    </row>
    <row r="3" customFormat="false" ht="27" hidden="false" customHeight="true" outlineLevel="0" collapsed="false">
      <c r="A3" s="3"/>
      <c r="B3" s="3"/>
      <c r="C3" s="3"/>
      <c r="D3" s="3"/>
    </row>
    <row r="5" customFormat="false" ht="45" hidden="false" customHeight="true" outlineLevel="0" collapsed="false">
      <c r="A5" s="4" t="s">
        <v>2</v>
      </c>
      <c r="B5" s="4" t="s">
        <v>175</v>
      </c>
      <c r="C5" s="4" t="s">
        <v>332</v>
      </c>
      <c r="D5" s="4" t="s">
        <v>178</v>
      </c>
    </row>
    <row r="6" customFormat="false" ht="109.5" hidden="false" customHeight="true" outlineLevel="0" collapsed="false">
      <c r="A6" s="5" t="s">
        <v>749</v>
      </c>
      <c r="B6" s="5" t="s">
        <v>750</v>
      </c>
      <c r="C6" s="5" t="s">
        <v>751</v>
      </c>
      <c r="D6" s="5" t="s">
        <v>752</v>
      </c>
    </row>
    <row r="7" customFormat="false" ht="109.5" hidden="false" customHeight="true" outlineLevel="0" collapsed="false">
      <c r="A7" s="6" t="s">
        <v>753</v>
      </c>
      <c r="B7" s="6" t="s">
        <v>754</v>
      </c>
      <c r="C7" s="6" t="s">
        <v>755</v>
      </c>
      <c r="D7" s="6" t="s">
        <v>756</v>
      </c>
    </row>
    <row r="8" customFormat="false" ht="109.5" hidden="false" customHeight="true" outlineLevel="0" collapsed="false">
      <c r="A8" s="5" t="s">
        <v>491</v>
      </c>
      <c r="B8" s="5" t="s">
        <v>757</v>
      </c>
      <c r="C8" s="5" t="s">
        <v>758</v>
      </c>
      <c r="D8" s="5" t="s">
        <v>337</v>
      </c>
    </row>
    <row r="9" customFormat="false" ht="109.5" hidden="false" customHeight="true" outlineLevel="0" collapsed="false">
      <c r="A9" s="6" t="s">
        <v>759</v>
      </c>
      <c r="B9" s="6" t="s">
        <v>760</v>
      </c>
      <c r="C9" s="6" t="s">
        <v>761</v>
      </c>
      <c r="D9" s="6" t="s">
        <v>337</v>
      </c>
    </row>
    <row r="10" customFormat="false" ht="109.5" hidden="false" customHeight="true" outlineLevel="0" collapsed="false">
      <c r="A10" s="5" t="s">
        <v>762</v>
      </c>
      <c r="B10" s="5" t="s">
        <v>763</v>
      </c>
      <c r="C10" s="5" t="s">
        <v>764</v>
      </c>
      <c r="D10" s="5" t="s">
        <v>337</v>
      </c>
    </row>
    <row r="11" customFormat="false" ht="109.5" hidden="false" customHeight="true" outlineLevel="0" collapsed="false">
      <c r="A11" s="6" t="s">
        <v>765</v>
      </c>
      <c r="B11" s="6" t="s">
        <v>766</v>
      </c>
      <c r="C11" s="6" t="s">
        <v>767</v>
      </c>
      <c r="D11" s="6" t="s">
        <v>768</v>
      </c>
    </row>
    <row r="12" customFormat="false" ht="109.5" hidden="false" customHeight="true" outlineLevel="0" collapsed="false">
      <c r="A12" s="5" t="s">
        <v>769</v>
      </c>
      <c r="B12" s="5" t="s">
        <v>770</v>
      </c>
      <c r="C12" s="5" t="s">
        <v>771</v>
      </c>
      <c r="D12" s="5" t="s">
        <v>772</v>
      </c>
    </row>
    <row r="13" customFormat="false" ht="109.5" hidden="false" customHeight="true" outlineLevel="0" collapsed="false">
      <c r="A13" s="6" t="s">
        <v>773</v>
      </c>
      <c r="B13" s="6" t="s">
        <v>774</v>
      </c>
      <c r="C13" s="6" t="s">
        <v>775</v>
      </c>
      <c r="D13" s="6" t="s">
        <v>776</v>
      </c>
    </row>
    <row r="14" customFormat="false" ht="109.5" hidden="false" customHeight="true" outlineLevel="0" collapsed="false">
      <c r="A14" s="5" t="s">
        <v>777</v>
      </c>
      <c r="B14" s="5" t="s">
        <v>778</v>
      </c>
      <c r="C14" s="5" t="s">
        <v>779</v>
      </c>
      <c r="D14" s="5" t="s">
        <v>780</v>
      </c>
    </row>
    <row r="15" customFormat="false" ht="109.5" hidden="false" customHeight="true" outlineLevel="0" collapsed="false">
      <c r="A15" s="6" t="s">
        <v>781</v>
      </c>
      <c r="B15" s="6" t="s">
        <v>782</v>
      </c>
      <c r="C15" s="6" t="s">
        <v>783</v>
      </c>
      <c r="D15" s="6" t="s">
        <v>337</v>
      </c>
    </row>
    <row r="16" customFormat="false" ht="109.5" hidden="false" customHeight="true" outlineLevel="0" collapsed="false">
      <c r="A16" s="5" t="s">
        <v>784</v>
      </c>
      <c r="B16" s="5" t="s">
        <v>785</v>
      </c>
      <c r="C16" s="5" t="s">
        <v>786</v>
      </c>
      <c r="D16" s="5" t="s">
        <v>787</v>
      </c>
    </row>
    <row r="17" customFormat="false" ht="109.5" hidden="false" customHeight="true" outlineLevel="0" collapsed="false">
      <c r="A17" s="6" t="s">
        <v>788</v>
      </c>
      <c r="B17" s="6" t="s">
        <v>789</v>
      </c>
      <c r="C17" s="6" t="s">
        <v>790</v>
      </c>
      <c r="D17" s="6" t="s">
        <v>791</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33"/>
    <col collapsed="false" customWidth="true" hidden="false" outlineLevel="0" max="3" min="3" style="0" width="37"/>
    <col collapsed="false" customWidth="true" hidden="false" outlineLevel="0" max="4" min="4" style="0" width="35"/>
    <col collapsed="false" customWidth="true" hidden="false" outlineLevel="0" max="5" min="5" style="0" width="42"/>
    <col collapsed="false" customWidth="true" hidden="false" outlineLevel="0" max="6" min="6" style="0" width="52"/>
    <col collapsed="false" customWidth="true" hidden="false" outlineLevel="0" max="7" min="7" style="0" width="120"/>
  </cols>
  <sheetData>
    <row r="1" customFormat="false" ht="33.75" hidden="false" customHeight="true" outlineLevel="0" collapsed="false">
      <c r="A1" s="9" t="s">
        <v>792</v>
      </c>
      <c r="B1" s="9"/>
      <c r="C1" s="9"/>
      <c r="D1" s="9"/>
      <c r="E1" s="9"/>
      <c r="F1" s="9"/>
      <c r="G1" s="9"/>
    </row>
    <row r="2" customFormat="false" ht="27" hidden="false" customHeight="true" outlineLevel="0" collapsed="false">
      <c r="A2" s="3" t="s">
        <v>793</v>
      </c>
      <c r="B2" s="3"/>
      <c r="C2" s="3"/>
      <c r="D2" s="3"/>
      <c r="E2" s="3"/>
      <c r="F2" s="3"/>
      <c r="G2" s="3"/>
    </row>
    <row r="3" customFormat="false" ht="27" hidden="false" customHeight="true" outlineLevel="0" collapsed="false">
      <c r="A3" s="3"/>
      <c r="B3" s="3"/>
      <c r="C3" s="3"/>
      <c r="D3" s="3"/>
      <c r="E3" s="3"/>
      <c r="F3" s="3"/>
      <c r="G3" s="3"/>
    </row>
    <row r="5" customFormat="false" ht="45" hidden="false" customHeight="true" outlineLevel="0" collapsed="false">
      <c r="A5" s="4" t="s">
        <v>794</v>
      </c>
      <c r="B5" s="4" t="s">
        <v>795</v>
      </c>
      <c r="C5" s="4" t="s">
        <v>796</v>
      </c>
      <c r="D5" s="4" t="s">
        <v>797</v>
      </c>
      <c r="E5" s="4" t="s">
        <v>798</v>
      </c>
      <c r="F5" s="4" t="s">
        <v>799</v>
      </c>
      <c r="G5" s="4" t="s">
        <v>332</v>
      </c>
    </row>
    <row r="6" customFormat="false" ht="75" hidden="false" customHeight="true" outlineLevel="0" collapsed="false">
      <c r="A6" s="5" t="n">
        <v>1</v>
      </c>
      <c r="B6" s="5" t="n">
        <f aca="false">Parametry!$C$48*Parametry!$C$49^(A6-1)</f>
        <v>50</v>
      </c>
      <c r="C6" s="5" t="n">
        <f aca="false">IF(A6=1,B6,B6/2)</f>
        <v>50</v>
      </c>
      <c r="D6" s="5" t="n">
        <v>0</v>
      </c>
      <c r="E6" s="12" t="n">
        <f aca="false">B6/Parametry!$C$41</f>
        <v>5</v>
      </c>
      <c r="F6" s="5" t="s">
        <v>800</v>
      </c>
      <c r="G6" s="5" t="s">
        <v>801</v>
      </c>
    </row>
    <row r="7" customFormat="false" ht="75" hidden="false" customHeight="true" outlineLevel="0" collapsed="false">
      <c r="A7" s="6" t="n">
        <v>2</v>
      </c>
      <c r="B7" s="6" t="n">
        <f aca="false">Parametry!$C$48*Parametry!$C$49^(A7-1)</f>
        <v>100</v>
      </c>
      <c r="C7" s="6" t="n">
        <f aca="false">IF(A7=1,B7,B7/2)</f>
        <v>50</v>
      </c>
      <c r="D7" s="6" t="n">
        <v>0</v>
      </c>
      <c r="E7" s="13" t="n">
        <f aca="false">B7/Parametry!$C$41</f>
        <v>10</v>
      </c>
      <c r="F7" s="6" t="s">
        <v>800</v>
      </c>
      <c r="G7" s="6" t="s">
        <v>801</v>
      </c>
    </row>
    <row r="8" customFormat="false" ht="75" hidden="false" customHeight="true" outlineLevel="0" collapsed="false">
      <c r="A8" s="5" t="n">
        <v>3</v>
      </c>
      <c r="B8" s="5" t="n">
        <f aca="false">Parametry!$C$48*Parametry!$C$49^(A8-1)</f>
        <v>200</v>
      </c>
      <c r="C8" s="5" t="n">
        <f aca="false">IF(A8=1,B8,B8/2)</f>
        <v>100</v>
      </c>
      <c r="D8" s="5" t="n">
        <v>0</v>
      </c>
      <c r="E8" s="12" t="n">
        <f aca="false">B8/Parametry!$C$41</f>
        <v>20</v>
      </c>
      <c r="F8" s="5" t="s">
        <v>800</v>
      </c>
      <c r="G8" s="5" t="s">
        <v>801</v>
      </c>
    </row>
    <row r="9" customFormat="false" ht="75" hidden="false" customHeight="true" outlineLevel="0" collapsed="false">
      <c r="A9" s="6" t="n">
        <v>4</v>
      </c>
      <c r="B9" s="6" t="n">
        <f aca="false">Parametry!$C$48*Parametry!$C$49^(A9-1)</f>
        <v>400</v>
      </c>
      <c r="C9" s="6" t="n">
        <f aca="false">IF(A9=1,B9,B9/2)</f>
        <v>200</v>
      </c>
      <c r="D9" s="6" t="n">
        <v>0</v>
      </c>
      <c r="E9" s="13" t="n">
        <f aca="false">B9/Parametry!$C$41</f>
        <v>40</v>
      </c>
      <c r="F9" s="6" t="s">
        <v>800</v>
      </c>
      <c r="G9" s="6" t="s">
        <v>801</v>
      </c>
    </row>
    <row r="10" customFormat="false" ht="75" hidden="false" customHeight="true" outlineLevel="0" collapsed="false">
      <c r="A10" s="5" t="n">
        <v>5</v>
      </c>
      <c r="B10" s="5" t="n">
        <f aca="false">Parametry!$C$48*Parametry!$C$49^(A10-1)</f>
        <v>800</v>
      </c>
      <c r="C10" s="5" t="n">
        <f aca="false">IF(A10=1,B10,B10/2)</f>
        <v>400</v>
      </c>
      <c r="D10" s="5" t="n">
        <v>0</v>
      </c>
      <c r="E10" s="12" t="n">
        <f aca="false">B10/Parametry!$C$41</f>
        <v>80</v>
      </c>
      <c r="F10" s="5" t="s">
        <v>800</v>
      </c>
      <c r="G10" s="5" t="s">
        <v>801</v>
      </c>
    </row>
    <row r="11" customFormat="false" ht="75" hidden="false" customHeight="true" outlineLevel="0" collapsed="false">
      <c r="A11" s="6" t="n">
        <v>6</v>
      </c>
      <c r="B11" s="6" t="n">
        <f aca="false">Parametry!$C$48*Parametry!$C$49^(A11-1)</f>
        <v>1600</v>
      </c>
      <c r="C11" s="6" t="n">
        <f aca="false">IF(A11=1,B11,B11/2)</f>
        <v>800</v>
      </c>
      <c r="D11" s="6" t="n">
        <v>0</v>
      </c>
      <c r="E11" s="13" t="n">
        <f aca="false">B11/Parametry!$C$41</f>
        <v>160</v>
      </c>
      <c r="F11" s="6" t="s">
        <v>800</v>
      </c>
      <c r="G11" s="6" t="s">
        <v>801</v>
      </c>
    </row>
    <row r="12" customFormat="false" ht="75" hidden="false" customHeight="true" outlineLevel="0" collapsed="false">
      <c r="A12" s="5" t="n">
        <v>7</v>
      </c>
      <c r="B12" s="5" t="n">
        <f aca="false">Parametry!$C$48*Parametry!$C$49^(A12-1)</f>
        <v>3200</v>
      </c>
      <c r="C12" s="5" t="n">
        <f aca="false">IF(A12=1,B12,B12/2)</f>
        <v>1600</v>
      </c>
      <c r="D12" s="5" t="n">
        <v>0</v>
      </c>
      <c r="E12" s="12" t="n">
        <f aca="false">B12/Parametry!$C$41</f>
        <v>320</v>
      </c>
      <c r="F12" s="5" t="s">
        <v>800</v>
      </c>
      <c r="G12" s="5" t="s">
        <v>801</v>
      </c>
    </row>
    <row r="13" customFormat="false" ht="75" hidden="false" customHeight="true" outlineLevel="0" collapsed="false">
      <c r="A13" s="6" t="n">
        <v>8</v>
      </c>
      <c r="B13" s="6" t="n">
        <f aca="false">Parametry!$C$48*Parametry!$C$49^(A13-1)</f>
        <v>6400</v>
      </c>
      <c r="C13" s="6" t="n">
        <f aca="false">IF(A13=1,B13,B13/2)</f>
        <v>3200</v>
      </c>
      <c r="D13" s="6" t="n">
        <v>0</v>
      </c>
      <c r="E13" s="13" t="n">
        <f aca="false">B13/Parametry!$C$41</f>
        <v>640</v>
      </c>
      <c r="F13" s="6" t="s">
        <v>800</v>
      </c>
      <c r="G13" s="6" t="s">
        <v>801</v>
      </c>
    </row>
    <row r="14" customFormat="false" ht="75" hidden="false" customHeight="true" outlineLevel="0" collapsed="false">
      <c r="A14" s="5" t="n">
        <v>9</v>
      </c>
      <c r="B14" s="5" t="n">
        <f aca="false">Parametry!$C$48*Parametry!$C$49^(A14-1)</f>
        <v>12800</v>
      </c>
      <c r="C14" s="5" t="n">
        <f aca="false">IF(A14=1,B14,B14/2)</f>
        <v>6400</v>
      </c>
      <c r="D14" s="5" t="n">
        <v>0</v>
      </c>
      <c r="E14" s="12" t="n">
        <f aca="false">B14/Parametry!$C$41</f>
        <v>1280</v>
      </c>
      <c r="F14" s="5" t="s">
        <v>800</v>
      </c>
      <c r="G14" s="5" t="s">
        <v>801</v>
      </c>
    </row>
    <row r="15" customFormat="false" ht="75" hidden="false" customHeight="true" outlineLevel="0" collapsed="false">
      <c r="A15" s="6" t="n">
        <v>10</v>
      </c>
      <c r="B15" s="6" t="n">
        <f aca="false">Parametry!$C$48*Parametry!$C$49^(A15-1)</f>
        <v>25600</v>
      </c>
      <c r="C15" s="6" t="n">
        <f aca="false">IF(A15=1,B15,B15/2)</f>
        <v>12800</v>
      </c>
      <c r="D15" s="6" t="n">
        <v>0</v>
      </c>
      <c r="E15" s="13" t="n">
        <f aca="false">B15/Parametry!$C$41</f>
        <v>2560</v>
      </c>
      <c r="F15" s="6" t="s">
        <v>800</v>
      </c>
      <c r="G15" s="6" t="s">
        <v>801</v>
      </c>
    </row>
    <row r="16" customFormat="false" ht="75" hidden="false" customHeight="true" outlineLevel="0" collapsed="false">
      <c r="A16" s="5" t="n">
        <v>11</v>
      </c>
      <c r="B16" s="5" t="n">
        <f aca="false">Parametry!$C$48*Parametry!$C$49^(A16-1)</f>
        <v>51200</v>
      </c>
      <c r="C16" s="5" t="n">
        <f aca="false">IF(A16=1,B16,B16/2)</f>
        <v>25600</v>
      </c>
      <c r="D16" s="5" t="n">
        <v>0</v>
      </c>
      <c r="E16" s="12" t="n">
        <f aca="false">B16/Parametry!$C$41</f>
        <v>5120</v>
      </c>
      <c r="F16" s="5" t="s">
        <v>800</v>
      </c>
      <c r="G16" s="5" t="s">
        <v>801</v>
      </c>
    </row>
    <row r="17" customFormat="false" ht="75" hidden="false" customHeight="true" outlineLevel="0" collapsed="false">
      <c r="A17" s="6" t="n">
        <v>12</v>
      </c>
      <c r="B17" s="6" t="n">
        <f aca="false">Parametry!$C$48*Parametry!$C$49^(A17-1)</f>
        <v>102400</v>
      </c>
      <c r="C17" s="6" t="n">
        <f aca="false">IF(A17=1,B17,B17/2)</f>
        <v>51200</v>
      </c>
      <c r="D17" s="6" t="n">
        <v>0</v>
      </c>
      <c r="E17" s="13" t="n">
        <f aca="false">B17/Parametry!$C$41</f>
        <v>10240</v>
      </c>
      <c r="F17" s="6" t="s">
        <v>800</v>
      </c>
      <c r="G17" s="6" t="s">
        <v>801</v>
      </c>
    </row>
    <row r="18" customFormat="false" ht="75" hidden="false" customHeight="true" outlineLevel="0" collapsed="false">
      <c r="A18" s="5" t="n">
        <v>15</v>
      </c>
      <c r="B18" s="5" t="n">
        <f aca="false">Parametry!$C$48*Parametry!$C$49^(A18-1)</f>
        <v>819200</v>
      </c>
      <c r="C18" s="5" t="n">
        <f aca="false">IF(A18=1,B18,B18/2)</f>
        <v>409600</v>
      </c>
      <c r="D18" s="5" t="n">
        <v>0</v>
      </c>
      <c r="E18" s="12" t="n">
        <f aca="false">B18/Parametry!$C$41</f>
        <v>81920</v>
      </c>
      <c r="F18" s="5" t="s">
        <v>800</v>
      </c>
      <c r="G18" s="5" t="s">
        <v>801</v>
      </c>
    </row>
    <row r="19" customFormat="false" ht="75" hidden="false" customHeight="true" outlineLevel="0" collapsed="false">
      <c r="A19" s="6" t="n">
        <v>20</v>
      </c>
      <c r="B19" s="6" t="n">
        <f aca="false">Parametry!$C$48*Parametry!$C$49^(A19-1)</f>
        <v>26214400</v>
      </c>
      <c r="C19" s="6" t="n">
        <f aca="false">IF(A19=1,B19,B19/2)</f>
        <v>13107200</v>
      </c>
      <c r="D19" s="6" t="n">
        <v>0</v>
      </c>
      <c r="E19" s="13" t="n">
        <f aca="false">B19/Parametry!$C$41</f>
        <v>2621440</v>
      </c>
      <c r="F19" s="6" t="s">
        <v>800</v>
      </c>
      <c r="G19" s="6" t="s">
        <v>801</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9"/>
    <col collapsed="false" customWidth="true" hidden="false" outlineLevel="0" max="2" min="2" style="0" width="145"/>
    <col collapsed="false" customWidth="true" hidden="false" outlineLevel="0" max="3" min="3" style="0" width="120"/>
  </cols>
  <sheetData>
    <row r="1" customFormat="false" ht="33.75" hidden="false" customHeight="true" outlineLevel="0" collapsed="false">
      <c r="A1" s="9" t="s">
        <v>802</v>
      </c>
      <c r="B1" s="9"/>
      <c r="C1" s="9"/>
    </row>
    <row r="2" customFormat="false" ht="27" hidden="false" customHeight="true" outlineLevel="0" collapsed="false">
      <c r="A2" s="3" t="s">
        <v>803</v>
      </c>
      <c r="B2" s="3"/>
      <c r="C2" s="3"/>
    </row>
    <row r="3" customFormat="false" ht="27" hidden="false" customHeight="true" outlineLevel="0" collapsed="false">
      <c r="A3" s="3"/>
      <c r="B3" s="3"/>
      <c r="C3" s="3"/>
    </row>
    <row r="5" customFormat="false" ht="45" hidden="false" customHeight="true" outlineLevel="0" collapsed="false">
      <c r="A5" s="4" t="s">
        <v>804</v>
      </c>
      <c r="B5" s="4" t="s">
        <v>805</v>
      </c>
      <c r="C5" s="4" t="s">
        <v>806</v>
      </c>
    </row>
    <row r="6" customFormat="false" ht="109.5" hidden="false" customHeight="true" outlineLevel="0" collapsed="false">
      <c r="A6" s="5" t="s">
        <v>807</v>
      </c>
      <c r="B6" s="5" t="s">
        <v>808</v>
      </c>
      <c r="C6" s="5" t="s">
        <v>809</v>
      </c>
    </row>
    <row r="7" customFormat="false" ht="109.5" hidden="false" customHeight="true" outlineLevel="0" collapsed="false">
      <c r="A7" s="6" t="s">
        <v>810</v>
      </c>
      <c r="B7" s="6" t="s">
        <v>811</v>
      </c>
      <c r="C7" s="6" t="s">
        <v>812</v>
      </c>
    </row>
    <row r="8" customFormat="false" ht="109.5" hidden="false" customHeight="true" outlineLevel="0" collapsed="false">
      <c r="A8" s="5" t="s">
        <v>813</v>
      </c>
      <c r="B8" s="5" t="s">
        <v>814</v>
      </c>
      <c r="C8" s="5" t="s">
        <v>815</v>
      </c>
    </row>
    <row r="9" customFormat="false" ht="109.5" hidden="false" customHeight="true" outlineLevel="0" collapsed="false">
      <c r="A9" s="6" t="s">
        <v>816</v>
      </c>
      <c r="B9" s="6" t="s">
        <v>817</v>
      </c>
      <c r="C9" s="6" t="s">
        <v>818</v>
      </c>
    </row>
    <row r="10" customFormat="false" ht="109.5" hidden="false" customHeight="true" outlineLevel="0" collapsed="false">
      <c r="A10" s="5" t="s">
        <v>819</v>
      </c>
      <c r="B10" s="5" t="s">
        <v>820</v>
      </c>
      <c r="C10" s="5" t="s">
        <v>821</v>
      </c>
    </row>
    <row r="11" customFormat="false" ht="109.5" hidden="false" customHeight="true" outlineLevel="0" collapsed="false">
      <c r="A11" s="6" t="s">
        <v>50</v>
      </c>
      <c r="B11" s="6" t="s">
        <v>822</v>
      </c>
      <c r="C11" s="6" t="s">
        <v>823</v>
      </c>
    </row>
    <row r="12" customFormat="false" ht="109.5" hidden="false" customHeight="true" outlineLevel="0" collapsed="false">
      <c r="A12" s="5" t="s">
        <v>50</v>
      </c>
      <c r="B12" s="5" t="s">
        <v>824</v>
      </c>
      <c r="C12" s="5" t="s">
        <v>823</v>
      </c>
    </row>
    <row r="13" customFormat="false" ht="109.5" hidden="false" customHeight="true" outlineLevel="0" collapsed="false">
      <c r="A13" s="6" t="s">
        <v>50</v>
      </c>
      <c r="B13" s="6" t="s">
        <v>825</v>
      </c>
      <c r="C13" s="6" t="s">
        <v>823</v>
      </c>
    </row>
    <row r="14" customFormat="false" ht="109.5" hidden="false" customHeight="true" outlineLevel="0" collapsed="false">
      <c r="A14" s="5" t="s">
        <v>50</v>
      </c>
      <c r="B14" s="5" t="s">
        <v>826</v>
      </c>
      <c r="C14" s="5" t="s">
        <v>823</v>
      </c>
    </row>
    <row r="15" customFormat="false" ht="109.5" hidden="false" customHeight="true" outlineLevel="0" collapsed="false">
      <c r="A15" s="6" t="s">
        <v>827</v>
      </c>
      <c r="B15" s="6" t="s">
        <v>828</v>
      </c>
      <c r="C15" s="6" t="s">
        <v>829</v>
      </c>
    </row>
    <row r="16" customFormat="false" ht="109.5" hidden="false" customHeight="true" outlineLevel="0" collapsed="false">
      <c r="A16" s="5" t="s">
        <v>830</v>
      </c>
      <c r="B16" s="5" t="s">
        <v>831</v>
      </c>
      <c r="C16" s="5" t="s">
        <v>832</v>
      </c>
    </row>
    <row r="17" customFormat="false" ht="109.5" hidden="false" customHeight="true" outlineLevel="0" collapsed="false">
      <c r="A17" s="6" t="s">
        <v>833</v>
      </c>
      <c r="B17" s="6" t="s">
        <v>834</v>
      </c>
      <c r="C17" s="6" t="s">
        <v>835</v>
      </c>
    </row>
    <row r="18" customFormat="false" ht="109.5" hidden="false" customHeight="true" outlineLevel="0" collapsed="false">
      <c r="A18" s="5" t="s">
        <v>836</v>
      </c>
      <c r="B18" s="5" t="s">
        <v>837</v>
      </c>
      <c r="C18" s="5" t="s">
        <v>838</v>
      </c>
    </row>
    <row r="19" customFormat="false" ht="109.5" hidden="false" customHeight="true" outlineLevel="0" collapsed="false">
      <c r="A19" s="6" t="s">
        <v>839</v>
      </c>
      <c r="B19" s="6" t="s">
        <v>840</v>
      </c>
      <c r="C19" s="6" t="s">
        <v>841</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8"/>
    <col collapsed="false" customWidth="true" hidden="false" outlineLevel="0" max="3" min="3" style="1" width="35"/>
    <col collapsed="false" customWidth="true" hidden="false" outlineLevel="0" max="4" min="4" style="1" width="28"/>
    <col collapsed="false" customWidth="true" hidden="false" outlineLevel="0" max="5" min="5" style="1" width="37"/>
    <col collapsed="false" customWidth="true" hidden="false" outlineLevel="0" max="6" min="6" style="1" width="115"/>
  </cols>
  <sheetData>
    <row r="1" customFormat="false" ht="33.75" hidden="false" customHeight="true" outlineLevel="0" collapsed="false">
      <c r="A1" s="7" t="s">
        <v>842</v>
      </c>
      <c r="B1" s="7"/>
      <c r="C1" s="7"/>
      <c r="D1" s="7"/>
      <c r="E1" s="7"/>
      <c r="F1" s="7"/>
    </row>
    <row r="2" customFormat="false" ht="24.75" hidden="false" customHeight="true" outlineLevel="0" collapsed="false">
      <c r="A2" s="3" t="s">
        <v>843</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844</v>
      </c>
      <c r="B5" s="4" t="s">
        <v>845</v>
      </c>
      <c r="C5" s="4" t="s">
        <v>846</v>
      </c>
      <c r="D5" s="4" t="s">
        <v>847</v>
      </c>
      <c r="E5" s="4" t="s">
        <v>848</v>
      </c>
      <c r="F5" s="4" t="s">
        <v>332</v>
      </c>
    </row>
    <row r="6" customFormat="false" ht="60" hidden="false" customHeight="true" outlineLevel="0" collapsed="false">
      <c r="A6" s="5" t="n">
        <v>1</v>
      </c>
      <c r="B6" s="5" t="n">
        <f aca="false">IF(A6=1,10,A6+10)</f>
        <v>10</v>
      </c>
      <c r="C6" s="5" t="n">
        <f aca="false">B6/2</f>
        <v>5</v>
      </c>
      <c r="D6" s="5" t="n">
        <f aca="false">A6*Parametry!$C$8</f>
        <v>12</v>
      </c>
      <c r="E6" s="5" t="n">
        <f aca="false">ROUNDDOWN(Parametry!$C$9*Parametry!$C$10^(A6-1),0)</f>
        <v>60</v>
      </c>
      <c r="F6" s="5" t="s">
        <v>849</v>
      </c>
    </row>
    <row r="7" customFormat="false" ht="60" hidden="false" customHeight="true" outlineLevel="0" collapsed="false">
      <c r="A7" s="6" t="n">
        <v>2</v>
      </c>
      <c r="B7" s="6" t="n">
        <f aca="false">IF(A7=1,10,A7+10)</f>
        <v>12</v>
      </c>
      <c r="C7" s="6" t="n">
        <f aca="false">B7/2</f>
        <v>6</v>
      </c>
      <c r="D7" s="6" t="n">
        <f aca="false">A7*Parametry!$C$8</f>
        <v>24</v>
      </c>
      <c r="E7" s="6" t="n">
        <f aca="false">ROUNDDOWN(Parametry!$C$9*Parametry!$C$10^(A7-1),0)</f>
        <v>66</v>
      </c>
      <c r="F7" s="6" t="s">
        <v>849</v>
      </c>
    </row>
    <row r="8" customFormat="false" ht="60" hidden="false" customHeight="true" outlineLevel="0" collapsed="false">
      <c r="A8" s="5" t="n">
        <v>3</v>
      </c>
      <c r="B8" s="5" t="n">
        <f aca="false">IF(A8=1,10,A8+10)</f>
        <v>13</v>
      </c>
      <c r="C8" s="5" t="n">
        <f aca="false">B8/2</f>
        <v>6.5</v>
      </c>
      <c r="D8" s="5" t="n">
        <f aca="false">A8*Parametry!$C$8</f>
        <v>36</v>
      </c>
      <c r="E8" s="5" t="n">
        <f aca="false">ROUNDDOWN(Parametry!$C$9*Parametry!$C$10^(A8-1),0)</f>
        <v>72</v>
      </c>
      <c r="F8" s="5" t="s">
        <v>849</v>
      </c>
    </row>
    <row r="9" customFormat="false" ht="60" hidden="false" customHeight="true" outlineLevel="0" collapsed="false">
      <c r="A9" s="6" t="n">
        <v>4</v>
      </c>
      <c r="B9" s="6" t="n">
        <f aca="false">IF(A9=1,10,A9+10)</f>
        <v>14</v>
      </c>
      <c r="C9" s="6" t="n">
        <f aca="false">B9/2</f>
        <v>7</v>
      </c>
      <c r="D9" s="6" t="n">
        <f aca="false">A9*Parametry!$C$8</f>
        <v>48</v>
      </c>
      <c r="E9" s="6" t="n">
        <f aca="false">ROUNDDOWN(Parametry!$C$9*Parametry!$C$10^(A9-1),0)</f>
        <v>79</v>
      </c>
      <c r="F9" s="6" t="s">
        <v>849</v>
      </c>
    </row>
    <row r="10" customFormat="false" ht="60" hidden="false" customHeight="true" outlineLevel="0" collapsed="false">
      <c r="A10" s="5" t="n">
        <v>5</v>
      </c>
      <c r="B10" s="5" t="n">
        <f aca="false">IF(A10=1,10,A10+10)</f>
        <v>15</v>
      </c>
      <c r="C10" s="5" t="n">
        <f aca="false">B10/2</f>
        <v>7.5</v>
      </c>
      <c r="D10" s="5" t="n">
        <f aca="false">A10*Parametry!$C$8</f>
        <v>60</v>
      </c>
      <c r="E10" s="5" t="n">
        <f aca="false">ROUNDDOWN(Parametry!$C$9*Parametry!$C$10^(A10-1),0)</f>
        <v>87</v>
      </c>
      <c r="F10" s="5" t="s">
        <v>849</v>
      </c>
    </row>
    <row r="11" customFormat="false" ht="60" hidden="false" customHeight="true" outlineLevel="0" collapsed="false">
      <c r="A11" s="6" t="n">
        <v>6</v>
      </c>
      <c r="B11" s="6" t="n">
        <f aca="false">IF(A11=1,10,A11+10)</f>
        <v>16</v>
      </c>
      <c r="C11" s="6" t="n">
        <f aca="false">B11/2</f>
        <v>8</v>
      </c>
      <c r="D11" s="6" t="n">
        <f aca="false">A11*Parametry!$C$8</f>
        <v>72</v>
      </c>
      <c r="E11" s="6" t="n">
        <f aca="false">ROUNDDOWN(Parametry!$C$9*Parametry!$C$10^(A11-1),0)</f>
        <v>96</v>
      </c>
      <c r="F11" s="6" t="s">
        <v>849</v>
      </c>
    </row>
    <row r="12" customFormat="false" ht="60" hidden="false" customHeight="true" outlineLevel="0" collapsed="false">
      <c r="A12" s="5" t="n">
        <v>7</v>
      </c>
      <c r="B12" s="5" t="n">
        <f aca="false">IF(A12=1,10,A12+10)</f>
        <v>17</v>
      </c>
      <c r="C12" s="5" t="n">
        <f aca="false">B12/2</f>
        <v>8.5</v>
      </c>
      <c r="D12" s="5" t="n">
        <f aca="false">A12*Parametry!$C$8</f>
        <v>84</v>
      </c>
      <c r="E12" s="5" t="n">
        <f aca="false">ROUNDDOWN(Parametry!$C$9*Parametry!$C$10^(A12-1),0)</f>
        <v>106</v>
      </c>
      <c r="F12" s="5" t="s">
        <v>849</v>
      </c>
    </row>
    <row r="13" customFormat="false" ht="60" hidden="false" customHeight="true" outlineLevel="0" collapsed="false">
      <c r="A13" s="6" t="n">
        <v>8</v>
      </c>
      <c r="B13" s="6" t="n">
        <f aca="false">IF(A13=1,10,A13+10)</f>
        <v>18</v>
      </c>
      <c r="C13" s="6" t="n">
        <f aca="false">B13/2</f>
        <v>9</v>
      </c>
      <c r="D13" s="6" t="n">
        <f aca="false">A13*Parametry!$C$8</f>
        <v>96</v>
      </c>
      <c r="E13" s="6" t="n">
        <f aca="false">ROUNDDOWN(Parametry!$C$9*Parametry!$C$10^(A13-1),0)</f>
        <v>116</v>
      </c>
      <c r="F13" s="6" t="s">
        <v>849</v>
      </c>
    </row>
    <row r="14" customFormat="false" ht="60" hidden="false" customHeight="true" outlineLevel="0" collapsed="false">
      <c r="A14" s="5" t="n">
        <v>9</v>
      </c>
      <c r="B14" s="5" t="n">
        <f aca="false">IF(A14=1,10,A14+10)</f>
        <v>19</v>
      </c>
      <c r="C14" s="5" t="n">
        <f aca="false">B14/2</f>
        <v>9.5</v>
      </c>
      <c r="D14" s="5" t="n">
        <f aca="false">A14*Parametry!$C$8</f>
        <v>108</v>
      </c>
      <c r="E14" s="5" t="n">
        <f aca="false">ROUNDDOWN(Parametry!$C$9*Parametry!$C$10^(A14-1),0)</f>
        <v>128</v>
      </c>
      <c r="F14" s="5" t="s">
        <v>849</v>
      </c>
    </row>
    <row r="15" customFormat="false" ht="60" hidden="false" customHeight="true" outlineLevel="0" collapsed="false">
      <c r="A15" s="6" t="n">
        <v>10</v>
      </c>
      <c r="B15" s="6" t="n">
        <f aca="false">IF(A15=1,10,A15+10)</f>
        <v>20</v>
      </c>
      <c r="C15" s="6" t="n">
        <f aca="false">B15/2</f>
        <v>10</v>
      </c>
      <c r="D15" s="6" t="n">
        <f aca="false">A15*Parametry!$C$8</f>
        <v>120</v>
      </c>
      <c r="E15" s="6" t="n">
        <f aca="false">ROUNDDOWN(Parametry!$C$9*Parametry!$C$10^(A15-1),0)</f>
        <v>141</v>
      </c>
      <c r="F15" s="6" t="s">
        <v>849</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1"/>
    <col collapsed="false" customWidth="true" hidden="false" outlineLevel="0" max="2" min="2" style="1" width="13"/>
    <col collapsed="false" customWidth="true" hidden="false" outlineLevel="0" max="3" min="3" style="1" width="23"/>
    <col collapsed="false" customWidth="true" hidden="false" outlineLevel="0" max="5" min="4" style="1" width="11"/>
    <col collapsed="false" customWidth="true" hidden="false" outlineLevel="0" max="6" min="6" style="1" width="18"/>
    <col collapsed="false" customWidth="true" hidden="false" outlineLevel="0" max="7" min="7" style="1" width="20"/>
    <col collapsed="false" customWidth="true" hidden="false" outlineLevel="0" max="8" min="8" style="1" width="22"/>
    <col collapsed="false" customWidth="true" hidden="false" outlineLevel="0" max="14" min="9" style="1" width="15"/>
    <col collapsed="false" customWidth="true" hidden="false" outlineLevel="0" max="19" min="15" style="1" width="18"/>
    <col collapsed="false" customWidth="true" hidden="false" outlineLevel="0" max="20" min="20" style="1" width="19"/>
    <col collapsed="false" customWidth="true" hidden="false" outlineLevel="0" max="21" min="21" style="1" width="14"/>
    <col collapsed="false" customWidth="true" hidden="false" outlineLevel="0" max="22" min="22" style="1" width="22"/>
    <col collapsed="false" customWidth="true" hidden="false" outlineLevel="0" max="23" min="23" style="1" width="18"/>
    <col collapsed="false" customWidth="true" hidden="false" outlineLevel="0" max="24" min="24" style="1" width="24"/>
    <col collapsed="false" customWidth="true" hidden="false" outlineLevel="0" max="25" min="25" style="1" width="22"/>
    <col collapsed="false" customWidth="true" hidden="false" outlineLevel="0" max="26" min="26" style="1" width="24"/>
    <col collapsed="false" customWidth="true" hidden="false" outlineLevel="0" max="27" min="27" style="1" width="115"/>
  </cols>
  <sheetData>
    <row r="1" customFormat="false" ht="33.75" hidden="false" customHeight="true" outlineLevel="0" collapsed="false">
      <c r="A1" s="7" t="s">
        <v>850</v>
      </c>
      <c r="B1" s="7"/>
      <c r="C1" s="7"/>
      <c r="D1" s="7"/>
      <c r="E1" s="7"/>
      <c r="F1" s="7"/>
      <c r="G1" s="7"/>
      <c r="H1" s="7"/>
      <c r="I1" s="7"/>
      <c r="J1" s="7"/>
      <c r="K1" s="7"/>
      <c r="L1" s="7"/>
      <c r="M1" s="7"/>
      <c r="N1" s="7"/>
      <c r="O1" s="7"/>
      <c r="P1" s="7"/>
      <c r="Q1" s="7"/>
      <c r="R1" s="7"/>
      <c r="S1" s="7"/>
      <c r="T1" s="7"/>
      <c r="U1" s="7"/>
      <c r="V1" s="7"/>
      <c r="W1" s="7"/>
      <c r="X1" s="7"/>
      <c r="Y1" s="7"/>
      <c r="Z1" s="7"/>
      <c r="AA1" s="7"/>
    </row>
    <row r="2" customFormat="false" ht="24.75" hidden="false" customHeight="true" outlineLevel="0" collapsed="false">
      <c r="A2" s="3" t="s">
        <v>851</v>
      </c>
      <c r="B2" s="3"/>
      <c r="C2" s="3"/>
      <c r="D2" s="3"/>
      <c r="E2" s="3"/>
      <c r="F2" s="3"/>
      <c r="G2" s="3"/>
      <c r="H2" s="3"/>
      <c r="I2" s="3"/>
      <c r="J2" s="3"/>
      <c r="K2" s="3"/>
      <c r="L2" s="3"/>
      <c r="M2" s="3"/>
      <c r="N2" s="3"/>
      <c r="O2" s="3"/>
      <c r="P2" s="3"/>
      <c r="Q2" s="3"/>
      <c r="R2" s="3"/>
      <c r="S2" s="3"/>
      <c r="T2" s="3"/>
      <c r="U2" s="3"/>
      <c r="V2" s="3"/>
      <c r="W2" s="3"/>
      <c r="X2" s="3"/>
      <c r="Y2" s="3"/>
      <c r="Z2" s="3"/>
      <c r="AA2" s="3"/>
    </row>
    <row r="3" customFormat="false" ht="24.7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row>
    <row r="5" customFormat="false" ht="48" hidden="false" customHeight="true" outlineLevel="0" collapsed="false">
      <c r="A5" s="4" t="s">
        <v>852</v>
      </c>
      <c r="B5" s="4" t="s">
        <v>853</v>
      </c>
      <c r="C5" s="4" t="s">
        <v>854</v>
      </c>
      <c r="D5" s="4" t="s">
        <v>855</v>
      </c>
      <c r="E5" s="4" t="s">
        <v>856</v>
      </c>
      <c r="F5" s="4" t="s">
        <v>857</v>
      </c>
      <c r="G5" s="4" t="s">
        <v>858</v>
      </c>
      <c r="H5" s="4" t="s">
        <v>859</v>
      </c>
      <c r="I5" s="4" t="s">
        <v>453</v>
      </c>
      <c r="J5" s="4" t="s">
        <v>472</v>
      </c>
      <c r="K5" s="4" t="s">
        <v>473</v>
      </c>
      <c r="L5" s="4" t="s">
        <v>474</v>
      </c>
      <c r="M5" s="4" t="s">
        <v>475</v>
      </c>
      <c r="N5" s="4" t="s">
        <v>476</v>
      </c>
      <c r="O5" s="4" t="s">
        <v>860</v>
      </c>
      <c r="P5" s="4" t="s">
        <v>861</v>
      </c>
      <c r="Q5" s="4" t="s">
        <v>862</v>
      </c>
      <c r="R5" s="4" t="s">
        <v>863</v>
      </c>
      <c r="S5" s="4" t="s">
        <v>864</v>
      </c>
      <c r="T5" s="4" t="s">
        <v>452</v>
      </c>
      <c r="U5" s="4" t="s">
        <v>865</v>
      </c>
      <c r="V5" s="4" t="s">
        <v>866</v>
      </c>
      <c r="W5" s="4" t="s">
        <v>867</v>
      </c>
      <c r="X5" s="4" t="s">
        <v>868</v>
      </c>
      <c r="Y5" s="4" t="s">
        <v>869</v>
      </c>
      <c r="Z5" s="4" t="s">
        <v>870</v>
      </c>
      <c r="AA5" s="4" t="s">
        <v>871</v>
      </c>
    </row>
    <row r="6" customFormat="false" ht="69.75" hidden="false" customHeight="true" outlineLevel="0" collapsed="false">
      <c r="A6" s="5" t="s">
        <v>78</v>
      </c>
      <c r="B6" s="5" t="s">
        <v>872</v>
      </c>
      <c r="C6" s="5" t="s">
        <v>873</v>
      </c>
      <c r="D6" s="5" t="n">
        <v>1</v>
      </c>
      <c r="E6" s="5" t="n">
        <f aca="false">D6+1</f>
        <v>2</v>
      </c>
      <c r="F6" s="5" t="n">
        <v>1</v>
      </c>
      <c r="G6" s="16" t="n">
        <f aca="false">Parametry!$C$12</f>
        <v>6</v>
      </c>
      <c r="H6" s="5" t="n">
        <f aca="false">ROUNDDOWN(Parametry!$C$9*Parametry!$C$10^(F6-1),0)</f>
        <v>60</v>
      </c>
      <c r="I6" s="5" t="n">
        <f aca="false">ROUNDUP((Parametry!$C$20*MAX(1,D6))*1,0)</f>
        <v>500</v>
      </c>
      <c r="J6" s="5" t="n">
        <f aca="false">ROUNDUP((Parametry!$C$20*MAX(1,D6))*1,0)</f>
        <v>500</v>
      </c>
      <c r="K6" s="5" t="n">
        <f aca="false">ROUNDUP((Parametry!$C$20*MAX(1,D6))*1,0)</f>
        <v>500</v>
      </c>
      <c r="L6" s="5" t="n">
        <f aca="false">ROUNDUP((Parametry!$C$20*MAX(1,D6))*1,0)</f>
        <v>500</v>
      </c>
      <c r="M6" s="5" t="n">
        <f aca="false">ROUNDUP((Parametry!$C$20*MAX(1,D6))*1,0)</f>
        <v>500</v>
      </c>
      <c r="N6" s="5" t="n">
        <f aca="false">ROUNDUP((Parametry!$C$20*MAX(1,D6))*1,0)</f>
        <v>500</v>
      </c>
      <c r="O6" s="5" t="n">
        <f aca="false">ROUNDUP(J6/H6,0)</f>
        <v>9</v>
      </c>
      <c r="P6" s="5" t="n">
        <f aca="false">ROUNDUP(K6/H6,0)</f>
        <v>9</v>
      </c>
      <c r="Q6" s="5" t="n">
        <f aca="false">ROUNDUP(L6/H6,0)</f>
        <v>9</v>
      </c>
      <c r="R6" s="5" t="n">
        <f aca="false">ROUNDUP(M6/H6,0)</f>
        <v>9</v>
      </c>
      <c r="S6" s="5" t="n">
        <f aca="false">ROUNDUP(N6/H6,0)</f>
        <v>9</v>
      </c>
      <c r="T6" s="5" t="n">
        <f aca="false">SUM(O6:S6)</f>
        <v>45</v>
      </c>
      <c r="U6" s="5" t="n">
        <f aca="false">ROUNDUP(T6/G6,0)</f>
        <v>8</v>
      </c>
      <c r="V6" s="5" t="n">
        <f aca="false">U6*Parametry!$C$11</f>
        <v>40</v>
      </c>
      <c r="W6" s="5" t="n">
        <f aca="false">2</f>
        <v>2</v>
      </c>
      <c r="X6" s="5" t="n">
        <f aca="false">V6*(W6-1)</f>
        <v>40</v>
      </c>
      <c r="Y6" s="5" t="n">
        <f aca="false">V6*W6</f>
        <v>80</v>
      </c>
      <c r="Z6" s="5" t="n">
        <f aca="false">SUM(J6:N6)</f>
        <v>2500</v>
      </c>
      <c r="AA6" s="5" t="s">
        <v>874</v>
      </c>
    </row>
    <row r="7" customFormat="false" ht="69.75" hidden="false" customHeight="true" outlineLevel="0" collapsed="false">
      <c r="A7" s="6" t="s">
        <v>78</v>
      </c>
      <c r="B7" s="6" t="s">
        <v>872</v>
      </c>
      <c r="C7" s="6" t="s">
        <v>875</v>
      </c>
      <c r="D7" s="6" t="n">
        <v>1</v>
      </c>
      <c r="E7" s="6" t="n">
        <f aca="false">D7+1</f>
        <v>2</v>
      </c>
      <c r="F7" s="6" t="n">
        <v>1</v>
      </c>
      <c r="G7" s="17" t="n">
        <f aca="false">Parametry!$C$12</f>
        <v>6</v>
      </c>
      <c r="H7" s="6" t="n">
        <f aca="false">ROUNDDOWN(Parametry!$C$9*Parametry!$C$10^(F7-1),0)</f>
        <v>60</v>
      </c>
      <c r="I7" s="6" t="n">
        <f aca="false">ROUNDUP((Parametry!$C$20*MAX(1,D7))*Parametry!$C$15,0)</f>
        <v>550</v>
      </c>
      <c r="J7" s="6" t="n">
        <f aca="false">ROUNDUP((Parametry!$C$20*MAX(1,D7))*Parametry!$C$15,0)</f>
        <v>550</v>
      </c>
      <c r="K7" s="6" t="n">
        <f aca="false">ROUNDUP((Parametry!$C$20*MAX(1,D7))*Parametry!$C$15,0)</f>
        <v>550</v>
      </c>
      <c r="L7" s="6" t="n">
        <f aca="false">ROUNDUP((Parametry!$C$20*MAX(1,D7))*Parametry!$C$15,0)</f>
        <v>550</v>
      </c>
      <c r="M7" s="6" t="n">
        <f aca="false">ROUNDUP((Parametry!$C$20*MAX(1,D7))*Parametry!$C$15,0)</f>
        <v>550</v>
      </c>
      <c r="N7" s="6" t="n">
        <f aca="false">ROUNDUP((Parametry!$C$20*MAX(1,D7))*Parametry!$C$15,0)</f>
        <v>550</v>
      </c>
      <c r="O7" s="6" t="n">
        <f aca="false">ROUNDUP(J7/H7,0)</f>
        <v>10</v>
      </c>
      <c r="P7" s="6" t="n">
        <f aca="false">ROUNDUP(K7/H7,0)</f>
        <v>10</v>
      </c>
      <c r="Q7" s="6" t="n">
        <f aca="false">ROUNDUP(L7/H7,0)</f>
        <v>10</v>
      </c>
      <c r="R7" s="6" t="n">
        <f aca="false">ROUNDUP(M7/H7,0)</f>
        <v>10</v>
      </c>
      <c r="S7" s="6" t="n">
        <f aca="false">ROUNDUP(N7/H7,0)</f>
        <v>10</v>
      </c>
      <c r="T7" s="6" t="n">
        <f aca="false">SUM(O7:S7)</f>
        <v>50</v>
      </c>
      <c r="U7" s="6" t="n">
        <f aca="false">ROUNDUP(T7/G7,0)</f>
        <v>9</v>
      </c>
      <c r="V7" s="6" t="n">
        <f aca="false">U7*Parametry!$C$11</f>
        <v>45</v>
      </c>
      <c r="W7" s="6" t="n">
        <f aca="false">2</f>
        <v>2</v>
      </c>
      <c r="X7" s="6" t="n">
        <f aca="false">V7*(W7-1)</f>
        <v>45</v>
      </c>
      <c r="Y7" s="6" t="n">
        <f aca="false">V7*W7</f>
        <v>90</v>
      </c>
      <c r="Z7" s="6" t="n">
        <f aca="false">SUM(J7:N7)</f>
        <v>2750</v>
      </c>
      <c r="AA7" s="6" t="s">
        <v>874</v>
      </c>
    </row>
    <row r="8" customFormat="false" ht="69.75" hidden="false" customHeight="true" outlineLevel="0" collapsed="false">
      <c r="A8" s="5" t="s">
        <v>78</v>
      </c>
      <c r="B8" s="5" t="s">
        <v>876</v>
      </c>
      <c r="C8" s="5" t="s">
        <v>873</v>
      </c>
      <c r="D8" s="5" t="n">
        <v>2</v>
      </c>
      <c r="E8" s="5" t="n">
        <f aca="false">D8+1</f>
        <v>3</v>
      </c>
      <c r="F8" s="5" t="n">
        <v>2</v>
      </c>
      <c r="G8" s="16" t="n">
        <f aca="false">Parametry!$C$12</f>
        <v>6</v>
      </c>
      <c r="H8" s="5" t="n">
        <f aca="false">ROUNDDOWN(Parametry!$C$9*Parametry!$C$10^(F8-1),0)</f>
        <v>66</v>
      </c>
      <c r="I8" s="5" t="n">
        <f aca="false">ROUNDUP((Parametry!$C$20*MAX(1,D8))*1,0)</f>
        <v>1000</v>
      </c>
      <c r="J8" s="5" t="n">
        <f aca="false">ROUNDUP((Parametry!$C$20*MAX(1,D8))*1,0)</f>
        <v>1000</v>
      </c>
      <c r="K8" s="5" t="n">
        <f aca="false">ROUNDUP((Parametry!$C$20*MAX(1,D8))*1,0)</f>
        <v>1000</v>
      </c>
      <c r="L8" s="5" t="n">
        <f aca="false">ROUNDUP((Parametry!$C$20*MAX(1,D8))*1,0)</f>
        <v>1000</v>
      </c>
      <c r="M8" s="5" t="n">
        <f aca="false">ROUNDUP((Parametry!$C$20*MAX(1,D8))*1,0)</f>
        <v>1000</v>
      </c>
      <c r="N8" s="5" t="n">
        <f aca="false">ROUNDUP((Parametry!$C$20*MAX(1,D8))*1,0)</f>
        <v>1000</v>
      </c>
      <c r="O8" s="5" t="n">
        <f aca="false">ROUNDUP(J8/H8,0)</f>
        <v>16</v>
      </c>
      <c r="P8" s="5" t="n">
        <f aca="false">ROUNDUP(K8/H8,0)</f>
        <v>16</v>
      </c>
      <c r="Q8" s="5" t="n">
        <f aca="false">ROUNDUP(L8/H8,0)</f>
        <v>16</v>
      </c>
      <c r="R8" s="5" t="n">
        <f aca="false">ROUNDUP(M8/H8,0)</f>
        <v>16</v>
      </c>
      <c r="S8" s="5" t="n">
        <f aca="false">ROUNDUP(N8/H8,0)</f>
        <v>16</v>
      </c>
      <c r="T8" s="5" t="n">
        <f aca="false">SUM(O8:S8)</f>
        <v>80</v>
      </c>
      <c r="U8" s="5" t="n">
        <f aca="false">ROUNDUP(T8/G8,0)</f>
        <v>14</v>
      </c>
      <c r="V8" s="5" t="n">
        <f aca="false">U8*Parametry!$C$11</f>
        <v>70</v>
      </c>
      <c r="W8" s="5" t="n">
        <f aca="false">2</f>
        <v>2</v>
      </c>
      <c r="X8" s="5" t="n">
        <f aca="false">V8*(W8-1)</f>
        <v>70</v>
      </c>
      <c r="Y8" s="5" t="n">
        <f aca="false">V8*W8</f>
        <v>140</v>
      </c>
      <c r="Z8" s="5" t="n">
        <f aca="false">SUM(J8:N8)</f>
        <v>5000</v>
      </c>
      <c r="AA8" s="5" t="s">
        <v>874</v>
      </c>
    </row>
    <row r="9" customFormat="false" ht="69.75" hidden="false" customHeight="true" outlineLevel="0" collapsed="false">
      <c r="A9" s="6" t="s">
        <v>78</v>
      </c>
      <c r="B9" s="6" t="s">
        <v>876</v>
      </c>
      <c r="C9" s="6" t="s">
        <v>875</v>
      </c>
      <c r="D9" s="6" t="n">
        <v>2</v>
      </c>
      <c r="E9" s="6" t="n">
        <f aca="false">D9+1</f>
        <v>3</v>
      </c>
      <c r="F9" s="6" t="n">
        <v>2</v>
      </c>
      <c r="G9" s="17" t="n">
        <f aca="false">Parametry!$C$12</f>
        <v>6</v>
      </c>
      <c r="H9" s="6" t="n">
        <f aca="false">ROUNDDOWN(Parametry!$C$9*Parametry!$C$10^(F9-1),0)</f>
        <v>66</v>
      </c>
      <c r="I9" s="6" t="n">
        <f aca="false">ROUNDUP((Parametry!$C$20*MAX(1,D9))*Parametry!$C$15,0)</f>
        <v>1100</v>
      </c>
      <c r="J9" s="6" t="n">
        <f aca="false">ROUNDUP((Parametry!$C$20*MAX(1,D9))*Parametry!$C$15,0)</f>
        <v>1100</v>
      </c>
      <c r="K9" s="6" t="n">
        <f aca="false">ROUNDUP((Parametry!$C$20*MAX(1,D9))*Parametry!$C$15,0)</f>
        <v>1100</v>
      </c>
      <c r="L9" s="6" t="n">
        <f aca="false">ROUNDUP((Parametry!$C$20*MAX(1,D9))*Parametry!$C$15,0)</f>
        <v>1100</v>
      </c>
      <c r="M9" s="6" t="n">
        <f aca="false">ROUNDUP((Parametry!$C$20*MAX(1,D9))*Parametry!$C$15,0)</f>
        <v>1100</v>
      </c>
      <c r="N9" s="6" t="n">
        <f aca="false">ROUNDUP((Parametry!$C$20*MAX(1,D9))*Parametry!$C$15,0)</f>
        <v>1100</v>
      </c>
      <c r="O9" s="6" t="n">
        <f aca="false">ROUNDUP(J9/H9,0)</f>
        <v>17</v>
      </c>
      <c r="P9" s="6" t="n">
        <f aca="false">ROUNDUP(K9/H9,0)</f>
        <v>17</v>
      </c>
      <c r="Q9" s="6" t="n">
        <f aca="false">ROUNDUP(L9/H9,0)</f>
        <v>17</v>
      </c>
      <c r="R9" s="6" t="n">
        <f aca="false">ROUNDUP(M9/H9,0)</f>
        <v>17</v>
      </c>
      <c r="S9" s="6" t="n">
        <f aca="false">ROUNDUP(N9/H9,0)</f>
        <v>17</v>
      </c>
      <c r="T9" s="6" t="n">
        <f aca="false">SUM(O9:S9)</f>
        <v>85</v>
      </c>
      <c r="U9" s="6" t="n">
        <f aca="false">ROUNDUP(T9/G9,0)</f>
        <v>15</v>
      </c>
      <c r="V9" s="6" t="n">
        <f aca="false">U9*Parametry!$C$11</f>
        <v>75</v>
      </c>
      <c r="W9" s="6" t="n">
        <f aca="false">2</f>
        <v>2</v>
      </c>
      <c r="X9" s="6" t="n">
        <f aca="false">V9*(W9-1)</f>
        <v>75</v>
      </c>
      <c r="Y9" s="6" t="n">
        <f aca="false">V9*W9</f>
        <v>150</v>
      </c>
      <c r="Z9" s="6" t="n">
        <f aca="false">SUM(J9:N9)</f>
        <v>5500</v>
      </c>
      <c r="AA9" s="6" t="s">
        <v>874</v>
      </c>
    </row>
    <row r="10" customFormat="false" ht="69.75" hidden="false" customHeight="true" outlineLevel="0" collapsed="false">
      <c r="A10" s="5" t="s">
        <v>78</v>
      </c>
      <c r="B10" s="5" t="s">
        <v>877</v>
      </c>
      <c r="C10" s="5" t="s">
        <v>873</v>
      </c>
      <c r="D10" s="5" t="n">
        <v>3</v>
      </c>
      <c r="E10" s="5" t="n">
        <f aca="false">D10+1</f>
        <v>4</v>
      </c>
      <c r="F10" s="5" t="n">
        <v>3</v>
      </c>
      <c r="G10" s="16" t="n">
        <f aca="false">Parametry!$C$12</f>
        <v>6</v>
      </c>
      <c r="H10" s="5" t="n">
        <f aca="false">ROUNDDOWN(Parametry!$C$9*Parametry!$C$10^(F10-1),0)</f>
        <v>72</v>
      </c>
      <c r="I10" s="5" t="n">
        <f aca="false">ROUNDUP((Parametry!$C$20*MAX(1,D10))*1,0)</f>
        <v>1500</v>
      </c>
      <c r="J10" s="5" t="n">
        <f aca="false">ROUNDUP((Parametry!$C$20*MAX(1,D10))*1,0)</f>
        <v>1500</v>
      </c>
      <c r="K10" s="5" t="n">
        <f aca="false">ROUNDUP((Parametry!$C$20*MAX(1,D10))*1,0)</f>
        <v>1500</v>
      </c>
      <c r="L10" s="5" t="n">
        <f aca="false">ROUNDUP((Parametry!$C$20*MAX(1,D10))*1,0)</f>
        <v>1500</v>
      </c>
      <c r="M10" s="5" t="n">
        <f aca="false">ROUNDUP((Parametry!$C$20*MAX(1,D10))*1,0)</f>
        <v>1500</v>
      </c>
      <c r="N10" s="5" t="n">
        <f aca="false">ROUNDUP((Parametry!$C$20*MAX(1,D10))*1,0)</f>
        <v>1500</v>
      </c>
      <c r="O10" s="5" t="n">
        <f aca="false">ROUNDUP(J10/H10,0)</f>
        <v>21</v>
      </c>
      <c r="P10" s="5" t="n">
        <f aca="false">ROUNDUP(K10/H10,0)</f>
        <v>21</v>
      </c>
      <c r="Q10" s="5" t="n">
        <f aca="false">ROUNDUP(L10/H10,0)</f>
        <v>21</v>
      </c>
      <c r="R10" s="5" t="n">
        <f aca="false">ROUNDUP(M10/H10,0)</f>
        <v>21</v>
      </c>
      <c r="S10" s="5" t="n">
        <f aca="false">ROUNDUP(N10/H10,0)</f>
        <v>21</v>
      </c>
      <c r="T10" s="5" t="n">
        <f aca="false">SUM(O10:S10)</f>
        <v>105</v>
      </c>
      <c r="U10" s="5" t="n">
        <f aca="false">ROUNDUP(T10/G10,0)</f>
        <v>18</v>
      </c>
      <c r="V10" s="5" t="n">
        <f aca="false">U10*Parametry!$C$11</f>
        <v>90</v>
      </c>
      <c r="W10" s="5" t="n">
        <f aca="false">2</f>
        <v>2</v>
      </c>
      <c r="X10" s="5" t="n">
        <f aca="false">V10*(W10-1)</f>
        <v>90</v>
      </c>
      <c r="Y10" s="5" t="n">
        <f aca="false">V10*W10</f>
        <v>180</v>
      </c>
      <c r="Z10" s="5" t="n">
        <f aca="false">SUM(J10:N10)</f>
        <v>7500</v>
      </c>
      <c r="AA10" s="5" t="s">
        <v>874</v>
      </c>
    </row>
    <row r="11" customFormat="false" ht="69.75" hidden="false" customHeight="true" outlineLevel="0" collapsed="false">
      <c r="A11" s="6" t="s">
        <v>78</v>
      </c>
      <c r="B11" s="6" t="s">
        <v>877</v>
      </c>
      <c r="C11" s="6" t="s">
        <v>875</v>
      </c>
      <c r="D11" s="6" t="n">
        <v>3</v>
      </c>
      <c r="E11" s="6" t="n">
        <f aca="false">D11+1</f>
        <v>4</v>
      </c>
      <c r="F11" s="6" t="n">
        <v>3</v>
      </c>
      <c r="G11" s="17" t="n">
        <f aca="false">Parametry!$C$12</f>
        <v>6</v>
      </c>
      <c r="H11" s="6" t="n">
        <f aca="false">ROUNDDOWN(Parametry!$C$9*Parametry!$C$10^(F11-1),0)</f>
        <v>72</v>
      </c>
      <c r="I11" s="6" t="n">
        <f aca="false">ROUNDUP((Parametry!$C$20*MAX(1,D11))*Parametry!$C$15,0)</f>
        <v>1650</v>
      </c>
      <c r="J11" s="6" t="n">
        <f aca="false">ROUNDUP((Parametry!$C$20*MAX(1,D11))*Parametry!$C$15,0)</f>
        <v>1650</v>
      </c>
      <c r="K11" s="6" t="n">
        <f aca="false">ROUNDUP((Parametry!$C$20*MAX(1,D11))*Parametry!$C$15,0)</f>
        <v>1650</v>
      </c>
      <c r="L11" s="6" t="n">
        <f aca="false">ROUNDUP((Parametry!$C$20*MAX(1,D11))*Parametry!$C$15,0)</f>
        <v>1650</v>
      </c>
      <c r="M11" s="6" t="n">
        <f aca="false">ROUNDUP((Parametry!$C$20*MAX(1,D11))*Parametry!$C$15,0)</f>
        <v>1650</v>
      </c>
      <c r="N11" s="6" t="n">
        <f aca="false">ROUNDUP((Parametry!$C$20*MAX(1,D11))*Parametry!$C$15,0)</f>
        <v>1650</v>
      </c>
      <c r="O11" s="6" t="n">
        <f aca="false">ROUNDUP(J11/H11,0)</f>
        <v>23</v>
      </c>
      <c r="P11" s="6" t="n">
        <f aca="false">ROUNDUP(K11/H11,0)</f>
        <v>23</v>
      </c>
      <c r="Q11" s="6" t="n">
        <f aca="false">ROUNDUP(L11/H11,0)</f>
        <v>23</v>
      </c>
      <c r="R11" s="6" t="n">
        <f aca="false">ROUNDUP(M11/H11,0)</f>
        <v>23</v>
      </c>
      <c r="S11" s="6" t="n">
        <f aca="false">ROUNDUP(N11/H11,0)</f>
        <v>23</v>
      </c>
      <c r="T11" s="6" t="n">
        <f aca="false">SUM(O11:S11)</f>
        <v>115</v>
      </c>
      <c r="U11" s="6" t="n">
        <f aca="false">ROUNDUP(T11/G11,0)</f>
        <v>20</v>
      </c>
      <c r="V11" s="6" t="n">
        <f aca="false">U11*Parametry!$C$11</f>
        <v>100</v>
      </c>
      <c r="W11" s="6" t="n">
        <f aca="false">2</f>
        <v>2</v>
      </c>
      <c r="X11" s="6" t="n">
        <f aca="false">V11*(W11-1)</f>
        <v>100</v>
      </c>
      <c r="Y11" s="6" t="n">
        <f aca="false">V11*W11</f>
        <v>200</v>
      </c>
      <c r="Z11" s="6" t="n">
        <f aca="false">SUM(J11:N11)</f>
        <v>8250</v>
      </c>
      <c r="AA11" s="6" t="s">
        <v>874</v>
      </c>
    </row>
    <row r="12" customFormat="false" ht="69.75" hidden="false" customHeight="true" outlineLevel="0" collapsed="false">
      <c r="A12" s="5" t="s">
        <v>90</v>
      </c>
      <c r="B12" s="5" t="s">
        <v>872</v>
      </c>
      <c r="C12" s="5" t="s">
        <v>873</v>
      </c>
      <c r="D12" s="5" t="n">
        <v>1</v>
      </c>
      <c r="E12" s="5" t="n">
        <f aca="false">D12+1</f>
        <v>2</v>
      </c>
      <c r="F12" s="5" t="n">
        <v>1</v>
      </c>
      <c r="G12" s="16" t="n">
        <f aca="false">Parametry!$C$12</f>
        <v>6</v>
      </c>
      <c r="H12" s="5" t="n">
        <f aca="false">ROUNDDOWN(Parametry!$C$9*Parametry!$C$10^(F12-1),0)</f>
        <v>60</v>
      </c>
      <c r="I12" s="5" t="n">
        <f aca="false">ROUNDUP((Parametry!$C$20*MAX(1,D12))*1,0)</f>
        <v>500</v>
      </c>
      <c r="J12" s="5" t="n">
        <f aca="false">ROUNDUP((Parametry!$C$20*MAX(1,D12))*1,0)</f>
        <v>500</v>
      </c>
      <c r="K12" s="5" t="n">
        <f aca="false">ROUNDUP((Parametry!$C$20*MAX(1,D12))*1,0)</f>
        <v>500</v>
      </c>
      <c r="L12" s="5" t="n">
        <f aca="false">ROUNDUP((Parametry!$C$20*MAX(1,D12))*1,0)</f>
        <v>500</v>
      </c>
      <c r="M12" s="5" t="n">
        <f aca="false">ROUNDUP((Parametry!$C$20*MAX(1,D12))*1,0)</f>
        <v>500</v>
      </c>
      <c r="N12" s="5" t="n">
        <f aca="false">ROUNDUP((Parametry!$C$20*MAX(1,D12))*1,0)</f>
        <v>500</v>
      </c>
      <c r="O12" s="5" t="n">
        <f aca="false">ROUNDUP(J12/H12,0)</f>
        <v>9</v>
      </c>
      <c r="P12" s="5" t="n">
        <f aca="false">ROUNDUP(K12/H12,0)</f>
        <v>9</v>
      </c>
      <c r="Q12" s="5" t="n">
        <f aca="false">ROUNDUP(L12/H12,0)</f>
        <v>9</v>
      </c>
      <c r="R12" s="5" t="n">
        <f aca="false">ROUNDUP(M12/H12,0)</f>
        <v>9</v>
      </c>
      <c r="S12" s="5" t="n">
        <f aca="false">ROUNDUP(N12/H12,0)</f>
        <v>9</v>
      </c>
      <c r="T12" s="5" t="n">
        <f aca="false">SUM(O12:S12)</f>
        <v>45</v>
      </c>
      <c r="U12" s="5" t="n">
        <f aca="false">ROUNDUP(T12/G12,0)</f>
        <v>8</v>
      </c>
      <c r="V12" s="5" t="n">
        <f aca="false">U12*Parametry!$C$11</f>
        <v>40</v>
      </c>
      <c r="W12" s="5" t="n">
        <f aca="false">2</f>
        <v>2</v>
      </c>
      <c r="X12" s="5" t="n">
        <f aca="false">V12*(W12-1)</f>
        <v>40</v>
      </c>
      <c r="Y12" s="5" t="n">
        <f aca="false">V12*W12</f>
        <v>80</v>
      </c>
      <c r="Z12" s="5" t="n">
        <f aca="false">SUM(J12:N12)</f>
        <v>2500</v>
      </c>
      <c r="AA12" s="5" t="s">
        <v>874</v>
      </c>
    </row>
    <row r="13" customFormat="false" ht="69.75" hidden="false" customHeight="true" outlineLevel="0" collapsed="false">
      <c r="A13" s="6" t="s">
        <v>90</v>
      </c>
      <c r="B13" s="6" t="s">
        <v>872</v>
      </c>
      <c r="C13" s="6" t="s">
        <v>875</v>
      </c>
      <c r="D13" s="6" t="n">
        <v>1</v>
      </c>
      <c r="E13" s="6" t="n">
        <f aca="false">D13+1</f>
        <v>2</v>
      </c>
      <c r="F13" s="6" t="n">
        <v>1</v>
      </c>
      <c r="G13" s="17" t="n">
        <f aca="false">Parametry!$C$12</f>
        <v>6</v>
      </c>
      <c r="H13" s="6" t="n">
        <f aca="false">ROUNDDOWN(Parametry!$C$9*Parametry!$C$10^(F13-1),0)</f>
        <v>60</v>
      </c>
      <c r="I13" s="6" t="n">
        <f aca="false">ROUNDUP((Parametry!$C$20*MAX(1,D13))*Parametry!$C$15,0)</f>
        <v>550</v>
      </c>
      <c r="J13" s="6" t="n">
        <f aca="false">ROUNDUP((Parametry!$C$20*MAX(1,D13))*Parametry!$C$15,0)</f>
        <v>550</v>
      </c>
      <c r="K13" s="6" t="n">
        <f aca="false">ROUNDUP((Parametry!$C$20*MAX(1,D13))*Parametry!$C$15,0)</f>
        <v>550</v>
      </c>
      <c r="L13" s="6" t="n">
        <f aca="false">ROUNDUP((Parametry!$C$20*MAX(1,D13))*Parametry!$C$15,0)</f>
        <v>550</v>
      </c>
      <c r="M13" s="6" t="n">
        <f aca="false">ROUNDUP((Parametry!$C$20*MAX(1,D13))*Parametry!$C$15,0)</f>
        <v>550</v>
      </c>
      <c r="N13" s="6" t="n">
        <f aca="false">ROUNDUP((Parametry!$C$20*MAX(1,D13))*Parametry!$C$15,0)</f>
        <v>550</v>
      </c>
      <c r="O13" s="6" t="n">
        <f aca="false">ROUNDUP(J13/H13,0)</f>
        <v>10</v>
      </c>
      <c r="P13" s="6" t="n">
        <f aca="false">ROUNDUP(K13/H13,0)</f>
        <v>10</v>
      </c>
      <c r="Q13" s="6" t="n">
        <f aca="false">ROUNDUP(L13/H13,0)</f>
        <v>10</v>
      </c>
      <c r="R13" s="6" t="n">
        <f aca="false">ROUNDUP(M13/H13,0)</f>
        <v>10</v>
      </c>
      <c r="S13" s="6" t="n">
        <f aca="false">ROUNDUP(N13/H13,0)</f>
        <v>10</v>
      </c>
      <c r="T13" s="6" t="n">
        <f aca="false">SUM(O13:S13)</f>
        <v>50</v>
      </c>
      <c r="U13" s="6" t="n">
        <f aca="false">ROUNDUP(T13/G13,0)</f>
        <v>9</v>
      </c>
      <c r="V13" s="6" t="n">
        <f aca="false">U13*Parametry!$C$11</f>
        <v>45</v>
      </c>
      <c r="W13" s="6" t="n">
        <f aca="false">2</f>
        <v>2</v>
      </c>
      <c r="X13" s="6" t="n">
        <f aca="false">V13*(W13-1)</f>
        <v>45</v>
      </c>
      <c r="Y13" s="6" t="n">
        <f aca="false">V13*W13</f>
        <v>90</v>
      </c>
      <c r="Z13" s="6" t="n">
        <f aca="false">SUM(J13:N13)</f>
        <v>2750</v>
      </c>
      <c r="AA13" s="6" t="s">
        <v>874</v>
      </c>
    </row>
    <row r="14" customFormat="false" ht="69.75" hidden="false" customHeight="true" outlineLevel="0" collapsed="false">
      <c r="A14" s="5" t="s">
        <v>90</v>
      </c>
      <c r="B14" s="5" t="s">
        <v>876</v>
      </c>
      <c r="C14" s="5" t="s">
        <v>873</v>
      </c>
      <c r="D14" s="5" t="n">
        <v>2</v>
      </c>
      <c r="E14" s="5" t="n">
        <f aca="false">D14+1</f>
        <v>3</v>
      </c>
      <c r="F14" s="5" t="n">
        <v>2</v>
      </c>
      <c r="G14" s="16" t="n">
        <f aca="false">Parametry!$C$12</f>
        <v>6</v>
      </c>
      <c r="H14" s="5" t="n">
        <f aca="false">ROUNDDOWN(Parametry!$C$9*Parametry!$C$10^(F14-1),0)</f>
        <v>66</v>
      </c>
      <c r="I14" s="5" t="n">
        <f aca="false">ROUNDUP((Parametry!$C$20*MAX(1,D14))*1,0)</f>
        <v>1000</v>
      </c>
      <c r="J14" s="5" t="n">
        <f aca="false">ROUNDUP((Parametry!$C$20*MAX(1,D14))*1,0)</f>
        <v>1000</v>
      </c>
      <c r="K14" s="5" t="n">
        <f aca="false">ROUNDUP((Parametry!$C$20*MAX(1,D14))*1,0)</f>
        <v>1000</v>
      </c>
      <c r="L14" s="5" t="n">
        <f aca="false">ROUNDUP((Parametry!$C$20*MAX(1,D14))*1,0)</f>
        <v>1000</v>
      </c>
      <c r="M14" s="5" t="n">
        <f aca="false">ROUNDUP((Parametry!$C$20*MAX(1,D14))*1,0)</f>
        <v>1000</v>
      </c>
      <c r="N14" s="5" t="n">
        <f aca="false">ROUNDUP((Parametry!$C$20*MAX(1,D14))*1,0)</f>
        <v>1000</v>
      </c>
      <c r="O14" s="5" t="n">
        <f aca="false">ROUNDUP(J14/H14,0)</f>
        <v>16</v>
      </c>
      <c r="P14" s="5" t="n">
        <f aca="false">ROUNDUP(K14/H14,0)</f>
        <v>16</v>
      </c>
      <c r="Q14" s="5" t="n">
        <f aca="false">ROUNDUP(L14/H14,0)</f>
        <v>16</v>
      </c>
      <c r="R14" s="5" t="n">
        <f aca="false">ROUNDUP(M14/H14,0)</f>
        <v>16</v>
      </c>
      <c r="S14" s="5" t="n">
        <f aca="false">ROUNDUP(N14/H14,0)</f>
        <v>16</v>
      </c>
      <c r="T14" s="5" t="n">
        <f aca="false">SUM(O14:S14)</f>
        <v>80</v>
      </c>
      <c r="U14" s="5" t="n">
        <f aca="false">ROUNDUP(T14/G14,0)</f>
        <v>14</v>
      </c>
      <c r="V14" s="5" t="n">
        <f aca="false">U14*Parametry!$C$11</f>
        <v>70</v>
      </c>
      <c r="W14" s="5" t="n">
        <f aca="false">2</f>
        <v>2</v>
      </c>
      <c r="X14" s="5" t="n">
        <f aca="false">V14*(W14-1)</f>
        <v>70</v>
      </c>
      <c r="Y14" s="5" t="n">
        <f aca="false">V14*W14</f>
        <v>140</v>
      </c>
      <c r="Z14" s="5" t="n">
        <f aca="false">SUM(J14:N14)</f>
        <v>5000</v>
      </c>
      <c r="AA14" s="5" t="s">
        <v>874</v>
      </c>
    </row>
    <row r="15" customFormat="false" ht="69.75" hidden="false" customHeight="true" outlineLevel="0" collapsed="false">
      <c r="A15" s="6" t="s">
        <v>90</v>
      </c>
      <c r="B15" s="6" t="s">
        <v>876</v>
      </c>
      <c r="C15" s="6" t="s">
        <v>875</v>
      </c>
      <c r="D15" s="6" t="n">
        <v>2</v>
      </c>
      <c r="E15" s="6" t="n">
        <f aca="false">D15+1</f>
        <v>3</v>
      </c>
      <c r="F15" s="6" t="n">
        <v>2</v>
      </c>
      <c r="G15" s="17" t="n">
        <f aca="false">Parametry!$C$12</f>
        <v>6</v>
      </c>
      <c r="H15" s="6" t="n">
        <f aca="false">ROUNDDOWN(Parametry!$C$9*Parametry!$C$10^(F15-1),0)</f>
        <v>66</v>
      </c>
      <c r="I15" s="6" t="n">
        <f aca="false">ROUNDUP((Parametry!$C$20*MAX(1,D15))*Parametry!$C$15,0)</f>
        <v>1100</v>
      </c>
      <c r="J15" s="6" t="n">
        <f aca="false">ROUNDUP((Parametry!$C$20*MAX(1,D15))*Parametry!$C$15,0)</f>
        <v>1100</v>
      </c>
      <c r="K15" s="6" t="n">
        <f aca="false">ROUNDUP((Parametry!$C$20*MAX(1,D15))*Parametry!$C$15,0)</f>
        <v>1100</v>
      </c>
      <c r="L15" s="6" t="n">
        <f aca="false">ROUNDUP((Parametry!$C$20*MAX(1,D15))*Parametry!$C$15,0)</f>
        <v>1100</v>
      </c>
      <c r="M15" s="6" t="n">
        <f aca="false">ROUNDUP((Parametry!$C$20*MAX(1,D15))*Parametry!$C$15,0)</f>
        <v>1100</v>
      </c>
      <c r="N15" s="6" t="n">
        <f aca="false">ROUNDUP((Parametry!$C$20*MAX(1,D15))*Parametry!$C$15,0)</f>
        <v>1100</v>
      </c>
      <c r="O15" s="6" t="n">
        <f aca="false">ROUNDUP(J15/H15,0)</f>
        <v>17</v>
      </c>
      <c r="P15" s="6" t="n">
        <f aca="false">ROUNDUP(K15/H15,0)</f>
        <v>17</v>
      </c>
      <c r="Q15" s="6" t="n">
        <f aca="false">ROUNDUP(L15/H15,0)</f>
        <v>17</v>
      </c>
      <c r="R15" s="6" t="n">
        <f aca="false">ROUNDUP(M15/H15,0)</f>
        <v>17</v>
      </c>
      <c r="S15" s="6" t="n">
        <f aca="false">ROUNDUP(N15/H15,0)</f>
        <v>17</v>
      </c>
      <c r="T15" s="6" t="n">
        <f aca="false">SUM(O15:S15)</f>
        <v>85</v>
      </c>
      <c r="U15" s="6" t="n">
        <f aca="false">ROUNDUP(T15/G15,0)</f>
        <v>15</v>
      </c>
      <c r="V15" s="6" t="n">
        <f aca="false">U15*Parametry!$C$11</f>
        <v>75</v>
      </c>
      <c r="W15" s="6" t="n">
        <f aca="false">2</f>
        <v>2</v>
      </c>
      <c r="X15" s="6" t="n">
        <f aca="false">V15*(W15-1)</f>
        <v>75</v>
      </c>
      <c r="Y15" s="6" t="n">
        <f aca="false">V15*W15</f>
        <v>150</v>
      </c>
      <c r="Z15" s="6" t="n">
        <f aca="false">SUM(J15:N15)</f>
        <v>5500</v>
      </c>
      <c r="AA15" s="6" t="s">
        <v>874</v>
      </c>
    </row>
    <row r="16" customFormat="false" ht="69.75" hidden="false" customHeight="true" outlineLevel="0" collapsed="false">
      <c r="A16" s="5" t="s">
        <v>90</v>
      </c>
      <c r="B16" s="5" t="s">
        <v>877</v>
      </c>
      <c r="C16" s="5" t="s">
        <v>873</v>
      </c>
      <c r="D16" s="5" t="n">
        <v>3</v>
      </c>
      <c r="E16" s="5" t="n">
        <f aca="false">D16+1</f>
        <v>4</v>
      </c>
      <c r="F16" s="5" t="n">
        <v>3</v>
      </c>
      <c r="G16" s="16" t="n">
        <f aca="false">Parametry!$C$12</f>
        <v>6</v>
      </c>
      <c r="H16" s="5" t="n">
        <f aca="false">ROUNDDOWN(Parametry!$C$9*Parametry!$C$10^(F16-1),0)</f>
        <v>72</v>
      </c>
      <c r="I16" s="5" t="n">
        <f aca="false">ROUNDUP((Parametry!$C$20*MAX(1,D16))*1,0)</f>
        <v>1500</v>
      </c>
      <c r="J16" s="5" t="n">
        <f aca="false">ROUNDUP((Parametry!$C$20*MAX(1,D16))*1,0)</f>
        <v>1500</v>
      </c>
      <c r="K16" s="5" t="n">
        <f aca="false">ROUNDUP((Parametry!$C$20*MAX(1,D16))*1,0)</f>
        <v>1500</v>
      </c>
      <c r="L16" s="5" t="n">
        <f aca="false">ROUNDUP((Parametry!$C$20*MAX(1,D16))*1,0)</f>
        <v>1500</v>
      </c>
      <c r="M16" s="5" t="n">
        <f aca="false">ROUNDUP((Parametry!$C$20*MAX(1,D16))*1,0)</f>
        <v>1500</v>
      </c>
      <c r="N16" s="5" t="n">
        <f aca="false">ROUNDUP((Parametry!$C$20*MAX(1,D16))*1,0)</f>
        <v>1500</v>
      </c>
      <c r="O16" s="5" t="n">
        <f aca="false">ROUNDUP(J16/H16,0)</f>
        <v>21</v>
      </c>
      <c r="P16" s="5" t="n">
        <f aca="false">ROUNDUP(K16/H16,0)</f>
        <v>21</v>
      </c>
      <c r="Q16" s="5" t="n">
        <f aca="false">ROUNDUP(L16/H16,0)</f>
        <v>21</v>
      </c>
      <c r="R16" s="5" t="n">
        <f aca="false">ROUNDUP(M16/H16,0)</f>
        <v>21</v>
      </c>
      <c r="S16" s="5" t="n">
        <f aca="false">ROUNDUP(N16/H16,0)</f>
        <v>21</v>
      </c>
      <c r="T16" s="5" t="n">
        <f aca="false">SUM(O16:S16)</f>
        <v>105</v>
      </c>
      <c r="U16" s="5" t="n">
        <f aca="false">ROUNDUP(T16/G16,0)</f>
        <v>18</v>
      </c>
      <c r="V16" s="5" t="n">
        <f aca="false">U16*Parametry!$C$11</f>
        <v>90</v>
      </c>
      <c r="W16" s="5" t="n">
        <f aca="false">2</f>
        <v>2</v>
      </c>
      <c r="X16" s="5" t="n">
        <f aca="false">V16*(W16-1)</f>
        <v>90</v>
      </c>
      <c r="Y16" s="5" t="n">
        <f aca="false">V16*W16</f>
        <v>180</v>
      </c>
      <c r="Z16" s="5" t="n">
        <f aca="false">SUM(J16:N16)</f>
        <v>7500</v>
      </c>
      <c r="AA16" s="5" t="s">
        <v>874</v>
      </c>
    </row>
    <row r="17" customFormat="false" ht="69.75" hidden="false" customHeight="true" outlineLevel="0" collapsed="false">
      <c r="A17" s="6" t="s">
        <v>90</v>
      </c>
      <c r="B17" s="6" t="s">
        <v>877</v>
      </c>
      <c r="C17" s="6" t="s">
        <v>875</v>
      </c>
      <c r="D17" s="6" t="n">
        <v>3</v>
      </c>
      <c r="E17" s="6" t="n">
        <f aca="false">D17+1</f>
        <v>4</v>
      </c>
      <c r="F17" s="6" t="n">
        <v>3</v>
      </c>
      <c r="G17" s="17" t="n">
        <f aca="false">Parametry!$C$12</f>
        <v>6</v>
      </c>
      <c r="H17" s="6" t="n">
        <f aca="false">ROUNDDOWN(Parametry!$C$9*Parametry!$C$10^(F17-1),0)</f>
        <v>72</v>
      </c>
      <c r="I17" s="6" t="n">
        <f aca="false">ROUNDUP((Parametry!$C$20*MAX(1,D17))*Parametry!$C$15,0)</f>
        <v>1650</v>
      </c>
      <c r="J17" s="6" t="n">
        <f aca="false">ROUNDUP((Parametry!$C$20*MAX(1,D17))*Parametry!$C$15,0)</f>
        <v>1650</v>
      </c>
      <c r="K17" s="6" t="n">
        <f aca="false">ROUNDUP((Parametry!$C$20*MAX(1,D17))*Parametry!$C$15,0)</f>
        <v>1650</v>
      </c>
      <c r="L17" s="6" t="n">
        <f aca="false">ROUNDUP((Parametry!$C$20*MAX(1,D17))*Parametry!$C$15,0)</f>
        <v>1650</v>
      </c>
      <c r="M17" s="6" t="n">
        <f aca="false">ROUNDUP((Parametry!$C$20*MAX(1,D17))*Parametry!$C$15,0)</f>
        <v>1650</v>
      </c>
      <c r="N17" s="6" t="n">
        <f aca="false">ROUNDUP((Parametry!$C$20*MAX(1,D17))*Parametry!$C$15,0)</f>
        <v>1650</v>
      </c>
      <c r="O17" s="6" t="n">
        <f aca="false">ROUNDUP(J17/H17,0)</f>
        <v>23</v>
      </c>
      <c r="P17" s="6" t="n">
        <f aca="false">ROUNDUP(K17/H17,0)</f>
        <v>23</v>
      </c>
      <c r="Q17" s="6" t="n">
        <f aca="false">ROUNDUP(L17/H17,0)</f>
        <v>23</v>
      </c>
      <c r="R17" s="6" t="n">
        <f aca="false">ROUNDUP(M17/H17,0)</f>
        <v>23</v>
      </c>
      <c r="S17" s="6" t="n">
        <f aca="false">ROUNDUP(N17/H17,0)</f>
        <v>23</v>
      </c>
      <c r="T17" s="6" t="n">
        <f aca="false">SUM(O17:S17)</f>
        <v>115</v>
      </c>
      <c r="U17" s="6" t="n">
        <f aca="false">ROUNDUP(T17/G17,0)</f>
        <v>20</v>
      </c>
      <c r="V17" s="6" t="n">
        <f aca="false">U17*Parametry!$C$11</f>
        <v>100</v>
      </c>
      <c r="W17" s="6" t="n">
        <f aca="false">2</f>
        <v>2</v>
      </c>
      <c r="X17" s="6" t="n">
        <f aca="false">V17*(W17-1)</f>
        <v>100</v>
      </c>
      <c r="Y17" s="6" t="n">
        <f aca="false">V17*W17</f>
        <v>200</v>
      </c>
      <c r="Z17" s="6" t="n">
        <f aca="false">SUM(J17:N17)</f>
        <v>8250</v>
      </c>
      <c r="AA17" s="6" t="s">
        <v>874</v>
      </c>
    </row>
    <row r="18" customFormat="false" ht="69.75" hidden="false" customHeight="true" outlineLevel="0" collapsed="false">
      <c r="A18" s="5" t="s">
        <v>97</v>
      </c>
      <c r="B18" s="5" t="s">
        <v>872</v>
      </c>
      <c r="C18" s="5" t="s">
        <v>873</v>
      </c>
      <c r="D18" s="5" t="n">
        <v>1</v>
      </c>
      <c r="E18" s="5" t="n">
        <f aca="false">D18+1</f>
        <v>2</v>
      </c>
      <c r="F18" s="5" t="n">
        <v>1</v>
      </c>
      <c r="G18" s="16" t="n">
        <f aca="false">Parametry!$C$12</f>
        <v>6</v>
      </c>
      <c r="H18" s="5" t="n">
        <f aca="false">ROUNDDOWN(Parametry!$C$9*Parametry!$C$10^(F18-1),0)</f>
        <v>60</v>
      </c>
      <c r="I18" s="5" t="n">
        <f aca="false">ROUNDUP((0)*1,0)</f>
        <v>0</v>
      </c>
      <c r="J18" s="5" t="n">
        <f aca="false">ROUNDUP((Parametry!$C$16*Parametry!$C$17*D18)*1,0)</f>
        <v>72</v>
      </c>
      <c r="K18" s="5" t="n">
        <f aca="false">ROUNDUP((Parametry!$C$16*Parametry!$C$18*D18)*1,0)</f>
        <v>72</v>
      </c>
      <c r="L18" s="5" t="n">
        <f aca="false">ROUNDUP((Parametry!$C$16*Parametry!$C$19*D18)*1,0)</f>
        <v>120</v>
      </c>
      <c r="M18" s="5" t="n">
        <f aca="false">ROUNDUP((0)*1,0)</f>
        <v>0</v>
      </c>
      <c r="N18" s="5" t="n">
        <f aca="false">ROUNDUP((0)*1,0)</f>
        <v>0</v>
      </c>
      <c r="O18" s="5" t="n">
        <f aca="false">ROUNDUP(J18/H18,0)</f>
        <v>2</v>
      </c>
      <c r="P18" s="5" t="n">
        <f aca="false">ROUNDUP(K18/H18,0)</f>
        <v>2</v>
      </c>
      <c r="Q18" s="5" t="n">
        <f aca="false">ROUNDUP(L18/H18,0)</f>
        <v>2</v>
      </c>
      <c r="R18" s="5" t="n">
        <f aca="false">ROUNDUP(M18/H18,0)</f>
        <v>0</v>
      </c>
      <c r="S18" s="5" t="n">
        <f aca="false">ROUNDUP(N18/H18,0)</f>
        <v>0</v>
      </c>
      <c r="T18" s="5" t="n">
        <f aca="false">SUM(O18:S18)</f>
        <v>6</v>
      </c>
      <c r="U18" s="5" t="n">
        <f aca="false">ROUNDUP(T18/G18,0)</f>
        <v>1</v>
      </c>
      <c r="V18" s="5" t="n">
        <f aca="false">U18*Parametry!$C$11</f>
        <v>5</v>
      </c>
      <c r="W18" s="5" t="n">
        <f aca="false">2</f>
        <v>2</v>
      </c>
      <c r="X18" s="5" t="n">
        <f aca="false">V18*(W18-1)</f>
        <v>5</v>
      </c>
      <c r="Y18" s="5" t="n">
        <f aca="false">V18*W18</f>
        <v>10</v>
      </c>
      <c r="Z18" s="5" t="n">
        <f aca="false">SUM(J18:N18)</f>
        <v>264</v>
      </c>
      <c r="AA18" s="5" t="s">
        <v>874</v>
      </c>
    </row>
    <row r="19" customFormat="false" ht="69.75" hidden="false" customHeight="true" outlineLevel="0" collapsed="false">
      <c r="A19" s="6" t="s">
        <v>97</v>
      </c>
      <c r="B19" s="6" t="s">
        <v>872</v>
      </c>
      <c r="C19" s="6" t="s">
        <v>875</v>
      </c>
      <c r="D19" s="6" t="n">
        <v>1</v>
      </c>
      <c r="E19" s="6" t="n">
        <f aca="false">D19+1</f>
        <v>2</v>
      </c>
      <c r="F19" s="6" t="n">
        <v>1</v>
      </c>
      <c r="G19" s="17" t="n">
        <f aca="false">Parametry!$C$12</f>
        <v>6</v>
      </c>
      <c r="H19" s="6" t="n">
        <f aca="false">ROUNDDOWN(Parametry!$C$9*Parametry!$C$10^(F19-1),0)</f>
        <v>60</v>
      </c>
      <c r="I19" s="6" t="n">
        <f aca="false">ROUNDUP((0)*Parametry!$C$15,0)</f>
        <v>0</v>
      </c>
      <c r="J19" s="6" t="n">
        <f aca="false">ROUNDUP((Parametry!$C$16*Parametry!$C$17*D19)*Parametry!$C$15,0)</f>
        <v>80</v>
      </c>
      <c r="K19" s="6" t="n">
        <f aca="false">ROUNDUP((Parametry!$C$16*Parametry!$C$18*D19)*Parametry!$C$15,0)</f>
        <v>80</v>
      </c>
      <c r="L19" s="6" t="n">
        <f aca="false">ROUNDUP((Parametry!$C$16*Parametry!$C$19*D19)*Parametry!$C$15,0)</f>
        <v>132</v>
      </c>
      <c r="M19" s="6" t="n">
        <f aca="false">ROUNDUP((0)*Parametry!$C$15,0)</f>
        <v>0</v>
      </c>
      <c r="N19" s="6" t="n">
        <f aca="false">ROUNDUP((0)*Parametry!$C$15,0)</f>
        <v>0</v>
      </c>
      <c r="O19" s="6" t="n">
        <f aca="false">ROUNDUP(J19/H19,0)</f>
        <v>2</v>
      </c>
      <c r="P19" s="6" t="n">
        <f aca="false">ROUNDUP(K19/H19,0)</f>
        <v>2</v>
      </c>
      <c r="Q19" s="6" t="n">
        <f aca="false">ROUNDUP(L19/H19,0)</f>
        <v>3</v>
      </c>
      <c r="R19" s="6" t="n">
        <f aca="false">ROUNDUP(M19/H19,0)</f>
        <v>0</v>
      </c>
      <c r="S19" s="6" t="n">
        <f aca="false">ROUNDUP(N19/H19,0)</f>
        <v>0</v>
      </c>
      <c r="T19" s="6" t="n">
        <f aca="false">SUM(O19:S19)</f>
        <v>7</v>
      </c>
      <c r="U19" s="6" t="n">
        <f aca="false">ROUNDUP(T19/G19,0)</f>
        <v>2</v>
      </c>
      <c r="V19" s="6" t="n">
        <f aca="false">U19*Parametry!$C$11</f>
        <v>10</v>
      </c>
      <c r="W19" s="6" t="n">
        <f aca="false">2</f>
        <v>2</v>
      </c>
      <c r="X19" s="6" t="n">
        <f aca="false">V19*(W19-1)</f>
        <v>10</v>
      </c>
      <c r="Y19" s="6" t="n">
        <f aca="false">V19*W19</f>
        <v>20</v>
      </c>
      <c r="Z19" s="6" t="n">
        <f aca="false">SUM(J19:N19)</f>
        <v>292</v>
      </c>
      <c r="AA19" s="6" t="s">
        <v>874</v>
      </c>
    </row>
    <row r="20" customFormat="false" ht="69.75" hidden="false" customHeight="true" outlineLevel="0" collapsed="false">
      <c r="A20" s="5" t="s">
        <v>97</v>
      </c>
      <c r="B20" s="5" t="s">
        <v>876</v>
      </c>
      <c r="C20" s="5" t="s">
        <v>873</v>
      </c>
      <c r="D20" s="5" t="n">
        <v>2</v>
      </c>
      <c r="E20" s="5" t="n">
        <f aca="false">D20+1</f>
        <v>3</v>
      </c>
      <c r="F20" s="5" t="n">
        <v>2</v>
      </c>
      <c r="G20" s="16" t="n">
        <f aca="false">Parametry!$C$12</f>
        <v>6</v>
      </c>
      <c r="H20" s="5" t="n">
        <f aca="false">ROUNDDOWN(Parametry!$C$9*Parametry!$C$10^(F20-1),0)</f>
        <v>66</v>
      </c>
      <c r="I20" s="5" t="n">
        <f aca="false">ROUNDUP((0)*1,0)</f>
        <v>0</v>
      </c>
      <c r="J20" s="5" t="n">
        <f aca="false">ROUNDUP((Parametry!$C$16*Parametry!$C$17*D20)*1,0)</f>
        <v>144</v>
      </c>
      <c r="K20" s="5" t="n">
        <f aca="false">ROUNDUP((Parametry!$C$16*Parametry!$C$18*D20)*1,0)</f>
        <v>144</v>
      </c>
      <c r="L20" s="5" t="n">
        <f aca="false">ROUNDUP((Parametry!$C$16*Parametry!$C$19*D20)*1,0)</f>
        <v>240</v>
      </c>
      <c r="M20" s="5" t="n">
        <f aca="false">ROUNDUP((0)*1,0)</f>
        <v>0</v>
      </c>
      <c r="N20" s="5" t="n">
        <f aca="false">ROUNDUP((0)*1,0)</f>
        <v>0</v>
      </c>
      <c r="O20" s="5" t="n">
        <f aca="false">ROUNDUP(J20/H20,0)</f>
        <v>3</v>
      </c>
      <c r="P20" s="5" t="n">
        <f aca="false">ROUNDUP(K20/H20,0)</f>
        <v>3</v>
      </c>
      <c r="Q20" s="5" t="n">
        <f aca="false">ROUNDUP(L20/H20,0)</f>
        <v>4</v>
      </c>
      <c r="R20" s="5" t="n">
        <f aca="false">ROUNDUP(M20/H20,0)</f>
        <v>0</v>
      </c>
      <c r="S20" s="5" t="n">
        <f aca="false">ROUNDUP(N20/H20,0)</f>
        <v>0</v>
      </c>
      <c r="T20" s="5" t="n">
        <f aca="false">SUM(O20:S20)</f>
        <v>10</v>
      </c>
      <c r="U20" s="5" t="n">
        <f aca="false">ROUNDUP(T20/G20,0)</f>
        <v>2</v>
      </c>
      <c r="V20" s="5" t="n">
        <f aca="false">U20*Parametry!$C$11</f>
        <v>10</v>
      </c>
      <c r="W20" s="5" t="n">
        <f aca="false">2</f>
        <v>2</v>
      </c>
      <c r="X20" s="5" t="n">
        <f aca="false">V20*(W20-1)</f>
        <v>10</v>
      </c>
      <c r="Y20" s="5" t="n">
        <f aca="false">V20*W20</f>
        <v>20</v>
      </c>
      <c r="Z20" s="5" t="n">
        <f aca="false">SUM(J20:N20)</f>
        <v>528</v>
      </c>
      <c r="AA20" s="5" t="s">
        <v>874</v>
      </c>
    </row>
    <row r="21" customFormat="false" ht="69.75" hidden="false" customHeight="true" outlineLevel="0" collapsed="false">
      <c r="A21" s="6" t="s">
        <v>97</v>
      </c>
      <c r="B21" s="6" t="s">
        <v>876</v>
      </c>
      <c r="C21" s="6" t="s">
        <v>875</v>
      </c>
      <c r="D21" s="6" t="n">
        <v>2</v>
      </c>
      <c r="E21" s="6" t="n">
        <f aca="false">D21+1</f>
        <v>3</v>
      </c>
      <c r="F21" s="6" t="n">
        <v>2</v>
      </c>
      <c r="G21" s="17" t="n">
        <f aca="false">Parametry!$C$12</f>
        <v>6</v>
      </c>
      <c r="H21" s="6" t="n">
        <f aca="false">ROUNDDOWN(Parametry!$C$9*Parametry!$C$10^(F21-1),0)</f>
        <v>66</v>
      </c>
      <c r="I21" s="6" t="n">
        <f aca="false">ROUNDUP((0)*Parametry!$C$15,0)</f>
        <v>0</v>
      </c>
      <c r="J21" s="6" t="n">
        <f aca="false">ROUNDUP((Parametry!$C$16*Parametry!$C$17*D21)*Parametry!$C$15,0)</f>
        <v>159</v>
      </c>
      <c r="K21" s="6" t="n">
        <f aca="false">ROUNDUP((Parametry!$C$16*Parametry!$C$18*D21)*Parametry!$C$15,0)</f>
        <v>159</v>
      </c>
      <c r="L21" s="6" t="n">
        <f aca="false">ROUNDUP((Parametry!$C$16*Parametry!$C$19*D21)*Parametry!$C$15,0)</f>
        <v>264</v>
      </c>
      <c r="M21" s="6" t="n">
        <f aca="false">ROUNDUP((0)*Parametry!$C$15,0)</f>
        <v>0</v>
      </c>
      <c r="N21" s="6" t="n">
        <f aca="false">ROUNDUP((0)*Parametry!$C$15,0)</f>
        <v>0</v>
      </c>
      <c r="O21" s="6" t="n">
        <f aca="false">ROUNDUP(J21/H21,0)</f>
        <v>3</v>
      </c>
      <c r="P21" s="6" t="n">
        <f aca="false">ROUNDUP(K21/H21,0)</f>
        <v>3</v>
      </c>
      <c r="Q21" s="6" t="n">
        <f aca="false">ROUNDUP(L21/H21,0)</f>
        <v>4</v>
      </c>
      <c r="R21" s="6" t="n">
        <f aca="false">ROUNDUP(M21/H21,0)</f>
        <v>0</v>
      </c>
      <c r="S21" s="6" t="n">
        <f aca="false">ROUNDUP(N21/H21,0)</f>
        <v>0</v>
      </c>
      <c r="T21" s="6" t="n">
        <f aca="false">SUM(O21:S21)</f>
        <v>10</v>
      </c>
      <c r="U21" s="6" t="n">
        <f aca="false">ROUNDUP(T21/G21,0)</f>
        <v>2</v>
      </c>
      <c r="V21" s="6" t="n">
        <f aca="false">U21*Parametry!$C$11</f>
        <v>10</v>
      </c>
      <c r="W21" s="6" t="n">
        <f aca="false">2</f>
        <v>2</v>
      </c>
      <c r="X21" s="6" t="n">
        <f aca="false">V21*(W21-1)</f>
        <v>10</v>
      </c>
      <c r="Y21" s="6" t="n">
        <f aca="false">V21*W21</f>
        <v>20</v>
      </c>
      <c r="Z21" s="6" t="n">
        <f aca="false">SUM(J21:N21)</f>
        <v>582</v>
      </c>
      <c r="AA21" s="6" t="s">
        <v>874</v>
      </c>
    </row>
    <row r="22" customFormat="false" ht="69.75" hidden="false" customHeight="true" outlineLevel="0" collapsed="false">
      <c r="A22" s="5" t="s">
        <v>97</v>
      </c>
      <c r="B22" s="5" t="s">
        <v>877</v>
      </c>
      <c r="C22" s="5" t="s">
        <v>873</v>
      </c>
      <c r="D22" s="5" t="n">
        <v>3</v>
      </c>
      <c r="E22" s="5" t="n">
        <f aca="false">D22+1</f>
        <v>4</v>
      </c>
      <c r="F22" s="5" t="n">
        <v>3</v>
      </c>
      <c r="G22" s="16" t="n">
        <f aca="false">Parametry!$C$12</f>
        <v>6</v>
      </c>
      <c r="H22" s="5" t="n">
        <f aca="false">ROUNDDOWN(Parametry!$C$9*Parametry!$C$10^(F22-1),0)</f>
        <v>72</v>
      </c>
      <c r="I22" s="5" t="n">
        <f aca="false">ROUNDUP((0)*1,0)</f>
        <v>0</v>
      </c>
      <c r="J22" s="5" t="n">
        <f aca="false">ROUNDUP((Parametry!$C$16*Parametry!$C$17*D22)*1,0)</f>
        <v>216</v>
      </c>
      <c r="K22" s="5" t="n">
        <f aca="false">ROUNDUP((Parametry!$C$16*Parametry!$C$18*D22)*1,0)</f>
        <v>216</v>
      </c>
      <c r="L22" s="5" t="n">
        <f aca="false">ROUNDUP((Parametry!$C$16*Parametry!$C$19*D22)*1,0)</f>
        <v>360</v>
      </c>
      <c r="M22" s="5" t="n">
        <f aca="false">ROUNDUP((0)*1,0)</f>
        <v>0</v>
      </c>
      <c r="N22" s="5" t="n">
        <f aca="false">ROUNDUP((0)*1,0)</f>
        <v>0</v>
      </c>
      <c r="O22" s="5" t="n">
        <f aca="false">ROUNDUP(J22/H22,0)</f>
        <v>3</v>
      </c>
      <c r="P22" s="5" t="n">
        <f aca="false">ROUNDUP(K22/H22,0)</f>
        <v>3</v>
      </c>
      <c r="Q22" s="5" t="n">
        <f aca="false">ROUNDUP(L22/H22,0)</f>
        <v>5</v>
      </c>
      <c r="R22" s="5" t="n">
        <f aca="false">ROUNDUP(M22/H22,0)</f>
        <v>0</v>
      </c>
      <c r="S22" s="5" t="n">
        <f aca="false">ROUNDUP(N22/H22,0)</f>
        <v>0</v>
      </c>
      <c r="T22" s="5" t="n">
        <f aca="false">SUM(O22:S22)</f>
        <v>11</v>
      </c>
      <c r="U22" s="5" t="n">
        <f aca="false">ROUNDUP(T22/G22,0)</f>
        <v>2</v>
      </c>
      <c r="V22" s="5" t="n">
        <f aca="false">U22*Parametry!$C$11</f>
        <v>10</v>
      </c>
      <c r="W22" s="5" t="n">
        <f aca="false">2</f>
        <v>2</v>
      </c>
      <c r="X22" s="5" t="n">
        <f aca="false">V22*(W22-1)</f>
        <v>10</v>
      </c>
      <c r="Y22" s="5" t="n">
        <f aca="false">V22*W22</f>
        <v>20</v>
      </c>
      <c r="Z22" s="5" t="n">
        <f aca="false">SUM(J22:N22)</f>
        <v>792</v>
      </c>
      <c r="AA22" s="5" t="s">
        <v>874</v>
      </c>
    </row>
    <row r="23" customFormat="false" ht="69.75" hidden="false" customHeight="true" outlineLevel="0" collapsed="false">
      <c r="A23" s="6" t="s">
        <v>97</v>
      </c>
      <c r="B23" s="6" t="s">
        <v>877</v>
      </c>
      <c r="C23" s="6" t="s">
        <v>875</v>
      </c>
      <c r="D23" s="6" t="n">
        <v>3</v>
      </c>
      <c r="E23" s="6" t="n">
        <f aca="false">D23+1</f>
        <v>4</v>
      </c>
      <c r="F23" s="6" t="n">
        <v>3</v>
      </c>
      <c r="G23" s="17" t="n">
        <f aca="false">Parametry!$C$12</f>
        <v>6</v>
      </c>
      <c r="H23" s="6" t="n">
        <f aca="false">ROUNDDOWN(Parametry!$C$9*Parametry!$C$10^(F23-1),0)</f>
        <v>72</v>
      </c>
      <c r="I23" s="6" t="n">
        <f aca="false">ROUNDUP((0)*Parametry!$C$15,0)</f>
        <v>0</v>
      </c>
      <c r="J23" s="6" t="n">
        <f aca="false">ROUNDUP((Parametry!$C$16*Parametry!$C$17*D23)*Parametry!$C$15,0)</f>
        <v>238</v>
      </c>
      <c r="K23" s="6" t="n">
        <f aca="false">ROUNDUP((Parametry!$C$16*Parametry!$C$18*D23)*Parametry!$C$15,0)</f>
        <v>238</v>
      </c>
      <c r="L23" s="6" t="n">
        <f aca="false">ROUNDUP((Parametry!$C$16*Parametry!$C$19*D23)*Parametry!$C$15,0)</f>
        <v>396</v>
      </c>
      <c r="M23" s="6" t="n">
        <f aca="false">ROUNDUP((0)*Parametry!$C$15,0)</f>
        <v>0</v>
      </c>
      <c r="N23" s="6" t="n">
        <f aca="false">ROUNDUP((0)*Parametry!$C$15,0)</f>
        <v>0</v>
      </c>
      <c r="O23" s="6" t="n">
        <f aca="false">ROUNDUP(J23/H23,0)</f>
        <v>4</v>
      </c>
      <c r="P23" s="6" t="n">
        <f aca="false">ROUNDUP(K23/H23,0)</f>
        <v>4</v>
      </c>
      <c r="Q23" s="6" t="n">
        <f aca="false">ROUNDUP(L23/H23,0)</f>
        <v>6</v>
      </c>
      <c r="R23" s="6" t="n">
        <f aca="false">ROUNDUP(M23/H23,0)</f>
        <v>0</v>
      </c>
      <c r="S23" s="6" t="n">
        <f aca="false">ROUNDUP(N23/H23,0)</f>
        <v>0</v>
      </c>
      <c r="T23" s="6" t="n">
        <f aca="false">SUM(O23:S23)</f>
        <v>14</v>
      </c>
      <c r="U23" s="6" t="n">
        <f aca="false">ROUNDUP(T23/G23,0)</f>
        <v>3</v>
      </c>
      <c r="V23" s="6" t="n">
        <f aca="false">U23*Parametry!$C$11</f>
        <v>15</v>
      </c>
      <c r="W23" s="6" t="n">
        <f aca="false">2</f>
        <v>2</v>
      </c>
      <c r="X23" s="6" t="n">
        <f aca="false">V23*(W23-1)</f>
        <v>15</v>
      </c>
      <c r="Y23" s="6" t="n">
        <f aca="false">V23*W23</f>
        <v>30</v>
      </c>
      <c r="Z23" s="6" t="n">
        <f aca="false">SUM(J23:N23)</f>
        <v>872</v>
      </c>
      <c r="AA23" s="6" t="s">
        <v>874</v>
      </c>
    </row>
    <row r="24" customFormat="false" ht="69.75" hidden="false" customHeight="true" outlineLevel="0" collapsed="false">
      <c r="A24" s="5" t="s">
        <v>107</v>
      </c>
      <c r="B24" s="5" t="s">
        <v>872</v>
      </c>
      <c r="C24" s="5" t="s">
        <v>873</v>
      </c>
      <c r="D24" s="5" t="n">
        <v>1</v>
      </c>
      <c r="E24" s="5" t="n">
        <f aca="false">D24+1</f>
        <v>2</v>
      </c>
      <c r="F24" s="5" t="n">
        <v>1</v>
      </c>
      <c r="G24" s="16" t="n">
        <f aca="false">Parametry!$C$12</f>
        <v>6</v>
      </c>
      <c r="H24" s="5" t="n">
        <f aca="false">ROUNDDOWN(Parametry!$C$9*Parametry!$C$10^(F24-1),0)</f>
        <v>60</v>
      </c>
      <c r="I24" s="5" t="n">
        <f aca="false">ROUNDUP((0)*1,0)</f>
        <v>0</v>
      </c>
      <c r="J24" s="5" t="n">
        <f aca="false">ROUNDUP((Parametry!$C$16*Parametry!$C$17*D24)*1,0)</f>
        <v>72</v>
      </c>
      <c r="K24" s="5" t="n">
        <f aca="false">ROUNDUP((Parametry!$C$16*Parametry!$C$18*D24)*1,0)</f>
        <v>72</v>
      </c>
      <c r="L24" s="5" t="n">
        <f aca="false">ROUNDUP((0)*1,0)</f>
        <v>0</v>
      </c>
      <c r="M24" s="5" t="n">
        <f aca="false">ROUNDUP((Parametry!$C$16*Parametry!$C$19*D24)*1,0)</f>
        <v>120</v>
      </c>
      <c r="N24" s="5" t="n">
        <f aca="false">ROUNDUP((0)*1,0)</f>
        <v>0</v>
      </c>
      <c r="O24" s="5" t="n">
        <f aca="false">ROUNDUP(J24/H24,0)</f>
        <v>2</v>
      </c>
      <c r="P24" s="5" t="n">
        <f aca="false">ROUNDUP(K24/H24,0)</f>
        <v>2</v>
      </c>
      <c r="Q24" s="5" t="n">
        <f aca="false">ROUNDUP(L24/H24,0)</f>
        <v>0</v>
      </c>
      <c r="R24" s="5" t="n">
        <f aca="false">ROUNDUP(M24/H24,0)</f>
        <v>2</v>
      </c>
      <c r="S24" s="5" t="n">
        <f aca="false">ROUNDUP(N24/H24,0)</f>
        <v>0</v>
      </c>
      <c r="T24" s="5" t="n">
        <f aca="false">SUM(O24:S24)</f>
        <v>6</v>
      </c>
      <c r="U24" s="5" t="n">
        <f aca="false">ROUNDUP(T24/G24,0)</f>
        <v>1</v>
      </c>
      <c r="V24" s="5" t="n">
        <f aca="false">U24*Parametry!$C$11</f>
        <v>5</v>
      </c>
      <c r="W24" s="5" t="n">
        <f aca="false">2</f>
        <v>2</v>
      </c>
      <c r="X24" s="5" t="n">
        <f aca="false">V24*(W24-1)</f>
        <v>5</v>
      </c>
      <c r="Y24" s="5" t="n">
        <f aca="false">V24*W24</f>
        <v>10</v>
      </c>
      <c r="Z24" s="5" t="n">
        <f aca="false">SUM(J24:N24)</f>
        <v>264</v>
      </c>
      <c r="AA24" s="5" t="s">
        <v>874</v>
      </c>
    </row>
    <row r="25" customFormat="false" ht="69.75" hidden="false" customHeight="true" outlineLevel="0" collapsed="false">
      <c r="A25" s="6" t="s">
        <v>107</v>
      </c>
      <c r="B25" s="6" t="s">
        <v>872</v>
      </c>
      <c r="C25" s="6" t="s">
        <v>875</v>
      </c>
      <c r="D25" s="6" t="n">
        <v>1</v>
      </c>
      <c r="E25" s="6" t="n">
        <f aca="false">D25+1</f>
        <v>2</v>
      </c>
      <c r="F25" s="6" t="n">
        <v>1</v>
      </c>
      <c r="G25" s="17" t="n">
        <f aca="false">Parametry!$C$12</f>
        <v>6</v>
      </c>
      <c r="H25" s="6" t="n">
        <f aca="false">ROUNDDOWN(Parametry!$C$9*Parametry!$C$10^(F25-1),0)</f>
        <v>60</v>
      </c>
      <c r="I25" s="6" t="n">
        <f aca="false">ROUNDUP((0)*Parametry!$C$15,0)</f>
        <v>0</v>
      </c>
      <c r="J25" s="6" t="n">
        <f aca="false">ROUNDUP((Parametry!$C$16*Parametry!$C$17*D25)*Parametry!$C$15,0)</f>
        <v>80</v>
      </c>
      <c r="K25" s="6" t="n">
        <f aca="false">ROUNDUP((Parametry!$C$16*Parametry!$C$18*D25)*Parametry!$C$15,0)</f>
        <v>80</v>
      </c>
      <c r="L25" s="6" t="n">
        <f aca="false">ROUNDUP((0)*Parametry!$C$15,0)</f>
        <v>0</v>
      </c>
      <c r="M25" s="6" t="n">
        <f aca="false">ROUNDUP((Parametry!$C$16*Parametry!$C$19*D25)*Parametry!$C$15,0)</f>
        <v>132</v>
      </c>
      <c r="N25" s="6" t="n">
        <f aca="false">ROUNDUP((0)*Parametry!$C$15,0)</f>
        <v>0</v>
      </c>
      <c r="O25" s="6" t="n">
        <f aca="false">ROUNDUP(J25/H25,0)</f>
        <v>2</v>
      </c>
      <c r="P25" s="6" t="n">
        <f aca="false">ROUNDUP(K25/H25,0)</f>
        <v>2</v>
      </c>
      <c r="Q25" s="6" t="n">
        <f aca="false">ROUNDUP(L25/H25,0)</f>
        <v>0</v>
      </c>
      <c r="R25" s="6" t="n">
        <f aca="false">ROUNDUP(M25/H25,0)</f>
        <v>3</v>
      </c>
      <c r="S25" s="6" t="n">
        <f aca="false">ROUNDUP(N25/H25,0)</f>
        <v>0</v>
      </c>
      <c r="T25" s="6" t="n">
        <f aca="false">SUM(O25:S25)</f>
        <v>7</v>
      </c>
      <c r="U25" s="6" t="n">
        <f aca="false">ROUNDUP(T25/G25,0)</f>
        <v>2</v>
      </c>
      <c r="V25" s="6" t="n">
        <f aca="false">U25*Parametry!$C$11</f>
        <v>10</v>
      </c>
      <c r="W25" s="6" t="n">
        <f aca="false">2</f>
        <v>2</v>
      </c>
      <c r="X25" s="6" t="n">
        <f aca="false">V25*(W25-1)</f>
        <v>10</v>
      </c>
      <c r="Y25" s="6" t="n">
        <f aca="false">V25*W25</f>
        <v>20</v>
      </c>
      <c r="Z25" s="6" t="n">
        <f aca="false">SUM(J25:N25)</f>
        <v>292</v>
      </c>
      <c r="AA25" s="6" t="s">
        <v>874</v>
      </c>
    </row>
    <row r="26" customFormat="false" ht="69.75" hidden="false" customHeight="true" outlineLevel="0" collapsed="false">
      <c r="A26" s="5" t="s">
        <v>107</v>
      </c>
      <c r="B26" s="5" t="s">
        <v>876</v>
      </c>
      <c r="C26" s="5" t="s">
        <v>873</v>
      </c>
      <c r="D26" s="5" t="n">
        <v>2</v>
      </c>
      <c r="E26" s="5" t="n">
        <f aca="false">D26+1</f>
        <v>3</v>
      </c>
      <c r="F26" s="5" t="n">
        <v>2</v>
      </c>
      <c r="G26" s="16" t="n">
        <f aca="false">Parametry!$C$12</f>
        <v>6</v>
      </c>
      <c r="H26" s="5" t="n">
        <f aca="false">ROUNDDOWN(Parametry!$C$9*Parametry!$C$10^(F26-1),0)</f>
        <v>66</v>
      </c>
      <c r="I26" s="5" t="n">
        <f aca="false">ROUNDUP((0)*1,0)</f>
        <v>0</v>
      </c>
      <c r="J26" s="5" t="n">
        <f aca="false">ROUNDUP((Parametry!$C$16*Parametry!$C$17*D26)*1,0)</f>
        <v>144</v>
      </c>
      <c r="K26" s="5" t="n">
        <f aca="false">ROUNDUP((Parametry!$C$16*Parametry!$C$18*D26)*1,0)</f>
        <v>144</v>
      </c>
      <c r="L26" s="5" t="n">
        <f aca="false">ROUNDUP((0)*1,0)</f>
        <v>0</v>
      </c>
      <c r="M26" s="5" t="n">
        <f aca="false">ROUNDUP((Parametry!$C$16*Parametry!$C$19*D26)*1,0)</f>
        <v>240</v>
      </c>
      <c r="N26" s="5" t="n">
        <f aca="false">ROUNDUP((0)*1,0)</f>
        <v>0</v>
      </c>
      <c r="O26" s="5" t="n">
        <f aca="false">ROUNDUP(J26/H26,0)</f>
        <v>3</v>
      </c>
      <c r="P26" s="5" t="n">
        <f aca="false">ROUNDUP(K26/H26,0)</f>
        <v>3</v>
      </c>
      <c r="Q26" s="5" t="n">
        <f aca="false">ROUNDUP(L26/H26,0)</f>
        <v>0</v>
      </c>
      <c r="R26" s="5" t="n">
        <f aca="false">ROUNDUP(M26/H26,0)</f>
        <v>4</v>
      </c>
      <c r="S26" s="5" t="n">
        <f aca="false">ROUNDUP(N26/H26,0)</f>
        <v>0</v>
      </c>
      <c r="T26" s="5" t="n">
        <f aca="false">SUM(O26:S26)</f>
        <v>10</v>
      </c>
      <c r="U26" s="5" t="n">
        <f aca="false">ROUNDUP(T26/G26,0)</f>
        <v>2</v>
      </c>
      <c r="V26" s="5" t="n">
        <f aca="false">U26*Parametry!$C$11</f>
        <v>10</v>
      </c>
      <c r="W26" s="5" t="n">
        <f aca="false">2</f>
        <v>2</v>
      </c>
      <c r="X26" s="5" t="n">
        <f aca="false">V26*(W26-1)</f>
        <v>10</v>
      </c>
      <c r="Y26" s="5" t="n">
        <f aca="false">V26*W26</f>
        <v>20</v>
      </c>
      <c r="Z26" s="5" t="n">
        <f aca="false">SUM(J26:N26)</f>
        <v>528</v>
      </c>
      <c r="AA26" s="5" t="s">
        <v>874</v>
      </c>
    </row>
    <row r="27" customFormat="false" ht="69.75" hidden="false" customHeight="true" outlineLevel="0" collapsed="false">
      <c r="A27" s="6" t="s">
        <v>107</v>
      </c>
      <c r="B27" s="6" t="s">
        <v>876</v>
      </c>
      <c r="C27" s="6" t="s">
        <v>875</v>
      </c>
      <c r="D27" s="6" t="n">
        <v>2</v>
      </c>
      <c r="E27" s="6" t="n">
        <f aca="false">D27+1</f>
        <v>3</v>
      </c>
      <c r="F27" s="6" t="n">
        <v>2</v>
      </c>
      <c r="G27" s="17" t="n">
        <f aca="false">Parametry!$C$12</f>
        <v>6</v>
      </c>
      <c r="H27" s="6" t="n">
        <f aca="false">ROUNDDOWN(Parametry!$C$9*Parametry!$C$10^(F27-1),0)</f>
        <v>66</v>
      </c>
      <c r="I27" s="6" t="n">
        <f aca="false">ROUNDUP((0)*Parametry!$C$15,0)</f>
        <v>0</v>
      </c>
      <c r="J27" s="6" t="n">
        <f aca="false">ROUNDUP((Parametry!$C$16*Parametry!$C$17*D27)*Parametry!$C$15,0)</f>
        <v>159</v>
      </c>
      <c r="K27" s="6" t="n">
        <f aca="false">ROUNDUP((Parametry!$C$16*Parametry!$C$18*D27)*Parametry!$C$15,0)</f>
        <v>159</v>
      </c>
      <c r="L27" s="6" t="n">
        <f aca="false">ROUNDUP((0)*Parametry!$C$15,0)</f>
        <v>0</v>
      </c>
      <c r="M27" s="6" t="n">
        <f aca="false">ROUNDUP((Parametry!$C$16*Parametry!$C$19*D27)*Parametry!$C$15,0)</f>
        <v>264</v>
      </c>
      <c r="N27" s="6" t="n">
        <f aca="false">ROUNDUP((0)*Parametry!$C$15,0)</f>
        <v>0</v>
      </c>
      <c r="O27" s="6" t="n">
        <f aca="false">ROUNDUP(J27/H27,0)</f>
        <v>3</v>
      </c>
      <c r="P27" s="6" t="n">
        <f aca="false">ROUNDUP(K27/H27,0)</f>
        <v>3</v>
      </c>
      <c r="Q27" s="6" t="n">
        <f aca="false">ROUNDUP(L27/H27,0)</f>
        <v>0</v>
      </c>
      <c r="R27" s="6" t="n">
        <f aca="false">ROUNDUP(M27/H27,0)</f>
        <v>4</v>
      </c>
      <c r="S27" s="6" t="n">
        <f aca="false">ROUNDUP(N27/H27,0)</f>
        <v>0</v>
      </c>
      <c r="T27" s="6" t="n">
        <f aca="false">SUM(O27:S27)</f>
        <v>10</v>
      </c>
      <c r="U27" s="6" t="n">
        <f aca="false">ROUNDUP(T27/G27,0)</f>
        <v>2</v>
      </c>
      <c r="V27" s="6" t="n">
        <f aca="false">U27*Parametry!$C$11</f>
        <v>10</v>
      </c>
      <c r="W27" s="6" t="n">
        <f aca="false">2</f>
        <v>2</v>
      </c>
      <c r="X27" s="6" t="n">
        <f aca="false">V27*(W27-1)</f>
        <v>10</v>
      </c>
      <c r="Y27" s="6" t="n">
        <f aca="false">V27*W27</f>
        <v>20</v>
      </c>
      <c r="Z27" s="6" t="n">
        <f aca="false">SUM(J27:N27)</f>
        <v>582</v>
      </c>
      <c r="AA27" s="6" t="s">
        <v>874</v>
      </c>
    </row>
    <row r="28" customFormat="false" ht="69.75" hidden="false" customHeight="true" outlineLevel="0" collapsed="false">
      <c r="A28" s="5" t="s">
        <v>107</v>
      </c>
      <c r="B28" s="5" t="s">
        <v>877</v>
      </c>
      <c r="C28" s="5" t="s">
        <v>873</v>
      </c>
      <c r="D28" s="5" t="n">
        <v>3</v>
      </c>
      <c r="E28" s="5" t="n">
        <f aca="false">D28+1</f>
        <v>4</v>
      </c>
      <c r="F28" s="5" t="n">
        <v>3</v>
      </c>
      <c r="G28" s="16" t="n">
        <f aca="false">Parametry!$C$12</f>
        <v>6</v>
      </c>
      <c r="H28" s="5" t="n">
        <f aca="false">ROUNDDOWN(Parametry!$C$9*Parametry!$C$10^(F28-1),0)</f>
        <v>72</v>
      </c>
      <c r="I28" s="5" t="n">
        <f aca="false">ROUNDUP((0)*1,0)</f>
        <v>0</v>
      </c>
      <c r="J28" s="5" t="n">
        <f aca="false">ROUNDUP((Parametry!$C$16*Parametry!$C$17*D28)*1,0)</f>
        <v>216</v>
      </c>
      <c r="K28" s="5" t="n">
        <f aca="false">ROUNDUP((Parametry!$C$16*Parametry!$C$18*D28)*1,0)</f>
        <v>216</v>
      </c>
      <c r="L28" s="5" t="n">
        <f aca="false">ROUNDUP((0)*1,0)</f>
        <v>0</v>
      </c>
      <c r="M28" s="5" t="n">
        <f aca="false">ROUNDUP((Parametry!$C$16*Parametry!$C$19*D28)*1,0)</f>
        <v>360</v>
      </c>
      <c r="N28" s="5" t="n">
        <f aca="false">ROUNDUP((0)*1,0)</f>
        <v>0</v>
      </c>
      <c r="O28" s="5" t="n">
        <f aca="false">ROUNDUP(J28/H28,0)</f>
        <v>3</v>
      </c>
      <c r="P28" s="5" t="n">
        <f aca="false">ROUNDUP(K28/H28,0)</f>
        <v>3</v>
      </c>
      <c r="Q28" s="5" t="n">
        <f aca="false">ROUNDUP(L28/H28,0)</f>
        <v>0</v>
      </c>
      <c r="R28" s="5" t="n">
        <f aca="false">ROUNDUP(M28/H28,0)</f>
        <v>5</v>
      </c>
      <c r="S28" s="5" t="n">
        <f aca="false">ROUNDUP(N28/H28,0)</f>
        <v>0</v>
      </c>
      <c r="T28" s="5" t="n">
        <f aca="false">SUM(O28:S28)</f>
        <v>11</v>
      </c>
      <c r="U28" s="5" t="n">
        <f aca="false">ROUNDUP(T28/G28,0)</f>
        <v>2</v>
      </c>
      <c r="V28" s="5" t="n">
        <f aca="false">U28*Parametry!$C$11</f>
        <v>10</v>
      </c>
      <c r="W28" s="5" t="n">
        <f aca="false">2</f>
        <v>2</v>
      </c>
      <c r="X28" s="5" t="n">
        <f aca="false">V28*(W28-1)</f>
        <v>10</v>
      </c>
      <c r="Y28" s="5" t="n">
        <f aca="false">V28*W28</f>
        <v>20</v>
      </c>
      <c r="Z28" s="5" t="n">
        <f aca="false">SUM(J28:N28)</f>
        <v>792</v>
      </c>
      <c r="AA28" s="5" t="s">
        <v>874</v>
      </c>
    </row>
    <row r="29" customFormat="false" ht="69.75" hidden="false" customHeight="true" outlineLevel="0" collapsed="false">
      <c r="A29" s="6" t="s">
        <v>107</v>
      </c>
      <c r="B29" s="6" t="s">
        <v>877</v>
      </c>
      <c r="C29" s="6" t="s">
        <v>875</v>
      </c>
      <c r="D29" s="6" t="n">
        <v>3</v>
      </c>
      <c r="E29" s="6" t="n">
        <f aca="false">D29+1</f>
        <v>4</v>
      </c>
      <c r="F29" s="6" t="n">
        <v>3</v>
      </c>
      <c r="G29" s="17" t="n">
        <f aca="false">Parametry!$C$12</f>
        <v>6</v>
      </c>
      <c r="H29" s="6" t="n">
        <f aca="false">ROUNDDOWN(Parametry!$C$9*Parametry!$C$10^(F29-1),0)</f>
        <v>72</v>
      </c>
      <c r="I29" s="6" t="n">
        <f aca="false">ROUNDUP((0)*Parametry!$C$15,0)</f>
        <v>0</v>
      </c>
      <c r="J29" s="6" t="n">
        <f aca="false">ROUNDUP((Parametry!$C$16*Parametry!$C$17*D29)*Parametry!$C$15,0)</f>
        <v>238</v>
      </c>
      <c r="K29" s="6" t="n">
        <f aca="false">ROUNDUP((Parametry!$C$16*Parametry!$C$18*D29)*Parametry!$C$15,0)</f>
        <v>238</v>
      </c>
      <c r="L29" s="6" t="n">
        <f aca="false">ROUNDUP((0)*Parametry!$C$15,0)</f>
        <v>0</v>
      </c>
      <c r="M29" s="6" t="n">
        <f aca="false">ROUNDUP((Parametry!$C$16*Parametry!$C$19*D29)*Parametry!$C$15,0)</f>
        <v>396</v>
      </c>
      <c r="N29" s="6" t="n">
        <f aca="false">ROUNDUP((0)*Parametry!$C$15,0)</f>
        <v>0</v>
      </c>
      <c r="O29" s="6" t="n">
        <f aca="false">ROUNDUP(J29/H29,0)</f>
        <v>4</v>
      </c>
      <c r="P29" s="6" t="n">
        <f aca="false">ROUNDUP(K29/H29,0)</f>
        <v>4</v>
      </c>
      <c r="Q29" s="6" t="n">
        <f aca="false">ROUNDUP(L29/H29,0)</f>
        <v>0</v>
      </c>
      <c r="R29" s="6" t="n">
        <f aca="false">ROUNDUP(M29/H29,0)</f>
        <v>6</v>
      </c>
      <c r="S29" s="6" t="n">
        <f aca="false">ROUNDUP(N29/H29,0)</f>
        <v>0</v>
      </c>
      <c r="T29" s="6" t="n">
        <f aca="false">SUM(O29:S29)</f>
        <v>14</v>
      </c>
      <c r="U29" s="6" t="n">
        <f aca="false">ROUNDUP(T29/G29,0)</f>
        <v>3</v>
      </c>
      <c r="V29" s="6" t="n">
        <f aca="false">U29*Parametry!$C$11</f>
        <v>15</v>
      </c>
      <c r="W29" s="6" t="n">
        <f aca="false">2</f>
        <v>2</v>
      </c>
      <c r="X29" s="6" t="n">
        <f aca="false">V29*(W29-1)</f>
        <v>15</v>
      </c>
      <c r="Y29" s="6" t="n">
        <f aca="false">V29*W29</f>
        <v>30</v>
      </c>
      <c r="Z29" s="6" t="n">
        <f aca="false">SUM(J29:N29)</f>
        <v>872</v>
      </c>
      <c r="AA29" s="6" t="s">
        <v>874</v>
      </c>
    </row>
    <row r="30" customFormat="false" ht="69.75" hidden="false" customHeight="true" outlineLevel="0" collapsed="false">
      <c r="A30" s="5" t="s">
        <v>111</v>
      </c>
      <c r="B30" s="5" t="s">
        <v>872</v>
      </c>
      <c r="C30" s="5" t="s">
        <v>873</v>
      </c>
      <c r="D30" s="5" t="n">
        <v>1</v>
      </c>
      <c r="E30" s="5" t="n">
        <f aca="false">D30+1</f>
        <v>2</v>
      </c>
      <c r="F30" s="5" t="n">
        <v>1</v>
      </c>
      <c r="G30" s="16" t="n">
        <f aca="false">Parametry!$C$12</f>
        <v>6</v>
      </c>
      <c r="H30" s="5" t="n">
        <f aca="false">ROUNDDOWN(Parametry!$C$9*Parametry!$C$10^(F30-1),0)</f>
        <v>60</v>
      </c>
      <c r="I30" s="5" t="n">
        <f aca="false">ROUNDUP((0)*1,0)</f>
        <v>0</v>
      </c>
      <c r="J30" s="5" t="n">
        <f aca="false">ROUNDUP((Parametry!$C$16*Parametry!$C$17*D30+Parametry!$C$16*Parametry!$C$19*D30)*1,0)</f>
        <v>192</v>
      </c>
      <c r="K30" s="5" t="n">
        <f aca="false">ROUNDUP((Parametry!$C$16*Parametry!$C$18*D30)*1,0)</f>
        <v>72</v>
      </c>
      <c r="L30" s="5" t="n">
        <f aca="false">ROUNDUP((0)*1,0)</f>
        <v>0</v>
      </c>
      <c r="M30" s="5" t="n">
        <f aca="false">ROUNDUP((0)*1,0)</f>
        <v>0</v>
      </c>
      <c r="N30" s="5" t="n">
        <f aca="false">ROUNDUP((0)*1,0)</f>
        <v>0</v>
      </c>
      <c r="O30" s="5" t="n">
        <f aca="false">ROUNDUP(J30/H30,0)</f>
        <v>4</v>
      </c>
      <c r="P30" s="5" t="n">
        <f aca="false">ROUNDUP(K30/H30,0)</f>
        <v>2</v>
      </c>
      <c r="Q30" s="5" t="n">
        <f aca="false">ROUNDUP(L30/H30,0)</f>
        <v>0</v>
      </c>
      <c r="R30" s="5" t="n">
        <f aca="false">ROUNDUP(M30/H30,0)</f>
        <v>0</v>
      </c>
      <c r="S30" s="5" t="n">
        <f aca="false">ROUNDUP(N30/H30,0)</f>
        <v>0</v>
      </c>
      <c r="T30" s="5" t="n">
        <f aca="false">SUM(O30:S30)</f>
        <v>6</v>
      </c>
      <c r="U30" s="5" t="n">
        <f aca="false">ROUNDUP(T30/G30,0)</f>
        <v>1</v>
      </c>
      <c r="V30" s="5" t="n">
        <f aca="false">U30*Parametry!$C$11</f>
        <v>5</v>
      </c>
      <c r="W30" s="5" t="n">
        <f aca="false">2</f>
        <v>2</v>
      </c>
      <c r="X30" s="5" t="n">
        <f aca="false">V30*(W30-1)</f>
        <v>5</v>
      </c>
      <c r="Y30" s="5" t="n">
        <f aca="false">V30*W30</f>
        <v>10</v>
      </c>
      <c r="Z30" s="5" t="n">
        <f aca="false">SUM(J30:N30)</f>
        <v>264</v>
      </c>
      <c r="AA30" s="5" t="s">
        <v>874</v>
      </c>
    </row>
    <row r="31" customFormat="false" ht="69.75" hidden="false" customHeight="true" outlineLevel="0" collapsed="false">
      <c r="A31" s="6" t="s">
        <v>111</v>
      </c>
      <c r="B31" s="6" t="s">
        <v>872</v>
      </c>
      <c r="C31" s="6" t="s">
        <v>875</v>
      </c>
      <c r="D31" s="6" t="n">
        <v>1</v>
      </c>
      <c r="E31" s="6" t="n">
        <f aca="false">D31+1</f>
        <v>2</v>
      </c>
      <c r="F31" s="6" t="n">
        <v>1</v>
      </c>
      <c r="G31" s="17" t="n">
        <f aca="false">Parametry!$C$12</f>
        <v>6</v>
      </c>
      <c r="H31" s="6" t="n">
        <f aca="false">ROUNDDOWN(Parametry!$C$9*Parametry!$C$10^(F31-1),0)</f>
        <v>60</v>
      </c>
      <c r="I31" s="6" t="n">
        <f aca="false">ROUNDUP((0)*Parametry!$C$15,0)</f>
        <v>0</v>
      </c>
      <c r="J31" s="6" t="n">
        <f aca="false">ROUNDUP((Parametry!$C$16*Parametry!$C$17*D31+Parametry!$C$16*Parametry!$C$19*D31)*Parametry!$C$15,0)</f>
        <v>212</v>
      </c>
      <c r="K31" s="6" t="n">
        <f aca="false">ROUNDUP((Parametry!$C$16*Parametry!$C$18*D31)*Parametry!$C$15,0)</f>
        <v>80</v>
      </c>
      <c r="L31" s="6" t="n">
        <f aca="false">ROUNDUP((0)*Parametry!$C$15,0)</f>
        <v>0</v>
      </c>
      <c r="M31" s="6" t="n">
        <f aca="false">ROUNDUP((0)*Parametry!$C$15,0)</f>
        <v>0</v>
      </c>
      <c r="N31" s="6" t="n">
        <f aca="false">ROUNDUP((0)*Parametry!$C$15,0)</f>
        <v>0</v>
      </c>
      <c r="O31" s="6" t="n">
        <f aca="false">ROUNDUP(J31/H31,0)</f>
        <v>4</v>
      </c>
      <c r="P31" s="6" t="n">
        <f aca="false">ROUNDUP(K31/H31,0)</f>
        <v>2</v>
      </c>
      <c r="Q31" s="6" t="n">
        <f aca="false">ROUNDUP(L31/H31,0)</f>
        <v>0</v>
      </c>
      <c r="R31" s="6" t="n">
        <f aca="false">ROUNDUP(M31/H31,0)</f>
        <v>0</v>
      </c>
      <c r="S31" s="6" t="n">
        <f aca="false">ROUNDUP(N31/H31,0)</f>
        <v>0</v>
      </c>
      <c r="T31" s="6" t="n">
        <f aca="false">SUM(O31:S31)</f>
        <v>6</v>
      </c>
      <c r="U31" s="6" t="n">
        <f aca="false">ROUNDUP(T31/G31,0)</f>
        <v>1</v>
      </c>
      <c r="V31" s="6" t="n">
        <f aca="false">U31*Parametry!$C$11</f>
        <v>5</v>
      </c>
      <c r="W31" s="6" t="n">
        <f aca="false">2</f>
        <v>2</v>
      </c>
      <c r="X31" s="6" t="n">
        <f aca="false">V31*(W31-1)</f>
        <v>5</v>
      </c>
      <c r="Y31" s="6" t="n">
        <f aca="false">V31*W31</f>
        <v>10</v>
      </c>
      <c r="Z31" s="6" t="n">
        <f aca="false">SUM(J31:N31)</f>
        <v>292</v>
      </c>
      <c r="AA31" s="6" t="s">
        <v>874</v>
      </c>
    </row>
    <row r="32" customFormat="false" ht="69.75" hidden="false" customHeight="true" outlineLevel="0" collapsed="false">
      <c r="A32" s="5" t="s">
        <v>111</v>
      </c>
      <c r="B32" s="5" t="s">
        <v>876</v>
      </c>
      <c r="C32" s="5" t="s">
        <v>873</v>
      </c>
      <c r="D32" s="5" t="n">
        <v>2</v>
      </c>
      <c r="E32" s="5" t="n">
        <f aca="false">D32+1</f>
        <v>3</v>
      </c>
      <c r="F32" s="5" t="n">
        <v>2</v>
      </c>
      <c r="G32" s="16" t="n">
        <f aca="false">Parametry!$C$12</f>
        <v>6</v>
      </c>
      <c r="H32" s="5" t="n">
        <f aca="false">ROUNDDOWN(Parametry!$C$9*Parametry!$C$10^(F32-1),0)</f>
        <v>66</v>
      </c>
      <c r="I32" s="5" t="n">
        <f aca="false">ROUNDUP((0)*1,0)</f>
        <v>0</v>
      </c>
      <c r="J32" s="5" t="n">
        <f aca="false">ROUNDUP((Parametry!$C$16*Parametry!$C$17*D32+Parametry!$C$16*Parametry!$C$19*D32)*1,0)</f>
        <v>384</v>
      </c>
      <c r="K32" s="5" t="n">
        <f aca="false">ROUNDUP((Parametry!$C$16*Parametry!$C$18*D32)*1,0)</f>
        <v>144</v>
      </c>
      <c r="L32" s="5" t="n">
        <f aca="false">ROUNDUP((0)*1,0)</f>
        <v>0</v>
      </c>
      <c r="M32" s="5" t="n">
        <f aca="false">ROUNDUP((0)*1,0)</f>
        <v>0</v>
      </c>
      <c r="N32" s="5" t="n">
        <f aca="false">ROUNDUP((0)*1,0)</f>
        <v>0</v>
      </c>
      <c r="O32" s="5" t="n">
        <f aca="false">ROUNDUP(J32/H32,0)</f>
        <v>6</v>
      </c>
      <c r="P32" s="5" t="n">
        <f aca="false">ROUNDUP(K32/H32,0)</f>
        <v>3</v>
      </c>
      <c r="Q32" s="5" t="n">
        <f aca="false">ROUNDUP(L32/H32,0)</f>
        <v>0</v>
      </c>
      <c r="R32" s="5" t="n">
        <f aca="false">ROUNDUP(M32/H32,0)</f>
        <v>0</v>
      </c>
      <c r="S32" s="5" t="n">
        <f aca="false">ROUNDUP(N32/H32,0)</f>
        <v>0</v>
      </c>
      <c r="T32" s="5" t="n">
        <f aca="false">SUM(O32:S32)</f>
        <v>9</v>
      </c>
      <c r="U32" s="5" t="n">
        <f aca="false">ROUNDUP(T32/G32,0)</f>
        <v>2</v>
      </c>
      <c r="V32" s="5" t="n">
        <f aca="false">U32*Parametry!$C$11</f>
        <v>10</v>
      </c>
      <c r="W32" s="5" t="n">
        <f aca="false">2</f>
        <v>2</v>
      </c>
      <c r="X32" s="5" t="n">
        <f aca="false">V32*(W32-1)</f>
        <v>10</v>
      </c>
      <c r="Y32" s="5" t="n">
        <f aca="false">V32*W32</f>
        <v>20</v>
      </c>
      <c r="Z32" s="5" t="n">
        <f aca="false">SUM(J32:N32)</f>
        <v>528</v>
      </c>
      <c r="AA32" s="5" t="s">
        <v>874</v>
      </c>
    </row>
    <row r="33" customFormat="false" ht="69.75" hidden="false" customHeight="true" outlineLevel="0" collapsed="false">
      <c r="A33" s="6" t="s">
        <v>111</v>
      </c>
      <c r="B33" s="6" t="s">
        <v>876</v>
      </c>
      <c r="C33" s="6" t="s">
        <v>875</v>
      </c>
      <c r="D33" s="6" t="n">
        <v>2</v>
      </c>
      <c r="E33" s="6" t="n">
        <f aca="false">D33+1</f>
        <v>3</v>
      </c>
      <c r="F33" s="6" t="n">
        <v>2</v>
      </c>
      <c r="G33" s="17" t="n">
        <f aca="false">Parametry!$C$12</f>
        <v>6</v>
      </c>
      <c r="H33" s="6" t="n">
        <f aca="false">ROUNDDOWN(Parametry!$C$9*Parametry!$C$10^(F33-1),0)</f>
        <v>66</v>
      </c>
      <c r="I33" s="6" t="n">
        <f aca="false">ROUNDUP((0)*Parametry!$C$15,0)</f>
        <v>0</v>
      </c>
      <c r="J33" s="6" t="n">
        <f aca="false">ROUNDUP((Parametry!$C$16*Parametry!$C$17*D33+Parametry!$C$16*Parametry!$C$19*D33)*Parametry!$C$15,0)</f>
        <v>423</v>
      </c>
      <c r="K33" s="6" t="n">
        <f aca="false">ROUNDUP((Parametry!$C$16*Parametry!$C$18*D33)*Parametry!$C$15,0)</f>
        <v>159</v>
      </c>
      <c r="L33" s="6" t="n">
        <f aca="false">ROUNDUP((0)*Parametry!$C$15,0)</f>
        <v>0</v>
      </c>
      <c r="M33" s="6" t="n">
        <f aca="false">ROUNDUP((0)*Parametry!$C$15,0)</f>
        <v>0</v>
      </c>
      <c r="N33" s="6" t="n">
        <f aca="false">ROUNDUP((0)*Parametry!$C$15,0)</f>
        <v>0</v>
      </c>
      <c r="O33" s="6" t="n">
        <f aca="false">ROUNDUP(J33/H33,0)</f>
        <v>7</v>
      </c>
      <c r="P33" s="6" t="n">
        <f aca="false">ROUNDUP(K33/H33,0)</f>
        <v>3</v>
      </c>
      <c r="Q33" s="6" t="n">
        <f aca="false">ROUNDUP(L33/H33,0)</f>
        <v>0</v>
      </c>
      <c r="R33" s="6" t="n">
        <f aca="false">ROUNDUP(M33/H33,0)</f>
        <v>0</v>
      </c>
      <c r="S33" s="6" t="n">
        <f aca="false">ROUNDUP(N33/H33,0)</f>
        <v>0</v>
      </c>
      <c r="T33" s="6" t="n">
        <f aca="false">SUM(O33:S33)</f>
        <v>10</v>
      </c>
      <c r="U33" s="6" t="n">
        <f aca="false">ROUNDUP(T33/G33,0)</f>
        <v>2</v>
      </c>
      <c r="V33" s="6" t="n">
        <f aca="false">U33*Parametry!$C$11</f>
        <v>10</v>
      </c>
      <c r="W33" s="6" t="n">
        <f aca="false">2</f>
        <v>2</v>
      </c>
      <c r="X33" s="6" t="n">
        <f aca="false">V33*(W33-1)</f>
        <v>10</v>
      </c>
      <c r="Y33" s="6" t="n">
        <f aca="false">V33*W33</f>
        <v>20</v>
      </c>
      <c r="Z33" s="6" t="n">
        <f aca="false">SUM(J33:N33)</f>
        <v>582</v>
      </c>
      <c r="AA33" s="6" t="s">
        <v>874</v>
      </c>
    </row>
    <row r="34" customFormat="false" ht="69.75" hidden="false" customHeight="true" outlineLevel="0" collapsed="false">
      <c r="A34" s="5" t="s">
        <v>111</v>
      </c>
      <c r="B34" s="5" t="s">
        <v>877</v>
      </c>
      <c r="C34" s="5" t="s">
        <v>873</v>
      </c>
      <c r="D34" s="5" t="n">
        <v>3</v>
      </c>
      <c r="E34" s="5" t="n">
        <f aca="false">D34+1</f>
        <v>4</v>
      </c>
      <c r="F34" s="5" t="n">
        <v>3</v>
      </c>
      <c r="G34" s="16" t="n">
        <f aca="false">Parametry!$C$12</f>
        <v>6</v>
      </c>
      <c r="H34" s="5" t="n">
        <f aca="false">ROUNDDOWN(Parametry!$C$9*Parametry!$C$10^(F34-1),0)</f>
        <v>72</v>
      </c>
      <c r="I34" s="5" t="n">
        <f aca="false">ROUNDUP((0)*1,0)</f>
        <v>0</v>
      </c>
      <c r="J34" s="5" t="n">
        <f aca="false">ROUNDUP((Parametry!$C$16*Parametry!$C$17*D34+Parametry!$C$16*Parametry!$C$19*D34)*1,0)</f>
        <v>576</v>
      </c>
      <c r="K34" s="5" t="n">
        <f aca="false">ROUNDUP((Parametry!$C$16*Parametry!$C$18*D34)*1,0)</f>
        <v>216</v>
      </c>
      <c r="L34" s="5" t="n">
        <f aca="false">ROUNDUP((0)*1,0)</f>
        <v>0</v>
      </c>
      <c r="M34" s="5" t="n">
        <f aca="false">ROUNDUP((0)*1,0)</f>
        <v>0</v>
      </c>
      <c r="N34" s="5" t="n">
        <f aca="false">ROUNDUP((0)*1,0)</f>
        <v>0</v>
      </c>
      <c r="O34" s="5" t="n">
        <f aca="false">ROUNDUP(J34/H34,0)</f>
        <v>8</v>
      </c>
      <c r="P34" s="5" t="n">
        <f aca="false">ROUNDUP(K34/H34,0)</f>
        <v>3</v>
      </c>
      <c r="Q34" s="5" t="n">
        <f aca="false">ROUNDUP(L34/H34,0)</f>
        <v>0</v>
      </c>
      <c r="R34" s="5" t="n">
        <f aca="false">ROUNDUP(M34/H34,0)</f>
        <v>0</v>
      </c>
      <c r="S34" s="5" t="n">
        <f aca="false">ROUNDUP(N34/H34,0)</f>
        <v>0</v>
      </c>
      <c r="T34" s="5" t="n">
        <f aca="false">SUM(O34:S34)</f>
        <v>11</v>
      </c>
      <c r="U34" s="5" t="n">
        <f aca="false">ROUNDUP(T34/G34,0)</f>
        <v>2</v>
      </c>
      <c r="V34" s="5" t="n">
        <f aca="false">U34*Parametry!$C$11</f>
        <v>10</v>
      </c>
      <c r="W34" s="5" t="n">
        <f aca="false">2</f>
        <v>2</v>
      </c>
      <c r="X34" s="5" t="n">
        <f aca="false">V34*(W34-1)</f>
        <v>10</v>
      </c>
      <c r="Y34" s="5" t="n">
        <f aca="false">V34*W34</f>
        <v>20</v>
      </c>
      <c r="Z34" s="5" t="n">
        <f aca="false">SUM(J34:N34)</f>
        <v>792</v>
      </c>
      <c r="AA34" s="5" t="s">
        <v>874</v>
      </c>
    </row>
    <row r="35" customFormat="false" ht="69.75" hidden="false" customHeight="true" outlineLevel="0" collapsed="false">
      <c r="A35" s="6" t="s">
        <v>111</v>
      </c>
      <c r="B35" s="6" t="s">
        <v>877</v>
      </c>
      <c r="C35" s="6" t="s">
        <v>875</v>
      </c>
      <c r="D35" s="6" t="n">
        <v>3</v>
      </c>
      <c r="E35" s="6" t="n">
        <f aca="false">D35+1</f>
        <v>4</v>
      </c>
      <c r="F35" s="6" t="n">
        <v>3</v>
      </c>
      <c r="G35" s="17" t="n">
        <f aca="false">Parametry!$C$12</f>
        <v>6</v>
      </c>
      <c r="H35" s="6" t="n">
        <f aca="false">ROUNDDOWN(Parametry!$C$9*Parametry!$C$10^(F35-1),0)</f>
        <v>72</v>
      </c>
      <c r="I35" s="6" t="n">
        <f aca="false">ROUNDUP((0)*Parametry!$C$15,0)</f>
        <v>0</v>
      </c>
      <c r="J35" s="6" t="n">
        <f aca="false">ROUNDUP((Parametry!$C$16*Parametry!$C$17*D35+Parametry!$C$16*Parametry!$C$19*D35)*Parametry!$C$15,0)</f>
        <v>634</v>
      </c>
      <c r="K35" s="6" t="n">
        <f aca="false">ROUNDUP((Parametry!$C$16*Parametry!$C$18*D35)*Parametry!$C$15,0)</f>
        <v>238</v>
      </c>
      <c r="L35" s="6" t="n">
        <f aca="false">ROUNDUP((0)*Parametry!$C$15,0)</f>
        <v>0</v>
      </c>
      <c r="M35" s="6" t="n">
        <f aca="false">ROUNDUP((0)*Parametry!$C$15,0)</f>
        <v>0</v>
      </c>
      <c r="N35" s="6" t="n">
        <f aca="false">ROUNDUP((0)*Parametry!$C$15,0)</f>
        <v>0</v>
      </c>
      <c r="O35" s="6" t="n">
        <f aca="false">ROUNDUP(J35/H35,0)</f>
        <v>9</v>
      </c>
      <c r="P35" s="6" t="n">
        <f aca="false">ROUNDUP(K35/H35,0)</f>
        <v>4</v>
      </c>
      <c r="Q35" s="6" t="n">
        <f aca="false">ROUNDUP(L35/H35,0)</f>
        <v>0</v>
      </c>
      <c r="R35" s="6" t="n">
        <f aca="false">ROUNDUP(M35/H35,0)</f>
        <v>0</v>
      </c>
      <c r="S35" s="6" t="n">
        <f aca="false">ROUNDUP(N35/H35,0)</f>
        <v>0</v>
      </c>
      <c r="T35" s="6" t="n">
        <f aca="false">SUM(O35:S35)</f>
        <v>13</v>
      </c>
      <c r="U35" s="6" t="n">
        <f aca="false">ROUNDUP(T35/G35,0)</f>
        <v>3</v>
      </c>
      <c r="V35" s="6" t="n">
        <f aca="false">U35*Parametry!$C$11</f>
        <v>15</v>
      </c>
      <c r="W35" s="6" t="n">
        <f aca="false">2</f>
        <v>2</v>
      </c>
      <c r="X35" s="6" t="n">
        <f aca="false">V35*(W35-1)</f>
        <v>15</v>
      </c>
      <c r="Y35" s="6" t="n">
        <f aca="false">V35*W35</f>
        <v>30</v>
      </c>
      <c r="Z35" s="6" t="n">
        <f aca="false">SUM(J35:N35)</f>
        <v>872</v>
      </c>
      <c r="AA35" s="6" t="s">
        <v>874</v>
      </c>
    </row>
    <row r="36" customFormat="false" ht="69.75" hidden="false" customHeight="true" outlineLevel="0" collapsed="false">
      <c r="A36" s="5" t="s">
        <v>115</v>
      </c>
      <c r="B36" s="5" t="s">
        <v>872</v>
      </c>
      <c r="C36" s="5" t="s">
        <v>873</v>
      </c>
      <c r="D36" s="5" t="n">
        <v>1</v>
      </c>
      <c r="E36" s="5" t="n">
        <f aca="false">D36+1</f>
        <v>2</v>
      </c>
      <c r="F36" s="5" t="n">
        <v>1</v>
      </c>
      <c r="G36" s="16" t="n">
        <f aca="false">Parametry!$C$12</f>
        <v>6</v>
      </c>
      <c r="H36" s="5" t="n">
        <f aca="false">ROUNDDOWN(Parametry!$C$9*Parametry!$C$10^(F36-1),0)</f>
        <v>60</v>
      </c>
      <c r="I36" s="5" t="n">
        <f aca="false">ROUNDUP((0)*1,0)</f>
        <v>0</v>
      </c>
      <c r="J36" s="5" t="n">
        <f aca="false">ROUNDUP((Parametry!$C$16*Parametry!$C$17*D36)*1,0)</f>
        <v>72</v>
      </c>
      <c r="K36" s="5" t="n">
        <f aca="false">ROUNDUP((Parametry!$C$16*Parametry!$C$18*D36)*1,0)</f>
        <v>72</v>
      </c>
      <c r="L36" s="5" t="n">
        <f aca="false">ROUNDUP((0)*1,0)</f>
        <v>0</v>
      </c>
      <c r="M36" s="5" t="n">
        <f aca="false">ROUNDUP((0)*1,0)</f>
        <v>0</v>
      </c>
      <c r="N36" s="5" t="n">
        <f aca="false">ROUNDUP((Parametry!$C$16*Parametry!$C$19*D36)*1,0)</f>
        <v>120</v>
      </c>
      <c r="O36" s="5" t="n">
        <f aca="false">ROUNDUP(J36/H36,0)</f>
        <v>2</v>
      </c>
      <c r="P36" s="5" t="n">
        <f aca="false">ROUNDUP(K36/H36,0)</f>
        <v>2</v>
      </c>
      <c r="Q36" s="5" t="n">
        <f aca="false">ROUNDUP(L36/H36,0)</f>
        <v>0</v>
      </c>
      <c r="R36" s="5" t="n">
        <f aca="false">ROUNDUP(M36/H36,0)</f>
        <v>0</v>
      </c>
      <c r="S36" s="5" t="n">
        <f aca="false">ROUNDUP(N36/H36,0)</f>
        <v>2</v>
      </c>
      <c r="T36" s="5" t="n">
        <f aca="false">SUM(O36:S36)</f>
        <v>6</v>
      </c>
      <c r="U36" s="5" t="n">
        <f aca="false">ROUNDUP(T36/G36,0)</f>
        <v>1</v>
      </c>
      <c r="V36" s="5" t="n">
        <f aca="false">U36*Parametry!$C$11</f>
        <v>5</v>
      </c>
      <c r="W36" s="5" t="n">
        <f aca="false">2</f>
        <v>2</v>
      </c>
      <c r="X36" s="5" t="n">
        <f aca="false">V36*(W36-1)</f>
        <v>5</v>
      </c>
      <c r="Y36" s="5" t="n">
        <f aca="false">V36*W36</f>
        <v>10</v>
      </c>
      <c r="Z36" s="5" t="n">
        <f aca="false">SUM(J36:N36)</f>
        <v>264</v>
      </c>
      <c r="AA36" s="5" t="s">
        <v>874</v>
      </c>
    </row>
    <row r="37" customFormat="false" ht="69.75" hidden="false" customHeight="true" outlineLevel="0" collapsed="false">
      <c r="A37" s="6" t="s">
        <v>115</v>
      </c>
      <c r="B37" s="6" t="s">
        <v>872</v>
      </c>
      <c r="C37" s="6" t="s">
        <v>875</v>
      </c>
      <c r="D37" s="6" t="n">
        <v>1</v>
      </c>
      <c r="E37" s="6" t="n">
        <f aca="false">D37+1</f>
        <v>2</v>
      </c>
      <c r="F37" s="6" t="n">
        <v>1</v>
      </c>
      <c r="G37" s="17" t="n">
        <f aca="false">Parametry!$C$12</f>
        <v>6</v>
      </c>
      <c r="H37" s="6" t="n">
        <f aca="false">ROUNDDOWN(Parametry!$C$9*Parametry!$C$10^(F37-1),0)</f>
        <v>60</v>
      </c>
      <c r="I37" s="6" t="n">
        <f aca="false">ROUNDUP((0)*Parametry!$C$15,0)</f>
        <v>0</v>
      </c>
      <c r="J37" s="6" t="n">
        <f aca="false">ROUNDUP((Parametry!$C$16*Parametry!$C$17*D37)*Parametry!$C$15,0)</f>
        <v>80</v>
      </c>
      <c r="K37" s="6" t="n">
        <f aca="false">ROUNDUP((Parametry!$C$16*Parametry!$C$18*D37)*Parametry!$C$15,0)</f>
        <v>80</v>
      </c>
      <c r="L37" s="6" t="n">
        <f aca="false">ROUNDUP((0)*Parametry!$C$15,0)</f>
        <v>0</v>
      </c>
      <c r="M37" s="6" t="n">
        <f aca="false">ROUNDUP((0)*Parametry!$C$15,0)</f>
        <v>0</v>
      </c>
      <c r="N37" s="6" t="n">
        <f aca="false">ROUNDUP((Parametry!$C$16*Parametry!$C$19*D37)*Parametry!$C$15,0)</f>
        <v>132</v>
      </c>
      <c r="O37" s="6" t="n">
        <f aca="false">ROUNDUP(J37/H37,0)</f>
        <v>2</v>
      </c>
      <c r="P37" s="6" t="n">
        <f aca="false">ROUNDUP(K37/H37,0)</f>
        <v>2</v>
      </c>
      <c r="Q37" s="6" t="n">
        <f aca="false">ROUNDUP(L37/H37,0)</f>
        <v>0</v>
      </c>
      <c r="R37" s="6" t="n">
        <f aca="false">ROUNDUP(M37/H37,0)</f>
        <v>0</v>
      </c>
      <c r="S37" s="6" t="n">
        <f aca="false">ROUNDUP(N37/H37,0)</f>
        <v>3</v>
      </c>
      <c r="T37" s="6" t="n">
        <f aca="false">SUM(O37:S37)</f>
        <v>7</v>
      </c>
      <c r="U37" s="6" t="n">
        <f aca="false">ROUNDUP(T37/G37,0)</f>
        <v>2</v>
      </c>
      <c r="V37" s="6" t="n">
        <f aca="false">U37*Parametry!$C$11</f>
        <v>10</v>
      </c>
      <c r="W37" s="6" t="n">
        <f aca="false">2</f>
        <v>2</v>
      </c>
      <c r="X37" s="6" t="n">
        <f aca="false">V37*(W37-1)</f>
        <v>10</v>
      </c>
      <c r="Y37" s="6" t="n">
        <f aca="false">V37*W37</f>
        <v>20</v>
      </c>
      <c r="Z37" s="6" t="n">
        <f aca="false">SUM(J37:N37)</f>
        <v>292</v>
      </c>
      <c r="AA37" s="6" t="s">
        <v>874</v>
      </c>
    </row>
    <row r="38" customFormat="false" ht="69.75" hidden="false" customHeight="true" outlineLevel="0" collapsed="false">
      <c r="A38" s="5" t="s">
        <v>115</v>
      </c>
      <c r="B38" s="5" t="s">
        <v>876</v>
      </c>
      <c r="C38" s="5" t="s">
        <v>873</v>
      </c>
      <c r="D38" s="5" t="n">
        <v>2</v>
      </c>
      <c r="E38" s="5" t="n">
        <f aca="false">D38+1</f>
        <v>3</v>
      </c>
      <c r="F38" s="5" t="n">
        <v>2</v>
      </c>
      <c r="G38" s="16" t="n">
        <f aca="false">Parametry!$C$12</f>
        <v>6</v>
      </c>
      <c r="H38" s="5" t="n">
        <f aca="false">ROUNDDOWN(Parametry!$C$9*Parametry!$C$10^(F38-1),0)</f>
        <v>66</v>
      </c>
      <c r="I38" s="5" t="n">
        <f aca="false">ROUNDUP((0)*1,0)</f>
        <v>0</v>
      </c>
      <c r="J38" s="5" t="n">
        <f aca="false">ROUNDUP((Parametry!$C$16*Parametry!$C$17*D38)*1,0)</f>
        <v>144</v>
      </c>
      <c r="K38" s="5" t="n">
        <f aca="false">ROUNDUP((Parametry!$C$16*Parametry!$C$18*D38)*1,0)</f>
        <v>144</v>
      </c>
      <c r="L38" s="5" t="n">
        <f aca="false">ROUNDUP((0)*1,0)</f>
        <v>0</v>
      </c>
      <c r="M38" s="5" t="n">
        <f aca="false">ROUNDUP((0)*1,0)</f>
        <v>0</v>
      </c>
      <c r="N38" s="5" t="n">
        <f aca="false">ROUNDUP((Parametry!$C$16*Parametry!$C$19*D38)*1,0)</f>
        <v>240</v>
      </c>
      <c r="O38" s="5" t="n">
        <f aca="false">ROUNDUP(J38/H38,0)</f>
        <v>3</v>
      </c>
      <c r="P38" s="5" t="n">
        <f aca="false">ROUNDUP(K38/H38,0)</f>
        <v>3</v>
      </c>
      <c r="Q38" s="5" t="n">
        <f aca="false">ROUNDUP(L38/H38,0)</f>
        <v>0</v>
      </c>
      <c r="R38" s="5" t="n">
        <f aca="false">ROUNDUP(M38/H38,0)</f>
        <v>0</v>
      </c>
      <c r="S38" s="5" t="n">
        <f aca="false">ROUNDUP(N38/H38,0)</f>
        <v>4</v>
      </c>
      <c r="T38" s="5" t="n">
        <f aca="false">SUM(O38:S38)</f>
        <v>10</v>
      </c>
      <c r="U38" s="5" t="n">
        <f aca="false">ROUNDUP(T38/G38,0)</f>
        <v>2</v>
      </c>
      <c r="V38" s="5" t="n">
        <f aca="false">U38*Parametry!$C$11</f>
        <v>10</v>
      </c>
      <c r="W38" s="5" t="n">
        <f aca="false">2</f>
        <v>2</v>
      </c>
      <c r="X38" s="5" t="n">
        <f aca="false">V38*(W38-1)</f>
        <v>10</v>
      </c>
      <c r="Y38" s="5" t="n">
        <f aca="false">V38*W38</f>
        <v>20</v>
      </c>
      <c r="Z38" s="5" t="n">
        <f aca="false">SUM(J38:N38)</f>
        <v>528</v>
      </c>
      <c r="AA38" s="5" t="s">
        <v>874</v>
      </c>
    </row>
    <row r="39" customFormat="false" ht="69.75" hidden="false" customHeight="true" outlineLevel="0" collapsed="false">
      <c r="A39" s="6" t="s">
        <v>115</v>
      </c>
      <c r="B39" s="6" t="s">
        <v>876</v>
      </c>
      <c r="C39" s="6" t="s">
        <v>875</v>
      </c>
      <c r="D39" s="6" t="n">
        <v>2</v>
      </c>
      <c r="E39" s="6" t="n">
        <f aca="false">D39+1</f>
        <v>3</v>
      </c>
      <c r="F39" s="6" t="n">
        <v>2</v>
      </c>
      <c r="G39" s="17" t="n">
        <f aca="false">Parametry!$C$12</f>
        <v>6</v>
      </c>
      <c r="H39" s="6" t="n">
        <f aca="false">ROUNDDOWN(Parametry!$C$9*Parametry!$C$10^(F39-1),0)</f>
        <v>66</v>
      </c>
      <c r="I39" s="6" t="n">
        <f aca="false">ROUNDUP((0)*Parametry!$C$15,0)</f>
        <v>0</v>
      </c>
      <c r="J39" s="6" t="n">
        <f aca="false">ROUNDUP((Parametry!$C$16*Parametry!$C$17*D39)*Parametry!$C$15,0)</f>
        <v>159</v>
      </c>
      <c r="K39" s="6" t="n">
        <f aca="false">ROUNDUP((Parametry!$C$16*Parametry!$C$18*D39)*Parametry!$C$15,0)</f>
        <v>159</v>
      </c>
      <c r="L39" s="6" t="n">
        <f aca="false">ROUNDUP((0)*Parametry!$C$15,0)</f>
        <v>0</v>
      </c>
      <c r="M39" s="6" t="n">
        <f aca="false">ROUNDUP((0)*Parametry!$C$15,0)</f>
        <v>0</v>
      </c>
      <c r="N39" s="6" t="n">
        <f aca="false">ROUNDUP((Parametry!$C$16*Parametry!$C$19*D39)*Parametry!$C$15,0)</f>
        <v>264</v>
      </c>
      <c r="O39" s="6" t="n">
        <f aca="false">ROUNDUP(J39/H39,0)</f>
        <v>3</v>
      </c>
      <c r="P39" s="6" t="n">
        <f aca="false">ROUNDUP(K39/H39,0)</f>
        <v>3</v>
      </c>
      <c r="Q39" s="6" t="n">
        <f aca="false">ROUNDUP(L39/H39,0)</f>
        <v>0</v>
      </c>
      <c r="R39" s="6" t="n">
        <f aca="false">ROUNDUP(M39/H39,0)</f>
        <v>0</v>
      </c>
      <c r="S39" s="6" t="n">
        <f aca="false">ROUNDUP(N39/H39,0)</f>
        <v>4</v>
      </c>
      <c r="T39" s="6" t="n">
        <f aca="false">SUM(O39:S39)</f>
        <v>10</v>
      </c>
      <c r="U39" s="6" t="n">
        <f aca="false">ROUNDUP(T39/G39,0)</f>
        <v>2</v>
      </c>
      <c r="V39" s="6" t="n">
        <f aca="false">U39*Parametry!$C$11</f>
        <v>10</v>
      </c>
      <c r="W39" s="6" t="n">
        <f aca="false">2</f>
        <v>2</v>
      </c>
      <c r="X39" s="6" t="n">
        <f aca="false">V39*(W39-1)</f>
        <v>10</v>
      </c>
      <c r="Y39" s="6" t="n">
        <f aca="false">V39*W39</f>
        <v>20</v>
      </c>
      <c r="Z39" s="6" t="n">
        <f aca="false">SUM(J39:N39)</f>
        <v>582</v>
      </c>
      <c r="AA39" s="6" t="s">
        <v>874</v>
      </c>
    </row>
    <row r="40" customFormat="false" ht="69.75" hidden="false" customHeight="true" outlineLevel="0" collapsed="false">
      <c r="A40" s="5" t="s">
        <v>115</v>
      </c>
      <c r="B40" s="5" t="s">
        <v>877</v>
      </c>
      <c r="C40" s="5" t="s">
        <v>873</v>
      </c>
      <c r="D40" s="5" t="n">
        <v>3</v>
      </c>
      <c r="E40" s="5" t="n">
        <f aca="false">D40+1</f>
        <v>4</v>
      </c>
      <c r="F40" s="5" t="n">
        <v>3</v>
      </c>
      <c r="G40" s="16" t="n">
        <f aca="false">Parametry!$C$12</f>
        <v>6</v>
      </c>
      <c r="H40" s="5" t="n">
        <f aca="false">ROUNDDOWN(Parametry!$C$9*Parametry!$C$10^(F40-1),0)</f>
        <v>72</v>
      </c>
      <c r="I40" s="5" t="n">
        <f aca="false">ROUNDUP((0)*1,0)</f>
        <v>0</v>
      </c>
      <c r="J40" s="5" t="n">
        <f aca="false">ROUNDUP((Parametry!$C$16*Parametry!$C$17*D40)*1,0)</f>
        <v>216</v>
      </c>
      <c r="K40" s="5" t="n">
        <f aca="false">ROUNDUP((Parametry!$C$16*Parametry!$C$18*D40)*1,0)</f>
        <v>216</v>
      </c>
      <c r="L40" s="5" t="n">
        <f aca="false">ROUNDUP((0)*1,0)</f>
        <v>0</v>
      </c>
      <c r="M40" s="5" t="n">
        <f aca="false">ROUNDUP((0)*1,0)</f>
        <v>0</v>
      </c>
      <c r="N40" s="5" t="n">
        <f aca="false">ROUNDUP((Parametry!$C$16*Parametry!$C$19*D40)*1,0)</f>
        <v>360</v>
      </c>
      <c r="O40" s="5" t="n">
        <f aca="false">ROUNDUP(J40/H40,0)</f>
        <v>3</v>
      </c>
      <c r="P40" s="5" t="n">
        <f aca="false">ROUNDUP(K40/H40,0)</f>
        <v>3</v>
      </c>
      <c r="Q40" s="5" t="n">
        <f aca="false">ROUNDUP(L40/H40,0)</f>
        <v>0</v>
      </c>
      <c r="R40" s="5" t="n">
        <f aca="false">ROUNDUP(M40/H40,0)</f>
        <v>0</v>
      </c>
      <c r="S40" s="5" t="n">
        <f aca="false">ROUNDUP(N40/H40,0)</f>
        <v>5</v>
      </c>
      <c r="T40" s="5" t="n">
        <f aca="false">SUM(O40:S40)</f>
        <v>11</v>
      </c>
      <c r="U40" s="5" t="n">
        <f aca="false">ROUNDUP(T40/G40,0)</f>
        <v>2</v>
      </c>
      <c r="V40" s="5" t="n">
        <f aca="false">U40*Parametry!$C$11</f>
        <v>10</v>
      </c>
      <c r="W40" s="5" t="n">
        <f aca="false">2</f>
        <v>2</v>
      </c>
      <c r="X40" s="5" t="n">
        <f aca="false">V40*(W40-1)</f>
        <v>10</v>
      </c>
      <c r="Y40" s="5" t="n">
        <f aca="false">V40*W40</f>
        <v>20</v>
      </c>
      <c r="Z40" s="5" t="n">
        <f aca="false">SUM(J40:N40)</f>
        <v>792</v>
      </c>
      <c r="AA40" s="5" t="s">
        <v>874</v>
      </c>
    </row>
    <row r="41" customFormat="false" ht="69.75" hidden="false" customHeight="true" outlineLevel="0" collapsed="false">
      <c r="A41" s="6" t="s">
        <v>115</v>
      </c>
      <c r="B41" s="6" t="s">
        <v>877</v>
      </c>
      <c r="C41" s="6" t="s">
        <v>875</v>
      </c>
      <c r="D41" s="6" t="n">
        <v>3</v>
      </c>
      <c r="E41" s="6" t="n">
        <f aca="false">D41+1</f>
        <v>4</v>
      </c>
      <c r="F41" s="6" t="n">
        <v>3</v>
      </c>
      <c r="G41" s="17" t="n">
        <f aca="false">Parametry!$C$12</f>
        <v>6</v>
      </c>
      <c r="H41" s="6" t="n">
        <f aca="false">ROUNDDOWN(Parametry!$C$9*Parametry!$C$10^(F41-1),0)</f>
        <v>72</v>
      </c>
      <c r="I41" s="6" t="n">
        <f aca="false">ROUNDUP((0)*Parametry!$C$15,0)</f>
        <v>0</v>
      </c>
      <c r="J41" s="6" t="n">
        <f aca="false">ROUNDUP((Parametry!$C$16*Parametry!$C$17*D41)*Parametry!$C$15,0)</f>
        <v>238</v>
      </c>
      <c r="K41" s="6" t="n">
        <f aca="false">ROUNDUP((Parametry!$C$16*Parametry!$C$18*D41)*Parametry!$C$15,0)</f>
        <v>238</v>
      </c>
      <c r="L41" s="6" t="n">
        <f aca="false">ROUNDUP((0)*Parametry!$C$15,0)</f>
        <v>0</v>
      </c>
      <c r="M41" s="6" t="n">
        <f aca="false">ROUNDUP((0)*Parametry!$C$15,0)</f>
        <v>0</v>
      </c>
      <c r="N41" s="6" t="n">
        <f aca="false">ROUNDUP((Parametry!$C$16*Parametry!$C$19*D41)*Parametry!$C$15,0)</f>
        <v>396</v>
      </c>
      <c r="O41" s="6" t="n">
        <f aca="false">ROUNDUP(J41/H41,0)</f>
        <v>4</v>
      </c>
      <c r="P41" s="6" t="n">
        <f aca="false">ROUNDUP(K41/H41,0)</f>
        <v>4</v>
      </c>
      <c r="Q41" s="6" t="n">
        <f aca="false">ROUNDUP(L41/H41,0)</f>
        <v>0</v>
      </c>
      <c r="R41" s="6" t="n">
        <f aca="false">ROUNDUP(M41/H41,0)</f>
        <v>0</v>
      </c>
      <c r="S41" s="6" t="n">
        <f aca="false">ROUNDUP(N41/H41,0)</f>
        <v>6</v>
      </c>
      <c r="T41" s="6" t="n">
        <f aca="false">SUM(O41:S41)</f>
        <v>14</v>
      </c>
      <c r="U41" s="6" t="n">
        <f aca="false">ROUNDUP(T41/G41,0)</f>
        <v>3</v>
      </c>
      <c r="V41" s="6" t="n">
        <f aca="false">U41*Parametry!$C$11</f>
        <v>15</v>
      </c>
      <c r="W41" s="6" t="n">
        <f aca="false">2</f>
        <v>2</v>
      </c>
      <c r="X41" s="6" t="n">
        <f aca="false">V41*(W41-1)</f>
        <v>15</v>
      </c>
      <c r="Y41" s="6" t="n">
        <f aca="false">V41*W41</f>
        <v>30</v>
      </c>
      <c r="Z41" s="6" t="n">
        <f aca="false">SUM(J41:N41)</f>
        <v>872</v>
      </c>
      <c r="AA41" s="6" t="s">
        <v>874</v>
      </c>
    </row>
    <row r="42" customFormat="false" ht="69.75" hidden="false" customHeight="true" outlineLevel="0" collapsed="false">
      <c r="A42" s="5" t="s">
        <v>119</v>
      </c>
      <c r="B42" s="5" t="s">
        <v>872</v>
      </c>
      <c r="C42" s="5" t="s">
        <v>873</v>
      </c>
      <c r="D42" s="5" t="n">
        <v>1</v>
      </c>
      <c r="E42" s="5" t="n">
        <f aca="false">D42+1</f>
        <v>2</v>
      </c>
      <c r="F42" s="5" t="n">
        <v>1</v>
      </c>
      <c r="G42" s="16" t="n">
        <f aca="false">Parametry!$C$12</f>
        <v>6</v>
      </c>
      <c r="H42" s="5" t="n">
        <f aca="false">ROUNDDOWN(Parametry!$C$9*Parametry!$C$10^(F42-1),0)</f>
        <v>60</v>
      </c>
      <c r="I42" s="5" t="n">
        <f aca="false">ROUNDUP((0)*1,0)</f>
        <v>0</v>
      </c>
      <c r="J42" s="5" t="n">
        <f aca="false">ROUNDUP((Parametry!$C$16*Parametry!$C$17*D42)*1,0)</f>
        <v>72</v>
      </c>
      <c r="K42" s="5" t="n">
        <f aca="false">ROUNDUP((Parametry!$C$16*Parametry!$C$18*D42+Parametry!$C$16*Parametry!$C$19*D42)*1,0)</f>
        <v>192</v>
      </c>
      <c r="L42" s="5" t="n">
        <f aca="false">ROUNDUP((0)*1,0)</f>
        <v>0</v>
      </c>
      <c r="M42" s="5" t="n">
        <f aca="false">ROUNDUP((0)*1,0)</f>
        <v>0</v>
      </c>
      <c r="N42" s="5" t="n">
        <f aca="false">ROUNDUP((0)*1,0)</f>
        <v>0</v>
      </c>
      <c r="O42" s="5" t="n">
        <f aca="false">ROUNDUP(J42/H42,0)</f>
        <v>2</v>
      </c>
      <c r="P42" s="5" t="n">
        <f aca="false">ROUNDUP(K42/H42,0)</f>
        <v>4</v>
      </c>
      <c r="Q42" s="5" t="n">
        <f aca="false">ROUNDUP(L42/H42,0)</f>
        <v>0</v>
      </c>
      <c r="R42" s="5" t="n">
        <f aca="false">ROUNDUP(M42/H42,0)</f>
        <v>0</v>
      </c>
      <c r="S42" s="5" t="n">
        <f aca="false">ROUNDUP(N42/H42,0)</f>
        <v>0</v>
      </c>
      <c r="T42" s="5" t="n">
        <f aca="false">SUM(O42:S42)</f>
        <v>6</v>
      </c>
      <c r="U42" s="5" t="n">
        <f aca="false">ROUNDUP(T42/G42,0)</f>
        <v>1</v>
      </c>
      <c r="V42" s="5" t="n">
        <f aca="false">U42*Parametry!$C$11</f>
        <v>5</v>
      </c>
      <c r="W42" s="5" t="n">
        <f aca="false">2</f>
        <v>2</v>
      </c>
      <c r="X42" s="5" t="n">
        <f aca="false">V42*(W42-1)</f>
        <v>5</v>
      </c>
      <c r="Y42" s="5" t="n">
        <f aca="false">V42*W42</f>
        <v>10</v>
      </c>
      <c r="Z42" s="5" t="n">
        <f aca="false">SUM(J42:N42)</f>
        <v>264</v>
      </c>
      <c r="AA42" s="5" t="s">
        <v>874</v>
      </c>
    </row>
    <row r="43" customFormat="false" ht="69.75" hidden="false" customHeight="true" outlineLevel="0" collapsed="false">
      <c r="A43" s="6" t="s">
        <v>119</v>
      </c>
      <c r="B43" s="6" t="s">
        <v>872</v>
      </c>
      <c r="C43" s="6" t="s">
        <v>875</v>
      </c>
      <c r="D43" s="6" t="n">
        <v>1</v>
      </c>
      <c r="E43" s="6" t="n">
        <f aca="false">D43+1</f>
        <v>2</v>
      </c>
      <c r="F43" s="6" t="n">
        <v>1</v>
      </c>
      <c r="G43" s="17" t="n">
        <f aca="false">Parametry!$C$12</f>
        <v>6</v>
      </c>
      <c r="H43" s="6" t="n">
        <f aca="false">ROUNDDOWN(Parametry!$C$9*Parametry!$C$10^(F43-1),0)</f>
        <v>60</v>
      </c>
      <c r="I43" s="6" t="n">
        <f aca="false">ROUNDUP((0)*Parametry!$C$15,0)</f>
        <v>0</v>
      </c>
      <c r="J43" s="6" t="n">
        <f aca="false">ROUNDUP((Parametry!$C$16*Parametry!$C$17*D43)*Parametry!$C$15,0)</f>
        <v>80</v>
      </c>
      <c r="K43" s="6" t="n">
        <f aca="false">ROUNDUP((Parametry!$C$16*Parametry!$C$18*D43+Parametry!$C$16*Parametry!$C$19*D43)*Parametry!$C$15,0)</f>
        <v>212</v>
      </c>
      <c r="L43" s="6" t="n">
        <f aca="false">ROUNDUP((0)*Parametry!$C$15,0)</f>
        <v>0</v>
      </c>
      <c r="M43" s="6" t="n">
        <f aca="false">ROUNDUP((0)*Parametry!$C$15,0)</f>
        <v>0</v>
      </c>
      <c r="N43" s="6" t="n">
        <f aca="false">ROUNDUP((0)*Parametry!$C$15,0)</f>
        <v>0</v>
      </c>
      <c r="O43" s="6" t="n">
        <f aca="false">ROUNDUP(J43/H43,0)</f>
        <v>2</v>
      </c>
      <c r="P43" s="6" t="n">
        <f aca="false">ROUNDUP(K43/H43,0)</f>
        <v>4</v>
      </c>
      <c r="Q43" s="6" t="n">
        <f aca="false">ROUNDUP(L43/H43,0)</f>
        <v>0</v>
      </c>
      <c r="R43" s="6" t="n">
        <f aca="false">ROUNDUP(M43/H43,0)</f>
        <v>0</v>
      </c>
      <c r="S43" s="6" t="n">
        <f aca="false">ROUNDUP(N43/H43,0)</f>
        <v>0</v>
      </c>
      <c r="T43" s="6" t="n">
        <f aca="false">SUM(O43:S43)</f>
        <v>6</v>
      </c>
      <c r="U43" s="6" t="n">
        <f aca="false">ROUNDUP(T43/G43,0)</f>
        <v>1</v>
      </c>
      <c r="V43" s="6" t="n">
        <f aca="false">U43*Parametry!$C$11</f>
        <v>5</v>
      </c>
      <c r="W43" s="6" t="n">
        <f aca="false">2</f>
        <v>2</v>
      </c>
      <c r="X43" s="6" t="n">
        <f aca="false">V43*(W43-1)</f>
        <v>5</v>
      </c>
      <c r="Y43" s="6" t="n">
        <f aca="false">V43*W43</f>
        <v>10</v>
      </c>
      <c r="Z43" s="6" t="n">
        <f aca="false">SUM(J43:N43)</f>
        <v>292</v>
      </c>
      <c r="AA43" s="6" t="s">
        <v>874</v>
      </c>
    </row>
    <row r="44" customFormat="false" ht="69.75" hidden="false" customHeight="true" outlineLevel="0" collapsed="false">
      <c r="A44" s="5" t="s">
        <v>119</v>
      </c>
      <c r="B44" s="5" t="s">
        <v>876</v>
      </c>
      <c r="C44" s="5" t="s">
        <v>873</v>
      </c>
      <c r="D44" s="5" t="n">
        <v>2</v>
      </c>
      <c r="E44" s="5" t="n">
        <f aca="false">D44+1</f>
        <v>3</v>
      </c>
      <c r="F44" s="5" t="n">
        <v>2</v>
      </c>
      <c r="G44" s="16" t="n">
        <f aca="false">Parametry!$C$12</f>
        <v>6</v>
      </c>
      <c r="H44" s="5" t="n">
        <f aca="false">ROUNDDOWN(Parametry!$C$9*Parametry!$C$10^(F44-1),0)</f>
        <v>66</v>
      </c>
      <c r="I44" s="5" t="n">
        <f aca="false">ROUNDUP((0)*1,0)</f>
        <v>0</v>
      </c>
      <c r="J44" s="5" t="n">
        <f aca="false">ROUNDUP((Parametry!$C$16*Parametry!$C$17*D44)*1,0)</f>
        <v>144</v>
      </c>
      <c r="K44" s="5" t="n">
        <f aca="false">ROUNDUP((Parametry!$C$16*Parametry!$C$18*D44+Parametry!$C$16*Parametry!$C$19*D44)*1,0)</f>
        <v>384</v>
      </c>
      <c r="L44" s="5" t="n">
        <f aca="false">ROUNDUP((0)*1,0)</f>
        <v>0</v>
      </c>
      <c r="M44" s="5" t="n">
        <f aca="false">ROUNDUP((0)*1,0)</f>
        <v>0</v>
      </c>
      <c r="N44" s="5" t="n">
        <f aca="false">ROUNDUP((0)*1,0)</f>
        <v>0</v>
      </c>
      <c r="O44" s="5" t="n">
        <f aca="false">ROUNDUP(J44/H44,0)</f>
        <v>3</v>
      </c>
      <c r="P44" s="5" t="n">
        <f aca="false">ROUNDUP(K44/H44,0)</f>
        <v>6</v>
      </c>
      <c r="Q44" s="5" t="n">
        <f aca="false">ROUNDUP(L44/H44,0)</f>
        <v>0</v>
      </c>
      <c r="R44" s="5" t="n">
        <f aca="false">ROUNDUP(M44/H44,0)</f>
        <v>0</v>
      </c>
      <c r="S44" s="5" t="n">
        <f aca="false">ROUNDUP(N44/H44,0)</f>
        <v>0</v>
      </c>
      <c r="T44" s="5" t="n">
        <f aca="false">SUM(O44:S44)</f>
        <v>9</v>
      </c>
      <c r="U44" s="5" t="n">
        <f aca="false">ROUNDUP(T44/G44,0)</f>
        <v>2</v>
      </c>
      <c r="V44" s="5" t="n">
        <f aca="false">U44*Parametry!$C$11</f>
        <v>10</v>
      </c>
      <c r="W44" s="5" t="n">
        <f aca="false">2</f>
        <v>2</v>
      </c>
      <c r="X44" s="5" t="n">
        <f aca="false">V44*(W44-1)</f>
        <v>10</v>
      </c>
      <c r="Y44" s="5" t="n">
        <f aca="false">V44*W44</f>
        <v>20</v>
      </c>
      <c r="Z44" s="5" t="n">
        <f aca="false">SUM(J44:N44)</f>
        <v>528</v>
      </c>
      <c r="AA44" s="5" t="s">
        <v>874</v>
      </c>
    </row>
    <row r="45" customFormat="false" ht="69.75" hidden="false" customHeight="true" outlineLevel="0" collapsed="false">
      <c r="A45" s="6" t="s">
        <v>119</v>
      </c>
      <c r="B45" s="6" t="s">
        <v>876</v>
      </c>
      <c r="C45" s="6" t="s">
        <v>875</v>
      </c>
      <c r="D45" s="6" t="n">
        <v>2</v>
      </c>
      <c r="E45" s="6" t="n">
        <f aca="false">D45+1</f>
        <v>3</v>
      </c>
      <c r="F45" s="6" t="n">
        <v>2</v>
      </c>
      <c r="G45" s="17" t="n">
        <f aca="false">Parametry!$C$12</f>
        <v>6</v>
      </c>
      <c r="H45" s="6" t="n">
        <f aca="false">ROUNDDOWN(Parametry!$C$9*Parametry!$C$10^(F45-1),0)</f>
        <v>66</v>
      </c>
      <c r="I45" s="6" t="n">
        <f aca="false">ROUNDUP((0)*Parametry!$C$15,0)</f>
        <v>0</v>
      </c>
      <c r="J45" s="6" t="n">
        <f aca="false">ROUNDUP((Parametry!$C$16*Parametry!$C$17*D45)*Parametry!$C$15,0)</f>
        <v>159</v>
      </c>
      <c r="K45" s="6" t="n">
        <f aca="false">ROUNDUP((Parametry!$C$16*Parametry!$C$18*D45+Parametry!$C$16*Parametry!$C$19*D45)*Parametry!$C$15,0)</f>
        <v>423</v>
      </c>
      <c r="L45" s="6" t="n">
        <f aca="false">ROUNDUP((0)*Parametry!$C$15,0)</f>
        <v>0</v>
      </c>
      <c r="M45" s="6" t="n">
        <f aca="false">ROUNDUP((0)*Parametry!$C$15,0)</f>
        <v>0</v>
      </c>
      <c r="N45" s="6" t="n">
        <f aca="false">ROUNDUP((0)*Parametry!$C$15,0)</f>
        <v>0</v>
      </c>
      <c r="O45" s="6" t="n">
        <f aca="false">ROUNDUP(J45/H45,0)</f>
        <v>3</v>
      </c>
      <c r="P45" s="6" t="n">
        <f aca="false">ROUNDUP(K45/H45,0)</f>
        <v>7</v>
      </c>
      <c r="Q45" s="6" t="n">
        <f aca="false">ROUNDUP(L45/H45,0)</f>
        <v>0</v>
      </c>
      <c r="R45" s="6" t="n">
        <f aca="false">ROUNDUP(M45/H45,0)</f>
        <v>0</v>
      </c>
      <c r="S45" s="6" t="n">
        <f aca="false">ROUNDUP(N45/H45,0)</f>
        <v>0</v>
      </c>
      <c r="T45" s="6" t="n">
        <f aca="false">SUM(O45:S45)</f>
        <v>10</v>
      </c>
      <c r="U45" s="6" t="n">
        <f aca="false">ROUNDUP(T45/G45,0)</f>
        <v>2</v>
      </c>
      <c r="V45" s="6" t="n">
        <f aca="false">U45*Parametry!$C$11</f>
        <v>10</v>
      </c>
      <c r="W45" s="6" t="n">
        <f aca="false">2</f>
        <v>2</v>
      </c>
      <c r="X45" s="6" t="n">
        <f aca="false">V45*(W45-1)</f>
        <v>10</v>
      </c>
      <c r="Y45" s="6" t="n">
        <f aca="false">V45*W45</f>
        <v>20</v>
      </c>
      <c r="Z45" s="6" t="n">
        <f aca="false">SUM(J45:N45)</f>
        <v>582</v>
      </c>
      <c r="AA45" s="6" t="s">
        <v>874</v>
      </c>
    </row>
    <row r="46" customFormat="false" ht="69.75" hidden="false" customHeight="true" outlineLevel="0" collapsed="false">
      <c r="A46" s="5" t="s">
        <v>119</v>
      </c>
      <c r="B46" s="5" t="s">
        <v>877</v>
      </c>
      <c r="C46" s="5" t="s">
        <v>873</v>
      </c>
      <c r="D46" s="5" t="n">
        <v>3</v>
      </c>
      <c r="E46" s="5" t="n">
        <f aca="false">D46+1</f>
        <v>4</v>
      </c>
      <c r="F46" s="5" t="n">
        <v>3</v>
      </c>
      <c r="G46" s="16" t="n">
        <f aca="false">Parametry!$C$12</f>
        <v>6</v>
      </c>
      <c r="H46" s="5" t="n">
        <f aca="false">ROUNDDOWN(Parametry!$C$9*Parametry!$C$10^(F46-1),0)</f>
        <v>72</v>
      </c>
      <c r="I46" s="5" t="n">
        <f aca="false">ROUNDUP((0)*1,0)</f>
        <v>0</v>
      </c>
      <c r="J46" s="5" t="n">
        <f aca="false">ROUNDUP((Parametry!$C$16*Parametry!$C$17*D46)*1,0)</f>
        <v>216</v>
      </c>
      <c r="K46" s="5" t="n">
        <f aca="false">ROUNDUP((Parametry!$C$16*Parametry!$C$18*D46+Parametry!$C$16*Parametry!$C$19*D46)*1,0)</f>
        <v>576</v>
      </c>
      <c r="L46" s="5" t="n">
        <f aca="false">ROUNDUP((0)*1,0)</f>
        <v>0</v>
      </c>
      <c r="M46" s="5" t="n">
        <f aca="false">ROUNDUP((0)*1,0)</f>
        <v>0</v>
      </c>
      <c r="N46" s="5" t="n">
        <f aca="false">ROUNDUP((0)*1,0)</f>
        <v>0</v>
      </c>
      <c r="O46" s="5" t="n">
        <f aca="false">ROUNDUP(J46/H46,0)</f>
        <v>3</v>
      </c>
      <c r="P46" s="5" t="n">
        <f aca="false">ROUNDUP(K46/H46,0)</f>
        <v>8</v>
      </c>
      <c r="Q46" s="5" t="n">
        <f aca="false">ROUNDUP(L46/H46,0)</f>
        <v>0</v>
      </c>
      <c r="R46" s="5" t="n">
        <f aca="false">ROUNDUP(M46/H46,0)</f>
        <v>0</v>
      </c>
      <c r="S46" s="5" t="n">
        <f aca="false">ROUNDUP(N46/H46,0)</f>
        <v>0</v>
      </c>
      <c r="T46" s="5" t="n">
        <f aca="false">SUM(O46:S46)</f>
        <v>11</v>
      </c>
      <c r="U46" s="5" t="n">
        <f aca="false">ROUNDUP(T46/G46,0)</f>
        <v>2</v>
      </c>
      <c r="V46" s="5" t="n">
        <f aca="false">U46*Parametry!$C$11</f>
        <v>10</v>
      </c>
      <c r="W46" s="5" t="n">
        <f aca="false">2</f>
        <v>2</v>
      </c>
      <c r="X46" s="5" t="n">
        <f aca="false">V46*(W46-1)</f>
        <v>10</v>
      </c>
      <c r="Y46" s="5" t="n">
        <f aca="false">V46*W46</f>
        <v>20</v>
      </c>
      <c r="Z46" s="5" t="n">
        <f aca="false">SUM(J46:N46)</f>
        <v>792</v>
      </c>
      <c r="AA46" s="5" t="s">
        <v>874</v>
      </c>
    </row>
    <row r="47" customFormat="false" ht="69.75" hidden="false" customHeight="true" outlineLevel="0" collapsed="false">
      <c r="A47" s="6" t="s">
        <v>119</v>
      </c>
      <c r="B47" s="6" t="s">
        <v>877</v>
      </c>
      <c r="C47" s="6" t="s">
        <v>875</v>
      </c>
      <c r="D47" s="6" t="n">
        <v>3</v>
      </c>
      <c r="E47" s="6" t="n">
        <f aca="false">D47+1</f>
        <v>4</v>
      </c>
      <c r="F47" s="6" t="n">
        <v>3</v>
      </c>
      <c r="G47" s="17" t="n">
        <f aca="false">Parametry!$C$12</f>
        <v>6</v>
      </c>
      <c r="H47" s="6" t="n">
        <f aca="false">ROUNDDOWN(Parametry!$C$9*Parametry!$C$10^(F47-1),0)</f>
        <v>72</v>
      </c>
      <c r="I47" s="6" t="n">
        <f aca="false">ROUNDUP((0)*Parametry!$C$15,0)</f>
        <v>0</v>
      </c>
      <c r="J47" s="6" t="n">
        <f aca="false">ROUNDUP((Parametry!$C$16*Parametry!$C$17*D47)*Parametry!$C$15,0)</f>
        <v>238</v>
      </c>
      <c r="K47" s="6" t="n">
        <f aca="false">ROUNDUP((Parametry!$C$16*Parametry!$C$18*D47+Parametry!$C$16*Parametry!$C$19*D47)*Parametry!$C$15,0)</f>
        <v>634</v>
      </c>
      <c r="L47" s="6" t="n">
        <f aca="false">ROUNDUP((0)*Parametry!$C$15,0)</f>
        <v>0</v>
      </c>
      <c r="M47" s="6" t="n">
        <f aca="false">ROUNDUP((0)*Parametry!$C$15,0)</f>
        <v>0</v>
      </c>
      <c r="N47" s="6" t="n">
        <f aca="false">ROUNDUP((0)*Parametry!$C$15,0)</f>
        <v>0</v>
      </c>
      <c r="O47" s="6" t="n">
        <f aca="false">ROUNDUP(J47/H47,0)</f>
        <v>4</v>
      </c>
      <c r="P47" s="6" t="n">
        <f aca="false">ROUNDUP(K47/H47,0)</f>
        <v>9</v>
      </c>
      <c r="Q47" s="6" t="n">
        <f aca="false">ROUNDUP(L47/H47,0)</f>
        <v>0</v>
      </c>
      <c r="R47" s="6" t="n">
        <f aca="false">ROUNDUP(M47/H47,0)</f>
        <v>0</v>
      </c>
      <c r="S47" s="6" t="n">
        <f aca="false">ROUNDUP(N47/H47,0)</f>
        <v>0</v>
      </c>
      <c r="T47" s="6" t="n">
        <f aca="false">SUM(O47:S47)</f>
        <v>13</v>
      </c>
      <c r="U47" s="6" t="n">
        <f aca="false">ROUNDUP(T47/G47,0)</f>
        <v>3</v>
      </c>
      <c r="V47" s="6" t="n">
        <f aca="false">U47*Parametry!$C$11</f>
        <v>15</v>
      </c>
      <c r="W47" s="6" t="n">
        <f aca="false">2</f>
        <v>2</v>
      </c>
      <c r="X47" s="6" t="n">
        <f aca="false">V47*(W47-1)</f>
        <v>15</v>
      </c>
      <c r="Y47" s="6" t="n">
        <f aca="false">V47*W47</f>
        <v>30</v>
      </c>
      <c r="Z47" s="6" t="n">
        <f aca="false">SUM(J47:N47)</f>
        <v>872</v>
      </c>
      <c r="AA47" s="6" t="s">
        <v>874</v>
      </c>
    </row>
    <row r="48" customFormat="false" ht="69.75" hidden="false" customHeight="true" outlineLevel="0" collapsed="false">
      <c r="A48" s="5" t="s">
        <v>123</v>
      </c>
      <c r="B48" s="5" t="s">
        <v>872</v>
      </c>
      <c r="C48" s="5" t="s">
        <v>873</v>
      </c>
      <c r="D48" s="5" t="n">
        <v>1</v>
      </c>
      <c r="E48" s="5" t="n">
        <f aca="false">D48+1</f>
        <v>2</v>
      </c>
      <c r="F48" s="5" t="n">
        <v>1</v>
      </c>
      <c r="G48" s="16" t="n">
        <f aca="false">Parametry!$C$12</f>
        <v>6</v>
      </c>
      <c r="H48" s="5" t="n">
        <f aca="false">ROUNDDOWN(Parametry!$C$9*Parametry!$C$10^(F48-1),0)</f>
        <v>60</v>
      </c>
      <c r="I48" s="5" t="n">
        <f aca="false">ROUNDUP((Parametry!$C$21*MAX(1,D48))*1,0)</f>
        <v>300</v>
      </c>
      <c r="J48" s="5" t="n">
        <f aca="false">ROUNDUP((Parametry!$C$21*MAX(1,D48))*1,0)</f>
        <v>300</v>
      </c>
      <c r="K48" s="5" t="n">
        <f aca="false">ROUNDUP((Parametry!$C$21*MAX(1,D48))*1,0)</f>
        <v>300</v>
      </c>
      <c r="L48" s="5" t="n">
        <f aca="false">ROUNDUP((Parametry!$C$21*MAX(1,D48))*1,0)</f>
        <v>300</v>
      </c>
      <c r="M48" s="5" t="n">
        <f aca="false">ROUNDUP((Parametry!$C$21*MAX(1,D48))*1,0)</f>
        <v>300</v>
      </c>
      <c r="N48" s="5" t="n">
        <f aca="false">ROUNDUP((Parametry!$C$21*MAX(1,D48))*1,0)</f>
        <v>300</v>
      </c>
      <c r="O48" s="5" t="n">
        <f aca="false">ROUNDUP(J48/H48,0)</f>
        <v>5</v>
      </c>
      <c r="P48" s="5" t="n">
        <f aca="false">ROUNDUP(K48/H48,0)</f>
        <v>5</v>
      </c>
      <c r="Q48" s="5" t="n">
        <f aca="false">ROUNDUP(L48/H48,0)</f>
        <v>5</v>
      </c>
      <c r="R48" s="5" t="n">
        <f aca="false">ROUNDUP(M48/H48,0)</f>
        <v>5</v>
      </c>
      <c r="S48" s="5" t="n">
        <f aca="false">ROUNDUP(N48/H48,0)</f>
        <v>5</v>
      </c>
      <c r="T48" s="5" t="n">
        <f aca="false">SUM(O48:S48)</f>
        <v>25</v>
      </c>
      <c r="U48" s="5" t="n">
        <f aca="false">ROUNDUP(T48/G48,0)</f>
        <v>5</v>
      </c>
      <c r="V48" s="5" t="n">
        <f aca="false">U48*Parametry!$C$11</f>
        <v>25</v>
      </c>
      <c r="W48" s="5" t="n">
        <f aca="false">2</f>
        <v>2</v>
      </c>
      <c r="X48" s="5" t="n">
        <f aca="false">V48*(W48-1)</f>
        <v>25</v>
      </c>
      <c r="Y48" s="5" t="n">
        <f aca="false">V48*W48</f>
        <v>50</v>
      </c>
      <c r="Z48" s="5" t="n">
        <f aca="false">SUM(J48:N48)</f>
        <v>1500</v>
      </c>
      <c r="AA48" s="5" t="s">
        <v>874</v>
      </c>
    </row>
    <row r="49" customFormat="false" ht="69.75" hidden="false" customHeight="true" outlineLevel="0" collapsed="false">
      <c r="A49" s="6" t="s">
        <v>123</v>
      </c>
      <c r="B49" s="6" t="s">
        <v>872</v>
      </c>
      <c r="C49" s="6" t="s">
        <v>875</v>
      </c>
      <c r="D49" s="6" t="n">
        <v>1</v>
      </c>
      <c r="E49" s="6" t="n">
        <f aca="false">D49+1</f>
        <v>2</v>
      </c>
      <c r="F49" s="6" t="n">
        <v>1</v>
      </c>
      <c r="G49" s="17" t="n">
        <f aca="false">Parametry!$C$12</f>
        <v>6</v>
      </c>
      <c r="H49" s="6" t="n">
        <f aca="false">ROUNDDOWN(Parametry!$C$9*Parametry!$C$10^(F49-1),0)</f>
        <v>60</v>
      </c>
      <c r="I49" s="6" t="n">
        <f aca="false">ROUNDUP((Parametry!$C$21*MAX(1,D49))*Parametry!$C$15,0)</f>
        <v>330</v>
      </c>
      <c r="J49" s="6" t="n">
        <f aca="false">ROUNDUP((Parametry!$C$21*MAX(1,D49))*Parametry!$C$15,0)</f>
        <v>330</v>
      </c>
      <c r="K49" s="6" t="n">
        <f aca="false">ROUNDUP((Parametry!$C$21*MAX(1,D49))*Parametry!$C$15,0)</f>
        <v>330</v>
      </c>
      <c r="L49" s="6" t="n">
        <f aca="false">ROUNDUP((Parametry!$C$21*MAX(1,D49))*Parametry!$C$15,0)</f>
        <v>330</v>
      </c>
      <c r="M49" s="6" t="n">
        <f aca="false">ROUNDUP((Parametry!$C$21*MAX(1,D49))*Parametry!$C$15,0)</f>
        <v>330</v>
      </c>
      <c r="N49" s="6" t="n">
        <f aca="false">ROUNDUP((Parametry!$C$21*MAX(1,D49))*Parametry!$C$15,0)</f>
        <v>330</v>
      </c>
      <c r="O49" s="6" t="n">
        <f aca="false">ROUNDUP(J49/H49,0)</f>
        <v>6</v>
      </c>
      <c r="P49" s="6" t="n">
        <f aca="false">ROUNDUP(K49/H49,0)</f>
        <v>6</v>
      </c>
      <c r="Q49" s="6" t="n">
        <f aca="false">ROUNDUP(L49/H49,0)</f>
        <v>6</v>
      </c>
      <c r="R49" s="6" t="n">
        <f aca="false">ROUNDUP(M49/H49,0)</f>
        <v>6</v>
      </c>
      <c r="S49" s="6" t="n">
        <f aca="false">ROUNDUP(N49/H49,0)</f>
        <v>6</v>
      </c>
      <c r="T49" s="6" t="n">
        <f aca="false">SUM(O49:S49)</f>
        <v>30</v>
      </c>
      <c r="U49" s="6" t="n">
        <f aca="false">ROUNDUP(T49/G49,0)</f>
        <v>5</v>
      </c>
      <c r="V49" s="6" t="n">
        <f aca="false">U49*Parametry!$C$11</f>
        <v>25</v>
      </c>
      <c r="W49" s="6" t="n">
        <f aca="false">2</f>
        <v>2</v>
      </c>
      <c r="X49" s="6" t="n">
        <f aca="false">V49*(W49-1)</f>
        <v>25</v>
      </c>
      <c r="Y49" s="6" t="n">
        <f aca="false">V49*W49</f>
        <v>50</v>
      </c>
      <c r="Z49" s="6" t="n">
        <f aca="false">SUM(J49:N49)</f>
        <v>1650</v>
      </c>
      <c r="AA49" s="6" t="s">
        <v>874</v>
      </c>
    </row>
    <row r="50" customFormat="false" ht="69.75" hidden="false" customHeight="true" outlineLevel="0" collapsed="false">
      <c r="A50" s="5" t="s">
        <v>123</v>
      </c>
      <c r="B50" s="5" t="s">
        <v>876</v>
      </c>
      <c r="C50" s="5" t="s">
        <v>873</v>
      </c>
      <c r="D50" s="5" t="n">
        <v>2</v>
      </c>
      <c r="E50" s="5" t="n">
        <f aca="false">D50+1</f>
        <v>3</v>
      </c>
      <c r="F50" s="5" t="n">
        <v>2</v>
      </c>
      <c r="G50" s="16" t="n">
        <f aca="false">Parametry!$C$12</f>
        <v>6</v>
      </c>
      <c r="H50" s="5" t="n">
        <f aca="false">ROUNDDOWN(Parametry!$C$9*Parametry!$C$10^(F50-1),0)</f>
        <v>66</v>
      </c>
      <c r="I50" s="5" t="n">
        <f aca="false">ROUNDUP((Parametry!$C$21*MAX(1,D50))*1,0)</f>
        <v>600</v>
      </c>
      <c r="J50" s="5" t="n">
        <f aca="false">ROUNDUP((Parametry!$C$21*MAX(1,D50))*1,0)</f>
        <v>600</v>
      </c>
      <c r="K50" s="5" t="n">
        <f aca="false">ROUNDUP((Parametry!$C$21*MAX(1,D50))*1,0)</f>
        <v>600</v>
      </c>
      <c r="L50" s="5" t="n">
        <f aca="false">ROUNDUP((Parametry!$C$21*MAX(1,D50))*1,0)</f>
        <v>600</v>
      </c>
      <c r="M50" s="5" t="n">
        <f aca="false">ROUNDUP((Parametry!$C$21*MAX(1,D50))*1,0)</f>
        <v>600</v>
      </c>
      <c r="N50" s="5" t="n">
        <f aca="false">ROUNDUP((Parametry!$C$21*MAX(1,D50))*1,0)</f>
        <v>600</v>
      </c>
      <c r="O50" s="5" t="n">
        <f aca="false">ROUNDUP(J50/H50,0)</f>
        <v>10</v>
      </c>
      <c r="P50" s="5" t="n">
        <f aca="false">ROUNDUP(K50/H50,0)</f>
        <v>10</v>
      </c>
      <c r="Q50" s="5" t="n">
        <f aca="false">ROUNDUP(L50/H50,0)</f>
        <v>10</v>
      </c>
      <c r="R50" s="5" t="n">
        <f aca="false">ROUNDUP(M50/H50,0)</f>
        <v>10</v>
      </c>
      <c r="S50" s="5" t="n">
        <f aca="false">ROUNDUP(N50/H50,0)</f>
        <v>10</v>
      </c>
      <c r="T50" s="5" t="n">
        <f aca="false">SUM(O50:S50)</f>
        <v>50</v>
      </c>
      <c r="U50" s="5" t="n">
        <f aca="false">ROUNDUP(T50/G50,0)</f>
        <v>9</v>
      </c>
      <c r="V50" s="5" t="n">
        <f aca="false">U50*Parametry!$C$11</f>
        <v>45</v>
      </c>
      <c r="W50" s="5" t="n">
        <f aca="false">2</f>
        <v>2</v>
      </c>
      <c r="X50" s="5" t="n">
        <f aca="false">V50*(W50-1)</f>
        <v>45</v>
      </c>
      <c r="Y50" s="5" t="n">
        <f aca="false">V50*W50</f>
        <v>90</v>
      </c>
      <c r="Z50" s="5" t="n">
        <f aca="false">SUM(J50:N50)</f>
        <v>3000</v>
      </c>
      <c r="AA50" s="5" t="s">
        <v>874</v>
      </c>
    </row>
    <row r="51" customFormat="false" ht="69.75" hidden="false" customHeight="true" outlineLevel="0" collapsed="false">
      <c r="A51" s="6" t="s">
        <v>123</v>
      </c>
      <c r="B51" s="6" t="s">
        <v>876</v>
      </c>
      <c r="C51" s="6" t="s">
        <v>875</v>
      </c>
      <c r="D51" s="6" t="n">
        <v>2</v>
      </c>
      <c r="E51" s="6" t="n">
        <f aca="false">D51+1</f>
        <v>3</v>
      </c>
      <c r="F51" s="6" t="n">
        <v>2</v>
      </c>
      <c r="G51" s="17" t="n">
        <f aca="false">Parametry!$C$12</f>
        <v>6</v>
      </c>
      <c r="H51" s="6" t="n">
        <f aca="false">ROUNDDOWN(Parametry!$C$9*Parametry!$C$10^(F51-1),0)</f>
        <v>66</v>
      </c>
      <c r="I51" s="6" t="n">
        <f aca="false">ROUNDUP((Parametry!$C$21*MAX(1,D51))*Parametry!$C$15,0)</f>
        <v>660</v>
      </c>
      <c r="J51" s="6" t="n">
        <f aca="false">ROUNDUP((Parametry!$C$21*MAX(1,D51))*Parametry!$C$15,0)</f>
        <v>660</v>
      </c>
      <c r="K51" s="6" t="n">
        <f aca="false">ROUNDUP((Parametry!$C$21*MAX(1,D51))*Parametry!$C$15,0)</f>
        <v>660</v>
      </c>
      <c r="L51" s="6" t="n">
        <f aca="false">ROUNDUP((Parametry!$C$21*MAX(1,D51))*Parametry!$C$15,0)</f>
        <v>660</v>
      </c>
      <c r="M51" s="6" t="n">
        <f aca="false">ROUNDUP((Parametry!$C$21*MAX(1,D51))*Parametry!$C$15,0)</f>
        <v>660</v>
      </c>
      <c r="N51" s="6" t="n">
        <f aca="false">ROUNDUP((Parametry!$C$21*MAX(1,D51))*Parametry!$C$15,0)</f>
        <v>660</v>
      </c>
      <c r="O51" s="6" t="n">
        <f aca="false">ROUNDUP(J51/H51,0)</f>
        <v>10</v>
      </c>
      <c r="P51" s="6" t="n">
        <f aca="false">ROUNDUP(K51/H51,0)</f>
        <v>10</v>
      </c>
      <c r="Q51" s="6" t="n">
        <f aca="false">ROUNDUP(L51/H51,0)</f>
        <v>10</v>
      </c>
      <c r="R51" s="6" t="n">
        <f aca="false">ROUNDUP(M51/H51,0)</f>
        <v>10</v>
      </c>
      <c r="S51" s="6" t="n">
        <f aca="false">ROUNDUP(N51/H51,0)</f>
        <v>10</v>
      </c>
      <c r="T51" s="6" t="n">
        <f aca="false">SUM(O51:S51)</f>
        <v>50</v>
      </c>
      <c r="U51" s="6" t="n">
        <f aca="false">ROUNDUP(T51/G51,0)</f>
        <v>9</v>
      </c>
      <c r="V51" s="6" t="n">
        <f aca="false">U51*Parametry!$C$11</f>
        <v>45</v>
      </c>
      <c r="W51" s="6" t="n">
        <f aca="false">2</f>
        <v>2</v>
      </c>
      <c r="X51" s="6" t="n">
        <f aca="false">V51*(W51-1)</f>
        <v>45</v>
      </c>
      <c r="Y51" s="6" t="n">
        <f aca="false">V51*W51</f>
        <v>90</v>
      </c>
      <c r="Z51" s="6" t="n">
        <f aca="false">SUM(J51:N51)</f>
        <v>3300</v>
      </c>
      <c r="AA51" s="6" t="s">
        <v>874</v>
      </c>
    </row>
    <row r="52" customFormat="false" ht="69.75" hidden="false" customHeight="true" outlineLevel="0" collapsed="false">
      <c r="A52" s="5" t="s">
        <v>123</v>
      </c>
      <c r="B52" s="5" t="s">
        <v>877</v>
      </c>
      <c r="C52" s="5" t="s">
        <v>873</v>
      </c>
      <c r="D52" s="5" t="n">
        <v>3</v>
      </c>
      <c r="E52" s="5" t="n">
        <f aca="false">D52+1</f>
        <v>4</v>
      </c>
      <c r="F52" s="5" t="n">
        <v>3</v>
      </c>
      <c r="G52" s="16" t="n">
        <f aca="false">Parametry!$C$12</f>
        <v>6</v>
      </c>
      <c r="H52" s="5" t="n">
        <f aca="false">ROUNDDOWN(Parametry!$C$9*Parametry!$C$10^(F52-1),0)</f>
        <v>72</v>
      </c>
      <c r="I52" s="5" t="n">
        <f aca="false">ROUNDUP((Parametry!$C$21*MAX(1,D52))*1,0)</f>
        <v>900</v>
      </c>
      <c r="J52" s="5" t="n">
        <f aca="false">ROUNDUP((Parametry!$C$21*MAX(1,D52))*1,0)</f>
        <v>900</v>
      </c>
      <c r="K52" s="5" t="n">
        <f aca="false">ROUNDUP((Parametry!$C$21*MAX(1,D52))*1,0)</f>
        <v>900</v>
      </c>
      <c r="L52" s="5" t="n">
        <f aca="false">ROUNDUP((Parametry!$C$21*MAX(1,D52))*1,0)</f>
        <v>900</v>
      </c>
      <c r="M52" s="5" t="n">
        <f aca="false">ROUNDUP((Parametry!$C$21*MAX(1,D52))*1,0)</f>
        <v>900</v>
      </c>
      <c r="N52" s="5" t="n">
        <f aca="false">ROUNDUP((Parametry!$C$21*MAX(1,D52))*1,0)</f>
        <v>900</v>
      </c>
      <c r="O52" s="5" t="n">
        <f aca="false">ROUNDUP(J52/H52,0)</f>
        <v>13</v>
      </c>
      <c r="P52" s="5" t="n">
        <f aca="false">ROUNDUP(K52/H52,0)</f>
        <v>13</v>
      </c>
      <c r="Q52" s="5" t="n">
        <f aca="false">ROUNDUP(L52/H52,0)</f>
        <v>13</v>
      </c>
      <c r="R52" s="5" t="n">
        <f aca="false">ROUNDUP(M52/H52,0)</f>
        <v>13</v>
      </c>
      <c r="S52" s="5" t="n">
        <f aca="false">ROUNDUP(N52/H52,0)</f>
        <v>13</v>
      </c>
      <c r="T52" s="5" t="n">
        <f aca="false">SUM(O52:S52)</f>
        <v>65</v>
      </c>
      <c r="U52" s="5" t="n">
        <f aca="false">ROUNDUP(T52/G52,0)</f>
        <v>11</v>
      </c>
      <c r="V52" s="5" t="n">
        <f aca="false">U52*Parametry!$C$11</f>
        <v>55</v>
      </c>
      <c r="W52" s="5" t="n">
        <f aca="false">2</f>
        <v>2</v>
      </c>
      <c r="X52" s="5" t="n">
        <f aca="false">V52*(W52-1)</f>
        <v>55</v>
      </c>
      <c r="Y52" s="5" t="n">
        <f aca="false">V52*W52</f>
        <v>110</v>
      </c>
      <c r="Z52" s="5" t="n">
        <f aca="false">SUM(J52:N52)</f>
        <v>4500</v>
      </c>
      <c r="AA52" s="5" t="s">
        <v>874</v>
      </c>
    </row>
    <row r="53" customFormat="false" ht="69.75" hidden="false" customHeight="true" outlineLevel="0" collapsed="false">
      <c r="A53" s="6" t="s">
        <v>123</v>
      </c>
      <c r="B53" s="6" t="s">
        <v>877</v>
      </c>
      <c r="C53" s="6" t="s">
        <v>875</v>
      </c>
      <c r="D53" s="6" t="n">
        <v>3</v>
      </c>
      <c r="E53" s="6" t="n">
        <f aca="false">D53+1</f>
        <v>4</v>
      </c>
      <c r="F53" s="6" t="n">
        <v>3</v>
      </c>
      <c r="G53" s="17" t="n">
        <f aca="false">Parametry!$C$12</f>
        <v>6</v>
      </c>
      <c r="H53" s="6" t="n">
        <f aca="false">ROUNDDOWN(Parametry!$C$9*Parametry!$C$10^(F53-1),0)</f>
        <v>72</v>
      </c>
      <c r="I53" s="6" t="n">
        <f aca="false">ROUNDUP((Parametry!$C$21*MAX(1,D53))*Parametry!$C$15,0)</f>
        <v>990</v>
      </c>
      <c r="J53" s="6" t="n">
        <f aca="false">ROUNDUP((Parametry!$C$21*MAX(1,D53))*Parametry!$C$15,0)</f>
        <v>990</v>
      </c>
      <c r="K53" s="6" t="n">
        <f aca="false">ROUNDUP((Parametry!$C$21*MAX(1,D53))*Parametry!$C$15,0)</f>
        <v>990</v>
      </c>
      <c r="L53" s="6" t="n">
        <f aca="false">ROUNDUP((Parametry!$C$21*MAX(1,D53))*Parametry!$C$15,0)</f>
        <v>990</v>
      </c>
      <c r="M53" s="6" t="n">
        <f aca="false">ROUNDUP((Parametry!$C$21*MAX(1,D53))*Parametry!$C$15,0)</f>
        <v>990</v>
      </c>
      <c r="N53" s="6" t="n">
        <f aca="false">ROUNDUP((Parametry!$C$21*MAX(1,D53))*Parametry!$C$15,0)</f>
        <v>990</v>
      </c>
      <c r="O53" s="6" t="n">
        <f aca="false">ROUNDUP(J53/H53,0)</f>
        <v>14</v>
      </c>
      <c r="P53" s="6" t="n">
        <f aca="false">ROUNDUP(K53/H53,0)</f>
        <v>14</v>
      </c>
      <c r="Q53" s="6" t="n">
        <f aca="false">ROUNDUP(L53/H53,0)</f>
        <v>14</v>
      </c>
      <c r="R53" s="6" t="n">
        <f aca="false">ROUNDUP(M53/H53,0)</f>
        <v>14</v>
      </c>
      <c r="S53" s="6" t="n">
        <f aca="false">ROUNDUP(N53/H53,0)</f>
        <v>14</v>
      </c>
      <c r="T53" s="6" t="n">
        <f aca="false">SUM(O53:S53)</f>
        <v>70</v>
      </c>
      <c r="U53" s="6" t="n">
        <f aca="false">ROUNDUP(T53/G53,0)</f>
        <v>12</v>
      </c>
      <c r="V53" s="6" t="n">
        <f aca="false">U53*Parametry!$C$11</f>
        <v>60</v>
      </c>
      <c r="W53" s="6" t="n">
        <f aca="false">2</f>
        <v>2</v>
      </c>
      <c r="X53" s="6" t="n">
        <f aca="false">V53*(W53-1)</f>
        <v>60</v>
      </c>
      <c r="Y53" s="6" t="n">
        <f aca="false">V53*W53</f>
        <v>120</v>
      </c>
      <c r="Z53" s="6" t="n">
        <f aca="false">SUM(J53:N53)</f>
        <v>4950</v>
      </c>
      <c r="AA53" s="6" t="s">
        <v>874</v>
      </c>
    </row>
    <row r="54" customFormat="false" ht="69.75" hidden="false" customHeight="true" outlineLevel="0" collapsed="false">
      <c r="A54" s="5" t="s">
        <v>130</v>
      </c>
      <c r="B54" s="5" t="s">
        <v>872</v>
      </c>
      <c r="C54" s="5" t="s">
        <v>873</v>
      </c>
      <c r="D54" s="5" t="n">
        <v>1</v>
      </c>
      <c r="E54" s="5" t="n">
        <f aca="false">D54+1</f>
        <v>2</v>
      </c>
      <c r="F54" s="5" t="n">
        <v>1</v>
      </c>
      <c r="G54" s="16" t="n">
        <f aca="false">Parametry!$C$12</f>
        <v>6</v>
      </c>
      <c r="H54" s="5" t="n">
        <f aca="false">ROUNDDOWN(Parametry!$C$9*Parametry!$C$10^(F54-1),0)</f>
        <v>60</v>
      </c>
      <c r="I54" s="5" t="n">
        <f aca="false">ROUNDUP((Parametry!$C$21*MAX(1,D54))*1,0)</f>
        <v>300</v>
      </c>
      <c r="J54" s="5" t="n">
        <f aca="false">ROUNDUP((Parametry!$C$21*MAX(1,D54))*1,0)</f>
        <v>300</v>
      </c>
      <c r="K54" s="5" t="n">
        <f aca="false">ROUNDUP((Parametry!$C$21*MAX(1,D54))*1,0)</f>
        <v>300</v>
      </c>
      <c r="L54" s="5" t="n">
        <f aca="false">ROUNDUP((Parametry!$C$21*MAX(1,D54))*1,0)</f>
        <v>300</v>
      </c>
      <c r="M54" s="5" t="n">
        <f aca="false">ROUNDUP((Parametry!$C$21*MAX(1,D54))*1,0)</f>
        <v>300</v>
      </c>
      <c r="N54" s="5" t="n">
        <f aca="false">ROUNDUP((Parametry!$C$21*MAX(1,D54))*1,0)</f>
        <v>300</v>
      </c>
      <c r="O54" s="5" t="n">
        <f aca="false">ROUNDUP(J54/H54,0)</f>
        <v>5</v>
      </c>
      <c r="P54" s="5" t="n">
        <f aca="false">ROUNDUP(K54/H54,0)</f>
        <v>5</v>
      </c>
      <c r="Q54" s="5" t="n">
        <f aca="false">ROUNDUP(L54/H54,0)</f>
        <v>5</v>
      </c>
      <c r="R54" s="5" t="n">
        <f aca="false">ROUNDUP(M54/H54,0)</f>
        <v>5</v>
      </c>
      <c r="S54" s="5" t="n">
        <f aca="false">ROUNDUP(N54/H54,0)</f>
        <v>5</v>
      </c>
      <c r="T54" s="5" t="n">
        <f aca="false">SUM(O54:S54)</f>
        <v>25</v>
      </c>
      <c r="U54" s="5" t="n">
        <f aca="false">ROUNDUP(T54/G54,0)</f>
        <v>5</v>
      </c>
      <c r="V54" s="5" t="n">
        <f aca="false">U54*Parametry!$C$11</f>
        <v>25</v>
      </c>
      <c r="W54" s="5" t="n">
        <f aca="false">2</f>
        <v>2</v>
      </c>
      <c r="X54" s="5" t="n">
        <f aca="false">V54*(W54-1)</f>
        <v>25</v>
      </c>
      <c r="Y54" s="5" t="n">
        <f aca="false">V54*W54</f>
        <v>50</v>
      </c>
      <c r="Z54" s="5" t="n">
        <f aca="false">SUM(J54:N54)</f>
        <v>1500</v>
      </c>
      <c r="AA54" s="5" t="s">
        <v>874</v>
      </c>
    </row>
    <row r="55" customFormat="false" ht="69.75" hidden="false" customHeight="true" outlineLevel="0" collapsed="false">
      <c r="A55" s="6" t="s">
        <v>130</v>
      </c>
      <c r="B55" s="6" t="s">
        <v>872</v>
      </c>
      <c r="C55" s="6" t="s">
        <v>875</v>
      </c>
      <c r="D55" s="6" t="n">
        <v>1</v>
      </c>
      <c r="E55" s="6" t="n">
        <f aca="false">D55+1</f>
        <v>2</v>
      </c>
      <c r="F55" s="6" t="n">
        <v>1</v>
      </c>
      <c r="G55" s="17" t="n">
        <f aca="false">Parametry!$C$12</f>
        <v>6</v>
      </c>
      <c r="H55" s="6" t="n">
        <f aca="false">ROUNDDOWN(Parametry!$C$9*Parametry!$C$10^(F55-1),0)</f>
        <v>60</v>
      </c>
      <c r="I55" s="6" t="n">
        <f aca="false">ROUNDUP((Parametry!$C$21*MAX(1,D55))*Parametry!$C$15,0)</f>
        <v>330</v>
      </c>
      <c r="J55" s="6" t="n">
        <f aca="false">ROUNDUP((Parametry!$C$21*MAX(1,D55))*Parametry!$C$15,0)</f>
        <v>330</v>
      </c>
      <c r="K55" s="6" t="n">
        <f aca="false">ROUNDUP((Parametry!$C$21*MAX(1,D55))*Parametry!$C$15,0)</f>
        <v>330</v>
      </c>
      <c r="L55" s="6" t="n">
        <f aca="false">ROUNDUP((Parametry!$C$21*MAX(1,D55))*Parametry!$C$15,0)</f>
        <v>330</v>
      </c>
      <c r="M55" s="6" t="n">
        <f aca="false">ROUNDUP((Parametry!$C$21*MAX(1,D55))*Parametry!$C$15,0)</f>
        <v>330</v>
      </c>
      <c r="N55" s="6" t="n">
        <f aca="false">ROUNDUP((Parametry!$C$21*MAX(1,D55))*Parametry!$C$15,0)</f>
        <v>330</v>
      </c>
      <c r="O55" s="6" t="n">
        <f aca="false">ROUNDUP(J55/H55,0)</f>
        <v>6</v>
      </c>
      <c r="P55" s="6" t="n">
        <f aca="false">ROUNDUP(K55/H55,0)</f>
        <v>6</v>
      </c>
      <c r="Q55" s="6" t="n">
        <f aca="false">ROUNDUP(L55/H55,0)</f>
        <v>6</v>
      </c>
      <c r="R55" s="6" t="n">
        <f aca="false">ROUNDUP(M55/H55,0)</f>
        <v>6</v>
      </c>
      <c r="S55" s="6" t="n">
        <f aca="false">ROUNDUP(N55/H55,0)</f>
        <v>6</v>
      </c>
      <c r="T55" s="6" t="n">
        <f aca="false">SUM(O55:S55)</f>
        <v>30</v>
      </c>
      <c r="U55" s="6" t="n">
        <f aca="false">ROUNDUP(T55/G55,0)</f>
        <v>5</v>
      </c>
      <c r="V55" s="6" t="n">
        <f aca="false">U55*Parametry!$C$11</f>
        <v>25</v>
      </c>
      <c r="W55" s="6" t="n">
        <f aca="false">2</f>
        <v>2</v>
      </c>
      <c r="X55" s="6" t="n">
        <f aca="false">V55*(W55-1)</f>
        <v>25</v>
      </c>
      <c r="Y55" s="6" t="n">
        <f aca="false">V55*W55</f>
        <v>50</v>
      </c>
      <c r="Z55" s="6" t="n">
        <f aca="false">SUM(J55:N55)</f>
        <v>1650</v>
      </c>
      <c r="AA55" s="6" t="s">
        <v>874</v>
      </c>
    </row>
    <row r="56" customFormat="false" ht="69.75" hidden="false" customHeight="true" outlineLevel="0" collapsed="false">
      <c r="A56" s="5" t="s">
        <v>130</v>
      </c>
      <c r="B56" s="5" t="s">
        <v>876</v>
      </c>
      <c r="C56" s="5" t="s">
        <v>873</v>
      </c>
      <c r="D56" s="5" t="n">
        <v>2</v>
      </c>
      <c r="E56" s="5" t="n">
        <f aca="false">D56+1</f>
        <v>3</v>
      </c>
      <c r="F56" s="5" t="n">
        <v>2</v>
      </c>
      <c r="G56" s="16" t="n">
        <f aca="false">Parametry!$C$12</f>
        <v>6</v>
      </c>
      <c r="H56" s="5" t="n">
        <f aca="false">ROUNDDOWN(Parametry!$C$9*Parametry!$C$10^(F56-1),0)</f>
        <v>66</v>
      </c>
      <c r="I56" s="5" t="n">
        <f aca="false">ROUNDUP((Parametry!$C$21*MAX(1,D56))*1,0)</f>
        <v>600</v>
      </c>
      <c r="J56" s="5" t="n">
        <f aca="false">ROUNDUP((Parametry!$C$21*MAX(1,D56))*1,0)</f>
        <v>600</v>
      </c>
      <c r="K56" s="5" t="n">
        <f aca="false">ROUNDUP((Parametry!$C$21*MAX(1,D56))*1,0)</f>
        <v>600</v>
      </c>
      <c r="L56" s="5" t="n">
        <f aca="false">ROUNDUP((Parametry!$C$21*MAX(1,D56))*1,0)</f>
        <v>600</v>
      </c>
      <c r="M56" s="5" t="n">
        <f aca="false">ROUNDUP((Parametry!$C$21*MAX(1,D56))*1,0)</f>
        <v>600</v>
      </c>
      <c r="N56" s="5" t="n">
        <f aca="false">ROUNDUP((Parametry!$C$21*MAX(1,D56))*1,0)</f>
        <v>600</v>
      </c>
      <c r="O56" s="5" t="n">
        <f aca="false">ROUNDUP(J56/H56,0)</f>
        <v>10</v>
      </c>
      <c r="P56" s="5" t="n">
        <f aca="false">ROUNDUP(K56/H56,0)</f>
        <v>10</v>
      </c>
      <c r="Q56" s="5" t="n">
        <f aca="false">ROUNDUP(L56/H56,0)</f>
        <v>10</v>
      </c>
      <c r="R56" s="5" t="n">
        <f aca="false">ROUNDUP(M56/H56,0)</f>
        <v>10</v>
      </c>
      <c r="S56" s="5" t="n">
        <f aca="false">ROUNDUP(N56/H56,0)</f>
        <v>10</v>
      </c>
      <c r="T56" s="5" t="n">
        <f aca="false">SUM(O56:S56)</f>
        <v>50</v>
      </c>
      <c r="U56" s="5" t="n">
        <f aca="false">ROUNDUP(T56/G56,0)</f>
        <v>9</v>
      </c>
      <c r="V56" s="5" t="n">
        <f aca="false">U56*Parametry!$C$11</f>
        <v>45</v>
      </c>
      <c r="W56" s="5" t="n">
        <f aca="false">2</f>
        <v>2</v>
      </c>
      <c r="X56" s="5" t="n">
        <f aca="false">V56*(W56-1)</f>
        <v>45</v>
      </c>
      <c r="Y56" s="5" t="n">
        <f aca="false">V56*W56</f>
        <v>90</v>
      </c>
      <c r="Z56" s="5" t="n">
        <f aca="false">SUM(J56:N56)</f>
        <v>3000</v>
      </c>
      <c r="AA56" s="5" t="s">
        <v>874</v>
      </c>
    </row>
    <row r="57" customFormat="false" ht="69.75" hidden="false" customHeight="true" outlineLevel="0" collapsed="false">
      <c r="A57" s="6" t="s">
        <v>130</v>
      </c>
      <c r="B57" s="6" t="s">
        <v>876</v>
      </c>
      <c r="C57" s="6" t="s">
        <v>875</v>
      </c>
      <c r="D57" s="6" t="n">
        <v>2</v>
      </c>
      <c r="E57" s="6" t="n">
        <f aca="false">D57+1</f>
        <v>3</v>
      </c>
      <c r="F57" s="6" t="n">
        <v>2</v>
      </c>
      <c r="G57" s="17" t="n">
        <f aca="false">Parametry!$C$12</f>
        <v>6</v>
      </c>
      <c r="H57" s="6" t="n">
        <f aca="false">ROUNDDOWN(Parametry!$C$9*Parametry!$C$10^(F57-1),0)</f>
        <v>66</v>
      </c>
      <c r="I57" s="6" t="n">
        <f aca="false">ROUNDUP((Parametry!$C$21*MAX(1,D57))*Parametry!$C$15,0)</f>
        <v>660</v>
      </c>
      <c r="J57" s="6" t="n">
        <f aca="false">ROUNDUP((Parametry!$C$21*MAX(1,D57))*Parametry!$C$15,0)</f>
        <v>660</v>
      </c>
      <c r="K57" s="6" t="n">
        <f aca="false">ROUNDUP((Parametry!$C$21*MAX(1,D57))*Parametry!$C$15,0)</f>
        <v>660</v>
      </c>
      <c r="L57" s="6" t="n">
        <f aca="false">ROUNDUP((Parametry!$C$21*MAX(1,D57))*Parametry!$C$15,0)</f>
        <v>660</v>
      </c>
      <c r="M57" s="6" t="n">
        <f aca="false">ROUNDUP((Parametry!$C$21*MAX(1,D57))*Parametry!$C$15,0)</f>
        <v>660</v>
      </c>
      <c r="N57" s="6" t="n">
        <f aca="false">ROUNDUP((Parametry!$C$21*MAX(1,D57))*Parametry!$C$15,0)</f>
        <v>660</v>
      </c>
      <c r="O57" s="6" t="n">
        <f aca="false">ROUNDUP(J57/H57,0)</f>
        <v>10</v>
      </c>
      <c r="P57" s="6" t="n">
        <f aca="false">ROUNDUP(K57/H57,0)</f>
        <v>10</v>
      </c>
      <c r="Q57" s="6" t="n">
        <f aca="false">ROUNDUP(L57/H57,0)</f>
        <v>10</v>
      </c>
      <c r="R57" s="6" t="n">
        <f aca="false">ROUNDUP(M57/H57,0)</f>
        <v>10</v>
      </c>
      <c r="S57" s="6" t="n">
        <f aca="false">ROUNDUP(N57/H57,0)</f>
        <v>10</v>
      </c>
      <c r="T57" s="6" t="n">
        <f aca="false">SUM(O57:S57)</f>
        <v>50</v>
      </c>
      <c r="U57" s="6" t="n">
        <f aca="false">ROUNDUP(T57/G57,0)</f>
        <v>9</v>
      </c>
      <c r="V57" s="6" t="n">
        <f aca="false">U57*Parametry!$C$11</f>
        <v>45</v>
      </c>
      <c r="W57" s="6" t="n">
        <f aca="false">2</f>
        <v>2</v>
      </c>
      <c r="X57" s="6" t="n">
        <f aca="false">V57*(W57-1)</f>
        <v>45</v>
      </c>
      <c r="Y57" s="6" t="n">
        <f aca="false">V57*W57</f>
        <v>90</v>
      </c>
      <c r="Z57" s="6" t="n">
        <f aca="false">SUM(J57:N57)</f>
        <v>3300</v>
      </c>
      <c r="AA57" s="6" t="s">
        <v>874</v>
      </c>
    </row>
    <row r="58" customFormat="false" ht="69.75" hidden="false" customHeight="true" outlineLevel="0" collapsed="false">
      <c r="A58" s="5" t="s">
        <v>130</v>
      </c>
      <c r="B58" s="5" t="s">
        <v>877</v>
      </c>
      <c r="C58" s="5" t="s">
        <v>873</v>
      </c>
      <c r="D58" s="5" t="n">
        <v>3</v>
      </c>
      <c r="E58" s="5" t="n">
        <f aca="false">D58+1</f>
        <v>4</v>
      </c>
      <c r="F58" s="5" t="n">
        <v>3</v>
      </c>
      <c r="G58" s="16" t="n">
        <f aca="false">Parametry!$C$12</f>
        <v>6</v>
      </c>
      <c r="H58" s="5" t="n">
        <f aca="false">ROUNDDOWN(Parametry!$C$9*Parametry!$C$10^(F58-1),0)</f>
        <v>72</v>
      </c>
      <c r="I58" s="5" t="n">
        <f aca="false">ROUNDUP((Parametry!$C$21*MAX(1,D58))*1,0)</f>
        <v>900</v>
      </c>
      <c r="J58" s="5" t="n">
        <f aca="false">ROUNDUP((Parametry!$C$21*MAX(1,D58))*1,0)</f>
        <v>900</v>
      </c>
      <c r="K58" s="5" t="n">
        <f aca="false">ROUNDUP((Parametry!$C$21*MAX(1,D58))*1,0)</f>
        <v>900</v>
      </c>
      <c r="L58" s="5" t="n">
        <f aca="false">ROUNDUP((Parametry!$C$21*MAX(1,D58))*1,0)</f>
        <v>900</v>
      </c>
      <c r="M58" s="5" t="n">
        <f aca="false">ROUNDUP((Parametry!$C$21*MAX(1,D58))*1,0)</f>
        <v>900</v>
      </c>
      <c r="N58" s="5" t="n">
        <f aca="false">ROUNDUP((Parametry!$C$21*MAX(1,D58))*1,0)</f>
        <v>900</v>
      </c>
      <c r="O58" s="5" t="n">
        <f aca="false">ROUNDUP(J58/H58,0)</f>
        <v>13</v>
      </c>
      <c r="P58" s="5" t="n">
        <f aca="false">ROUNDUP(K58/H58,0)</f>
        <v>13</v>
      </c>
      <c r="Q58" s="5" t="n">
        <f aca="false">ROUNDUP(L58/H58,0)</f>
        <v>13</v>
      </c>
      <c r="R58" s="5" t="n">
        <f aca="false">ROUNDUP(M58/H58,0)</f>
        <v>13</v>
      </c>
      <c r="S58" s="5" t="n">
        <f aca="false">ROUNDUP(N58/H58,0)</f>
        <v>13</v>
      </c>
      <c r="T58" s="5" t="n">
        <f aca="false">SUM(O58:S58)</f>
        <v>65</v>
      </c>
      <c r="U58" s="5" t="n">
        <f aca="false">ROUNDUP(T58/G58,0)</f>
        <v>11</v>
      </c>
      <c r="V58" s="5" t="n">
        <f aca="false">U58*Parametry!$C$11</f>
        <v>55</v>
      </c>
      <c r="W58" s="5" t="n">
        <f aca="false">2</f>
        <v>2</v>
      </c>
      <c r="X58" s="5" t="n">
        <f aca="false">V58*(W58-1)</f>
        <v>55</v>
      </c>
      <c r="Y58" s="5" t="n">
        <f aca="false">V58*W58</f>
        <v>110</v>
      </c>
      <c r="Z58" s="5" t="n">
        <f aca="false">SUM(J58:N58)</f>
        <v>4500</v>
      </c>
      <c r="AA58" s="5" t="s">
        <v>874</v>
      </c>
    </row>
    <row r="59" customFormat="false" ht="69.75" hidden="false" customHeight="true" outlineLevel="0" collapsed="false">
      <c r="A59" s="6" t="s">
        <v>130</v>
      </c>
      <c r="B59" s="6" t="s">
        <v>877</v>
      </c>
      <c r="C59" s="6" t="s">
        <v>875</v>
      </c>
      <c r="D59" s="6" t="n">
        <v>3</v>
      </c>
      <c r="E59" s="6" t="n">
        <f aca="false">D59+1</f>
        <v>4</v>
      </c>
      <c r="F59" s="6" t="n">
        <v>3</v>
      </c>
      <c r="G59" s="17" t="n">
        <f aca="false">Parametry!$C$12</f>
        <v>6</v>
      </c>
      <c r="H59" s="6" t="n">
        <f aca="false">ROUNDDOWN(Parametry!$C$9*Parametry!$C$10^(F59-1),0)</f>
        <v>72</v>
      </c>
      <c r="I59" s="6" t="n">
        <f aca="false">ROUNDUP((Parametry!$C$21*MAX(1,D59))*Parametry!$C$15,0)</f>
        <v>990</v>
      </c>
      <c r="J59" s="6" t="n">
        <f aca="false">ROUNDUP((Parametry!$C$21*MAX(1,D59))*Parametry!$C$15,0)</f>
        <v>990</v>
      </c>
      <c r="K59" s="6" t="n">
        <f aca="false">ROUNDUP((Parametry!$C$21*MAX(1,D59))*Parametry!$C$15,0)</f>
        <v>990</v>
      </c>
      <c r="L59" s="6" t="n">
        <f aca="false">ROUNDUP((Parametry!$C$21*MAX(1,D59))*Parametry!$C$15,0)</f>
        <v>990</v>
      </c>
      <c r="M59" s="6" t="n">
        <f aca="false">ROUNDUP((Parametry!$C$21*MAX(1,D59))*Parametry!$C$15,0)</f>
        <v>990</v>
      </c>
      <c r="N59" s="6" t="n">
        <f aca="false">ROUNDUP((Parametry!$C$21*MAX(1,D59))*Parametry!$C$15,0)</f>
        <v>990</v>
      </c>
      <c r="O59" s="6" t="n">
        <f aca="false">ROUNDUP(J59/H59,0)</f>
        <v>14</v>
      </c>
      <c r="P59" s="6" t="n">
        <f aca="false">ROUNDUP(K59/H59,0)</f>
        <v>14</v>
      </c>
      <c r="Q59" s="6" t="n">
        <f aca="false">ROUNDUP(L59/H59,0)</f>
        <v>14</v>
      </c>
      <c r="R59" s="6" t="n">
        <f aca="false">ROUNDUP(M59/H59,0)</f>
        <v>14</v>
      </c>
      <c r="S59" s="6" t="n">
        <f aca="false">ROUNDUP(N59/H59,0)</f>
        <v>14</v>
      </c>
      <c r="T59" s="6" t="n">
        <f aca="false">SUM(O59:S59)</f>
        <v>70</v>
      </c>
      <c r="U59" s="6" t="n">
        <f aca="false">ROUNDUP(T59/G59,0)</f>
        <v>12</v>
      </c>
      <c r="V59" s="6" t="n">
        <f aca="false">U59*Parametry!$C$11</f>
        <v>60</v>
      </c>
      <c r="W59" s="6" t="n">
        <f aca="false">2</f>
        <v>2</v>
      </c>
      <c r="X59" s="6" t="n">
        <f aca="false">V59*(W59-1)</f>
        <v>60</v>
      </c>
      <c r="Y59" s="6" t="n">
        <f aca="false">V59*W59</f>
        <v>120</v>
      </c>
      <c r="Z59" s="6" t="n">
        <f aca="false">SUM(J59:N59)</f>
        <v>4950</v>
      </c>
      <c r="AA59" s="6" t="s">
        <v>874</v>
      </c>
    </row>
    <row r="60" customFormat="false" ht="69.75" hidden="false" customHeight="true" outlineLevel="0" collapsed="false">
      <c r="A60" s="5" t="s">
        <v>135</v>
      </c>
      <c r="B60" s="5" t="s">
        <v>872</v>
      </c>
      <c r="C60" s="5" t="s">
        <v>873</v>
      </c>
      <c r="D60" s="5" t="n">
        <v>1</v>
      </c>
      <c r="E60" s="5" t="n">
        <f aca="false">D60+1</f>
        <v>2</v>
      </c>
      <c r="F60" s="5" t="n">
        <v>1</v>
      </c>
      <c r="G60" s="16" t="n">
        <f aca="false">Parametry!$C$12</f>
        <v>6</v>
      </c>
      <c r="H60" s="5" t="n">
        <f aca="false">ROUNDDOWN(Parametry!$C$9*Parametry!$C$10^(F60-1),0)</f>
        <v>60</v>
      </c>
      <c r="I60" s="5" t="n">
        <f aca="false">ROUNDUP((Parametry!$C$22*MAX(1,D60))*1,0)</f>
        <v>400</v>
      </c>
      <c r="J60" s="5" t="n">
        <f aca="false">ROUNDUP((Parametry!$C$22*MAX(1,D60))*1,0)</f>
        <v>400</v>
      </c>
      <c r="K60" s="5" t="n">
        <f aca="false">ROUNDUP((Parametry!$C$22*MAX(1,D60))*1,0)</f>
        <v>400</v>
      </c>
      <c r="L60" s="5" t="n">
        <f aca="false">ROUNDUP((Parametry!$C$22*MAX(1,D60))*1,0)</f>
        <v>400</v>
      </c>
      <c r="M60" s="5" t="n">
        <f aca="false">ROUNDUP((Parametry!$C$22*MAX(1,D60))*1,0)</f>
        <v>400</v>
      </c>
      <c r="N60" s="5" t="n">
        <f aca="false">ROUNDUP((Parametry!$C$22*MAX(1,D60))*1,0)</f>
        <v>400</v>
      </c>
      <c r="O60" s="5" t="n">
        <f aca="false">ROUNDUP(J60/H60,0)</f>
        <v>7</v>
      </c>
      <c r="P60" s="5" t="n">
        <f aca="false">ROUNDUP(K60/H60,0)</f>
        <v>7</v>
      </c>
      <c r="Q60" s="5" t="n">
        <f aca="false">ROUNDUP(L60/H60,0)</f>
        <v>7</v>
      </c>
      <c r="R60" s="5" t="n">
        <f aca="false">ROUNDUP(M60/H60,0)</f>
        <v>7</v>
      </c>
      <c r="S60" s="5" t="n">
        <f aca="false">ROUNDUP(N60/H60,0)</f>
        <v>7</v>
      </c>
      <c r="T60" s="5" t="n">
        <f aca="false">SUM(O60:S60)</f>
        <v>35</v>
      </c>
      <c r="U60" s="5" t="n">
        <f aca="false">ROUNDUP(T60/G60,0)</f>
        <v>6</v>
      </c>
      <c r="V60" s="5" t="n">
        <f aca="false">U60*Parametry!$C$11</f>
        <v>30</v>
      </c>
      <c r="W60" s="5" t="n">
        <f aca="false">2</f>
        <v>2</v>
      </c>
      <c r="X60" s="5" t="n">
        <f aca="false">V60*(W60-1)</f>
        <v>30</v>
      </c>
      <c r="Y60" s="5" t="n">
        <f aca="false">V60*W60</f>
        <v>60</v>
      </c>
      <c r="Z60" s="5" t="n">
        <f aca="false">SUM(J60:N60)</f>
        <v>2000</v>
      </c>
      <c r="AA60" s="5" t="s">
        <v>874</v>
      </c>
    </row>
    <row r="61" customFormat="false" ht="69.75" hidden="false" customHeight="true" outlineLevel="0" collapsed="false">
      <c r="A61" s="6" t="s">
        <v>135</v>
      </c>
      <c r="B61" s="6" t="s">
        <v>872</v>
      </c>
      <c r="C61" s="6" t="s">
        <v>875</v>
      </c>
      <c r="D61" s="6" t="n">
        <v>1</v>
      </c>
      <c r="E61" s="6" t="n">
        <f aca="false">D61+1</f>
        <v>2</v>
      </c>
      <c r="F61" s="6" t="n">
        <v>1</v>
      </c>
      <c r="G61" s="17" t="n">
        <f aca="false">Parametry!$C$12</f>
        <v>6</v>
      </c>
      <c r="H61" s="6" t="n">
        <f aca="false">ROUNDDOWN(Parametry!$C$9*Parametry!$C$10^(F61-1),0)</f>
        <v>60</v>
      </c>
      <c r="I61" s="6" t="n">
        <f aca="false">ROUNDUP((Parametry!$C$22*MAX(1,D61))*Parametry!$C$15,0)</f>
        <v>440</v>
      </c>
      <c r="J61" s="6" t="n">
        <f aca="false">ROUNDUP((Parametry!$C$22*MAX(1,D61))*Parametry!$C$15,0)</f>
        <v>440</v>
      </c>
      <c r="K61" s="6" t="n">
        <f aca="false">ROUNDUP((Parametry!$C$22*MAX(1,D61))*Parametry!$C$15,0)</f>
        <v>440</v>
      </c>
      <c r="L61" s="6" t="n">
        <f aca="false">ROUNDUP((Parametry!$C$22*MAX(1,D61))*Parametry!$C$15,0)</f>
        <v>440</v>
      </c>
      <c r="M61" s="6" t="n">
        <f aca="false">ROUNDUP((Parametry!$C$22*MAX(1,D61))*Parametry!$C$15,0)</f>
        <v>440</v>
      </c>
      <c r="N61" s="6" t="n">
        <f aca="false">ROUNDUP((Parametry!$C$22*MAX(1,D61))*Parametry!$C$15,0)</f>
        <v>440</v>
      </c>
      <c r="O61" s="6" t="n">
        <f aca="false">ROUNDUP(J61/H61,0)</f>
        <v>8</v>
      </c>
      <c r="P61" s="6" t="n">
        <f aca="false">ROUNDUP(K61/H61,0)</f>
        <v>8</v>
      </c>
      <c r="Q61" s="6" t="n">
        <f aca="false">ROUNDUP(L61/H61,0)</f>
        <v>8</v>
      </c>
      <c r="R61" s="6" t="n">
        <f aca="false">ROUNDUP(M61/H61,0)</f>
        <v>8</v>
      </c>
      <c r="S61" s="6" t="n">
        <f aca="false">ROUNDUP(N61/H61,0)</f>
        <v>8</v>
      </c>
      <c r="T61" s="6" t="n">
        <f aca="false">SUM(O61:S61)</f>
        <v>40</v>
      </c>
      <c r="U61" s="6" t="n">
        <f aca="false">ROUNDUP(T61/G61,0)</f>
        <v>7</v>
      </c>
      <c r="V61" s="6" t="n">
        <f aca="false">U61*Parametry!$C$11</f>
        <v>35</v>
      </c>
      <c r="W61" s="6" t="n">
        <f aca="false">2</f>
        <v>2</v>
      </c>
      <c r="X61" s="6" t="n">
        <f aca="false">V61*(W61-1)</f>
        <v>35</v>
      </c>
      <c r="Y61" s="6" t="n">
        <f aca="false">V61*W61</f>
        <v>70</v>
      </c>
      <c r="Z61" s="6" t="n">
        <f aca="false">SUM(J61:N61)</f>
        <v>2200</v>
      </c>
      <c r="AA61" s="6" t="s">
        <v>874</v>
      </c>
    </row>
    <row r="62" customFormat="false" ht="69.75" hidden="false" customHeight="true" outlineLevel="0" collapsed="false">
      <c r="A62" s="5" t="s">
        <v>135</v>
      </c>
      <c r="B62" s="5" t="s">
        <v>876</v>
      </c>
      <c r="C62" s="5" t="s">
        <v>873</v>
      </c>
      <c r="D62" s="5" t="n">
        <v>2</v>
      </c>
      <c r="E62" s="5" t="n">
        <f aca="false">D62+1</f>
        <v>3</v>
      </c>
      <c r="F62" s="5" t="n">
        <v>2</v>
      </c>
      <c r="G62" s="16" t="n">
        <f aca="false">Parametry!$C$12</f>
        <v>6</v>
      </c>
      <c r="H62" s="5" t="n">
        <f aca="false">ROUNDDOWN(Parametry!$C$9*Parametry!$C$10^(F62-1),0)</f>
        <v>66</v>
      </c>
      <c r="I62" s="5" t="n">
        <f aca="false">ROUNDUP((Parametry!$C$22*MAX(1,D62))*1,0)</f>
        <v>800</v>
      </c>
      <c r="J62" s="5" t="n">
        <f aca="false">ROUNDUP((Parametry!$C$22*MAX(1,D62))*1,0)</f>
        <v>800</v>
      </c>
      <c r="K62" s="5" t="n">
        <f aca="false">ROUNDUP((Parametry!$C$22*MAX(1,D62))*1,0)</f>
        <v>800</v>
      </c>
      <c r="L62" s="5" t="n">
        <f aca="false">ROUNDUP((Parametry!$C$22*MAX(1,D62))*1,0)</f>
        <v>800</v>
      </c>
      <c r="M62" s="5" t="n">
        <f aca="false">ROUNDUP((Parametry!$C$22*MAX(1,D62))*1,0)</f>
        <v>800</v>
      </c>
      <c r="N62" s="5" t="n">
        <f aca="false">ROUNDUP((Parametry!$C$22*MAX(1,D62))*1,0)</f>
        <v>800</v>
      </c>
      <c r="O62" s="5" t="n">
        <f aca="false">ROUNDUP(J62/H62,0)</f>
        <v>13</v>
      </c>
      <c r="P62" s="5" t="n">
        <f aca="false">ROUNDUP(K62/H62,0)</f>
        <v>13</v>
      </c>
      <c r="Q62" s="5" t="n">
        <f aca="false">ROUNDUP(L62/H62,0)</f>
        <v>13</v>
      </c>
      <c r="R62" s="5" t="n">
        <f aca="false">ROUNDUP(M62/H62,0)</f>
        <v>13</v>
      </c>
      <c r="S62" s="5" t="n">
        <f aca="false">ROUNDUP(N62/H62,0)</f>
        <v>13</v>
      </c>
      <c r="T62" s="5" t="n">
        <f aca="false">SUM(O62:S62)</f>
        <v>65</v>
      </c>
      <c r="U62" s="5" t="n">
        <f aca="false">ROUNDUP(T62/G62,0)</f>
        <v>11</v>
      </c>
      <c r="V62" s="5" t="n">
        <f aca="false">U62*Parametry!$C$11</f>
        <v>55</v>
      </c>
      <c r="W62" s="5" t="n">
        <f aca="false">2</f>
        <v>2</v>
      </c>
      <c r="X62" s="5" t="n">
        <f aca="false">V62*(W62-1)</f>
        <v>55</v>
      </c>
      <c r="Y62" s="5" t="n">
        <f aca="false">V62*W62</f>
        <v>110</v>
      </c>
      <c r="Z62" s="5" t="n">
        <f aca="false">SUM(J62:N62)</f>
        <v>4000</v>
      </c>
      <c r="AA62" s="5" t="s">
        <v>874</v>
      </c>
    </row>
    <row r="63" customFormat="false" ht="69.75" hidden="false" customHeight="true" outlineLevel="0" collapsed="false">
      <c r="A63" s="6" t="s">
        <v>135</v>
      </c>
      <c r="B63" s="6" t="s">
        <v>876</v>
      </c>
      <c r="C63" s="6" t="s">
        <v>875</v>
      </c>
      <c r="D63" s="6" t="n">
        <v>2</v>
      </c>
      <c r="E63" s="6" t="n">
        <f aca="false">D63+1</f>
        <v>3</v>
      </c>
      <c r="F63" s="6" t="n">
        <v>2</v>
      </c>
      <c r="G63" s="17" t="n">
        <f aca="false">Parametry!$C$12</f>
        <v>6</v>
      </c>
      <c r="H63" s="6" t="n">
        <f aca="false">ROUNDDOWN(Parametry!$C$9*Parametry!$C$10^(F63-1),0)</f>
        <v>66</v>
      </c>
      <c r="I63" s="6" t="n">
        <f aca="false">ROUNDUP((Parametry!$C$22*MAX(1,D63))*Parametry!$C$15,0)</f>
        <v>880</v>
      </c>
      <c r="J63" s="6" t="n">
        <f aca="false">ROUNDUP((Parametry!$C$22*MAX(1,D63))*Parametry!$C$15,0)</f>
        <v>880</v>
      </c>
      <c r="K63" s="6" t="n">
        <f aca="false">ROUNDUP((Parametry!$C$22*MAX(1,D63))*Parametry!$C$15,0)</f>
        <v>880</v>
      </c>
      <c r="L63" s="6" t="n">
        <f aca="false">ROUNDUP((Parametry!$C$22*MAX(1,D63))*Parametry!$C$15,0)</f>
        <v>880</v>
      </c>
      <c r="M63" s="6" t="n">
        <f aca="false">ROUNDUP((Parametry!$C$22*MAX(1,D63))*Parametry!$C$15,0)</f>
        <v>880</v>
      </c>
      <c r="N63" s="6" t="n">
        <f aca="false">ROUNDUP((Parametry!$C$22*MAX(1,D63))*Parametry!$C$15,0)</f>
        <v>880</v>
      </c>
      <c r="O63" s="6" t="n">
        <f aca="false">ROUNDUP(J63/H63,0)</f>
        <v>14</v>
      </c>
      <c r="P63" s="6" t="n">
        <f aca="false">ROUNDUP(K63/H63,0)</f>
        <v>14</v>
      </c>
      <c r="Q63" s="6" t="n">
        <f aca="false">ROUNDUP(L63/H63,0)</f>
        <v>14</v>
      </c>
      <c r="R63" s="6" t="n">
        <f aca="false">ROUNDUP(M63/H63,0)</f>
        <v>14</v>
      </c>
      <c r="S63" s="6" t="n">
        <f aca="false">ROUNDUP(N63/H63,0)</f>
        <v>14</v>
      </c>
      <c r="T63" s="6" t="n">
        <f aca="false">SUM(O63:S63)</f>
        <v>70</v>
      </c>
      <c r="U63" s="6" t="n">
        <f aca="false">ROUNDUP(T63/G63,0)</f>
        <v>12</v>
      </c>
      <c r="V63" s="6" t="n">
        <f aca="false">U63*Parametry!$C$11</f>
        <v>60</v>
      </c>
      <c r="W63" s="6" t="n">
        <f aca="false">2</f>
        <v>2</v>
      </c>
      <c r="X63" s="6" t="n">
        <f aca="false">V63*(W63-1)</f>
        <v>60</v>
      </c>
      <c r="Y63" s="6" t="n">
        <f aca="false">V63*W63</f>
        <v>120</v>
      </c>
      <c r="Z63" s="6" t="n">
        <f aca="false">SUM(J63:N63)</f>
        <v>4400</v>
      </c>
      <c r="AA63" s="6" t="s">
        <v>874</v>
      </c>
    </row>
    <row r="64" customFormat="false" ht="69.75" hidden="false" customHeight="true" outlineLevel="0" collapsed="false">
      <c r="A64" s="5" t="s">
        <v>135</v>
      </c>
      <c r="B64" s="5" t="s">
        <v>877</v>
      </c>
      <c r="C64" s="5" t="s">
        <v>873</v>
      </c>
      <c r="D64" s="5" t="n">
        <v>3</v>
      </c>
      <c r="E64" s="5" t="n">
        <f aca="false">D64+1</f>
        <v>4</v>
      </c>
      <c r="F64" s="5" t="n">
        <v>3</v>
      </c>
      <c r="G64" s="16" t="n">
        <f aca="false">Parametry!$C$12</f>
        <v>6</v>
      </c>
      <c r="H64" s="5" t="n">
        <f aca="false">ROUNDDOWN(Parametry!$C$9*Parametry!$C$10^(F64-1),0)</f>
        <v>72</v>
      </c>
      <c r="I64" s="5" t="n">
        <f aca="false">ROUNDUP((Parametry!$C$22*MAX(1,D64))*1,0)</f>
        <v>1200</v>
      </c>
      <c r="J64" s="5" t="n">
        <f aca="false">ROUNDUP((Parametry!$C$22*MAX(1,D64))*1,0)</f>
        <v>1200</v>
      </c>
      <c r="K64" s="5" t="n">
        <f aca="false">ROUNDUP((Parametry!$C$22*MAX(1,D64))*1,0)</f>
        <v>1200</v>
      </c>
      <c r="L64" s="5" t="n">
        <f aca="false">ROUNDUP((Parametry!$C$22*MAX(1,D64))*1,0)</f>
        <v>1200</v>
      </c>
      <c r="M64" s="5" t="n">
        <f aca="false">ROUNDUP((Parametry!$C$22*MAX(1,D64))*1,0)</f>
        <v>1200</v>
      </c>
      <c r="N64" s="5" t="n">
        <f aca="false">ROUNDUP((Parametry!$C$22*MAX(1,D64))*1,0)</f>
        <v>1200</v>
      </c>
      <c r="O64" s="5" t="n">
        <f aca="false">ROUNDUP(J64/H64,0)</f>
        <v>17</v>
      </c>
      <c r="P64" s="5" t="n">
        <f aca="false">ROUNDUP(K64/H64,0)</f>
        <v>17</v>
      </c>
      <c r="Q64" s="5" t="n">
        <f aca="false">ROUNDUP(L64/H64,0)</f>
        <v>17</v>
      </c>
      <c r="R64" s="5" t="n">
        <f aca="false">ROUNDUP(M64/H64,0)</f>
        <v>17</v>
      </c>
      <c r="S64" s="5" t="n">
        <f aca="false">ROUNDUP(N64/H64,0)</f>
        <v>17</v>
      </c>
      <c r="T64" s="5" t="n">
        <f aca="false">SUM(O64:S64)</f>
        <v>85</v>
      </c>
      <c r="U64" s="5" t="n">
        <f aca="false">ROUNDUP(T64/G64,0)</f>
        <v>15</v>
      </c>
      <c r="V64" s="5" t="n">
        <f aca="false">U64*Parametry!$C$11</f>
        <v>75</v>
      </c>
      <c r="W64" s="5" t="n">
        <f aca="false">2</f>
        <v>2</v>
      </c>
      <c r="X64" s="5" t="n">
        <f aca="false">V64*(W64-1)</f>
        <v>75</v>
      </c>
      <c r="Y64" s="5" t="n">
        <f aca="false">V64*W64</f>
        <v>150</v>
      </c>
      <c r="Z64" s="5" t="n">
        <f aca="false">SUM(J64:N64)</f>
        <v>6000</v>
      </c>
      <c r="AA64" s="5" t="s">
        <v>874</v>
      </c>
    </row>
    <row r="65" customFormat="false" ht="69.75" hidden="false" customHeight="true" outlineLevel="0" collapsed="false">
      <c r="A65" s="6" t="s">
        <v>135</v>
      </c>
      <c r="B65" s="6" t="s">
        <v>877</v>
      </c>
      <c r="C65" s="6" t="s">
        <v>875</v>
      </c>
      <c r="D65" s="6" t="n">
        <v>3</v>
      </c>
      <c r="E65" s="6" t="n">
        <f aca="false">D65+1</f>
        <v>4</v>
      </c>
      <c r="F65" s="6" t="n">
        <v>3</v>
      </c>
      <c r="G65" s="17" t="n">
        <f aca="false">Parametry!$C$12</f>
        <v>6</v>
      </c>
      <c r="H65" s="6" t="n">
        <f aca="false">ROUNDDOWN(Parametry!$C$9*Parametry!$C$10^(F65-1),0)</f>
        <v>72</v>
      </c>
      <c r="I65" s="6" t="n">
        <f aca="false">ROUNDUP((Parametry!$C$22*MAX(1,D65))*Parametry!$C$15,0)</f>
        <v>1320</v>
      </c>
      <c r="J65" s="6" t="n">
        <f aca="false">ROUNDUP((Parametry!$C$22*MAX(1,D65))*Parametry!$C$15,0)</f>
        <v>1320</v>
      </c>
      <c r="K65" s="6" t="n">
        <f aca="false">ROUNDUP((Parametry!$C$22*MAX(1,D65))*Parametry!$C$15,0)</f>
        <v>1320</v>
      </c>
      <c r="L65" s="6" t="n">
        <f aca="false">ROUNDUP((Parametry!$C$22*MAX(1,D65))*Parametry!$C$15,0)</f>
        <v>1320</v>
      </c>
      <c r="M65" s="6" t="n">
        <f aca="false">ROUNDUP((Parametry!$C$22*MAX(1,D65))*Parametry!$C$15,0)</f>
        <v>1320</v>
      </c>
      <c r="N65" s="6" t="n">
        <f aca="false">ROUNDUP((Parametry!$C$22*MAX(1,D65))*Parametry!$C$15,0)</f>
        <v>1320</v>
      </c>
      <c r="O65" s="6" t="n">
        <f aca="false">ROUNDUP(J65/H65,0)</f>
        <v>19</v>
      </c>
      <c r="P65" s="6" t="n">
        <f aca="false">ROUNDUP(K65/H65,0)</f>
        <v>19</v>
      </c>
      <c r="Q65" s="6" t="n">
        <f aca="false">ROUNDUP(L65/H65,0)</f>
        <v>19</v>
      </c>
      <c r="R65" s="6" t="n">
        <f aca="false">ROUNDUP(M65/H65,0)</f>
        <v>19</v>
      </c>
      <c r="S65" s="6" t="n">
        <f aca="false">ROUNDUP(N65/H65,0)</f>
        <v>19</v>
      </c>
      <c r="T65" s="6" t="n">
        <f aca="false">SUM(O65:S65)</f>
        <v>95</v>
      </c>
      <c r="U65" s="6" t="n">
        <f aca="false">ROUNDUP(T65/G65,0)</f>
        <v>16</v>
      </c>
      <c r="V65" s="6" t="n">
        <f aca="false">U65*Parametry!$C$11</f>
        <v>80</v>
      </c>
      <c r="W65" s="6" t="n">
        <f aca="false">2</f>
        <v>2</v>
      </c>
      <c r="X65" s="6" t="n">
        <f aca="false">V65*(W65-1)</f>
        <v>80</v>
      </c>
      <c r="Y65" s="6" t="n">
        <f aca="false">V65*W65</f>
        <v>160</v>
      </c>
      <c r="Z65" s="6" t="n">
        <f aca="false">SUM(J65:N65)</f>
        <v>6600</v>
      </c>
      <c r="AA65" s="6" t="s">
        <v>874</v>
      </c>
    </row>
    <row r="66" customFormat="false" ht="69.75" hidden="false" customHeight="true" outlineLevel="0" collapsed="false">
      <c r="A66" s="5" t="s">
        <v>141</v>
      </c>
      <c r="B66" s="5" t="s">
        <v>872</v>
      </c>
      <c r="C66" s="5" t="s">
        <v>873</v>
      </c>
      <c r="D66" s="5" t="n">
        <v>1</v>
      </c>
      <c r="E66" s="5" t="n">
        <f aca="false">D66+1</f>
        <v>2</v>
      </c>
      <c r="F66" s="5" t="n">
        <v>1</v>
      </c>
      <c r="G66" s="16" t="n">
        <f aca="false">Parametry!$C$12</f>
        <v>6</v>
      </c>
      <c r="H66" s="5" t="n">
        <f aca="false">ROUNDDOWN(Parametry!$C$9*Parametry!$C$10^(F66-1),0)</f>
        <v>60</v>
      </c>
      <c r="I66" s="5" t="n">
        <f aca="false">ROUNDUP((180*E66)*1,0)</f>
        <v>360</v>
      </c>
      <c r="J66" s="5" t="n">
        <f aca="false">ROUNDUP((20*E66)*1,0)</f>
        <v>40</v>
      </c>
      <c r="K66" s="5" t="n">
        <f aca="false">ROUNDUP((60*E66)*1,0)</f>
        <v>120</v>
      </c>
      <c r="L66" s="5" t="n">
        <f aca="false">ROUNDUP((0*E66)*1,0)</f>
        <v>0</v>
      </c>
      <c r="M66" s="5" t="n">
        <f aca="false">ROUNDUP((0*E66)*1,0)</f>
        <v>0</v>
      </c>
      <c r="N66" s="5" t="n">
        <f aca="false">ROUNDUP((10*E66)*1,0)</f>
        <v>20</v>
      </c>
      <c r="O66" s="5" t="n">
        <f aca="false">ROUNDUP(J66/H66,0)</f>
        <v>1</v>
      </c>
      <c r="P66" s="5" t="n">
        <f aca="false">ROUNDUP(K66/H66,0)</f>
        <v>2</v>
      </c>
      <c r="Q66" s="5" t="n">
        <f aca="false">ROUNDUP(L66/H66,0)</f>
        <v>0</v>
      </c>
      <c r="R66" s="5" t="n">
        <f aca="false">ROUNDUP(M66/H66,0)</f>
        <v>0</v>
      </c>
      <c r="S66" s="5" t="n">
        <f aca="false">ROUNDUP(N66/H66,0)</f>
        <v>1</v>
      </c>
      <c r="T66" s="5" t="n">
        <f aca="false">SUM(O66:S66)</f>
        <v>4</v>
      </c>
      <c r="U66" s="5" t="n">
        <f aca="false">ROUNDUP(T66/G66,0)</f>
        <v>1</v>
      </c>
      <c r="V66" s="5" t="n">
        <f aca="false">U66*Parametry!$C$11</f>
        <v>5</v>
      </c>
      <c r="W66" s="5" t="n">
        <f aca="false">1+3*(E66-1)</f>
        <v>4</v>
      </c>
      <c r="X66" s="5" t="n">
        <f aca="false">V66*(W66-1)</f>
        <v>15</v>
      </c>
      <c r="Y66" s="5" t="n">
        <f aca="false">V66*W66</f>
        <v>20</v>
      </c>
      <c r="Z66" s="5" t="n">
        <f aca="false">SUM(J66:N66)</f>
        <v>180</v>
      </c>
      <c r="AA66" s="5" t="s">
        <v>874</v>
      </c>
    </row>
    <row r="67" customFormat="false" ht="69.75" hidden="false" customHeight="true" outlineLevel="0" collapsed="false">
      <c r="A67" s="6" t="s">
        <v>141</v>
      </c>
      <c r="B67" s="6" t="s">
        <v>872</v>
      </c>
      <c r="C67" s="6" t="s">
        <v>875</v>
      </c>
      <c r="D67" s="6" t="n">
        <v>1</v>
      </c>
      <c r="E67" s="6" t="n">
        <f aca="false">D67+1</f>
        <v>2</v>
      </c>
      <c r="F67" s="6" t="n">
        <v>1</v>
      </c>
      <c r="G67" s="17" t="n">
        <f aca="false">Parametry!$C$12</f>
        <v>6</v>
      </c>
      <c r="H67" s="6" t="n">
        <f aca="false">ROUNDDOWN(Parametry!$C$9*Parametry!$C$10^(F67-1),0)</f>
        <v>60</v>
      </c>
      <c r="I67" s="6" t="n">
        <f aca="false">ROUNDUP((180*E67)*Parametry!$C$15,0)</f>
        <v>396</v>
      </c>
      <c r="J67" s="6" t="n">
        <f aca="false">ROUNDUP((20*E67)*Parametry!$C$15,0)</f>
        <v>44</v>
      </c>
      <c r="K67" s="6" t="n">
        <f aca="false">ROUNDUP((60*E67)*Parametry!$C$15,0)</f>
        <v>132</v>
      </c>
      <c r="L67" s="6" t="n">
        <f aca="false">ROUNDUP((0*E67)*Parametry!$C$15,0)</f>
        <v>0</v>
      </c>
      <c r="M67" s="6" t="n">
        <f aca="false">ROUNDUP((0*E67)*Parametry!$C$15,0)</f>
        <v>0</v>
      </c>
      <c r="N67" s="6" t="n">
        <f aca="false">ROUNDUP((10*E67)*Parametry!$C$15,0)</f>
        <v>22</v>
      </c>
      <c r="O67" s="6" t="n">
        <f aca="false">ROUNDUP(J67/H67,0)</f>
        <v>1</v>
      </c>
      <c r="P67" s="6" t="n">
        <f aca="false">ROUNDUP(K67/H67,0)</f>
        <v>3</v>
      </c>
      <c r="Q67" s="6" t="n">
        <f aca="false">ROUNDUP(L67/H67,0)</f>
        <v>0</v>
      </c>
      <c r="R67" s="6" t="n">
        <f aca="false">ROUNDUP(M67/H67,0)</f>
        <v>0</v>
      </c>
      <c r="S67" s="6" t="n">
        <f aca="false">ROUNDUP(N67/H67,0)</f>
        <v>1</v>
      </c>
      <c r="T67" s="6" t="n">
        <f aca="false">SUM(O67:S67)</f>
        <v>5</v>
      </c>
      <c r="U67" s="6" t="n">
        <f aca="false">ROUNDUP(T67/G67,0)</f>
        <v>1</v>
      </c>
      <c r="V67" s="6" t="n">
        <f aca="false">U67*Parametry!$C$11</f>
        <v>5</v>
      </c>
      <c r="W67" s="6" t="n">
        <f aca="false">1+3*(E67-1)</f>
        <v>4</v>
      </c>
      <c r="X67" s="6" t="n">
        <f aca="false">V67*(W67-1)</f>
        <v>15</v>
      </c>
      <c r="Y67" s="6" t="n">
        <f aca="false">V67*W67</f>
        <v>20</v>
      </c>
      <c r="Z67" s="6" t="n">
        <f aca="false">SUM(J67:N67)</f>
        <v>198</v>
      </c>
      <c r="AA67" s="6" t="s">
        <v>874</v>
      </c>
    </row>
    <row r="68" customFormat="false" ht="69.75" hidden="false" customHeight="true" outlineLevel="0" collapsed="false">
      <c r="A68" s="5" t="s">
        <v>141</v>
      </c>
      <c r="B68" s="5" t="s">
        <v>876</v>
      </c>
      <c r="C68" s="5" t="s">
        <v>873</v>
      </c>
      <c r="D68" s="5" t="n">
        <v>2</v>
      </c>
      <c r="E68" s="5" t="n">
        <f aca="false">D68+1</f>
        <v>3</v>
      </c>
      <c r="F68" s="5" t="n">
        <v>2</v>
      </c>
      <c r="G68" s="16" t="n">
        <f aca="false">Parametry!$C$12</f>
        <v>6</v>
      </c>
      <c r="H68" s="5" t="n">
        <f aca="false">ROUNDDOWN(Parametry!$C$9*Parametry!$C$10^(F68-1),0)</f>
        <v>66</v>
      </c>
      <c r="I68" s="5" t="n">
        <f aca="false">ROUNDUP((180*E68)*1,0)</f>
        <v>540</v>
      </c>
      <c r="J68" s="5" t="n">
        <f aca="false">ROUNDUP((20*E68)*1,0)</f>
        <v>60</v>
      </c>
      <c r="K68" s="5" t="n">
        <f aca="false">ROUNDUP((60*E68)*1,0)</f>
        <v>180</v>
      </c>
      <c r="L68" s="5" t="n">
        <f aca="false">ROUNDUP((0*E68)*1,0)</f>
        <v>0</v>
      </c>
      <c r="M68" s="5" t="n">
        <f aca="false">ROUNDUP((0*E68)*1,0)</f>
        <v>0</v>
      </c>
      <c r="N68" s="5" t="n">
        <f aca="false">ROUNDUP((10*E68)*1,0)</f>
        <v>30</v>
      </c>
      <c r="O68" s="5" t="n">
        <f aca="false">ROUNDUP(J68/H68,0)</f>
        <v>1</v>
      </c>
      <c r="P68" s="5" t="n">
        <f aca="false">ROUNDUP(K68/H68,0)</f>
        <v>3</v>
      </c>
      <c r="Q68" s="5" t="n">
        <f aca="false">ROUNDUP(L68/H68,0)</f>
        <v>0</v>
      </c>
      <c r="R68" s="5" t="n">
        <f aca="false">ROUNDUP(M68/H68,0)</f>
        <v>0</v>
      </c>
      <c r="S68" s="5" t="n">
        <f aca="false">ROUNDUP(N68/H68,0)</f>
        <v>1</v>
      </c>
      <c r="T68" s="5" t="n">
        <f aca="false">SUM(O68:S68)</f>
        <v>5</v>
      </c>
      <c r="U68" s="5" t="n">
        <f aca="false">ROUNDUP(T68/G68,0)</f>
        <v>1</v>
      </c>
      <c r="V68" s="5" t="n">
        <f aca="false">U68*Parametry!$C$11</f>
        <v>5</v>
      </c>
      <c r="W68" s="5" t="n">
        <f aca="false">1+3*(E68-1)</f>
        <v>7</v>
      </c>
      <c r="X68" s="5" t="n">
        <f aca="false">V68*(W68-1)</f>
        <v>30</v>
      </c>
      <c r="Y68" s="5" t="n">
        <f aca="false">V68*W68</f>
        <v>35</v>
      </c>
      <c r="Z68" s="5" t="n">
        <f aca="false">SUM(J68:N68)</f>
        <v>270</v>
      </c>
      <c r="AA68" s="5" t="s">
        <v>874</v>
      </c>
    </row>
    <row r="69" customFormat="false" ht="69.75" hidden="false" customHeight="true" outlineLevel="0" collapsed="false">
      <c r="A69" s="6" t="s">
        <v>141</v>
      </c>
      <c r="B69" s="6" t="s">
        <v>876</v>
      </c>
      <c r="C69" s="6" t="s">
        <v>875</v>
      </c>
      <c r="D69" s="6" t="n">
        <v>2</v>
      </c>
      <c r="E69" s="6" t="n">
        <f aca="false">D69+1</f>
        <v>3</v>
      </c>
      <c r="F69" s="6" t="n">
        <v>2</v>
      </c>
      <c r="G69" s="17" t="n">
        <f aca="false">Parametry!$C$12</f>
        <v>6</v>
      </c>
      <c r="H69" s="6" t="n">
        <f aca="false">ROUNDDOWN(Parametry!$C$9*Parametry!$C$10^(F69-1),0)</f>
        <v>66</v>
      </c>
      <c r="I69" s="6" t="n">
        <f aca="false">ROUNDUP((180*E69)*Parametry!$C$15,0)</f>
        <v>594</v>
      </c>
      <c r="J69" s="6" t="n">
        <f aca="false">ROUNDUP((20*E69)*Parametry!$C$15,0)</f>
        <v>66</v>
      </c>
      <c r="K69" s="6" t="n">
        <f aca="false">ROUNDUP((60*E69)*Parametry!$C$15,0)</f>
        <v>198</v>
      </c>
      <c r="L69" s="6" t="n">
        <f aca="false">ROUNDUP((0*E69)*Parametry!$C$15,0)</f>
        <v>0</v>
      </c>
      <c r="M69" s="6" t="n">
        <f aca="false">ROUNDUP((0*E69)*Parametry!$C$15,0)</f>
        <v>0</v>
      </c>
      <c r="N69" s="6" t="n">
        <f aca="false">ROUNDUP((10*E69)*Parametry!$C$15,0)</f>
        <v>33</v>
      </c>
      <c r="O69" s="6" t="n">
        <f aca="false">ROUNDUP(J69/H69,0)</f>
        <v>1</v>
      </c>
      <c r="P69" s="6" t="n">
        <f aca="false">ROUNDUP(K69/H69,0)</f>
        <v>3</v>
      </c>
      <c r="Q69" s="6" t="n">
        <f aca="false">ROUNDUP(L69/H69,0)</f>
        <v>0</v>
      </c>
      <c r="R69" s="6" t="n">
        <f aca="false">ROUNDUP(M69/H69,0)</f>
        <v>0</v>
      </c>
      <c r="S69" s="6" t="n">
        <f aca="false">ROUNDUP(N69/H69,0)</f>
        <v>1</v>
      </c>
      <c r="T69" s="6" t="n">
        <f aca="false">SUM(O69:S69)</f>
        <v>5</v>
      </c>
      <c r="U69" s="6" t="n">
        <f aca="false">ROUNDUP(T69/G69,0)</f>
        <v>1</v>
      </c>
      <c r="V69" s="6" t="n">
        <f aca="false">U69*Parametry!$C$11</f>
        <v>5</v>
      </c>
      <c r="W69" s="6" t="n">
        <f aca="false">1+3*(E69-1)</f>
        <v>7</v>
      </c>
      <c r="X69" s="6" t="n">
        <f aca="false">V69*(W69-1)</f>
        <v>30</v>
      </c>
      <c r="Y69" s="6" t="n">
        <f aca="false">V69*W69</f>
        <v>35</v>
      </c>
      <c r="Z69" s="6" t="n">
        <f aca="false">SUM(J69:N69)</f>
        <v>297</v>
      </c>
      <c r="AA69" s="6" t="s">
        <v>874</v>
      </c>
    </row>
    <row r="70" customFormat="false" ht="69.75" hidden="false" customHeight="true" outlineLevel="0" collapsed="false">
      <c r="A70" s="5" t="s">
        <v>141</v>
      </c>
      <c r="B70" s="5" t="s">
        <v>877</v>
      </c>
      <c r="C70" s="5" t="s">
        <v>873</v>
      </c>
      <c r="D70" s="5" t="n">
        <v>3</v>
      </c>
      <c r="E70" s="5" t="n">
        <f aca="false">D70+1</f>
        <v>4</v>
      </c>
      <c r="F70" s="5" t="n">
        <v>3</v>
      </c>
      <c r="G70" s="16" t="n">
        <f aca="false">Parametry!$C$12</f>
        <v>6</v>
      </c>
      <c r="H70" s="5" t="n">
        <f aca="false">ROUNDDOWN(Parametry!$C$9*Parametry!$C$10^(F70-1),0)</f>
        <v>72</v>
      </c>
      <c r="I70" s="5" t="n">
        <f aca="false">ROUNDUP((180*E70)*1,0)</f>
        <v>720</v>
      </c>
      <c r="J70" s="5" t="n">
        <f aca="false">ROUNDUP((20*E70)*1,0)</f>
        <v>80</v>
      </c>
      <c r="K70" s="5" t="n">
        <f aca="false">ROUNDUP((60*E70)*1,0)</f>
        <v>240</v>
      </c>
      <c r="L70" s="5" t="n">
        <f aca="false">ROUNDUP((0*E70)*1,0)</f>
        <v>0</v>
      </c>
      <c r="M70" s="5" t="n">
        <f aca="false">ROUNDUP((0*E70)*1,0)</f>
        <v>0</v>
      </c>
      <c r="N70" s="5" t="n">
        <f aca="false">ROUNDUP((10*E70)*1,0)</f>
        <v>40</v>
      </c>
      <c r="O70" s="5" t="n">
        <f aca="false">ROUNDUP(J70/H70,0)</f>
        <v>2</v>
      </c>
      <c r="P70" s="5" t="n">
        <f aca="false">ROUNDUP(K70/H70,0)</f>
        <v>4</v>
      </c>
      <c r="Q70" s="5" t="n">
        <f aca="false">ROUNDUP(L70/H70,0)</f>
        <v>0</v>
      </c>
      <c r="R70" s="5" t="n">
        <f aca="false">ROUNDUP(M70/H70,0)</f>
        <v>0</v>
      </c>
      <c r="S70" s="5" t="n">
        <f aca="false">ROUNDUP(N70/H70,0)</f>
        <v>1</v>
      </c>
      <c r="T70" s="5" t="n">
        <f aca="false">SUM(O70:S70)</f>
        <v>7</v>
      </c>
      <c r="U70" s="5" t="n">
        <f aca="false">ROUNDUP(T70/G70,0)</f>
        <v>2</v>
      </c>
      <c r="V70" s="5" t="n">
        <f aca="false">U70*Parametry!$C$11</f>
        <v>10</v>
      </c>
      <c r="W70" s="5" t="n">
        <f aca="false">1+3*(E70-1)</f>
        <v>10</v>
      </c>
      <c r="X70" s="5" t="n">
        <f aca="false">V70*(W70-1)</f>
        <v>90</v>
      </c>
      <c r="Y70" s="5" t="n">
        <f aca="false">V70*W70</f>
        <v>100</v>
      </c>
      <c r="Z70" s="5" t="n">
        <f aca="false">SUM(J70:N70)</f>
        <v>360</v>
      </c>
      <c r="AA70" s="5" t="s">
        <v>874</v>
      </c>
    </row>
    <row r="71" customFormat="false" ht="69.75" hidden="false" customHeight="true" outlineLevel="0" collapsed="false">
      <c r="A71" s="6" t="s">
        <v>141</v>
      </c>
      <c r="B71" s="6" t="s">
        <v>877</v>
      </c>
      <c r="C71" s="6" t="s">
        <v>875</v>
      </c>
      <c r="D71" s="6" t="n">
        <v>3</v>
      </c>
      <c r="E71" s="6" t="n">
        <f aca="false">D71+1</f>
        <v>4</v>
      </c>
      <c r="F71" s="6" t="n">
        <v>3</v>
      </c>
      <c r="G71" s="17" t="n">
        <f aca="false">Parametry!$C$12</f>
        <v>6</v>
      </c>
      <c r="H71" s="6" t="n">
        <f aca="false">ROUNDDOWN(Parametry!$C$9*Parametry!$C$10^(F71-1),0)</f>
        <v>72</v>
      </c>
      <c r="I71" s="6" t="n">
        <f aca="false">ROUNDUP((180*E71)*Parametry!$C$15,0)</f>
        <v>792</v>
      </c>
      <c r="J71" s="6" t="n">
        <f aca="false">ROUNDUP((20*E71)*Parametry!$C$15,0)</f>
        <v>88</v>
      </c>
      <c r="K71" s="6" t="n">
        <f aca="false">ROUNDUP((60*E71)*Parametry!$C$15,0)</f>
        <v>264</v>
      </c>
      <c r="L71" s="6" t="n">
        <f aca="false">ROUNDUP((0*E71)*Parametry!$C$15,0)</f>
        <v>0</v>
      </c>
      <c r="M71" s="6" t="n">
        <f aca="false">ROUNDUP((0*E71)*Parametry!$C$15,0)</f>
        <v>0</v>
      </c>
      <c r="N71" s="6" t="n">
        <f aca="false">ROUNDUP((10*E71)*Parametry!$C$15,0)</f>
        <v>44</v>
      </c>
      <c r="O71" s="6" t="n">
        <f aca="false">ROUNDUP(J71/H71,0)</f>
        <v>2</v>
      </c>
      <c r="P71" s="6" t="n">
        <f aca="false">ROUNDUP(K71/H71,0)</f>
        <v>4</v>
      </c>
      <c r="Q71" s="6" t="n">
        <f aca="false">ROUNDUP(L71/H71,0)</f>
        <v>0</v>
      </c>
      <c r="R71" s="6" t="n">
        <f aca="false">ROUNDUP(M71/H71,0)</f>
        <v>0</v>
      </c>
      <c r="S71" s="6" t="n">
        <f aca="false">ROUNDUP(N71/H71,0)</f>
        <v>1</v>
      </c>
      <c r="T71" s="6" t="n">
        <f aca="false">SUM(O71:S71)</f>
        <v>7</v>
      </c>
      <c r="U71" s="6" t="n">
        <f aca="false">ROUNDUP(T71/G71,0)</f>
        <v>2</v>
      </c>
      <c r="V71" s="6" t="n">
        <f aca="false">U71*Parametry!$C$11</f>
        <v>10</v>
      </c>
      <c r="W71" s="6" t="n">
        <f aca="false">1+3*(E71-1)</f>
        <v>10</v>
      </c>
      <c r="X71" s="6" t="n">
        <f aca="false">V71*(W71-1)</f>
        <v>90</v>
      </c>
      <c r="Y71" s="6" t="n">
        <f aca="false">V71*W71</f>
        <v>100</v>
      </c>
      <c r="Z71" s="6" t="n">
        <f aca="false">SUM(J71:N71)</f>
        <v>396</v>
      </c>
      <c r="AA71" s="6" t="s">
        <v>874</v>
      </c>
    </row>
    <row r="72" customFormat="false" ht="69.75" hidden="false" customHeight="true" outlineLevel="0" collapsed="false">
      <c r="A72" s="5" t="s">
        <v>150</v>
      </c>
      <c r="B72" s="5" t="s">
        <v>872</v>
      </c>
      <c r="C72" s="5" t="s">
        <v>873</v>
      </c>
      <c r="D72" s="5" t="n">
        <v>1</v>
      </c>
      <c r="E72" s="5" t="n">
        <f aca="false">D72+1</f>
        <v>2</v>
      </c>
      <c r="F72" s="5" t="n">
        <v>1</v>
      </c>
      <c r="G72" s="16" t="n">
        <f aca="false">Parametry!$C$12</f>
        <v>6</v>
      </c>
      <c r="H72" s="5" t="n">
        <f aca="false">ROUNDDOWN(Parametry!$C$9*Parametry!$C$10^(F72-1),0)</f>
        <v>60</v>
      </c>
      <c r="I72" s="5" t="n">
        <f aca="false">ROUNDUP((Parametry!$C$23*MAX(1,D72))*1,0)</f>
        <v>500</v>
      </c>
      <c r="J72" s="5" t="n">
        <f aca="false">ROUNDUP((Parametry!$C$23*MAX(1,D72))*1,0)</f>
        <v>500</v>
      </c>
      <c r="K72" s="5" t="n">
        <f aca="false">ROUNDUP((Parametry!$C$23*MAX(1,D72))*1,0)</f>
        <v>500</v>
      </c>
      <c r="L72" s="5" t="n">
        <f aca="false">ROUNDUP((Parametry!$C$23*MAX(1,D72))*1,0)</f>
        <v>500</v>
      </c>
      <c r="M72" s="5" t="n">
        <f aca="false">ROUNDUP((Parametry!$C$23*MAX(1,D72))*1,0)</f>
        <v>500</v>
      </c>
      <c r="N72" s="5" t="n">
        <f aca="false">ROUNDUP((Parametry!$C$23*MAX(1,D72))*1,0)</f>
        <v>500</v>
      </c>
      <c r="O72" s="5" t="n">
        <f aca="false">ROUNDUP(J72/H72,0)</f>
        <v>9</v>
      </c>
      <c r="P72" s="5" t="n">
        <f aca="false">ROUNDUP(K72/H72,0)</f>
        <v>9</v>
      </c>
      <c r="Q72" s="5" t="n">
        <f aca="false">ROUNDUP(L72/H72,0)</f>
        <v>9</v>
      </c>
      <c r="R72" s="5" t="n">
        <f aca="false">ROUNDUP(M72/H72,0)</f>
        <v>9</v>
      </c>
      <c r="S72" s="5" t="n">
        <f aca="false">ROUNDUP(N72/H72,0)</f>
        <v>9</v>
      </c>
      <c r="T72" s="5" t="n">
        <f aca="false">SUM(O72:S72)</f>
        <v>45</v>
      </c>
      <c r="U72" s="5" t="n">
        <f aca="false">ROUNDUP(T72/G72,0)</f>
        <v>8</v>
      </c>
      <c r="V72" s="5" t="n">
        <f aca="false">U72*Parametry!$C$11</f>
        <v>40</v>
      </c>
      <c r="W72" s="5" t="n">
        <f aca="false">5</f>
        <v>5</v>
      </c>
      <c r="X72" s="5" t="n">
        <f aca="false">V72*(W72-1)</f>
        <v>160</v>
      </c>
      <c r="Y72" s="5" t="n">
        <f aca="false">V72*W72</f>
        <v>200</v>
      </c>
      <c r="Z72" s="5" t="n">
        <f aca="false">SUM(J72:N72)</f>
        <v>2500</v>
      </c>
      <c r="AA72" s="5" t="s">
        <v>874</v>
      </c>
    </row>
    <row r="73" customFormat="false" ht="69.75" hidden="false" customHeight="true" outlineLevel="0" collapsed="false">
      <c r="A73" s="6" t="s">
        <v>150</v>
      </c>
      <c r="B73" s="6" t="s">
        <v>872</v>
      </c>
      <c r="C73" s="6" t="s">
        <v>875</v>
      </c>
      <c r="D73" s="6" t="n">
        <v>1</v>
      </c>
      <c r="E73" s="6" t="n">
        <f aca="false">D73+1</f>
        <v>2</v>
      </c>
      <c r="F73" s="6" t="n">
        <v>1</v>
      </c>
      <c r="G73" s="17" t="n">
        <f aca="false">Parametry!$C$12</f>
        <v>6</v>
      </c>
      <c r="H73" s="6" t="n">
        <f aca="false">ROUNDDOWN(Parametry!$C$9*Parametry!$C$10^(F73-1),0)</f>
        <v>60</v>
      </c>
      <c r="I73" s="6" t="n">
        <f aca="false">ROUNDUP((Parametry!$C$23*MAX(1,D73))*Parametry!$C$15,0)</f>
        <v>550</v>
      </c>
      <c r="J73" s="6" t="n">
        <f aca="false">ROUNDUP((Parametry!$C$23*MAX(1,D73))*Parametry!$C$15,0)</f>
        <v>550</v>
      </c>
      <c r="K73" s="6" t="n">
        <f aca="false">ROUNDUP((Parametry!$C$23*MAX(1,D73))*Parametry!$C$15,0)</f>
        <v>550</v>
      </c>
      <c r="L73" s="6" t="n">
        <f aca="false">ROUNDUP((Parametry!$C$23*MAX(1,D73))*Parametry!$C$15,0)</f>
        <v>550</v>
      </c>
      <c r="M73" s="6" t="n">
        <f aca="false">ROUNDUP((Parametry!$C$23*MAX(1,D73))*Parametry!$C$15,0)</f>
        <v>550</v>
      </c>
      <c r="N73" s="6" t="n">
        <f aca="false">ROUNDUP((Parametry!$C$23*MAX(1,D73))*Parametry!$C$15,0)</f>
        <v>550</v>
      </c>
      <c r="O73" s="6" t="n">
        <f aca="false">ROUNDUP(J73/H73,0)</f>
        <v>10</v>
      </c>
      <c r="P73" s="6" t="n">
        <f aca="false">ROUNDUP(K73/H73,0)</f>
        <v>10</v>
      </c>
      <c r="Q73" s="6" t="n">
        <f aca="false">ROUNDUP(L73/H73,0)</f>
        <v>10</v>
      </c>
      <c r="R73" s="6" t="n">
        <f aca="false">ROUNDUP(M73/H73,0)</f>
        <v>10</v>
      </c>
      <c r="S73" s="6" t="n">
        <f aca="false">ROUNDUP(N73/H73,0)</f>
        <v>10</v>
      </c>
      <c r="T73" s="6" t="n">
        <f aca="false">SUM(O73:S73)</f>
        <v>50</v>
      </c>
      <c r="U73" s="6" t="n">
        <f aca="false">ROUNDUP(T73/G73,0)</f>
        <v>9</v>
      </c>
      <c r="V73" s="6" t="n">
        <f aca="false">U73*Parametry!$C$11</f>
        <v>45</v>
      </c>
      <c r="W73" s="6" t="n">
        <f aca="false">5</f>
        <v>5</v>
      </c>
      <c r="X73" s="6" t="n">
        <f aca="false">V73*(W73-1)</f>
        <v>180</v>
      </c>
      <c r="Y73" s="6" t="n">
        <f aca="false">V73*W73</f>
        <v>225</v>
      </c>
      <c r="Z73" s="6" t="n">
        <f aca="false">SUM(J73:N73)</f>
        <v>2750</v>
      </c>
      <c r="AA73" s="6" t="s">
        <v>874</v>
      </c>
    </row>
    <row r="74" customFormat="false" ht="69.75" hidden="false" customHeight="true" outlineLevel="0" collapsed="false">
      <c r="A74" s="5" t="s">
        <v>150</v>
      </c>
      <c r="B74" s="5" t="s">
        <v>876</v>
      </c>
      <c r="C74" s="5" t="s">
        <v>873</v>
      </c>
      <c r="D74" s="5" t="n">
        <v>2</v>
      </c>
      <c r="E74" s="5" t="n">
        <f aca="false">D74+1</f>
        <v>3</v>
      </c>
      <c r="F74" s="5" t="n">
        <v>2</v>
      </c>
      <c r="G74" s="16" t="n">
        <f aca="false">Parametry!$C$12</f>
        <v>6</v>
      </c>
      <c r="H74" s="5" t="n">
        <f aca="false">ROUNDDOWN(Parametry!$C$9*Parametry!$C$10^(F74-1),0)</f>
        <v>66</v>
      </c>
      <c r="I74" s="5" t="n">
        <f aca="false">ROUNDUP((Parametry!$C$23*MAX(1,D74))*1,0)</f>
        <v>1000</v>
      </c>
      <c r="J74" s="5" t="n">
        <f aca="false">ROUNDUP((Parametry!$C$23*MAX(1,D74))*1,0)</f>
        <v>1000</v>
      </c>
      <c r="K74" s="5" t="n">
        <f aca="false">ROUNDUP((Parametry!$C$23*MAX(1,D74))*1,0)</f>
        <v>1000</v>
      </c>
      <c r="L74" s="5" t="n">
        <f aca="false">ROUNDUP((Parametry!$C$23*MAX(1,D74))*1,0)</f>
        <v>1000</v>
      </c>
      <c r="M74" s="5" t="n">
        <f aca="false">ROUNDUP((Parametry!$C$23*MAX(1,D74))*1,0)</f>
        <v>1000</v>
      </c>
      <c r="N74" s="5" t="n">
        <f aca="false">ROUNDUP((Parametry!$C$23*MAX(1,D74))*1,0)</f>
        <v>1000</v>
      </c>
      <c r="O74" s="5" t="n">
        <f aca="false">ROUNDUP(J74/H74,0)</f>
        <v>16</v>
      </c>
      <c r="P74" s="5" t="n">
        <f aca="false">ROUNDUP(K74/H74,0)</f>
        <v>16</v>
      </c>
      <c r="Q74" s="5" t="n">
        <f aca="false">ROUNDUP(L74/H74,0)</f>
        <v>16</v>
      </c>
      <c r="R74" s="5" t="n">
        <f aca="false">ROUNDUP(M74/H74,0)</f>
        <v>16</v>
      </c>
      <c r="S74" s="5" t="n">
        <f aca="false">ROUNDUP(N74/H74,0)</f>
        <v>16</v>
      </c>
      <c r="T74" s="5" t="n">
        <f aca="false">SUM(O74:S74)</f>
        <v>80</v>
      </c>
      <c r="U74" s="5" t="n">
        <f aca="false">ROUNDUP(T74/G74,0)</f>
        <v>14</v>
      </c>
      <c r="V74" s="5" t="n">
        <f aca="false">U74*Parametry!$C$11</f>
        <v>70</v>
      </c>
      <c r="W74" s="5" t="n">
        <f aca="false">5</f>
        <v>5</v>
      </c>
      <c r="X74" s="5" t="n">
        <f aca="false">V74*(W74-1)</f>
        <v>280</v>
      </c>
      <c r="Y74" s="5" t="n">
        <f aca="false">V74*W74</f>
        <v>350</v>
      </c>
      <c r="Z74" s="5" t="n">
        <f aca="false">SUM(J74:N74)</f>
        <v>5000</v>
      </c>
      <c r="AA74" s="5" t="s">
        <v>874</v>
      </c>
    </row>
    <row r="75" customFormat="false" ht="69.75" hidden="false" customHeight="true" outlineLevel="0" collapsed="false">
      <c r="A75" s="6" t="s">
        <v>150</v>
      </c>
      <c r="B75" s="6" t="s">
        <v>876</v>
      </c>
      <c r="C75" s="6" t="s">
        <v>875</v>
      </c>
      <c r="D75" s="6" t="n">
        <v>2</v>
      </c>
      <c r="E75" s="6" t="n">
        <f aca="false">D75+1</f>
        <v>3</v>
      </c>
      <c r="F75" s="6" t="n">
        <v>2</v>
      </c>
      <c r="G75" s="17" t="n">
        <f aca="false">Parametry!$C$12</f>
        <v>6</v>
      </c>
      <c r="H75" s="6" t="n">
        <f aca="false">ROUNDDOWN(Parametry!$C$9*Parametry!$C$10^(F75-1),0)</f>
        <v>66</v>
      </c>
      <c r="I75" s="6" t="n">
        <f aca="false">ROUNDUP((Parametry!$C$23*MAX(1,D75))*Parametry!$C$15,0)</f>
        <v>1100</v>
      </c>
      <c r="J75" s="6" t="n">
        <f aca="false">ROUNDUP((Parametry!$C$23*MAX(1,D75))*Parametry!$C$15,0)</f>
        <v>1100</v>
      </c>
      <c r="K75" s="6" t="n">
        <f aca="false">ROUNDUP((Parametry!$C$23*MAX(1,D75))*Parametry!$C$15,0)</f>
        <v>1100</v>
      </c>
      <c r="L75" s="6" t="n">
        <f aca="false">ROUNDUP((Parametry!$C$23*MAX(1,D75))*Parametry!$C$15,0)</f>
        <v>1100</v>
      </c>
      <c r="M75" s="6" t="n">
        <f aca="false">ROUNDUP((Parametry!$C$23*MAX(1,D75))*Parametry!$C$15,0)</f>
        <v>1100</v>
      </c>
      <c r="N75" s="6" t="n">
        <f aca="false">ROUNDUP((Parametry!$C$23*MAX(1,D75))*Parametry!$C$15,0)</f>
        <v>1100</v>
      </c>
      <c r="O75" s="6" t="n">
        <f aca="false">ROUNDUP(J75/H75,0)</f>
        <v>17</v>
      </c>
      <c r="P75" s="6" t="n">
        <f aca="false">ROUNDUP(K75/H75,0)</f>
        <v>17</v>
      </c>
      <c r="Q75" s="6" t="n">
        <f aca="false">ROUNDUP(L75/H75,0)</f>
        <v>17</v>
      </c>
      <c r="R75" s="6" t="n">
        <f aca="false">ROUNDUP(M75/H75,0)</f>
        <v>17</v>
      </c>
      <c r="S75" s="6" t="n">
        <f aca="false">ROUNDUP(N75/H75,0)</f>
        <v>17</v>
      </c>
      <c r="T75" s="6" t="n">
        <f aca="false">SUM(O75:S75)</f>
        <v>85</v>
      </c>
      <c r="U75" s="6" t="n">
        <f aca="false">ROUNDUP(T75/G75,0)</f>
        <v>15</v>
      </c>
      <c r="V75" s="6" t="n">
        <f aca="false">U75*Parametry!$C$11</f>
        <v>75</v>
      </c>
      <c r="W75" s="6" t="n">
        <f aca="false">5</f>
        <v>5</v>
      </c>
      <c r="X75" s="6" t="n">
        <f aca="false">V75*(W75-1)</f>
        <v>300</v>
      </c>
      <c r="Y75" s="6" t="n">
        <f aca="false">V75*W75</f>
        <v>375</v>
      </c>
      <c r="Z75" s="6" t="n">
        <f aca="false">SUM(J75:N75)</f>
        <v>5500</v>
      </c>
      <c r="AA75" s="6" t="s">
        <v>874</v>
      </c>
    </row>
    <row r="76" customFormat="false" ht="69.75" hidden="false" customHeight="true" outlineLevel="0" collapsed="false">
      <c r="A76" s="5" t="s">
        <v>150</v>
      </c>
      <c r="B76" s="5" t="s">
        <v>877</v>
      </c>
      <c r="C76" s="5" t="s">
        <v>873</v>
      </c>
      <c r="D76" s="5" t="n">
        <v>3</v>
      </c>
      <c r="E76" s="5" t="n">
        <f aca="false">D76+1</f>
        <v>4</v>
      </c>
      <c r="F76" s="5" t="n">
        <v>3</v>
      </c>
      <c r="G76" s="16" t="n">
        <f aca="false">Parametry!$C$12</f>
        <v>6</v>
      </c>
      <c r="H76" s="5" t="n">
        <f aca="false">ROUNDDOWN(Parametry!$C$9*Parametry!$C$10^(F76-1),0)</f>
        <v>72</v>
      </c>
      <c r="I76" s="5" t="n">
        <f aca="false">ROUNDUP((Parametry!$C$23*MAX(1,D76))*1,0)</f>
        <v>1500</v>
      </c>
      <c r="J76" s="5" t="n">
        <f aca="false">ROUNDUP((Parametry!$C$23*MAX(1,D76))*1,0)</f>
        <v>1500</v>
      </c>
      <c r="K76" s="5" t="n">
        <f aca="false">ROUNDUP((Parametry!$C$23*MAX(1,D76))*1,0)</f>
        <v>1500</v>
      </c>
      <c r="L76" s="5" t="n">
        <f aca="false">ROUNDUP((Parametry!$C$23*MAX(1,D76))*1,0)</f>
        <v>1500</v>
      </c>
      <c r="M76" s="5" t="n">
        <f aca="false">ROUNDUP((Parametry!$C$23*MAX(1,D76))*1,0)</f>
        <v>1500</v>
      </c>
      <c r="N76" s="5" t="n">
        <f aca="false">ROUNDUP((Parametry!$C$23*MAX(1,D76))*1,0)</f>
        <v>1500</v>
      </c>
      <c r="O76" s="5" t="n">
        <f aca="false">ROUNDUP(J76/H76,0)</f>
        <v>21</v>
      </c>
      <c r="P76" s="5" t="n">
        <f aca="false">ROUNDUP(K76/H76,0)</f>
        <v>21</v>
      </c>
      <c r="Q76" s="5" t="n">
        <f aca="false">ROUNDUP(L76/H76,0)</f>
        <v>21</v>
      </c>
      <c r="R76" s="5" t="n">
        <f aca="false">ROUNDUP(M76/H76,0)</f>
        <v>21</v>
      </c>
      <c r="S76" s="5" t="n">
        <f aca="false">ROUNDUP(N76/H76,0)</f>
        <v>21</v>
      </c>
      <c r="T76" s="5" t="n">
        <f aca="false">SUM(O76:S76)</f>
        <v>105</v>
      </c>
      <c r="U76" s="5" t="n">
        <f aca="false">ROUNDUP(T76/G76,0)</f>
        <v>18</v>
      </c>
      <c r="V76" s="5" t="n">
        <f aca="false">U76*Parametry!$C$11</f>
        <v>90</v>
      </c>
      <c r="W76" s="5" t="n">
        <f aca="false">5</f>
        <v>5</v>
      </c>
      <c r="X76" s="5" t="n">
        <f aca="false">V76*(W76-1)</f>
        <v>360</v>
      </c>
      <c r="Y76" s="5" t="n">
        <f aca="false">V76*W76</f>
        <v>450</v>
      </c>
      <c r="Z76" s="5" t="n">
        <f aca="false">SUM(J76:N76)</f>
        <v>7500</v>
      </c>
      <c r="AA76" s="5" t="s">
        <v>874</v>
      </c>
    </row>
    <row r="77" customFormat="false" ht="69.75" hidden="false" customHeight="true" outlineLevel="0" collapsed="false">
      <c r="A77" s="6" t="s">
        <v>150</v>
      </c>
      <c r="B77" s="6" t="s">
        <v>877</v>
      </c>
      <c r="C77" s="6" t="s">
        <v>875</v>
      </c>
      <c r="D77" s="6" t="n">
        <v>3</v>
      </c>
      <c r="E77" s="6" t="n">
        <f aca="false">D77+1</f>
        <v>4</v>
      </c>
      <c r="F77" s="6" t="n">
        <v>3</v>
      </c>
      <c r="G77" s="17" t="n">
        <f aca="false">Parametry!$C$12</f>
        <v>6</v>
      </c>
      <c r="H77" s="6" t="n">
        <f aca="false">ROUNDDOWN(Parametry!$C$9*Parametry!$C$10^(F77-1),0)</f>
        <v>72</v>
      </c>
      <c r="I77" s="6" t="n">
        <f aca="false">ROUNDUP((Parametry!$C$23*MAX(1,D77))*Parametry!$C$15,0)</f>
        <v>1650</v>
      </c>
      <c r="J77" s="6" t="n">
        <f aca="false">ROUNDUP((Parametry!$C$23*MAX(1,D77))*Parametry!$C$15,0)</f>
        <v>1650</v>
      </c>
      <c r="K77" s="6" t="n">
        <f aca="false">ROUNDUP((Parametry!$C$23*MAX(1,D77))*Parametry!$C$15,0)</f>
        <v>1650</v>
      </c>
      <c r="L77" s="6" t="n">
        <f aca="false">ROUNDUP((Parametry!$C$23*MAX(1,D77))*Parametry!$C$15,0)</f>
        <v>1650</v>
      </c>
      <c r="M77" s="6" t="n">
        <f aca="false">ROUNDUP((Parametry!$C$23*MAX(1,D77))*Parametry!$C$15,0)</f>
        <v>1650</v>
      </c>
      <c r="N77" s="6" t="n">
        <f aca="false">ROUNDUP((Parametry!$C$23*MAX(1,D77))*Parametry!$C$15,0)</f>
        <v>1650</v>
      </c>
      <c r="O77" s="6" t="n">
        <f aca="false">ROUNDUP(J77/H77,0)</f>
        <v>23</v>
      </c>
      <c r="P77" s="6" t="n">
        <f aca="false">ROUNDUP(K77/H77,0)</f>
        <v>23</v>
      </c>
      <c r="Q77" s="6" t="n">
        <f aca="false">ROUNDUP(L77/H77,0)</f>
        <v>23</v>
      </c>
      <c r="R77" s="6" t="n">
        <f aca="false">ROUNDUP(M77/H77,0)</f>
        <v>23</v>
      </c>
      <c r="S77" s="6" t="n">
        <f aca="false">ROUNDUP(N77/H77,0)</f>
        <v>23</v>
      </c>
      <c r="T77" s="6" t="n">
        <f aca="false">SUM(O77:S77)</f>
        <v>115</v>
      </c>
      <c r="U77" s="6" t="n">
        <f aca="false">ROUNDUP(T77/G77,0)</f>
        <v>20</v>
      </c>
      <c r="V77" s="6" t="n">
        <f aca="false">U77*Parametry!$C$11</f>
        <v>100</v>
      </c>
      <c r="W77" s="6" t="n">
        <f aca="false">5</f>
        <v>5</v>
      </c>
      <c r="X77" s="6" t="n">
        <f aca="false">V77*(W77-1)</f>
        <v>400</v>
      </c>
      <c r="Y77" s="6" t="n">
        <f aca="false">V77*W77</f>
        <v>500</v>
      </c>
      <c r="Z77" s="6" t="n">
        <f aca="false">SUM(J77:N77)</f>
        <v>8250</v>
      </c>
      <c r="AA77" s="6" t="s">
        <v>874</v>
      </c>
    </row>
    <row r="78" customFormat="false" ht="69.75" hidden="false" customHeight="true" outlineLevel="0" collapsed="false">
      <c r="A78" s="5" t="s">
        <v>150</v>
      </c>
      <c r="B78" s="5" t="s">
        <v>878</v>
      </c>
      <c r="C78" s="5" t="s">
        <v>873</v>
      </c>
      <c r="D78" s="5" t="n">
        <v>0</v>
      </c>
      <c r="E78" s="5" t="n">
        <f aca="false">D78+1</f>
        <v>1</v>
      </c>
      <c r="F78" s="5" t="n">
        <v>1</v>
      </c>
      <c r="G78" s="16" t="n">
        <f aca="false">Parametry!$C$12</f>
        <v>6</v>
      </c>
      <c r="H78" s="5" t="n">
        <f aca="false">ROUNDDOWN(Parametry!$C$9*Parametry!$C$10^(F78-1),0)</f>
        <v>60</v>
      </c>
      <c r="I78" s="5" t="n">
        <f aca="false">ROUNDUP((Parametry!$C$23*MAX(1,D78))*1,0)</f>
        <v>500</v>
      </c>
      <c r="J78" s="5" t="n">
        <f aca="false">ROUNDUP((Parametry!$C$23*MAX(1,D78))*1,0)</f>
        <v>500</v>
      </c>
      <c r="K78" s="5" t="n">
        <f aca="false">ROUNDUP((Parametry!$C$23*MAX(1,D78))*1,0)</f>
        <v>500</v>
      </c>
      <c r="L78" s="5" t="n">
        <f aca="false">ROUNDUP((Parametry!$C$23*MAX(1,D78))*1,0)</f>
        <v>500</v>
      </c>
      <c r="M78" s="5" t="n">
        <f aca="false">ROUNDUP((Parametry!$C$23*MAX(1,D78))*1,0)</f>
        <v>500</v>
      </c>
      <c r="N78" s="5" t="n">
        <f aca="false">ROUNDUP((Parametry!$C$23*MAX(1,D78))*1,0)</f>
        <v>500</v>
      </c>
      <c r="O78" s="5" t="n">
        <f aca="false">ROUNDUP(J78/H78,0)</f>
        <v>9</v>
      </c>
      <c r="P78" s="5" t="n">
        <f aca="false">ROUNDUP(K78/H78,0)</f>
        <v>9</v>
      </c>
      <c r="Q78" s="5" t="n">
        <f aca="false">ROUNDUP(L78/H78,0)</f>
        <v>9</v>
      </c>
      <c r="R78" s="5" t="n">
        <f aca="false">ROUNDUP(M78/H78,0)</f>
        <v>9</v>
      </c>
      <c r="S78" s="5" t="n">
        <f aca="false">ROUNDUP(N78/H78,0)</f>
        <v>9</v>
      </c>
      <c r="T78" s="5" t="n">
        <f aca="false">SUM(O78:S78)</f>
        <v>45</v>
      </c>
      <c r="U78" s="5" t="n">
        <f aca="false">ROUNDUP(T78/G78,0)</f>
        <v>8</v>
      </c>
      <c r="V78" s="5" t="n">
        <f aca="false">U78*Parametry!$C$11</f>
        <v>40</v>
      </c>
      <c r="W78" s="5" t="n">
        <f aca="false">5</f>
        <v>5</v>
      </c>
      <c r="X78" s="5" t="n">
        <f aca="false">V78*(W78-1)</f>
        <v>160</v>
      </c>
      <c r="Y78" s="5" t="n">
        <f aca="false">V78*W78</f>
        <v>200</v>
      </c>
      <c r="Z78" s="5" t="n">
        <f aca="false">SUM(J78:N78)</f>
        <v>2500</v>
      </c>
      <c r="AA78" s="5" t="s">
        <v>874</v>
      </c>
    </row>
    <row r="79" customFormat="false" ht="69.75" hidden="false" customHeight="true" outlineLevel="0" collapsed="false">
      <c r="A79" s="6" t="s">
        <v>150</v>
      </c>
      <c r="B79" s="6" t="s">
        <v>878</v>
      </c>
      <c r="C79" s="6" t="s">
        <v>875</v>
      </c>
      <c r="D79" s="6" t="n">
        <v>0</v>
      </c>
      <c r="E79" s="6" t="n">
        <f aca="false">D79+1</f>
        <v>1</v>
      </c>
      <c r="F79" s="6" t="n">
        <v>1</v>
      </c>
      <c r="G79" s="17" t="n">
        <f aca="false">Parametry!$C$12</f>
        <v>6</v>
      </c>
      <c r="H79" s="6" t="n">
        <f aca="false">ROUNDDOWN(Parametry!$C$9*Parametry!$C$10^(F79-1),0)</f>
        <v>60</v>
      </c>
      <c r="I79" s="6" t="n">
        <f aca="false">ROUNDUP((Parametry!$C$23*MAX(1,D79))*Parametry!$C$15,0)</f>
        <v>550</v>
      </c>
      <c r="J79" s="6" t="n">
        <f aca="false">ROUNDUP((Parametry!$C$23*MAX(1,D79))*Parametry!$C$15,0)</f>
        <v>550</v>
      </c>
      <c r="K79" s="6" t="n">
        <f aca="false">ROUNDUP((Parametry!$C$23*MAX(1,D79))*Parametry!$C$15,0)</f>
        <v>550</v>
      </c>
      <c r="L79" s="6" t="n">
        <f aca="false">ROUNDUP((Parametry!$C$23*MAX(1,D79))*Parametry!$C$15,0)</f>
        <v>550</v>
      </c>
      <c r="M79" s="6" t="n">
        <f aca="false">ROUNDUP((Parametry!$C$23*MAX(1,D79))*Parametry!$C$15,0)</f>
        <v>550</v>
      </c>
      <c r="N79" s="6" t="n">
        <f aca="false">ROUNDUP((Parametry!$C$23*MAX(1,D79))*Parametry!$C$15,0)</f>
        <v>550</v>
      </c>
      <c r="O79" s="6" t="n">
        <f aca="false">ROUNDUP(J79/H79,0)</f>
        <v>10</v>
      </c>
      <c r="P79" s="6" t="n">
        <f aca="false">ROUNDUP(K79/H79,0)</f>
        <v>10</v>
      </c>
      <c r="Q79" s="6" t="n">
        <f aca="false">ROUNDUP(L79/H79,0)</f>
        <v>10</v>
      </c>
      <c r="R79" s="6" t="n">
        <f aca="false">ROUNDUP(M79/H79,0)</f>
        <v>10</v>
      </c>
      <c r="S79" s="6" t="n">
        <f aca="false">ROUNDUP(N79/H79,0)</f>
        <v>10</v>
      </c>
      <c r="T79" s="6" t="n">
        <f aca="false">SUM(O79:S79)</f>
        <v>50</v>
      </c>
      <c r="U79" s="6" t="n">
        <f aca="false">ROUNDUP(T79/G79,0)</f>
        <v>9</v>
      </c>
      <c r="V79" s="6" t="n">
        <f aca="false">U79*Parametry!$C$11</f>
        <v>45</v>
      </c>
      <c r="W79" s="6" t="n">
        <f aca="false">5</f>
        <v>5</v>
      </c>
      <c r="X79" s="6" t="n">
        <f aca="false">V79*(W79-1)</f>
        <v>180</v>
      </c>
      <c r="Y79" s="6" t="n">
        <f aca="false">V79*W79</f>
        <v>225</v>
      </c>
      <c r="Z79" s="6" t="n">
        <f aca="false">SUM(J79:N79)</f>
        <v>2750</v>
      </c>
      <c r="AA79" s="6" t="s">
        <v>874</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3" min="2" style="1" width="120"/>
    <col collapsed="false" customWidth="true" hidden="false" outlineLevel="0" max="4" min="4" style="1" width="55"/>
  </cols>
  <sheetData>
    <row r="1" customFormat="false" ht="33.75" hidden="false" customHeight="true" outlineLevel="0" collapsed="false">
      <c r="A1" s="7" t="s">
        <v>879</v>
      </c>
      <c r="B1" s="7"/>
      <c r="C1" s="7"/>
      <c r="D1" s="7"/>
    </row>
    <row r="2" customFormat="false" ht="24.75" hidden="false" customHeight="true" outlineLevel="0" collapsed="false">
      <c r="A2" s="3" t="s">
        <v>880</v>
      </c>
      <c r="B2" s="3"/>
      <c r="C2" s="3"/>
      <c r="D2" s="3"/>
    </row>
    <row r="3" customFormat="false" ht="24.75" hidden="false" customHeight="true" outlineLevel="0" collapsed="false">
      <c r="A3" s="3"/>
      <c r="B3" s="3"/>
      <c r="C3" s="3"/>
      <c r="D3" s="3"/>
    </row>
    <row r="5" customFormat="false" ht="48" hidden="false" customHeight="true" outlineLevel="0" collapsed="false">
      <c r="A5" s="4" t="s">
        <v>2</v>
      </c>
      <c r="B5" s="4" t="s">
        <v>175</v>
      </c>
      <c r="C5" s="4" t="s">
        <v>881</v>
      </c>
      <c r="D5" s="4" t="s">
        <v>178</v>
      </c>
    </row>
    <row r="6" customFormat="false" ht="105" hidden="false" customHeight="true" outlineLevel="0" collapsed="false">
      <c r="A6" s="5" t="s">
        <v>882</v>
      </c>
      <c r="B6" s="5" t="s">
        <v>883</v>
      </c>
      <c r="C6" s="5" t="s">
        <v>884</v>
      </c>
      <c r="D6" s="5" t="s">
        <v>337</v>
      </c>
    </row>
    <row r="7" customFormat="false" ht="105" hidden="false" customHeight="true" outlineLevel="0" collapsed="false">
      <c r="A7" s="6" t="s">
        <v>885</v>
      </c>
      <c r="B7" s="6" t="s">
        <v>886</v>
      </c>
      <c r="C7" s="6" t="s">
        <v>887</v>
      </c>
      <c r="D7" s="6" t="s">
        <v>337</v>
      </c>
    </row>
    <row r="8" customFormat="false" ht="105" hidden="false" customHeight="true" outlineLevel="0" collapsed="false">
      <c r="A8" s="5" t="s">
        <v>888</v>
      </c>
      <c r="B8" s="5" t="s">
        <v>889</v>
      </c>
      <c r="C8" s="5" t="s">
        <v>890</v>
      </c>
      <c r="D8" s="5" t="s">
        <v>337</v>
      </c>
    </row>
    <row r="9" customFormat="false" ht="105" hidden="false" customHeight="true" outlineLevel="0" collapsed="false">
      <c r="A9" s="6" t="s">
        <v>891</v>
      </c>
      <c r="B9" s="6" t="s">
        <v>892</v>
      </c>
      <c r="C9" s="6" t="s">
        <v>893</v>
      </c>
      <c r="D9" s="6" t="s">
        <v>327</v>
      </c>
    </row>
    <row r="10" customFormat="false" ht="105" hidden="false" customHeight="true" outlineLevel="0" collapsed="false">
      <c r="A10" s="5" t="s">
        <v>894</v>
      </c>
      <c r="B10" s="5" t="s">
        <v>895</v>
      </c>
      <c r="C10" s="5" t="s">
        <v>896</v>
      </c>
      <c r="D10" s="5" t="s">
        <v>897</v>
      </c>
    </row>
    <row r="11" customFormat="false" ht="105" hidden="false" customHeight="true" outlineLevel="0" collapsed="false">
      <c r="A11" s="6" t="s">
        <v>898</v>
      </c>
      <c r="B11" s="6" t="s">
        <v>899</v>
      </c>
      <c r="C11" s="6" t="s">
        <v>900</v>
      </c>
      <c r="D11" s="6" t="s">
        <v>337</v>
      </c>
    </row>
    <row r="12" customFormat="false" ht="105" hidden="false" customHeight="true" outlineLevel="0" collapsed="false">
      <c r="A12" s="5" t="s">
        <v>901</v>
      </c>
      <c r="B12" s="5" t="s">
        <v>902</v>
      </c>
      <c r="C12" s="5" t="s">
        <v>903</v>
      </c>
      <c r="D12" s="5" t="s">
        <v>337</v>
      </c>
    </row>
    <row r="13" customFormat="false" ht="105" hidden="false" customHeight="true" outlineLevel="0" collapsed="false">
      <c r="A13" s="6" t="s">
        <v>130</v>
      </c>
      <c r="B13" s="6" t="s">
        <v>904</v>
      </c>
      <c r="C13" s="6" t="s">
        <v>905</v>
      </c>
      <c r="D13" s="6" t="s">
        <v>906</v>
      </c>
    </row>
    <row r="14" customFormat="false" ht="105" hidden="false" customHeight="true" outlineLevel="0" collapsed="false">
      <c r="A14" s="5" t="s">
        <v>907</v>
      </c>
      <c r="B14" s="5" t="s">
        <v>908</v>
      </c>
      <c r="C14" s="5" t="s">
        <v>909</v>
      </c>
      <c r="D14" s="5" t="s">
        <v>337</v>
      </c>
    </row>
    <row r="15" customFormat="false" ht="105" hidden="false" customHeight="true" outlineLevel="0" collapsed="false">
      <c r="A15" s="6" t="s">
        <v>910</v>
      </c>
      <c r="B15" s="6" t="s">
        <v>911</v>
      </c>
      <c r="C15" s="6" t="s">
        <v>912</v>
      </c>
      <c r="D15" s="6" t="s">
        <v>913</v>
      </c>
    </row>
    <row r="16" customFormat="false" ht="105" hidden="false" customHeight="true" outlineLevel="0" collapsed="false">
      <c r="A16" s="5" t="s">
        <v>914</v>
      </c>
      <c r="B16" s="5" t="s">
        <v>915</v>
      </c>
      <c r="C16" s="5" t="s">
        <v>916</v>
      </c>
      <c r="D16" s="5" t="s">
        <v>337</v>
      </c>
    </row>
    <row r="17" customFormat="false" ht="105" hidden="false" customHeight="true" outlineLevel="0" collapsed="false">
      <c r="A17" s="6" t="s">
        <v>917</v>
      </c>
      <c r="B17" s="6" t="s">
        <v>918</v>
      </c>
      <c r="C17" s="6" t="s">
        <v>919</v>
      </c>
      <c r="D17" s="6" t="s">
        <v>920</v>
      </c>
    </row>
    <row r="18" customFormat="false" ht="105" hidden="false" customHeight="true" outlineLevel="0" collapsed="false">
      <c r="A18" s="5" t="s">
        <v>921</v>
      </c>
      <c r="B18" s="5" t="s">
        <v>922</v>
      </c>
      <c r="C18" s="5" t="s">
        <v>923</v>
      </c>
      <c r="D18" s="5" t="s">
        <v>924</v>
      </c>
    </row>
    <row r="19" customFormat="false" ht="105" hidden="false" customHeight="true" outlineLevel="0" collapsed="false">
      <c r="A19" s="6" t="s">
        <v>17</v>
      </c>
      <c r="B19" s="6" t="s">
        <v>925</v>
      </c>
      <c r="C19" s="6" t="s">
        <v>926</v>
      </c>
      <c r="D19" s="6" t="s">
        <v>927</v>
      </c>
    </row>
  </sheetData>
  <autoFilter ref="A5:D19"/>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1"/>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3"/>
    <col collapsed="false" customWidth="true" hidden="false" outlineLevel="0" max="2" min="2" style="1" width="65"/>
    <col collapsed="false" customWidth="true" hidden="false" outlineLevel="0" max="3" min="3" style="1" width="19"/>
    <col collapsed="false" customWidth="true" hidden="false" outlineLevel="0" max="4" min="4" style="1" width="29"/>
    <col collapsed="false" customWidth="true" hidden="false" outlineLevel="0" max="5" min="5" style="1" width="40"/>
    <col collapsed="false" customWidth="true" hidden="false" outlineLevel="0" max="6" min="6" style="1" width="100"/>
  </cols>
  <sheetData>
    <row r="1" customFormat="false" ht="33.75" hidden="false" customHeight="true" outlineLevel="0" collapsed="false">
      <c r="A1" s="7" t="s">
        <v>928</v>
      </c>
      <c r="B1" s="7"/>
      <c r="C1" s="7"/>
      <c r="D1" s="7"/>
      <c r="E1" s="7"/>
      <c r="F1" s="7"/>
    </row>
    <row r="2" customFormat="false" ht="24.75" hidden="false" customHeight="true" outlineLevel="0" collapsed="false">
      <c r="A2" s="3" t="s">
        <v>929</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930</v>
      </c>
      <c r="B5" s="4" t="s">
        <v>931</v>
      </c>
      <c r="C5" s="4" t="s">
        <v>932</v>
      </c>
      <c r="D5" s="4" t="s">
        <v>933</v>
      </c>
      <c r="E5" s="4" t="s">
        <v>178</v>
      </c>
      <c r="F5" s="4" t="s">
        <v>332</v>
      </c>
    </row>
    <row r="6" customFormat="false" ht="54.75" hidden="false" customHeight="true" outlineLevel="0" collapsed="false">
      <c r="A6" s="5" t="s">
        <v>934</v>
      </c>
      <c r="B6" s="5" t="s">
        <v>935</v>
      </c>
      <c r="C6" s="18" t="n">
        <v>12</v>
      </c>
      <c r="D6" s="5" t="s">
        <v>936</v>
      </c>
      <c r="E6" s="5" t="s">
        <v>937</v>
      </c>
      <c r="F6" s="5" t="s">
        <v>938</v>
      </c>
    </row>
    <row r="7" customFormat="false" ht="54.75" hidden="false" customHeight="true" outlineLevel="0" collapsed="false">
      <c r="A7" s="6" t="s">
        <v>939</v>
      </c>
      <c r="B7" s="6" t="s">
        <v>940</v>
      </c>
      <c r="C7" s="18" t="n">
        <v>24</v>
      </c>
      <c r="D7" s="6" t="s">
        <v>936</v>
      </c>
      <c r="E7" s="6" t="s">
        <v>937</v>
      </c>
      <c r="F7" s="6" t="s">
        <v>941</v>
      </c>
    </row>
    <row r="8" customFormat="false" ht="54.75" hidden="false" customHeight="true" outlineLevel="0" collapsed="false">
      <c r="A8" s="5" t="s">
        <v>942</v>
      </c>
      <c r="B8" s="5" t="s">
        <v>943</v>
      </c>
      <c r="C8" s="18" t="n">
        <v>12</v>
      </c>
      <c r="D8" s="5" t="s">
        <v>936</v>
      </c>
      <c r="E8" s="5" t="s">
        <v>944</v>
      </c>
      <c r="F8" s="5" t="s">
        <v>945</v>
      </c>
    </row>
    <row r="9" customFormat="false" ht="54.75" hidden="false" customHeight="true" outlineLevel="0" collapsed="false">
      <c r="A9" s="6" t="s">
        <v>946</v>
      </c>
      <c r="B9" s="6" t="s">
        <v>947</v>
      </c>
      <c r="C9" s="18" t="n">
        <v>60</v>
      </c>
      <c r="D9" s="6" t="s">
        <v>948</v>
      </c>
      <c r="E9" s="6" t="s">
        <v>337</v>
      </c>
      <c r="F9" s="6" t="s">
        <v>949</v>
      </c>
    </row>
    <row r="10" customFormat="false" ht="54.75" hidden="false" customHeight="true" outlineLevel="0" collapsed="false">
      <c r="A10" s="5" t="s">
        <v>950</v>
      </c>
      <c r="B10" s="5" t="s">
        <v>951</v>
      </c>
      <c r="C10" s="19" t="n">
        <v>1.1</v>
      </c>
      <c r="D10" s="5" t="s">
        <v>952</v>
      </c>
      <c r="E10" s="5" t="s">
        <v>953</v>
      </c>
      <c r="F10" s="5" t="s">
        <v>954</v>
      </c>
    </row>
    <row r="11" customFormat="false" ht="54.75" hidden="false" customHeight="true" outlineLevel="0" collapsed="false">
      <c r="A11" s="6" t="s">
        <v>955</v>
      </c>
      <c r="B11" s="6" t="s">
        <v>956</v>
      </c>
      <c r="C11" s="18" t="n">
        <v>5</v>
      </c>
      <c r="D11" s="6" t="s">
        <v>957</v>
      </c>
      <c r="E11" s="6" t="s">
        <v>927</v>
      </c>
      <c r="F11" s="6" t="s">
        <v>958</v>
      </c>
    </row>
    <row r="12" customFormat="false" ht="54.75" hidden="false" customHeight="true" outlineLevel="0" collapsed="false">
      <c r="A12" s="5" t="s">
        <v>959</v>
      </c>
      <c r="B12" s="5" t="s">
        <v>960</v>
      </c>
      <c r="C12" s="18" t="n">
        <v>6</v>
      </c>
      <c r="D12" s="5" t="s">
        <v>936</v>
      </c>
      <c r="E12" s="5" t="s">
        <v>961</v>
      </c>
      <c r="F12" s="5" t="s">
        <v>962</v>
      </c>
    </row>
    <row r="13" customFormat="false" ht="54.75" hidden="false" customHeight="true" outlineLevel="0" collapsed="false">
      <c r="A13" s="6" t="s">
        <v>963</v>
      </c>
      <c r="B13" s="6" t="s">
        <v>964</v>
      </c>
      <c r="C13" s="18" t="n">
        <v>50</v>
      </c>
      <c r="D13" s="6" t="s">
        <v>965</v>
      </c>
      <c r="E13" s="6" t="s">
        <v>966</v>
      </c>
      <c r="F13" s="6" t="s">
        <v>967</v>
      </c>
    </row>
    <row r="14" customFormat="false" ht="54.75" hidden="false" customHeight="true" outlineLevel="0" collapsed="false">
      <c r="A14" s="5" t="s">
        <v>968</v>
      </c>
      <c r="B14" s="5" t="s">
        <v>969</v>
      </c>
      <c r="C14" s="18" t="n">
        <v>5</v>
      </c>
      <c r="D14" s="5" t="s">
        <v>970</v>
      </c>
      <c r="E14" s="5" t="s">
        <v>944</v>
      </c>
      <c r="F14" s="5" t="s">
        <v>971</v>
      </c>
    </row>
    <row r="15" customFormat="false" ht="54.75" hidden="false" customHeight="true" outlineLevel="0" collapsed="false">
      <c r="A15" s="6" t="s">
        <v>972</v>
      </c>
      <c r="B15" s="6" t="s">
        <v>973</v>
      </c>
      <c r="C15" s="19" t="n">
        <v>1.1</v>
      </c>
      <c r="D15" s="6" t="s">
        <v>974</v>
      </c>
      <c r="E15" s="6" t="s">
        <v>966</v>
      </c>
      <c r="F15" s="6" t="s">
        <v>975</v>
      </c>
    </row>
    <row r="16" customFormat="false" ht="54.75" hidden="false" customHeight="true" outlineLevel="0" collapsed="false">
      <c r="A16" s="5" t="s">
        <v>976</v>
      </c>
      <c r="B16" s="5" t="s">
        <v>977</v>
      </c>
      <c r="C16" s="18" t="n">
        <v>240</v>
      </c>
      <c r="D16" s="5" t="s">
        <v>978</v>
      </c>
      <c r="E16" s="5" t="s">
        <v>937</v>
      </c>
      <c r="F16" s="5" t="s">
        <v>979</v>
      </c>
    </row>
    <row r="17" customFormat="false" ht="54.75" hidden="false" customHeight="true" outlineLevel="0" collapsed="false">
      <c r="A17" s="6" t="s">
        <v>980</v>
      </c>
      <c r="B17" s="6" t="s">
        <v>981</v>
      </c>
      <c r="C17" s="19" t="n">
        <v>0.3</v>
      </c>
      <c r="D17" s="6" t="s">
        <v>982</v>
      </c>
      <c r="E17" s="6" t="s">
        <v>937</v>
      </c>
      <c r="F17" s="6" t="s">
        <v>983</v>
      </c>
    </row>
    <row r="18" customFormat="false" ht="54.75" hidden="false" customHeight="true" outlineLevel="0" collapsed="false">
      <c r="A18" s="5" t="s">
        <v>984</v>
      </c>
      <c r="B18" s="5" t="s">
        <v>985</v>
      </c>
      <c r="C18" s="19" t="n">
        <v>0.3</v>
      </c>
      <c r="D18" s="5" t="s">
        <v>982</v>
      </c>
      <c r="E18" s="5" t="s">
        <v>937</v>
      </c>
      <c r="F18" s="5" t="s">
        <v>986</v>
      </c>
    </row>
    <row r="19" customFormat="false" ht="54.75" hidden="false" customHeight="true" outlineLevel="0" collapsed="false">
      <c r="A19" s="6" t="s">
        <v>987</v>
      </c>
      <c r="B19" s="6" t="s">
        <v>988</v>
      </c>
      <c r="C19" s="19" t="n">
        <v>0.5</v>
      </c>
      <c r="D19" s="6" t="s">
        <v>982</v>
      </c>
      <c r="E19" s="6" t="s">
        <v>937</v>
      </c>
      <c r="F19" s="6" t="s">
        <v>989</v>
      </c>
    </row>
    <row r="20" customFormat="false" ht="54.75" hidden="false" customHeight="true" outlineLevel="0" collapsed="false">
      <c r="A20" s="5" t="s">
        <v>990</v>
      </c>
      <c r="B20" s="5" t="s">
        <v>991</v>
      </c>
      <c r="C20" s="18" t="n">
        <v>500</v>
      </c>
      <c r="D20" s="5" t="s">
        <v>992</v>
      </c>
      <c r="E20" s="5" t="s">
        <v>937</v>
      </c>
      <c r="F20" s="5" t="s">
        <v>993</v>
      </c>
    </row>
    <row r="21" customFormat="false" ht="54.75" hidden="false" customHeight="true" outlineLevel="0" collapsed="false">
      <c r="A21" s="6" t="s">
        <v>994</v>
      </c>
      <c r="B21" s="6" t="s">
        <v>995</v>
      </c>
      <c r="C21" s="18" t="n">
        <v>300</v>
      </c>
      <c r="D21" s="6" t="s">
        <v>992</v>
      </c>
      <c r="E21" s="6" t="s">
        <v>996</v>
      </c>
      <c r="F21" s="6" t="s">
        <v>997</v>
      </c>
    </row>
    <row r="22" customFormat="false" ht="54.75" hidden="false" customHeight="true" outlineLevel="0" collapsed="false">
      <c r="A22" s="5" t="s">
        <v>998</v>
      </c>
      <c r="B22" s="5" t="s">
        <v>999</v>
      </c>
      <c r="C22" s="18" t="n">
        <v>400</v>
      </c>
      <c r="D22" s="5" t="s">
        <v>992</v>
      </c>
      <c r="E22" s="5" t="s">
        <v>996</v>
      </c>
      <c r="F22" s="5" t="s">
        <v>997</v>
      </c>
    </row>
    <row r="23" customFormat="false" ht="54.75" hidden="false" customHeight="true" outlineLevel="0" collapsed="false">
      <c r="A23" s="6" t="s">
        <v>1000</v>
      </c>
      <c r="B23" s="6" t="s">
        <v>1001</v>
      </c>
      <c r="C23" s="18" t="n">
        <v>500</v>
      </c>
      <c r="D23" s="6" t="s">
        <v>1002</v>
      </c>
      <c r="E23" s="6" t="s">
        <v>937</v>
      </c>
      <c r="F23" s="6" t="s">
        <v>1003</v>
      </c>
    </row>
    <row r="24" customFormat="false" ht="54.75" hidden="false" customHeight="true" outlineLevel="0" collapsed="false">
      <c r="A24" s="5" t="s">
        <v>1004</v>
      </c>
      <c r="B24" s="5" t="s">
        <v>1005</v>
      </c>
      <c r="C24" s="18" t="n">
        <v>1000</v>
      </c>
      <c r="D24" s="5" t="s">
        <v>1006</v>
      </c>
      <c r="E24" s="5" t="s">
        <v>937</v>
      </c>
      <c r="F24" s="5" t="s">
        <v>1007</v>
      </c>
    </row>
    <row r="25" customFormat="false" ht="54.75" hidden="false" customHeight="true" outlineLevel="0" collapsed="false">
      <c r="A25" s="6" t="s">
        <v>1008</v>
      </c>
      <c r="B25" s="6" t="s">
        <v>1009</v>
      </c>
      <c r="C25" s="18" t="n">
        <v>4000</v>
      </c>
      <c r="D25" s="6" t="s">
        <v>1006</v>
      </c>
      <c r="E25" s="6" t="s">
        <v>937</v>
      </c>
      <c r="F25" s="6" t="s">
        <v>1010</v>
      </c>
    </row>
    <row r="26" customFormat="false" ht="54.75" hidden="false" customHeight="true" outlineLevel="0" collapsed="false">
      <c r="A26" s="5" t="s">
        <v>1011</v>
      </c>
      <c r="B26" s="5" t="s">
        <v>1012</v>
      </c>
      <c r="C26" s="19" t="n">
        <v>1.5</v>
      </c>
      <c r="D26" s="5" t="s">
        <v>1013</v>
      </c>
      <c r="E26" s="5" t="s">
        <v>937</v>
      </c>
      <c r="F26" s="5" t="s">
        <v>1014</v>
      </c>
    </row>
    <row r="27" customFormat="false" ht="54.75" hidden="false" customHeight="true" outlineLevel="0" collapsed="false">
      <c r="A27" s="6" t="s">
        <v>1015</v>
      </c>
      <c r="B27" s="6" t="s">
        <v>1016</v>
      </c>
      <c r="C27" s="18" t="n">
        <v>1</v>
      </c>
      <c r="D27" s="6" t="s">
        <v>1017</v>
      </c>
      <c r="E27" s="6" t="s">
        <v>937</v>
      </c>
      <c r="F27" s="6" t="s">
        <v>1018</v>
      </c>
    </row>
    <row r="28" customFormat="false" ht="54.75" hidden="false" customHeight="true" outlineLevel="0" collapsed="false">
      <c r="A28" s="5" t="s">
        <v>1019</v>
      </c>
      <c r="B28" s="5" t="s">
        <v>1020</v>
      </c>
      <c r="C28" s="18" t="n">
        <v>1</v>
      </c>
      <c r="D28" s="5" t="s">
        <v>1021</v>
      </c>
      <c r="E28" s="5" t="s">
        <v>937</v>
      </c>
      <c r="F28" s="5" t="s">
        <v>1022</v>
      </c>
    </row>
    <row r="29" customFormat="false" ht="54.75" hidden="false" customHeight="true" outlineLevel="0" collapsed="false">
      <c r="A29" s="6" t="s">
        <v>1023</v>
      </c>
      <c r="B29" s="6" t="s">
        <v>1024</v>
      </c>
      <c r="C29" s="18" t="n">
        <v>12</v>
      </c>
      <c r="D29" s="6" t="s">
        <v>1025</v>
      </c>
      <c r="E29" s="6" t="s">
        <v>937</v>
      </c>
      <c r="F29" s="6" t="s">
        <v>1026</v>
      </c>
    </row>
    <row r="30" customFormat="false" ht="54.75" hidden="false" customHeight="true" outlineLevel="0" collapsed="false">
      <c r="A30" s="5" t="s">
        <v>1027</v>
      </c>
      <c r="B30" s="5" t="s">
        <v>1028</v>
      </c>
      <c r="C30" s="18" t="n">
        <v>5</v>
      </c>
      <c r="D30" s="5" t="s">
        <v>1029</v>
      </c>
      <c r="E30" s="5" t="s">
        <v>937</v>
      </c>
      <c r="F30" s="5" t="s">
        <v>1030</v>
      </c>
    </row>
    <row r="31" customFormat="false" ht="54.75" hidden="false" customHeight="true" outlineLevel="0" collapsed="false">
      <c r="A31" s="6" t="s">
        <v>1031</v>
      </c>
      <c r="B31" s="6" t="s">
        <v>1032</v>
      </c>
      <c r="C31" s="18" t="n">
        <v>40</v>
      </c>
      <c r="D31" s="6" t="s">
        <v>1033</v>
      </c>
      <c r="E31" s="6" t="s">
        <v>337</v>
      </c>
      <c r="F31" s="6" t="s">
        <v>1034</v>
      </c>
    </row>
    <row r="32" customFormat="false" ht="54.75" hidden="false" customHeight="true" outlineLevel="0" collapsed="false">
      <c r="A32" s="5" t="s">
        <v>1035</v>
      </c>
      <c r="B32" s="5" t="s">
        <v>1036</v>
      </c>
      <c r="C32" s="18" t="n">
        <v>50</v>
      </c>
      <c r="D32" s="5" t="s">
        <v>1033</v>
      </c>
      <c r="E32" s="5" t="s">
        <v>337</v>
      </c>
      <c r="F32" s="5" t="s">
        <v>1037</v>
      </c>
    </row>
    <row r="33" customFormat="false" ht="54.75" hidden="false" customHeight="true" outlineLevel="0" collapsed="false">
      <c r="A33" s="6" t="s">
        <v>1038</v>
      </c>
      <c r="B33" s="6" t="s">
        <v>1039</v>
      </c>
      <c r="C33" s="18" t="n">
        <v>140</v>
      </c>
      <c r="D33" s="6" t="s">
        <v>1033</v>
      </c>
      <c r="E33" s="6" t="s">
        <v>1040</v>
      </c>
      <c r="F33" s="6" t="s">
        <v>1041</v>
      </c>
    </row>
    <row r="34" customFormat="false" ht="54.75" hidden="false" customHeight="true" outlineLevel="0" collapsed="false">
      <c r="A34" s="5" t="s">
        <v>1042</v>
      </c>
      <c r="B34" s="5" t="s">
        <v>1043</v>
      </c>
      <c r="C34" s="18" t="n">
        <v>150</v>
      </c>
      <c r="D34" s="5" t="s">
        <v>1033</v>
      </c>
      <c r="E34" s="5" t="s">
        <v>1040</v>
      </c>
      <c r="F34" s="5" t="s">
        <v>1044</v>
      </c>
    </row>
    <row r="35" customFormat="false" ht="54.75" hidden="false" customHeight="true" outlineLevel="0" collapsed="false">
      <c r="A35" s="6" t="s">
        <v>1045</v>
      </c>
      <c r="B35" s="6" t="s">
        <v>1046</v>
      </c>
      <c r="C35" s="19" t="n">
        <v>0.1</v>
      </c>
      <c r="D35" s="6" t="s">
        <v>1047</v>
      </c>
      <c r="E35" s="6" t="s">
        <v>1048</v>
      </c>
      <c r="F35" s="6" t="s">
        <v>1049</v>
      </c>
    </row>
    <row r="36" customFormat="false" ht="54.75" hidden="false" customHeight="true" outlineLevel="0" collapsed="false">
      <c r="A36" s="5" t="s">
        <v>1050</v>
      </c>
      <c r="B36" s="5" t="s">
        <v>1051</v>
      </c>
      <c r="C36" s="18" t="n">
        <v>3</v>
      </c>
      <c r="D36" s="5" t="s">
        <v>1025</v>
      </c>
      <c r="E36" s="5" t="s">
        <v>337</v>
      </c>
      <c r="F36" s="5" t="s">
        <v>1052</v>
      </c>
    </row>
    <row r="37" customFormat="false" ht="54.75" hidden="false" customHeight="true" outlineLevel="0" collapsed="false">
      <c r="A37" s="6" t="s">
        <v>1053</v>
      </c>
      <c r="B37" s="6" t="s">
        <v>1054</v>
      </c>
      <c r="C37" s="18" t="n">
        <v>24</v>
      </c>
      <c r="D37" s="6" t="s">
        <v>1025</v>
      </c>
      <c r="E37" s="6" t="s">
        <v>966</v>
      </c>
      <c r="F37" s="6" t="s">
        <v>1055</v>
      </c>
    </row>
    <row r="38" customFormat="false" ht="54.75" hidden="false" customHeight="true" outlineLevel="0" collapsed="false">
      <c r="A38" s="5" t="s">
        <v>1056</v>
      </c>
      <c r="B38" s="5" t="s">
        <v>1057</v>
      </c>
      <c r="C38" s="19" t="n">
        <v>0.1</v>
      </c>
      <c r="D38" s="5" t="s">
        <v>982</v>
      </c>
      <c r="E38" s="5" t="s">
        <v>937</v>
      </c>
      <c r="F38" s="5" t="s">
        <v>1058</v>
      </c>
    </row>
    <row r="39" customFormat="false" ht="54.75" hidden="false" customHeight="true" outlineLevel="0" collapsed="false">
      <c r="A39" s="6" t="s">
        <v>1059</v>
      </c>
      <c r="B39" s="6" t="s">
        <v>1060</v>
      </c>
      <c r="C39" s="18" t="n">
        <v>1</v>
      </c>
      <c r="D39" s="6" t="s">
        <v>1025</v>
      </c>
      <c r="E39" s="6" t="s">
        <v>1061</v>
      </c>
      <c r="F39" s="6" t="s">
        <v>1062</v>
      </c>
    </row>
    <row r="40" customFormat="false" ht="54.75" hidden="false" customHeight="true" outlineLevel="0" collapsed="false">
      <c r="A40" s="5" t="s">
        <v>1063</v>
      </c>
      <c r="B40" s="5" t="s">
        <v>1064</v>
      </c>
      <c r="C40" s="18" t="n">
        <v>6</v>
      </c>
      <c r="D40" s="5" t="s">
        <v>936</v>
      </c>
      <c r="E40" s="5" t="s">
        <v>937</v>
      </c>
      <c r="F40" s="5" t="s">
        <v>1065</v>
      </c>
    </row>
    <row r="41" customFormat="false" ht="64.5" hidden="false" customHeight="true" outlineLevel="0" collapsed="false">
      <c r="A41" s="6" t="s">
        <v>1066</v>
      </c>
      <c r="B41" s="6" t="s">
        <v>1067</v>
      </c>
      <c r="C41" s="10" t="n">
        <v>10</v>
      </c>
      <c r="D41" s="6" t="s">
        <v>1068</v>
      </c>
      <c r="E41" s="6" t="s">
        <v>232</v>
      </c>
      <c r="F41" s="6" t="s">
        <v>1069</v>
      </c>
    </row>
    <row r="42" customFormat="false" ht="64.5" hidden="false" customHeight="true" outlineLevel="0" collapsed="false">
      <c r="A42" s="5" t="s">
        <v>1070</v>
      </c>
      <c r="B42" s="5" t="s">
        <v>1071</v>
      </c>
      <c r="C42" s="10" t="n">
        <v>1</v>
      </c>
      <c r="D42" s="5" t="s">
        <v>1072</v>
      </c>
      <c r="E42" s="5" t="s">
        <v>232</v>
      </c>
      <c r="F42" s="5" t="s">
        <v>1073</v>
      </c>
    </row>
    <row r="43" customFormat="false" ht="64.5" hidden="false" customHeight="true" outlineLevel="0" collapsed="false">
      <c r="A43" s="6" t="s">
        <v>1074</v>
      </c>
      <c r="B43" s="6" t="s">
        <v>1075</v>
      </c>
      <c r="C43" s="10" t="n">
        <v>10</v>
      </c>
      <c r="D43" s="6" t="s">
        <v>1076</v>
      </c>
      <c r="E43" s="6" t="s">
        <v>232</v>
      </c>
      <c r="F43" s="6" t="s">
        <v>1077</v>
      </c>
    </row>
    <row r="44" customFormat="false" ht="64.5" hidden="false" customHeight="true" outlineLevel="0" collapsed="false">
      <c r="A44" s="5" t="s">
        <v>1078</v>
      </c>
      <c r="B44" s="5" t="s">
        <v>1079</v>
      </c>
      <c r="C44" s="10" t="n">
        <v>1.25</v>
      </c>
      <c r="D44" s="5" t="s">
        <v>952</v>
      </c>
      <c r="E44" s="5" t="s">
        <v>232</v>
      </c>
      <c r="F44" s="5" t="s">
        <v>1080</v>
      </c>
    </row>
    <row r="45" customFormat="false" ht="64.5" hidden="false" customHeight="true" outlineLevel="0" collapsed="false">
      <c r="A45" s="6" t="s">
        <v>1081</v>
      </c>
      <c r="B45" s="6" t="s">
        <v>1082</v>
      </c>
      <c r="C45" s="10" t="n">
        <v>6</v>
      </c>
      <c r="D45" s="6" t="s">
        <v>1025</v>
      </c>
      <c r="E45" s="6" t="s">
        <v>232</v>
      </c>
      <c r="F45" s="6" t="s">
        <v>1083</v>
      </c>
    </row>
    <row r="46" customFormat="false" ht="64.5" hidden="false" customHeight="true" outlineLevel="0" collapsed="false">
      <c r="A46" s="5" t="s">
        <v>1084</v>
      </c>
      <c r="B46" s="5" t="s">
        <v>1085</v>
      </c>
      <c r="C46" s="10" t="n">
        <v>15</v>
      </c>
      <c r="D46" s="5" t="s">
        <v>1086</v>
      </c>
      <c r="E46" s="5" t="s">
        <v>232</v>
      </c>
      <c r="F46" s="5" t="s">
        <v>1087</v>
      </c>
    </row>
    <row r="47" customFormat="false" ht="64.5" hidden="false" customHeight="true" outlineLevel="0" collapsed="false">
      <c r="A47" s="6" t="s">
        <v>1088</v>
      </c>
      <c r="B47" s="6" t="s">
        <v>1089</v>
      </c>
      <c r="C47" s="10" t="n">
        <v>5</v>
      </c>
      <c r="D47" s="6" t="s">
        <v>1090</v>
      </c>
      <c r="E47" s="6" t="s">
        <v>232</v>
      </c>
      <c r="F47" s="6" t="s">
        <v>1091</v>
      </c>
    </row>
    <row r="48" customFormat="false" ht="64.5" hidden="false" customHeight="true" outlineLevel="0" collapsed="false">
      <c r="A48" s="5" t="s">
        <v>1092</v>
      </c>
      <c r="B48" s="5" t="s">
        <v>1093</v>
      </c>
      <c r="C48" s="10" t="n">
        <v>50</v>
      </c>
      <c r="D48" s="5" t="s">
        <v>1033</v>
      </c>
      <c r="E48" s="5" t="s">
        <v>232</v>
      </c>
      <c r="F48" s="5" t="s">
        <v>1094</v>
      </c>
    </row>
    <row r="49" customFormat="false" ht="64.5" hidden="false" customHeight="true" outlineLevel="0" collapsed="false">
      <c r="A49" s="6" t="s">
        <v>1095</v>
      </c>
      <c r="B49" s="6" t="s">
        <v>1096</v>
      </c>
      <c r="C49" s="10" t="n">
        <v>2</v>
      </c>
      <c r="D49" s="6" t="s">
        <v>952</v>
      </c>
      <c r="E49" s="6" t="s">
        <v>232</v>
      </c>
      <c r="F49" s="6" t="s">
        <v>1097</v>
      </c>
    </row>
    <row r="50" customFormat="false" ht="64.5" hidden="false" customHeight="true" outlineLevel="0" collapsed="false">
      <c r="A50" s="5" t="s">
        <v>1098</v>
      </c>
      <c r="B50" s="5" t="s">
        <v>1099</v>
      </c>
      <c r="C50" s="10" t="n">
        <v>30</v>
      </c>
      <c r="D50" s="5" t="s">
        <v>1086</v>
      </c>
      <c r="E50" s="5" t="s">
        <v>232</v>
      </c>
      <c r="F50" s="5" t="s">
        <v>1100</v>
      </c>
    </row>
    <row r="51" customFormat="false" ht="64.5" hidden="false" customHeight="true" outlineLevel="0" collapsed="false">
      <c r="A51" s="6" t="s">
        <v>1101</v>
      </c>
      <c r="B51" s="6" t="s">
        <v>1102</v>
      </c>
      <c r="C51" s="10" t="n">
        <v>1</v>
      </c>
      <c r="D51" s="6" t="s">
        <v>1103</v>
      </c>
      <c r="E51" s="6" t="s">
        <v>232</v>
      </c>
      <c r="F51" s="6" t="s">
        <v>1104</v>
      </c>
    </row>
  </sheetData>
  <autoFilter ref="A5:F51"/>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37"/>
    <col collapsed="false" customWidth="true" hidden="false" outlineLevel="0" max="3" min="3" style="1" width="39"/>
    <col collapsed="false" customWidth="true" hidden="false" outlineLevel="0" max="4" min="4" style="1" width="105"/>
    <col collapsed="false" customWidth="true" hidden="false" outlineLevel="0" max="5" min="5" style="1" width="120"/>
  </cols>
  <sheetData>
    <row r="1" customFormat="false" ht="33.75" hidden="false" customHeight="true" outlineLevel="0" collapsed="false">
      <c r="A1" s="2" t="s">
        <v>1105</v>
      </c>
      <c r="B1" s="2"/>
      <c r="C1" s="2"/>
      <c r="D1" s="2"/>
      <c r="E1" s="2"/>
    </row>
    <row r="2" customFormat="false" ht="24.75" hidden="false" customHeight="true" outlineLevel="0" collapsed="false">
      <c r="A2" s="3" t="s">
        <v>1106</v>
      </c>
      <c r="B2" s="3"/>
      <c r="C2" s="3"/>
      <c r="D2" s="3"/>
      <c r="E2" s="3"/>
    </row>
    <row r="3" customFormat="false" ht="24.75" hidden="false" customHeight="true" outlineLevel="0" collapsed="false">
      <c r="A3" s="3"/>
      <c r="B3" s="3"/>
      <c r="C3" s="3"/>
      <c r="D3" s="3"/>
      <c r="E3" s="3"/>
    </row>
    <row r="5" customFormat="false" ht="48" hidden="false" customHeight="true" outlineLevel="0" collapsed="false">
      <c r="A5" s="4" t="s">
        <v>930</v>
      </c>
      <c r="B5" s="4" t="s">
        <v>70</v>
      </c>
      <c r="C5" s="4" t="s">
        <v>804</v>
      </c>
      <c r="D5" s="4" t="s">
        <v>1107</v>
      </c>
      <c r="E5" s="4" t="s">
        <v>1108</v>
      </c>
    </row>
    <row r="6" customFormat="false" ht="105" hidden="false" customHeight="true" outlineLevel="0" collapsed="false">
      <c r="A6" s="5" t="s">
        <v>1109</v>
      </c>
      <c r="B6" s="8" t="s">
        <v>1110</v>
      </c>
      <c r="C6" s="5" t="s">
        <v>1111</v>
      </c>
      <c r="D6" s="5" t="s">
        <v>1112</v>
      </c>
      <c r="E6" s="5" t="s">
        <v>1113</v>
      </c>
    </row>
    <row r="7" customFormat="false" ht="105" hidden="false" customHeight="true" outlineLevel="0" collapsed="false">
      <c r="A7" s="6" t="s">
        <v>1114</v>
      </c>
      <c r="B7" s="8" t="s">
        <v>1110</v>
      </c>
      <c r="C7" s="6" t="s">
        <v>150</v>
      </c>
      <c r="D7" s="6" t="s">
        <v>1115</v>
      </c>
      <c r="E7" s="6" t="s">
        <v>1116</v>
      </c>
    </row>
    <row r="8" customFormat="false" ht="105" hidden="false" customHeight="true" outlineLevel="0" collapsed="false">
      <c r="A8" s="5" t="s">
        <v>1117</v>
      </c>
      <c r="B8" s="8" t="s">
        <v>1110</v>
      </c>
      <c r="C8" s="5" t="s">
        <v>141</v>
      </c>
      <c r="D8" s="5" t="s">
        <v>1118</v>
      </c>
      <c r="E8" s="5" t="s">
        <v>1116</v>
      </c>
    </row>
    <row r="9" customFormat="false" ht="105" hidden="false" customHeight="true" outlineLevel="0" collapsed="false">
      <c r="A9" s="6" t="s">
        <v>1119</v>
      </c>
      <c r="B9" s="8" t="s">
        <v>1110</v>
      </c>
      <c r="C9" s="6" t="s">
        <v>882</v>
      </c>
      <c r="D9" s="6" t="s">
        <v>1120</v>
      </c>
      <c r="E9" s="6" t="s">
        <v>1121</v>
      </c>
    </row>
    <row r="10" customFormat="false" ht="105" hidden="false" customHeight="true" outlineLevel="0" collapsed="false">
      <c r="A10" s="5" t="s">
        <v>1122</v>
      </c>
      <c r="B10" s="8" t="s">
        <v>1110</v>
      </c>
      <c r="C10" s="5" t="s">
        <v>26</v>
      </c>
      <c r="D10" s="5" t="s">
        <v>1123</v>
      </c>
      <c r="E10" s="5" t="s">
        <v>1124</v>
      </c>
    </row>
    <row r="11" customFormat="false" ht="105" hidden="false" customHeight="true" outlineLevel="0" collapsed="false">
      <c r="A11" s="6" t="s">
        <v>1125</v>
      </c>
      <c r="B11" s="8" t="s">
        <v>1110</v>
      </c>
      <c r="C11" s="6" t="s">
        <v>17</v>
      </c>
      <c r="D11" s="6" t="s">
        <v>1126</v>
      </c>
      <c r="E11" s="6" t="s">
        <v>1127</v>
      </c>
    </row>
    <row r="12" customFormat="false" ht="105" hidden="false" customHeight="true" outlineLevel="0" collapsed="false">
      <c r="A12" s="5" t="s">
        <v>1128</v>
      </c>
      <c r="B12" s="20" t="s">
        <v>342</v>
      </c>
      <c r="C12" s="5" t="s">
        <v>1129</v>
      </c>
      <c r="D12" s="5" t="s">
        <v>1130</v>
      </c>
      <c r="E12" s="5" t="s">
        <v>1131</v>
      </c>
    </row>
    <row r="13" customFormat="false" ht="105" hidden="false" customHeight="true" outlineLevel="0" collapsed="false">
      <c r="A13" s="6" t="s">
        <v>1132</v>
      </c>
      <c r="B13" s="20" t="s">
        <v>342</v>
      </c>
      <c r="C13" s="6" t="s">
        <v>1133</v>
      </c>
      <c r="D13" s="6" t="s">
        <v>1134</v>
      </c>
      <c r="E13" s="6" t="s">
        <v>1135</v>
      </c>
    </row>
    <row r="14" customFormat="false" ht="105" hidden="false" customHeight="true" outlineLevel="0" collapsed="false">
      <c r="A14" s="5" t="s">
        <v>1136</v>
      </c>
      <c r="B14" s="20" t="s">
        <v>342</v>
      </c>
      <c r="C14" s="5" t="s">
        <v>1137</v>
      </c>
      <c r="D14" s="5" t="s">
        <v>1138</v>
      </c>
      <c r="E14" s="5" t="s">
        <v>1139</v>
      </c>
    </row>
    <row r="15" customFormat="false" ht="105" hidden="false" customHeight="true" outlineLevel="0" collapsed="false">
      <c r="A15" s="6" t="s">
        <v>1140</v>
      </c>
      <c r="B15" s="20" t="s">
        <v>342</v>
      </c>
      <c r="C15" s="6" t="s">
        <v>1141</v>
      </c>
      <c r="D15" s="6" t="s">
        <v>1142</v>
      </c>
      <c r="E15" s="6" t="s">
        <v>1143</v>
      </c>
    </row>
    <row r="16" customFormat="false" ht="105" hidden="false" customHeight="true" outlineLevel="0" collapsed="false">
      <c r="A16" s="5" t="s">
        <v>1144</v>
      </c>
      <c r="B16" s="20" t="s">
        <v>1145</v>
      </c>
      <c r="C16" s="5" t="s">
        <v>1146</v>
      </c>
      <c r="D16" s="5" t="s">
        <v>1147</v>
      </c>
      <c r="E16" s="5" t="s">
        <v>1148</v>
      </c>
    </row>
    <row r="17" customFormat="false" ht="105" hidden="false" customHeight="true" outlineLevel="0" collapsed="false">
      <c r="A17" s="6" t="s">
        <v>1149</v>
      </c>
      <c r="B17" s="20" t="s">
        <v>598</v>
      </c>
      <c r="C17" s="6" t="s">
        <v>1150</v>
      </c>
      <c r="D17" s="6" t="s">
        <v>1151</v>
      </c>
      <c r="E17" s="6" t="s">
        <v>1152</v>
      </c>
    </row>
    <row r="18" customFormat="false" ht="105" hidden="false" customHeight="true" outlineLevel="0" collapsed="false">
      <c r="A18" s="5" t="s">
        <v>1153</v>
      </c>
      <c r="B18" s="20" t="s">
        <v>1154</v>
      </c>
      <c r="C18" s="5" t="s">
        <v>1155</v>
      </c>
      <c r="D18" s="5" t="s">
        <v>1156</v>
      </c>
      <c r="E18" s="5" t="s">
        <v>1157</v>
      </c>
    </row>
    <row r="19" customFormat="false" ht="105" hidden="false" customHeight="true" outlineLevel="0" collapsed="false">
      <c r="A19" s="6" t="s">
        <v>1158</v>
      </c>
      <c r="B19" s="20" t="s">
        <v>1154</v>
      </c>
      <c r="C19" s="6" t="s">
        <v>1159</v>
      </c>
      <c r="D19" s="6" t="s">
        <v>1160</v>
      </c>
      <c r="E19" s="6" t="s">
        <v>1161</v>
      </c>
    </row>
    <row r="20" customFormat="false" ht="99.75" hidden="false" customHeight="true" outlineLevel="0" collapsed="false">
      <c r="A20" s="5" t="s">
        <v>1162</v>
      </c>
      <c r="B20" s="5" t="s">
        <v>1163</v>
      </c>
      <c r="C20" s="5" t="s">
        <v>1164</v>
      </c>
      <c r="D20" s="5" t="s">
        <v>1165</v>
      </c>
      <c r="E20" s="5" t="s">
        <v>1166</v>
      </c>
    </row>
    <row r="21" customFormat="false" ht="99.75" hidden="false" customHeight="true" outlineLevel="0" collapsed="false">
      <c r="A21" s="6" t="s">
        <v>1167</v>
      </c>
      <c r="B21" s="6" t="s">
        <v>1163</v>
      </c>
      <c r="C21" s="6" t="s">
        <v>1168</v>
      </c>
      <c r="D21" s="6" t="s">
        <v>1169</v>
      </c>
      <c r="E21" s="6" t="s">
        <v>1170</v>
      </c>
    </row>
    <row r="22" customFormat="false" ht="99.75" hidden="false" customHeight="true" outlineLevel="0" collapsed="false">
      <c r="A22" s="5" t="s">
        <v>1171</v>
      </c>
      <c r="B22" s="5" t="s">
        <v>1172</v>
      </c>
      <c r="C22" s="5" t="s">
        <v>1173</v>
      </c>
      <c r="D22" s="5" t="s">
        <v>1174</v>
      </c>
      <c r="E22" s="5" t="s">
        <v>1175</v>
      </c>
    </row>
    <row r="23" customFormat="false" ht="99.75" hidden="false" customHeight="true" outlineLevel="0" collapsed="false">
      <c r="A23" s="6" t="s">
        <v>1176</v>
      </c>
      <c r="B23" s="6" t="s">
        <v>1163</v>
      </c>
      <c r="C23" s="6" t="s">
        <v>1177</v>
      </c>
      <c r="D23" s="6" t="s">
        <v>1178</v>
      </c>
      <c r="E23" s="6" t="s">
        <v>1179</v>
      </c>
    </row>
    <row r="24" customFormat="false" ht="99.75" hidden="false" customHeight="true" outlineLevel="0" collapsed="false">
      <c r="A24" s="5" t="s">
        <v>1180</v>
      </c>
      <c r="B24" s="5" t="s">
        <v>1163</v>
      </c>
      <c r="C24" s="5" t="s">
        <v>1181</v>
      </c>
      <c r="D24" s="5" t="s">
        <v>1182</v>
      </c>
      <c r="E24" s="5" t="s">
        <v>1183</v>
      </c>
    </row>
    <row r="25" customFormat="false" ht="99.75" hidden="false" customHeight="true" outlineLevel="0" collapsed="false">
      <c r="A25" s="6" t="s">
        <v>1184</v>
      </c>
      <c r="B25" s="6" t="s">
        <v>1163</v>
      </c>
      <c r="C25" s="6" t="s">
        <v>1185</v>
      </c>
      <c r="D25" s="6" t="s">
        <v>1186</v>
      </c>
      <c r="E25" s="6" t="s">
        <v>1187</v>
      </c>
    </row>
    <row r="26" customFormat="false" ht="99.75" hidden="false" customHeight="true" outlineLevel="0" collapsed="false">
      <c r="A26" s="5" t="s">
        <v>1188</v>
      </c>
      <c r="B26" s="5" t="s">
        <v>1163</v>
      </c>
      <c r="C26" s="5" t="s">
        <v>1189</v>
      </c>
      <c r="D26" s="5" t="s">
        <v>1190</v>
      </c>
      <c r="E26" s="5" t="s">
        <v>1191</v>
      </c>
    </row>
    <row r="27" customFormat="false" ht="99.75" hidden="false" customHeight="true" outlineLevel="0" collapsed="false">
      <c r="A27" s="6" t="s">
        <v>1192</v>
      </c>
      <c r="B27" s="6" t="s">
        <v>1172</v>
      </c>
      <c r="C27" s="6" t="s">
        <v>1193</v>
      </c>
      <c r="D27" s="6" t="s">
        <v>1194</v>
      </c>
      <c r="E27" s="6" t="s">
        <v>1195</v>
      </c>
    </row>
    <row r="28" customFormat="false" ht="99.75" hidden="false" customHeight="true" outlineLevel="0" collapsed="false">
      <c r="A28" s="5" t="s">
        <v>1196</v>
      </c>
      <c r="B28" s="5" t="s">
        <v>1163</v>
      </c>
      <c r="C28" s="5" t="s">
        <v>1197</v>
      </c>
      <c r="D28" s="5" t="s">
        <v>1198</v>
      </c>
      <c r="E28" s="5" t="s">
        <v>1199</v>
      </c>
    </row>
    <row r="29" customFormat="false" ht="99.75" hidden="false" customHeight="true" outlineLevel="0" collapsed="false">
      <c r="A29" s="6" t="s">
        <v>1200</v>
      </c>
      <c r="B29" s="6" t="s">
        <v>1172</v>
      </c>
      <c r="C29" s="6" t="s">
        <v>1201</v>
      </c>
      <c r="D29" s="6" t="s">
        <v>1202</v>
      </c>
      <c r="E29" s="6" t="s">
        <v>1203</v>
      </c>
    </row>
    <row r="30" customFormat="false" ht="99.75" hidden="false" customHeight="true" outlineLevel="0" collapsed="false">
      <c r="A30" s="5" t="s">
        <v>1204</v>
      </c>
      <c r="B30" s="5" t="s">
        <v>1172</v>
      </c>
      <c r="C30" s="5" t="s">
        <v>1205</v>
      </c>
      <c r="D30" s="5" t="s">
        <v>1206</v>
      </c>
      <c r="E30" s="5" t="s">
        <v>1207</v>
      </c>
    </row>
    <row r="31" customFormat="false" ht="99.75" hidden="false" customHeight="true" outlineLevel="0" collapsed="false">
      <c r="A31" s="6" t="s">
        <v>1208</v>
      </c>
      <c r="B31" s="6" t="s">
        <v>1209</v>
      </c>
      <c r="C31" s="6" t="s">
        <v>1210</v>
      </c>
      <c r="D31" s="6" t="s">
        <v>1211</v>
      </c>
      <c r="E31" s="6" t="s">
        <v>1212</v>
      </c>
    </row>
    <row r="32" customFormat="false" ht="99.75" hidden="false" customHeight="true" outlineLevel="0" collapsed="false">
      <c r="A32" s="5" t="s">
        <v>1213</v>
      </c>
      <c r="B32" s="5" t="s">
        <v>1209</v>
      </c>
      <c r="C32" s="5" t="s">
        <v>1214</v>
      </c>
      <c r="D32" s="5" t="s">
        <v>1215</v>
      </c>
      <c r="E32" s="5" t="s">
        <v>1216</v>
      </c>
    </row>
    <row r="33" customFormat="false" ht="99.75" hidden="false" customHeight="true" outlineLevel="0" collapsed="false">
      <c r="A33" s="6" t="s">
        <v>1217</v>
      </c>
      <c r="B33" s="6" t="s">
        <v>1209</v>
      </c>
      <c r="C33" s="6" t="s">
        <v>1218</v>
      </c>
      <c r="D33" s="6" t="s">
        <v>1219</v>
      </c>
      <c r="E33" s="6" t="s">
        <v>1220</v>
      </c>
    </row>
    <row r="34" customFormat="false" ht="99.75" hidden="false" customHeight="true" outlineLevel="0" collapsed="false">
      <c r="A34" s="5" t="s">
        <v>1221</v>
      </c>
      <c r="B34" s="5" t="s">
        <v>1209</v>
      </c>
      <c r="C34" s="5" t="s">
        <v>1222</v>
      </c>
      <c r="D34" s="5" t="s">
        <v>1223</v>
      </c>
      <c r="E34" s="5" t="s">
        <v>1224</v>
      </c>
    </row>
    <row r="35" customFormat="false" ht="99.75" hidden="false" customHeight="true" outlineLevel="0" collapsed="false">
      <c r="A35" s="6" t="s">
        <v>1225</v>
      </c>
      <c r="B35" s="6" t="s">
        <v>1209</v>
      </c>
      <c r="C35" s="6" t="s">
        <v>1226</v>
      </c>
      <c r="D35" s="6" t="s">
        <v>1227</v>
      </c>
      <c r="E35" s="6" t="s">
        <v>1228</v>
      </c>
    </row>
    <row r="36" customFormat="false" ht="99.75" hidden="false" customHeight="true" outlineLevel="0" collapsed="false">
      <c r="A36" s="5" t="s">
        <v>1229</v>
      </c>
      <c r="B36" s="5" t="s">
        <v>1209</v>
      </c>
      <c r="C36" s="5" t="s">
        <v>1230</v>
      </c>
      <c r="D36" s="5" t="s">
        <v>1231</v>
      </c>
      <c r="E36" s="5" t="s">
        <v>1232</v>
      </c>
    </row>
    <row r="37" customFormat="false" ht="99.75" hidden="false" customHeight="true" outlineLevel="0" collapsed="false">
      <c r="A37" s="6" t="s">
        <v>1233</v>
      </c>
      <c r="B37" s="6" t="s">
        <v>1209</v>
      </c>
      <c r="C37" s="6" t="s">
        <v>1234</v>
      </c>
      <c r="D37" s="6" t="s">
        <v>1235</v>
      </c>
      <c r="E37" s="6" t="s">
        <v>1236</v>
      </c>
    </row>
    <row r="38" customFormat="false" ht="99.75" hidden="false" customHeight="true" outlineLevel="0" collapsed="false">
      <c r="A38" s="5" t="s">
        <v>1237</v>
      </c>
      <c r="B38" s="5" t="s">
        <v>1209</v>
      </c>
      <c r="C38" s="5" t="s">
        <v>1238</v>
      </c>
      <c r="D38" s="5" t="s">
        <v>1239</v>
      </c>
      <c r="E38" s="5" t="s">
        <v>1240</v>
      </c>
    </row>
  </sheetData>
  <autoFilter ref="A5:E3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1" width="29"/>
    <col collapsed="false" customWidth="true" hidden="false" outlineLevel="0" max="3" min="3" style="1" width="53"/>
    <col collapsed="false" customWidth="true" hidden="false" outlineLevel="0" max="4" min="4" style="1" width="48"/>
    <col collapsed="false" customWidth="true" hidden="false" outlineLevel="0" max="6" min="5" style="1" width="115"/>
  </cols>
  <sheetData>
    <row r="1" customFormat="false" ht="33.75" hidden="false" customHeight="true" outlineLevel="0" collapsed="false">
      <c r="A1" s="7" t="s">
        <v>1241</v>
      </c>
      <c r="B1" s="7"/>
      <c r="C1" s="7"/>
      <c r="D1" s="7"/>
      <c r="E1" s="7"/>
      <c r="F1" s="7"/>
    </row>
    <row r="2" customFormat="false" ht="24.75" hidden="false" customHeight="true" outlineLevel="0" collapsed="false">
      <c r="A2" s="3" t="s">
        <v>1242</v>
      </c>
      <c r="B2" s="3"/>
      <c r="C2" s="3"/>
      <c r="D2" s="3"/>
      <c r="E2" s="3"/>
      <c r="F2" s="3"/>
    </row>
    <row r="3" customFormat="false" ht="24.75" hidden="false" customHeight="true" outlineLevel="0" collapsed="false">
      <c r="A3" s="3"/>
      <c r="B3" s="3"/>
      <c r="C3" s="3"/>
      <c r="D3" s="3"/>
      <c r="E3" s="3"/>
      <c r="F3" s="3"/>
    </row>
    <row r="5" customFormat="false" ht="48" hidden="false" customHeight="true" outlineLevel="0" collapsed="false">
      <c r="A5" s="4" t="s">
        <v>930</v>
      </c>
      <c r="B5" s="4" t="s">
        <v>2</v>
      </c>
      <c r="C5" s="4" t="s">
        <v>1243</v>
      </c>
      <c r="D5" s="4" t="s">
        <v>178</v>
      </c>
      <c r="E5" s="4" t="s">
        <v>175</v>
      </c>
      <c r="F5" s="4" t="s">
        <v>1244</v>
      </c>
    </row>
    <row r="6" customFormat="false" ht="99.75" hidden="false" customHeight="true" outlineLevel="0" collapsed="false">
      <c r="A6" s="5" t="s">
        <v>1245</v>
      </c>
      <c r="B6" s="5" t="s">
        <v>1246</v>
      </c>
      <c r="C6" s="5" t="s">
        <v>1247</v>
      </c>
      <c r="D6" s="5" t="s">
        <v>937</v>
      </c>
      <c r="E6" s="5" t="s">
        <v>1248</v>
      </c>
      <c r="F6" s="5" t="s">
        <v>1249</v>
      </c>
    </row>
    <row r="7" customFormat="false" ht="99.75" hidden="false" customHeight="true" outlineLevel="0" collapsed="false">
      <c r="A7" s="6" t="s">
        <v>1250</v>
      </c>
      <c r="B7" s="6" t="s">
        <v>1246</v>
      </c>
      <c r="C7" s="6" t="s">
        <v>1251</v>
      </c>
      <c r="D7" s="6" t="s">
        <v>1252</v>
      </c>
      <c r="E7" s="6" t="s">
        <v>1253</v>
      </c>
      <c r="F7" s="6" t="s">
        <v>1254</v>
      </c>
    </row>
    <row r="8" customFormat="false" ht="99.75" hidden="false" customHeight="true" outlineLevel="0" collapsed="false">
      <c r="A8" s="5" t="s">
        <v>1255</v>
      </c>
      <c r="B8" s="5" t="s">
        <v>1246</v>
      </c>
      <c r="C8" s="5" t="s">
        <v>1247</v>
      </c>
      <c r="D8" s="5" t="s">
        <v>937</v>
      </c>
      <c r="E8" s="5" t="s">
        <v>1256</v>
      </c>
      <c r="F8" s="5" t="s">
        <v>1257</v>
      </c>
    </row>
    <row r="9" customFormat="false" ht="99.75" hidden="false" customHeight="true" outlineLevel="0" collapsed="false">
      <c r="A9" s="6" t="s">
        <v>1258</v>
      </c>
      <c r="B9" s="6" t="s">
        <v>1259</v>
      </c>
      <c r="C9" s="6" t="s">
        <v>78</v>
      </c>
      <c r="D9" s="6" t="s">
        <v>937</v>
      </c>
      <c r="E9" s="6" t="s">
        <v>1260</v>
      </c>
      <c r="F9" s="6" t="s">
        <v>1261</v>
      </c>
    </row>
    <row r="10" customFormat="false" ht="99.75" hidden="false" customHeight="true" outlineLevel="0" collapsed="false">
      <c r="A10" s="5" t="s">
        <v>1262</v>
      </c>
      <c r="B10" s="5" t="s">
        <v>1259</v>
      </c>
      <c r="C10" s="5" t="s">
        <v>1247</v>
      </c>
      <c r="D10" s="5" t="s">
        <v>937</v>
      </c>
      <c r="E10" s="5" t="s">
        <v>1263</v>
      </c>
      <c r="F10" s="5" t="s">
        <v>1264</v>
      </c>
    </row>
    <row r="11" customFormat="false" ht="99.75" hidden="false" customHeight="true" outlineLevel="0" collapsed="false">
      <c r="A11" s="6" t="s">
        <v>1265</v>
      </c>
      <c r="B11" s="6" t="s">
        <v>1266</v>
      </c>
      <c r="C11" s="6" t="s">
        <v>78</v>
      </c>
      <c r="D11" s="6" t="s">
        <v>937</v>
      </c>
      <c r="E11" s="6" t="s">
        <v>1267</v>
      </c>
      <c r="F11" s="6" t="s">
        <v>1268</v>
      </c>
    </row>
    <row r="12" customFormat="false" ht="99.75" hidden="false" customHeight="true" outlineLevel="0" collapsed="false">
      <c r="A12" s="5" t="s">
        <v>1269</v>
      </c>
      <c r="B12" s="5" t="s">
        <v>1270</v>
      </c>
      <c r="C12" s="5" t="s">
        <v>90</v>
      </c>
      <c r="D12" s="5" t="s">
        <v>937</v>
      </c>
      <c r="E12" s="5" t="s">
        <v>1271</v>
      </c>
      <c r="F12" s="5" t="s">
        <v>1272</v>
      </c>
    </row>
    <row r="13" customFormat="false" ht="99.75" hidden="false" customHeight="true" outlineLevel="0" collapsed="false">
      <c r="A13" s="6" t="s">
        <v>1273</v>
      </c>
      <c r="B13" s="6" t="s">
        <v>1270</v>
      </c>
      <c r="C13" s="6" t="s">
        <v>1274</v>
      </c>
      <c r="D13" s="6" t="s">
        <v>937</v>
      </c>
      <c r="E13" s="6" t="s">
        <v>1275</v>
      </c>
      <c r="F13" s="6" t="s">
        <v>1276</v>
      </c>
    </row>
    <row r="14" customFormat="false" ht="99.75" hidden="false" customHeight="true" outlineLevel="0" collapsed="false">
      <c r="A14" s="5" t="s">
        <v>1277</v>
      </c>
      <c r="B14" s="5" t="s">
        <v>1270</v>
      </c>
      <c r="C14" s="5" t="s">
        <v>1274</v>
      </c>
      <c r="D14" s="5" t="s">
        <v>937</v>
      </c>
      <c r="E14" s="5" t="s">
        <v>1278</v>
      </c>
      <c r="F14" s="5" t="s">
        <v>1279</v>
      </c>
    </row>
    <row r="15" customFormat="false" ht="99.75" hidden="false" customHeight="true" outlineLevel="0" collapsed="false">
      <c r="A15" s="6" t="s">
        <v>1280</v>
      </c>
      <c r="B15" s="6" t="s">
        <v>1281</v>
      </c>
      <c r="C15" s="6" t="s">
        <v>1282</v>
      </c>
      <c r="D15" s="6" t="s">
        <v>1283</v>
      </c>
      <c r="E15" s="6" t="s">
        <v>1284</v>
      </c>
      <c r="F15" s="6" t="s">
        <v>1285</v>
      </c>
    </row>
    <row r="16" customFormat="false" ht="99.75" hidden="false" customHeight="true" outlineLevel="0" collapsed="false">
      <c r="A16" s="5" t="s">
        <v>1286</v>
      </c>
      <c r="B16" s="5" t="s">
        <v>1281</v>
      </c>
      <c r="C16" s="5" t="s">
        <v>1282</v>
      </c>
      <c r="D16" s="5" t="s">
        <v>1287</v>
      </c>
      <c r="E16" s="5" t="s">
        <v>1288</v>
      </c>
      <c r="F16" s="5" t="s">
        <v>1289</v>
      </c>
    </row>
    <row r="17" customFormat="false" ht="99.75" hidden="false" customHeight="true" outlineLevel="0" collapsed="false">
      <c r="A17" s="6" t="s">
        <v>1290</v>
      </c>
      <c r="B17" s="6" t="s">
        <v>1291</v>
      </c>
      <c r="C17" s="6" t="s">
        <v>1251</v>
      </c>
      <c r="D17" s="6" t="s">
        <v>937</v>
      </c>
      <c r="E17" s="6" t="s">
        <v>1292</v>
      </c>
      <c r="F17" s="6" t="s">
        <v>1293</v>
      </c>
    </row>
    <row r="18" customFormat="false" ht="99.75" hidden="false" customHeight="true" outlineLevel="0" collapsed="false">
      <c r="A18" s="5" t="s">
        <v>1294</v>
      </c>
      <c r="B18" s="5" t="s">
        <v>1295</v>
      </c>
      <c r="C18" s="5" t="s">
        <v>1251</v>
      </c>
      <c r="D18" s="5" t="s">
        <v>937</v>
      </c>
      <c r="E18" s="5" t="s">
        <v>1296</v>
      </c>
      <c r="F18" s="5" t="s">
        <v>1297</v>
      </c>
    </row>
    <row r="19" customFormat="false" ht="99.75" hidden="false" customHeight="true" outlineLevel="0" collapsed="false">
      <c r="A19" s="6" t="s">
        <v>1298</v>
      </c>
      <c r="B19" s="6" t="s">
        <v>1299</v>
      </c>
      <c r="C19" s="6" t="s">
        <v>1251</v>
      </c>
      <c r="D19" s="6" t="s">
        <v>1283</v>
      </c>
      <c r="E19" s="6" t="s">
        <v>1300</v>
      </c>
      <c r="F19" s="6" t="s">
        <v>1301</v>
      </c>
    </row>
    <row r="20" customFormat="false" ht="99.75" hidden="false" customHeight="true" outlineLevel="0" collapsed="false">
      <c r="A20" s="5" t="s">
        <v>1302</v>
      </c>
      <c r="B20" s="5" t="s">
        <v>1303</v>
      </c>
      <c r="C20" s="5" t="s">
        <v>1251</v>
      </c>
      <c r="D20" s="5" t="s">
        <v>1287</v>
      </c>
      <c r="E20" s="5" t="s">
        <v>1304</v>
      </c>
      <c r="F20" s="5" t="s">
        <v>1305</v>
      </c>
    </row>
    <row r="21" customFormat="false" ht="99.75" hidden="false" customHeight="true" outlineLevel="0" collapsed="false">
      <c r="A21" s="6" t="s">
        <v>1306</v>
      </c>
      <c r="B21" s="6" t="s">
        <v>1307</v>
      </c>
      <c r="C21" s="6" t="s">
        <v>1308</v>
      </c>
      <c r="D21" s="6" t="s">
        <v>927</v>
      </c>
      <c r="E21" s="6" t="s">
        <v>1309</v>
      </c>
      <c r="F21" s="6" t="s">
        <v>1310</v>
      </c>
    </row>
    <row r="22" customFormat="false" ht="99.75" hidden="false" customHeight="true" outlineLevel="0" collapsed="false">
      <c r="A22" s="5" t="s">
        <v>1311</v>
      </c>
      <c r="B22" s="5" t="s">
        <v>1307</v>
      </c>
      <c r="C22" s="5" t="s">
        <v>1312</v>
      </c>
      <c r="D22" s="5" t="s">
        <v>937</v>
      </c>
      <c r="E22" s="5" t="s">
        <v>1313</v>
      </c>
      <c r="F22" s="5" t="s">
        <v>1314</v>
      </c>
    </row>
    <row r="23" customFormat="false" ht="99.75" hidden="false" customHeight="true" outlineLevel="0" collapsed="false">
      <c r="A23" s="6" t="s">
        <v>1315</v>
      </c>
      <c r="B23" s="6" t="s">
        <v>1316</v>
      </c>
      <c r="C23" s="6" t="s">
        <v>97</v>
      </c>
      <c r="D23" s="6" t="s">
        <v>937</v>
      </c>
      <c r="E23" s="6" t="s">
        <v>1317</v>
      </c>
      <c r="F23" s="6" t="s">
        <v>1318</v>
      </c>
    </row>
    <row r="24" customFormat="false" ht="99.75" hidden="false" customHeight="true" outlineLevel="0" collapsed="false">
      <c r="A24" s="5" t="s">
        <v>1319</v>
      </c>
      <c r="B24" s="5" t="s">
        <v>214</v>
      </c>
      <c r="C24" s="5" t="s">
        <v>107</v>
      </c>
      <c r="D24" s="5" t="s">
        <v>937</v>
      </c>
      <c r="E24" s="5" t="s">
        <v>1320</v>
      </c>
      <c r="F24" s="5" t="s">
        <v>1321</v>
      </c>
    </row>
    <row r="25" customFormat="false" ht="99.75" hidden="false" customHeight="true" outlineLevel="0" collapsed="false">
      <c r="A25" s="6" t="s">
        <v>1322</v>
      </c>
      <c r="B25" s="6" t="s">
        <v>214</v>
      </c>
      <c r="C25" s="6" t="s">
        <v>115</v>
      </c>
      <c r="D25" s="6" t="s">
        <v>937</v>
      </c>
      <c r="E25" s="6" t="s">
        <v>1323</v>
      </c>
      <c r="F25" s="6" t="s">
        <v>1321</v>
      </c>
    </row>
    <row r="26" customFormat="false" ht="99.75" hidden="false" customHeight="true" outlineLevel="0" collapsed="false">
      <c r="A26" s="5" t="s">
        <v>1324</v>
      </c>
      <c r="B26" s="5" t="s">
        <v>1316</v>
      </c>
      <c r="C26" s="5" t="s">
        <v>1325</v>
      </c>
      <c r="D26" s="5" t="s">
        <v>937</v>
      </c>
      <c r="E26" s="5" t="s">
        <v>1326</v>
      </c>
      <c r="F26" s="5" t="s">
        <v>1327</v>
      </c>
    </row>
    <row r="27" customFormat="false" ht="99.75" hidden="false" customHeight="true" outlineLevel="0" collapsed="false">
      <c r="A27" s="6" t="s">
        <v>1328</v>
      </c>
      <c r="B27" s="6" t="s">
        <v>1329</v>
      </c>
      <c r="C27" s="6" t="s">
        <v>1308</v>
      </c>
      <c r="D27" s="6" t="s">
        <v>937</v>
      </c>
      <c r="E27" s="6" t="s">
        <v>1330</v>
      </c>
      <c r="F27" s="6" t="s">
        <v>1331</v>
      </c>
    </row>
    <row r="28" customFormat="false" ht="99.75" hidden="false" customHeight="true" outlineLevel="0" collapsed="false">
      <c r="A28" s="5" t="s">
        <v>1332</v>
      </c>
      <c r="B28" s="5" t="s">
        <v>1333</v>
      </c>
      <c r="C28" s="5" t="s">
        <v>1334</v>
      </c>
      <c r="D28" s="5" t="s">
        <v>937</v>
      </c>
      <c r="E28" s="5" t="s">
        <v>1335</v>
      </c>
      <c r="F28" s="5" t="s">
        <v>1336</v>
      </c>
    </row>
    <row r="29" customFormat="false" ht="99.75" hidden="false" customHeight="true" outlineLevel="0" collapsed="false">
      <c r="A29" s="6" t="s">
        <v>1337</v>
      </c>
      <c r="B29" s="6" t="s">
        <v>1333</v>
      </c>
      <c r="C29" s="6" t="s">
        <v>1334</v>
      </c>
      <c r="D29" s="6" t="s">
        <v>937</v>
      </c>
      <c r="E29" s="6" t="s">
        <v>1338</v>
      </c>
      <c r="F29" s="6" t="s">
        <v>1339</v>
      </c>
    </row>
    <row r="30" customFormat="false" ht="99.75" hidden="false" customHeight="true" outlineLevel="0" collapsed="false">
      <c r="A30" s="5" t="s">
        <v>1340</v>
      </c>
      <c r="B30" s="5" t="s">
        <v>71</v>
      </c>
      <c r="C30" s="5" t="s">
        <v>1341</v>
      </c>
      <c r="D30" s="5" t="s">
        <v>1342</v>
      </c>
      <c r="E30" s="5" t="s">
        <v>1343</v>
      </c>
      <c r="F30" s="5" t="s">
        <v>1344</v>
      </c>
    </row>
    <row r="31" customFormat="false" ht="99.75" hidden="false" customHeight="true" outlineLevel="0" collapsed="false">
      <c r="A31" s="6" t="s">
        <v>1345</v>
      </c>
      <c r="B31" s="6" t="s">
        <v>123</v>
      </c>
      <c r="C31" s="6" t="s">
        <v>123</v>
      </c>
      <c r="D31" s="6" t="s">
        <v>937</v>
      </c>
      <c r="E31" s="6" t="s">
        <v>1346</v>
      </c>
      <c r="F31" s="6" t="s">
        <v>1347</v>
      </c>
    </row>
    <row r="32" customFormat="false" ht="99.75" hidden="false" customHeight="true" outlineLevel="0" collapsed="false">
      <c r="A32" s="5" t="s">
        <v>1348</v>
      </c>
      <c r="B32" s="5" t="s">
        <v>123</v>
      </c>
      <c r="C32" s="5" t="s">
        <v>123</v>
      </c>
      <c r="D32" s="5" t="s">
        <v>937</v>
      </c>
      <c r="E32" s="5" t="s">
        <v>1349</v>
      </c>
      <c r="F32" s="5" t="s">
        <v>1350</v>
      </c>
    </row>
    <row r="33" customFormat="false" ht="99.75" hidden="false" customHeight="true" outlineLevel="0" collapsed="false">
      <c r="A33" s="6" t="s">
        <v>1351</v>
      </c>
      <c r="B33" s="6" t="s">
        <v>23</v>
      </c>
      <c r="C33" s="6" t="s">
        <v>123</v>
      </c>
      <c r="D33" s="6" t="s">
        <v>1283</v>
      </c>
      <c r="E33" s="6" t="s">
        <v>1352</v>
      </c>
      <c r="F33" s="6" t="s">
        <v>1353</v>
      </c>
    </row>
    <row r="34" customFormat="false" ht="99.75" hidden="false" customHeight="true" outlineLevel="0" collapsed="false">
      <c r="A34" s="5" t="s">
        <v>1354</v>
      </c>
      <c r="B34" s="5" t="s">
        <v>23</v>
      </c>
      <c r="C34" s="5" t="s">
        <v>123</v>
      </c>
      <c r="D34" s="5" t="s">
        <v>1355</v>
      </c>
      <c r="E34" s="5" t="s">
        <v>1356</v>
      </c>
      <c r="F34" s="5" t="s">
        <v>1357</v>
      </c>
    </row>
    <row r="35" customFormat="false" ht="99.75" hidden="false" customHeight="true" outlineLevel="0" collapsed="false">
      <c r="A35" s="6" t="s">
        <v>1358</v>
      </c>
      <c r="B35" s="6" t="s">
        <v>23</v>
      </c>
      <c r="C35" s="6" t="s">
        <v>1359</v>
      </c>
      <c r="D35" s="6" t="s">
        <v>1283</v>
      </c>
      <c r="E35" s="6" t="s">
        <v>1360</v>
      </c>
      <c r="F35" s="6" t="s">
        <v>1361</v>
      </c>
    </row>
    <row r="36" customFormat="false" ht="99.75" hidden="false" customHeight="true" outlineLevel="0" collapsed="false">
      <c r="A36" s="5" t="s">
        <v>1362</v>
      </c>
      <c r="B36" s="5" t="s">
        <v>194</v>
      </c>
      <c r="C36" s="5" t="s">
        <v>1363</v>
      </c>
      <c r="D36" s="5" t="s">
        <v>937</v>
      </c>
      <c r="E36" s="5" t="s">
        <v>1364</v>
      </c>
      <c r="F36" s="5" t="s">
        <v>1365</v>
      </c>
    </row>
    <row r="37" customFormat="false" ht="99.75" hidden="false" customHeight="true" outlineLevel="0" collapsed="false">
      <c r="A37" s="6" t="s">
        <v>1366</v>
      </c>
      <c r="B37" s="6" t="s">
        <v>1367</v>
      </c>
      <c r="C37" s="6" t="s">
        <v>1368</v>
      </c>
      <c r="D37" s="6" t="s">
        <v>1283</v>
      </c>
      <c r="E37" s="6" t="s">
        <v>1369</v>
      </c>
      <c r="F37" s="6" t="s">
        <v>1370</v>
      </c>
    </row>
    <row r="38" customFormat="false" ht="99.75" hidden="false" customHeight="true" outlineLevel="0" collapsed="false">
      <c r="A38" s="5" t="s">
        <v>1371</v>
      </c>
      <c r="B38" s="5" t="s">
        <v>1367</v>
      </c>
      <c r="C38" s="5" t="s">
        <v>1372</v>
      </c>
      <c r="D38" s="5" t="s">
        <v>1373</v>
      </c>
      <c r="E38" s="5" t="s">
        <v>1374</v>
      </c>
      <c r="F38" s="5" t="s">
        <v>1375</v>
      </c>
    </row>
    <row r="39" customFormat="false" ht="99.75" hidden="false" customHeight="true" outlineLevel="0" collapsed="false">
      <c r="A39" s="6" t="s">
        <v>1376</v>
      </c>
      <c r="B39" s="6" t="s">
        <v>1377</v>
      </c>
      <c r="C39" s="6" t="s">
        <v>1251</v>
      </c>
      <c r="D39" s="6" t="s">
        <v>937</v>
      </c>
      <c r="E39" s="6" t="s">
        <v>1378</v>
      </c>
      <c r="F39" s="6" t="s">
        <v>1379</v>
      </c>
    </row>
    <row r="40" customFormat="false" ht="99.75" hidden="false" customHeight="true" outlineLevel="0" collapsed="false">
      <c r="A40" s="5" t="s">
        <v>1380</v>
      </c>
      <c r="B40" s="5" t="s">
        <v>1377</v>
      </c>
      <c r="C40" s="5" t="s">
        <v>1251</v>
      </c>
      <c r="D40" s="5" t="s">
        <v>1381</v>
      </c>
      <c r="E40" s="5" t="s">
        <v>1382</v>
      </c>
      <c r="F40" s="5" t="s">
        <v>1383</v>
      </c>
    </row>
    <row r="41" customFormat="false" ht="99.75" hidden="false" customHeight="true" outlineLevel="0" collapsed="false">
      <c r="A41" s="6" t="s">
        <v>1384</v>
      </c>
      <c r="B41" s="6" t="s">
        <v>1377</v>
      </c>
      <c r="C41" s="6" t="s">
        <v>1251</v>
      </c>
      <c r="D41" s="6" t="s">
        <v>937</v>
      </c>
      <c r="E41" s="6" t="s">
        <v>1385</v>
      </c>
      <c r="F41" s="6" t="s">
        <v>1386</v>
      </c>
    </row>
    <row r="42" customFormat="false" ht="99.75" hidden="false" customHeight="true" outlineLevel="0" collapsed="false">
      <c r="A42" s="5" t="s">
        <v>1387</v>
      </c>
      <c r="B42" s="5" t="s">
        <v>1377</v>
      </c>
      <c r="C42" s="5" t="s">
        <v>1251</v>
      </c>
      <c r="D42" s="5" t="s">
        <v>937</v>
      </c>
      <c r="E42" s="5" t="s">
        <v>1388</v>
      </c>
      <c r="F42" s="5" t="s">
        <v>1389</v>
      </c>
    </row>
    <row r="43" customFormat="false" ht="99.75" hidden="false" customHeight="true" outlineLevel="0" collapsed="false">
      <c r="A43" s="6" t="s">
        <v>1390</v>
      </c>
      <c r="B43" s="6" t="s">
        <v>1377</v>
      </c>
      <c r="C43" s="6" t="s">
        <v>1251</v>
      </c>
      <c r="D43" s="6" t="s">
        <v>937</v>
      </c>
      <c r="E43" s="6" t="s">
        <v>1391</v>
      </c>
      <c r="F43" s="6" t="s">
        <v>1392</v>
      </c>
    </row>
    <row r="44" customFormat="false" ht="99.75" hidden="false" customHeight="true" outlineLevel="0" collapsed="false">
      <c r="A44" s="5" t="s">
        <v>1393</v>
      </c>
      <c r="B44" s="5" t="s">
        <v>1377</v>
      </c>
      <c r="C44" s="5" t="s">
        <v>1251</v>
      </c>
      <c r="D44" s="5" t="s">
        <v>937</v>
      </c>
      <c r="E44" s="5" t="s">
        <v>1394</v>
      </c>
      <c r="F44" s="5" t="s">
        <v>1395</v>
      </c>
    </row>
    <row r="45" customFormat="false" ht="99.75" hidden="false" customHeight="true" outlineLevel="0" collapsed="false">
      <c r="A45" s="6" t="s">
        <v>1396</v>
      </c>
      <c r="B45" s="6" t="s">
        <v>253</v>
      </c>
      <c r="C45" s="6" t="s">
        <v>1251</v>
      </c>
      <c r="D45" s="6" t="s">
        <v>937</v>
      </c>
      <c r="E45" s="6" t="s">
        <v>1397</v>
      </c>
      <c r="F45" s="6" t="s">
        <v>1398</v>
      </c>
    </row>
    <row r="46" customFormat="false" ht="99.75" hidden="false" customHeight="true" outlineLevel="0" collapsed="false">
      <c r="A46" s="5" t="s">
        <v>1399</v>
      </c>
      <c r="B46" s="5" t="s">
        <v>1111</v>
      </c>
      <c r="C46" s="5" t="s">
        <v>1400</v>
      </c>
      <c r="D46" s="5" t="s">
        <v>937</v>
      </c>
      <c r="E46" s="5" t="s">
        <v>1401</v>
      </c>
      <c r="F46" s="5" t="s">
        <v>1402</v>
      </c>
    </row>
    <row r="47" customFormat="false" ht="99.75" hidden="false" customHeight="true" outlineLevel="0" collapsed="false">
      <c r="A47" s="6" t="s">
        <v>1403</v>
      </c>
      <c r="B47" s="6" t="s">
        <v>1404</v>
      </c>
      <c r="C47" s="6" t="s">
        <v>1405</v>
      </c>
      <c r="D47" s="6" t="s">
        <v>1406</v>
      </c>
      <c r="E47" s="6" t="s">
        <v>1407</v>
      </c>
      <c r="F47" s="6" t="s">
        <v>1408</v>
      </c>
    </row>
    <row r="48" customFormat="false" ht="99.75" hidden="false" customHeight="true" outlineLevel="0" collapsed="false">
      <c r="A48" s="5" t="s">
        <v>1409</v>
      </c>
      <c r="B48" s="5" t="s">
        <v>1404</v>
      </c>
      <c r="C48" s="5" t="s">
        <v>1410</v>
      </c>
      <c r="D48" s="5" t="s">
        <v>937</v>
      </c>
      <c r="E48" s="5" t="s">
        <v>1411</v>
      </c>
      <c r="F48" s="5" t="s">
        <v>1412</v>
      </c>
    </row>
    <row r="49" customFormat="false" ht="99.75" hidden="false" customHeight="true" outlineLevel="0" collapsed="false">
      <c r="A49" s="6" t="s">
        <v>1413</v>
      </c>
      <c r="B49" s="6" t="s">
        <v>1414</v>
      </c>
      <c r="C49" s="6" t="s">
        <v>1251</v>
      </c>
      <c r="D49" s="6" t="s">
        <v>937</v>
      </c>
      <c r="E49" s="6" t="s">
        <v>1415</v>
      </c>
      <c r="F49" s="6" t="s">
        <v>1416</v>
      </c>
    </row>
    <row r="50" customFormat="false" ht="99.75" hidden="false" customHeight="true" outlineLevel="0" collapsed="false">
      <c r="A50" s="5" t="s">
        <v>1417</v>
      </c>
      <c r="B50" s="5" t="s">
        <v>1418</v>
      </c>
      <c r="C50" s="5" t="s">
        <v>1405</v>
      </c>
      <c r="D50" s="5" t="s">
        <v>937</v>
      </c>
      <c r="E50" s="5" t="s">
        <v>1419</v>
      </c>
      <c r="F50" s="5" t="s">
        <v>1420</v>
      </c>
    </row>
    <row r="51" customFormat="false" ht="99.75" hidden="false" customHeight="true" outlineLevel="0" collapsed="false">
      <c r="A51" s="6" t="s">
        <v>1421</v>
      </c>
      <c r="B51" s="6" t="s">
        <v>1418</v>
      </c>
      <c r="C51" s="6" t="s">
        <v>1251</v>
      </c>
      <c r="D51" s="6" t="s">
        <v>937</v>
      </c>
      <c r="E51" s="6" t="s">
        <v>1422</v>
      </c>
      <c r="F51" s="6" t="s">
        <v>1423</v>
      </c>
    </row>
    <row r="52" customFormat="false" ht="99.75" hidden="false" customHeight="true" outlineLevel="0" collapsed="false">
      <c r="A52" s="5" t="s">
        <v>1424</v>
      </c>
      <c r="B52" s="5" t="s">
        <v>1418</v>
      </c>
      <c r="C52" s="5" t="s">
        <v>1251</v>
      </c>
      <c r="D52" s="5" t="s">
        <v>937</v>
      </c>
      <c r="E52" s="5" t="s">
        <v>1425</v>
      </c>
      <c r="F52" s="5" t="s">
        <v>1426</v>
      </c>
    </row>
    <row r="53" customFormat="false" ht="99.75" hidden="false" customHeight="true" outlineLevel="0" collapsed="false">
      <c r="A53" s="6" t="s">
        <v>1427</v>
      </c>
      <c r="B53" s="6" t="s">
        <v>1418</v>
      </c>
      <c r="C53" s="6" t="s">
        <v>1405</v>
      </c>
      <c r="D53" s="6" t="s">
        <v>937</v>
      </c>
      <c r="E53" s="6" t="s">
        <v>1428</v>
      </c>
      <c r="F53" s="6" t="s">
        <v>1429</v>
      </c>
    </row>
    <row r="54" customFormat="false" ht="99.75" hidden="false" customHeight="true" outlineLevel="0" collapsed="false">
      <c r="A54" s="5" t="s">
        <v>1430</v>
      </c>
      <c r="B54" s="5" t="s">
        <v>1431</v>
      </c>
      <c r="C54" s="5" t="s">
        <v>1247</v>
      </c>
      <c r="D54" s="5" t="s">
        <v>927</v>
      </c>
      <c r="E54" s="5" t="s">
        <v>1432</v>
      </c>
      <c r="F54" s="5" t="s">
        <v>1433</v>
      </c>
    </row>
    <row r="55" customFormat="false" ht="99.75" hidden="false" customHeight="true" outlineLevel="0" collapsed="false">
      <c r="A55" s="6" t="s">
        <v>1434</v>
      </c>
      <c r="B55" s="6" t="s">
        <v>130</v>
      </c>
      <c r="C55" s="6" t="s">
        <v>130</v>
      </c>
      <c r="D55" s="6" t="s">
        <v>937</v>
      </c>
      <c r="E55" s="6" t="s">
        <v>1435</v>
      </c>
      <c r="F55" s="6" t="s">
        <v>1436</v>
      </c>
    </row>
    <row r="56" customFormat="false" ht="99.75" hidden="false" customHeight="true" outlineLevel="0" collapsed="false">
      <c r="A56" s="5" t="s">
        <v>1437</v>
      </c>
      <c r="B56" s="5" t="s">
        <v>130</v>
      </c>
      <c r="C56" s="5" t="s">
        <v>130</v>
      </c>
      <c r="D56" s="5" t="s">
        <v>937</v>
      </c>
      <c r="E56" s="5" t="s">
        <v>1438</v>
      </c>
      <c r="F56" s="5" t="s">
        <v>1439</v>
      </c>
    </row>
    <row r="57" customFormat="false" ht="99.75" hidden="false" customHeight="true" outlineLevel="0" collapsed="false">
      <c r="A57" s="6" t="s">
        <v>1440</v>
      </c>
      <c r="B57" s="6" t="s">
        <v>130</v>
      </c>
      <c r="C57" s="6" t="s">
        <v>130</v>
      </c>
      <c r="D57" s="6" t="s">
        <v>937</v>
      </c>
      <c r="E57" s="6" t="s">
        <v>1441</v>
      </c>
      <c r="F57" s="6" t="s">
        <v>1442</v>
      </c>
    </row>
    <row r="58" customFormat="false" ht="99.75" hidden="false" customHeight="true" outlineLevel="0" collapsed="false">
      <c r="A58" s="5" t="s">
        <v>1443</v>
      </c>
      <c r="B58" s="5" t="s">
        <v>130</v>
      </c>
      <c r="C58" s="5" t="s">
        <v>130</v>
      </c>
      <c r="D58" s="5" t="s">
        <v>937</v>
      </c>
      <c r="E58" s="5" t="s">
        <v>1444</v>
      </c>
      <c r="F58" s="5" t="s">
        <v>1445</v>
      </c>
    </row>
    <row r="59" customFormat="false" ht="99.75" hidden="false" customHeight="true" outlineLevel="0" collapsed="false">
      <c r="A59" s="6" t="s">
        <v>1446</v>
      </c>
      <c r="B59" s="6" t="s">
        <v>130</v>
      </c>
      <c r="C59" s="6" t="s">
        <v>1447</v>
      </c>
      <c r="D59" s="6" t="s">
        <v>1283</v>
      </c>
      <c r="E59" s="6" t="s">
        <v>1448</v>
      </c>
      <c r="F59" s="6" t="s">
        <v>1449</v>
      </c>
    </row>
    <row r="60" customFormat="false" ht="99.75" hidden="false" customHeight="true" outlineLevel="0" collapsed="false">
      <c r="A60" s="5" t="s">
        <v>1450</v>
      </c>
      <c r="B60" s="5" t="s">
        <v>130</v>
      </c>
      <c r="C60" s="5" t="s">
        <v>1447</v>
      </c>
      <c r="D60" s="5" t="s">
        <v>1283</v>
      </c>
      <c r="E60" s="5" t="s">
        <v>1451</v>
      </c>
      <c r="F60" s="5" t="s">
        <v>1452</v>
      </c>
    </row>
    <row r="61" customFormat="false" ht="99.75" hidden="false" customHeight="true" outlineLevel="0" collapsed="false">
      <c r="A61" s="6" t="s">
        <v>1453</v>
      </c>
      <c r="B61" s="6" t="s">
        <v>141</v>
      </c>
      <c r="C61" s="6" t="s">
        <v>141</v>
      </c>
      <c r="D61" s="6" t="s">
        <v>937</v>
      </c>
      <c r="E61" s="6" t="s">
        <v>1454</v>
      </c>
      <c r="F61" s="6" t="s">
        <v>1455</v>
      </c>
    </row>
    <row r="62" customFormat="false" ht="99.75" hidden="false" customHeight="true" outlineLevel="0" collapsed="false">
      <c r="A62" s="5" t="s">
        <v>1456</v>
      </c>
      <c r="B62" s="5" t="s">
        <v>1457</v>
      </c>
      <c r="C62" s="5" t="s">
        <v>1458</v>
      </c>
      <c r="D62" s="5" t="s">
        <v>1459</v>
      </c>
      <c r="E62" s="5" t="s">
        <v>1460</v>
      </c>
      <c r="F62" s="5" t="s">
        <v>1461</v>
      </c>
    </row>
    <row r="63" customFormat="false" ht="99.75" hidden="false" customHeight="true" outlineLevel="0" collapsed="false">
      <c r="A63" s="6" t="s">
        <v>1462</v>
      </c>
      <c r="B63" s="6" t="s">
        <v>1457</v>
      </c>
      <c r="C63" s="6" t="s">
        <v>1463</v>
      </c>
      <c r="D63" s="6" t="s">
        <v>398</v>
      </c>
      <c r="E63" s="6" t="s">
        <v>1464</v>
      </c>
      <c r="F63" s="6" t="s">
        <v>1465</v>
      </c>
    </row>
    <row r="64" customFormat="false" ht="99.75" hidden="false" customHeight="true" outlineLevel="0" collapsed="false">
      <c r="A64" s="5" t="s">
        <v>1466</v>
      </c>
      <c r="B64" s="5" t="s">
        <v>1467</v>
      </c>
      <c r="C64" s="5" t="s">
        <v>1463</v>
      </c>
      <c r="D64" s="5" t="s">
        <v>398</v>
      </c>
      <c r="E64" s="5" t="s">
        <v>1468</v>
      </c>
      <c r="F64" s="5" t="s">
        <v>1469</v>
      </c>
    </row>
    <row r="65" customFormat="false" ht="99.75" hidden="false" customHeight="true" outlineLevel="0" collapsed="false">
      <c r="A65" s="6" t="s">
        <v>1470</v>
      </c>
      <c r="B65" s="6" t="s">
        <v>1471</v>
      </c>
      <c r="C65" s="6" t="s">
        <v>1282</v>
      </c>
      <c r="D65" s="6" t="s">
        <v>1472</v>
      </c>
      <c r="E65" s="6" t="s">
        <v>1473</v>
      </c>
      <c r="F65" s="6" t="s">
        <v>1474</v>
      </c>
    </row>
    <row r="66" customFormat="false" ht="99.75" hidden="false" customHeight="true" outlineLevel="0" collapsed="false">
      <c r="A66" s="5" t="s">
        <v>1475</v>
      </c>
      <c r="B66" s="5" t="s">
        <v>1476</v>
      </c>
      <c r="C66" s="5" t="s">
        <v>1308</v>
      </c>
      <c r="D66" s="5" t="s">
        <v>937</v>
      </c>
      <c r="E66" s="5" t="s">
        <v>1477</v>
      </c>
      <c r="F66" s="5" t="s">
        <v>1478</v>
      </c>
    </row>
    <row r="67" customFormat="false" ht="99.75" hidden="false" customHeight="true" outlineLevel="0" collapsed="false">
      <c r="A67" s="6" t="s">
        <v>1479</v>
      </c>
      <c r="B67" s="6" t="s">
        <v>1476</v>
      </c>
      <c r="C67" s="6" t="s">
        <v>1325</v>
      </c>
      <c r="D67" s="6" t="s">
        <v>937</v>
      </c>
      <c r="E67" s="6" t="s">
        <v>1480</v>
      </c>
      <c r="F67" s="6" t="s">
        <v>1481</v>
      </c>
    </row>
    <row r="68" customFormat="false" ht="99.75" hidden="false" customHeight="true" outlineLevel="0" collapsed="false">
      <c r="A68" s="5" t="s">
        <v>1482</v>
      </c>
      <c r="B68" s="5" t="s">
        <v>20</v>
      </c>
      <c r="C68" s="5" t="s">
        <v>1483</v>
      </c>
      <c r="D68" s="5" t="s">
        <v>1283</v>
      </c>
      <c r="E68" s="5" t="s">
        <v>1484</v>
      </c>
      <c r="F68" s="5" t="s">
        <v>1485</v>
      </c>
    </row>
    <row r="69" customFormat="false" ht="99.75" hidden="false" customHeight="true" outlineLevel="0" collapsed="false">
      <c r="A69" s="6" t="s">
        <v>1486</v>
      </c>
      <c r="B69" s="6" t="s">
        <v>20</v>
      </c>
      <c r="C69" s="6" t="s">
        <v>141</v>
      </c>
      <c r="D69" s="6" t="s">
        <v>1487</v>
      </c>
      <c r="E69" s="6" t="s">
        <v>1488</v>
      </c>
      <c r="F69" s="6" t="s">
        <v>1489</v>
      </c>
    </row>
    <row r="70" customFormat="false" ht="99.75" hidden="false" customHeight="true" outlineLevel="0" collapsed="false">
      <c r="A70" s="5" t="s">
        <v>1490</v>
      </c>
      <c r="B70" s="5" t="s">
        <v>20</v>
      </c>
      <c r="C70" s="5" t="s">
        <v>150</v>
      </c>
      <c r="D70" s="5" t="s">
        <v>937</v>
      </c>
      <c r="E70" s="5" t="s">
        <v>1491</v>
      </c>
      <c r="F70" s="5" t="s">
        <v>1492</v>
      </c>
    </row>
    <row r="71" customFormat="false" ht="99.75" hidden="false" customHeight="true" outlineLevel="0" collapsed="false">
      <c r="A71" s="6" t="s">
        <v>1493</v>
      </c>
      <c r="B71" s="6" t="s">
        <v>1494</v>
      </c>
      <c r="C71" s="6" t="s">
        <v>1247</v>
      </c>
      <c r="D71" s="6" t="s">
        <v>937</v>
      </c>
      <c r="E71" s="6" t="s">
        <v>1495</v>
      </c>
      <c r="F71" s="6" t="s">
        <v>1496</v>
      </c>
    </row>
    <row r="72" customFormat="false" ht="99.75" hidden="false" customHeight="true" outlineLevel="0" collapsed="false">
      <c r="A72" s="5" t="s">
        <v>1497</v>
      </c>
      <c r="B72" s="5" t="s">
        <v>1498</v>
      </c>
      <c r="C72" s="5" t="s">
        <v>1247</v>
      </c>
      <c r="D72" s="5" t="s">
        <v>937</v>
      </c>
      <c r="E72" s="5" t="s">
        <v>1499</v>
      </c>
      <c r="F72" s="5" t="s">
        <v>1500</v>
      </c>
    </row>
    <row r="73" customFormat="false" ht="99.75" hidden="false" customHeight="true" outlineLevel="0" collapsed="false">
      <c r="A73" s="6" t="s">
        <v>1501</v>
      </c>
      <c r="B73" s="6" t="s">
        <v>1502</v>
      </c>
      <c r="C73" s="6" t="s">
        <v>1247</v>
      </c>
      <c r="D73" s="6" t="s">
        <v>1252</v>
      </c>
      <c r="E73" s="6" t="s">
        <v>1503</v>
      </c>
      <c r="F73" s="6" t="s">
        <v>1504</v>
      </c>
    </row>
    <row r="74" customFormat="false" ht="99.75" hidden="false" customHeight="true" outlineLevel="0" collapsed="false">
      <c r="A74" s="5" t="s">
        <v>1505</v>
      </c>
      <c r="B74" s="5" t="s">
        <v>1502</v>
      </c>
      <c r="C74" s="5" t="s">
        <v>1506</v>
      </c>
      <c r="D74" s="5" t="s">
        <v>1283</v>
      </c>
      <c r="E74" s="5" t="s">
        <v>1507</v>
      </c>
      <c r="F74" s="5" t="s">
        <v>1508</v>
      </c>
    </row>
    <row r="75" customFormat="false" ht="99.75" hidden="false" customHeight="true" outlineLevel="0" collapsed="false">
      <c r="A75" s="6" t="s">
        <v>1509</v>
      </c>
      <c r="B75" s="6" t="s">
        <v>1502</v>
      </c>
      <c r="C75" s="6" t="s">
        <v>1341</v>
      </c>
      <c r="D75" s="6" t="s">
        <v>937</v>
      </c>
      <c r="E75" s="6" t="s">
        <v>1510</v>
      </c>
      <c r="F75" s="6" t="s">
        <v>1511</v>
      </c>
    </row>
    <row r="76" customFormat="false" ht="99.75" hidden="false" customHeight="true" outlineLevel="0" collapsed="false">
      <c r="A76" s="5" t="s">
        <v>1512</v>
      </c>
      <c r="B76" s="5" t="s">
        <v>1502</v>
      </c>
      <c r="C76" s="5" t="s">
        <v>141</v>
      </c>
      <c r="D76" s="5" t="s">
        <v>927</v>
      </c>
      <c r="E76" s="5" t="s">
        <v>1513</v>
      </c>
      <c r="F76" s="5" t="s">
        <v>1514</v>
      </c>
    </row>
    <row r="77" customFormat="false" ht="99.75" hidden="false" customHeight="true" outlineLevel="0" collapsed="false">
      <c r="A77" s="6" t="s">
        <v>1515</v>
      </c>
      <c r="B77" s="6" t="s">
        <v>1502</v>
      </c>
      <c r="C77" s="6" t="s">
        <v>150</v>
      </c>
      <c r="D77" s="6" t="s">
        <v>927</v>
      </c>
      <c r="E77" s="6" t="s">
        <v>1516</v>
      </c>
      <c r="F77" s="6" t="s">
        <v>1517</v>
      </c>
    </row>
    <row r="78" customFormat="false" ht="99.75" hidden="false" customHeight="true" outlineLevel="0" collapsed="false">
      <c r="A78" s="5" t="s">
        <v>1518</v>
      </c>
      <c r="B78" s="5" t="s">
        <v>1519</v>
      </c>
      <c r="C78" s="5" t="s">
        <v>1247</v>
      </c>
      <c r="D78" s="5" t="s">
        <v>937</v>
      </c>
      <c r="E78" s="5" t="s">
        <v>1520</v>
      </c>
      <c r="F78" s="5" t="s">
        <v>1521</v>
      </c>
    </row>
    <row r="79" customFormat="false" ht="99.75" hidden="false" customHeight="true" outlineLevel="0" collapsed="false">
      <c r="A79" s="6" t="s">
        <v>1522</v>
      </c>
      <c r="B79" s="6" t="s">
        <v>11</v>
      </c>
      <c r="C79" s="6" t="s">
        <v>1523</v>
      </c>
      <c r="D79" s="6" t="s">
        <v>937</v>
      </c>
      <c r="E79" s="6" t="s">
        <v>1524</v>
      </c>
      <c r="F79" s="6" t="s">
        <v>1525</v>
      </c>
    </row>
    <row r="80" customFormat="false" ht="99.75" hidden="false" customHeight="true" outlineLevel="0" collapsed="false">
      <c r="A80" s="5" t="s">
        <v>1526</v>
      </c>
      <c r="B80" s="5" t="s">
        <v>11</v>
      </c>
      <c r="C80" s="5" t="s">
        <v>1247</v>
      </c>
      <c r="D80" s="5" t="s">
        <v>937</v>
      </c>
      <c r="E80" s="5" t="s">
        <v>1527</v>
      </c>
      <c r="F80" s="5" t="s">
        <v>1528</v>
      </c>
    </row>
    <row r="81" customFormat="false" ht="99.75" hidden="false" customHeight="true" outlineLevel="0" collapsed="false">
      <c r="A81" s="6" t="s">
        <v>1529</v>
      </c>
      <c r="B81" s="6" t="s">
        <v>1530</v>
      </c>
      <c r="C81" s="6" t="s">
        <v>1247</v>
      </c>
      <c r="D81" s="6" t="s">
        <v>1531</v>
      </c>
      <c r="E81" s="6" t="s">
        <v>1532</v>
      </c>
      <c r="F81" s="6" t="s">
        <v>1533</v>
      </c>
    </row>
    <row r="82" customFormat="false" ht="99.75" hidden="false" customHeight="true" outlineLevel="0" collapsed="false">
      <c r="A82" s="5" t="s">
        <v>1534</v>
      </c>
      <c r="B82" s="5" t="s">
        <v>1530</v>
      </c>
      <c r="C82" s="5" t="s">
        <v>1247</v>
      </c>
      <c r="D82" s="5" t="s">
        <v>1535</v>
      </c>
      <c r="E82" s="5" t="s">
        <v>1536</v>
      </c>
      <c r="F82" s="5" t="s">
        <v>1537</v>
      </c>
    </row>
    <row r="83" customFormat="false" ht="99.75" hidden="false" customHeight="true" outlineLevel="0" collapsed="false">
      <c r="A83" s="6" t="s">
        <v>1538</v>
      </c>
      <c r="B83" s="6" t="s">
        <v>1530</v>
      </c>
      <c r="C83" s="6" t="s">
        <v>1247</v>
      </c>
      <c r="D83" s="6" t="s">
        <v>1539</v>
      </c>
      <c r="E83" s="6" t="s">
        <v>1540</v>
      </c>
      <c r="F83" s="6" t="s">
        <v>1541</v>
      </c>
    </row>
    <row r="84" customFormat="false" ht="99.75" hidden="false" customHeight="true" outlineLevel="0" collapsed="false">
      <c r="A84" s="5" t="s">
        <v>1542</v>
      </c>
      <c r="B84" s="5" t="s">
        <v>150</v>
      </c>
      <c r="C84" s="5" t="s">
        <v>1543</v>
      </c>
      <c r="D84" s="5" t="s">
        <v>1283</v>
      </c>
      <c r="E84" s="5" t="s">
        <v>1544</v>
      </c>
      <c r="F84" s="5" t="s">
        <v>1545</v>
      </c>
    </row>
    <row r="85" customFormat="false" ht="99.75" hidden="false" customHeight="true" outlineLevel="0" collapsed="false">
      <c r="A85" s="6" t="s">
        <v>1546</v>
      </c>
      <c r="B85" s="6" t="s">
        <v>150</v>
      </c>
      <c r="C85" s="6" t="s">
        <v>150</v>
      </c>
      <c r="D85" s="6" t="s">
        <v>937</v>
      </c>
      <c r="E85" s="6" t="s">
        <v>1547</v>
      </c>
      <c r="F85" s="6" t="s">
        <v>1548</v>
      </c>
    </row>
    <row r="86" customFormat="false" ht="99.75" hidden="false" customHeight="true" outlineLevel="0" collapsed="false">
      <c r="A86" s="5" t="s">
        <v>1549</v>
      </c>
      <c r="B86" s="5" t="s">
        <v>135</v>
      </c>
      <c r="C86" s="5" t="s">
        <v>135</v>
      </c>
      <c r="D86" s="5" t="s">
        <v>327</v>
      </c>
      <c r="E86" s="5" t="s">
        <v>1550</v>
      </c>
      <c r="F86" s="5" t="s">
        <v>1551</v>
      </c>
    </row>
    <row r="87" customFormat="false" ht="99.75" hidden="false" customHeight="true" outlineLevel="0" collapsed="false">
      <c r="A87" s="6" t="s">
        <v>1552</v>
      </c>
      <c r="B87" s="6" t="s">
        <v>135</v>
      </c>
      <c r="C87" s="6" t="s">
        <v>135</v>
      </c>
      <c r="D87" s="6" t="s">
        <v>1553</v>
      </c>
      <c r="E87" s="6" t="s">
        <v>1554</v>
      </c>
      <c r="F87" s="6" t="s">
        <v>1555</v>
      </c>
    </row>
    <row r="88" customFormat="false" ht="99.75" hidden="false" customHeight="true" outlineLevel="0" collapsed="false">
      <c r="A88" s="5" t="s">
        <v>1556</v>
      </c>
      <c r="B88" s="5" t="s">
        <v>135</v>
      </c>
      <c r="C88" s="5" t="s">
        <v>135</v>
      </c>
      <c r="D88" s="5" t="s">
        <v>1048</v>
      </c>
      <c r="E88" s="5" t="s">
        <v>1557</v>
      </c>
      <c r="F88" s="5" t="s">
        <v>1558</v>
      </c>
    </row>
    <row r="89" customFormat="false" ht="99.75" hidden="false" customHeight="true" outlineLevel="0" collapsed="false">
      <c r="A89" s="6" t="s">
        <v>1559</v>
      </c>
      <c r="B89" s="6" t="s">
        <v>135</v>
      </c>
      <c r="C89" s="6" t="s">
        <v>135</v>
      </c>
      <c r="D89" s="6" t="s">
        <v>1283</v>
      </c>
      <c r="E89" s="6" t="s">
        <v>1560</v>
      </c>
      <c r="F89" s="6" t="s">
        <v>1561</v>
      </c>
    </row>
    <row r="90" customFormat="false" ht="99.75" hidden="false" customHeight="true" outlineLevel="0" collapsed="false">
      <c r="A90" s="5" t="s">
        <v>1562</v>
      </c>
      <c r="B90" s="5" t="s">
        <v>135</v>
      </c>
      <c r="C90" s="5" t="s">
        <v>135</v>
      </c>
      <c r="D90" s="5" t="s">
        <v>327</v>
      </c>
      <c r="E90" s="5" t="s">
        <v>1563</v>
      </c>
      <c r="F90" s="5" t="s">
        <v>1564</v>
      </c>
    </row>
    <row r="91" customFormat="false" ht="99.75" hidden="false" customHeight="true" outlineLevel="0" collapsed="false">
      <c r="A91" s="6" t="s">
        <v>1565</v>
      </c>
      <c r="B91" s="6" t="s">
        <v>135</v>
      </c>
      <c r="C91" s="6" t="s">
        <v>135</v>
      </c>
      <c r="D91" s="6" t="s">
        <v>1287</v>
      </c>
      <c r="E91" s="6" t="s">
        <v>1566</v>
      </c>
      <c r="F91" s="6" t="s">
        <v>1567</v>
      </c>
    </row>
    <row r="92" customFormat="false" ht="99.75" hidden="false" customHeight="true" outlineLevel="0" collapsed="false">
      <c r="A92" s="5" t="s">
        <v>1568</v>
      </c>
      <c r="B92" s="5" t="s">
        <v>135</v>
      </c>
      <c r="C92" s="5" t="s">
        <v>135</v>
      </c>
      <c r="D92" s="5" t="s">
        <v>1569</v>
      </c>
      <c r="E92" s="5" t="s">
        <v>1570</v>
      </c>
      <c r="F92" s="5" t="s">
        <v>1571</v>
      </c>
    </row>
    <row r="93" customFormat="false" ht="99.75" hidden="false" customHeight="true" outlineLevel="0" collapsed="false">
      <c r="A93" s="6" t="s">
        <v>1572</v>
      </c>
      <c r="B93" s="6" t="s">
        <v>1573</v>
      </c>
      <c r="C93" s="6" t="s">
        <v>1247</v>
      </c>
      <c r="D93" s="6" t="s">
        <v>1574</v>
      </c>
      <c r="E93" s="6" t="s">
        <v>1575</v>
      </c>
      <c r="F93" s="6" t="s">
        <v>1576</v>
      </c>
    </row>
    <row r="94" customFormat="false" ht="99.75" hidden="false" customHeight="true" outlineLevel="0" collapsed="false">
      <c r="A94" s="5" t="s">
        <v>1577</v>
      </c>
      <c r="B94" s="5" t="s">
        <v>1573</v>
      </c>
      <c r="C94" s="5" t="s">
        <v>1274</v>
      </c>
      <c r="D94" s="5" t="s">
        <v>327</v>
      </c>
      <c r="E94" s="5" t="s">
        <v>1578</v>
      </c>
      <c r="F94" s="5" t="s">
        <v>1579</v>
      </c>
    </row>
    <row r="95" customFormat="false" ht="99.75" hidden="false" customHeight="true" outlineLevel="0" collapsed="false">
      <c r="A95" s="6" t="s">
        <v>1580</v>
      </c>
      <c r="B95" s="6" t="s">
        <v>1581</v>
      </c>
      <c r="C95" s="6" t="s">
        <v>1582</v>
      </c>
      <c r="D95" s="6" t="s">
        <v>1583</v>
      </c>
      <c r="E95" s="6" t="s">
        <v>1584</v>
      </c>
      <c r="F95" s="6" t="s">
        <v>1585</v>
      </c>
    </row>
    <row r="96" customFormat="false" ht="99.75" hidden="false" customHeight="true" outlineLevel="0" collapsed="false">
      <c r="A96" s="5" t="s">
        <v>1586</v>
      </c>
      <c r="B96" s="5" t="s">
        <v>1587</v>
      </c>
      <c r="C96" s="5" t="s">
        <v>1308</v>
      </c>
      <c r="D96" s="5" t="s">
        <v>1588</v>
      </c>
      <c r="E96" s="5" t="s">
        <v>1589</v>
      </c>
      <c r="F96" s="5" t="s">
        <v>1590</v>
      </c>
    </row>
    <row r="97" customFormat="false" ht="99.75" hidden="false" customHeight="true" outlineLevel="0" collapsed="false">
      <c r="A97" s="6" t="s">
        <v>1591</v>
      </c>
      <c r="B97" s="6" t="s">
        <v>1587</v>
      </c>
      <c r="C97" s="6" t="s">
        <v>1247</v>
      </c>
      <c r="D97" s="6" t="s">
        <v>1592</v>
      </c>
      <c r="E97" s="6" t="s">
        <v>1593</v>
      </c>
      <c r="F97" s="6" t="s">
        <v>1594</v>
      </c>
    </row>
    <row r="98" customFormat="false" ht="114.75" hidden="false" customHeight="true" outlineLevel="0" collapsed="false">
      <c r="A98" s="5" t="s">
        <v>1595</v>
      </c>
      <c r="B98" s="5" t="s">
        <v>1596</v>
      </c>
      <c r="C98" s="5" t="s">
        <v>1247</v>
      </c>
      <c r="D98" s="5" t="s">
        <v>1597</v>
      </c>
      <c r="E98" s="5" t="s">
        <v>1598</v>
      </c>
      <c r="F98" s="5" t="s">
        <v>1599</v>
      </c>
    </row>
    <row r="99" customFormat="false" ht="114.75" hidden="false" customHeight="true" outlineLevel="0" collapsed="false">
      <c r="A99" s="6" t="s">
        <v>1600</v>
      </c>
      <c r="B99" s="6" t="s">
        <v>1601</v>
      </c>
      <c r="C99" s="6" t="s">
        <v>1602</v>
      </c>
      <c r="D99" s="6" t="s">
        <v>193</v>
      </c>
      <c r="E99" s="6" t="s">
        <v>1603</v>
      </c>
      <c r="F99" s="6" t="s">
        <v>1604</v>
      </c>
    </row>
    <row r="100" customFormat="false" ht="114.75" hidden="false" customHeight="true" outlineLevel="0" collapsed="false">
      <c r="A100" s="5" t="s">
        <v>1605</v>
      </c>
      <c r="B100" s="5" t="s">
        <v>90</v>
      </c>
      <c r="C100" s="5" t="s">
        <v>1274</v>
      </c>
      <c r="D100" s="5" t="s">
        <v>327</v>
      </c>
      <c r="E100" s="5" t="s">
        <v>1606</v>
      </c>
      <c r="F100" s="5" t="s">
        <v>1607</v>
      </c>
    </row>
    <row r="101" customFormat="false" ht="114.75" hidden="false" customHeight="true" outlineLevel="0" collapsed="false">
      <c r="A101" s="6" t="s">
        <v>1608</v>
      </c>
      <c r="B101" s="6" t="s">
        <v>1307</v>
      </c>
      <c r="C101" s="6" t="s">
        <v>1308</v>
      </c>
      <c r="D101" s="6" t="s">
        <v>208</v>
      </c>
      <c r="E101" s="6" t="s">
        <v>1609</v>
      </c>
      <c r="F101" s="6" t="s">
        <v>1610</v>
      </c>
    </row>
    <row r="102" customFormat="false" ht="114.75" hidden="false" customHeight="true" outlineLevel="0" collapsed="false">
      <c r="A102" s="5" t="s">
        <v>1611</v>
      </c>
      <c r="B102" s="5" t="s">
        <v>1612</v>
      </c>
      <c r="C102" s="5" t="s">
        <v>1613</v>
      </c>
      <c r="D102" s="5" t="s">
        <v>1614</v>
      </c>
      <c r="E102" s="5" t="s">
        <v>1615</v>
      </c>
      <c r="F102" s="5" t="s">
        <v>1616</v>
      </c>
    </row>
    <row r="103" customFormat="false" ht="114.75" hidden="false" customHeight="true" outlineLevel="0" collapsed="false">
      <c r="A103" s="6" t="s">
        <v>1617</v>
      </c>
      <c r="B103" s="6" t="s">
        <v>1618</v>
      </c>
      <c r="C103" s="6" t="s">
        <v>1251</v>
      </c>
      <c r="D103" s="6" t="s">
        <v>327</v>
      </c>
      <c r="E103" s="6" t="s">
        <v>1619</v>
      </c>
      <c r="F103" s="6" t="s">
        <v>1620</v>
      </c>
    </row>
    <row r="104" customFormat="false" ht="114.75" hidden="false" customHeight="true" outlineLevel="0" collapsed="false">
      <c r="A104" s="5" t="s">
        <v>1621</v>
      </c>
      <c r="B104" s="5" t="s">
        <v>23</v>
      </c>
      <c r="C104" s="5" t="s">
        <v>1622</v>
      </c>
      <c r="D104" s="5" t="s">
        <v>208</v>
      </c>
      <c r="E104" s="5" t="s">
        <v>1623</v>
      </c>
      <c r="F104" s="5" t="s">
        <v>1624</v>
      </c>
    </row>
    <row r="105" customFormat="false" ht="114.75" hidden="false" customHeight="true" outlineLevel="0" collapsed="false">
      <c r="A105" s="6" t="s">
        <v>1625</v>
      </c>
      <c r="B105" s="6" t="s">
        <v>1626</v>
      </c>
      <c r="C105" s="6" t="s">
        <v>1622</v>
      </c>
      <c r="D105" s="6" t="s">
        <v>1627</v>
      </c>
      <c r="E105" s="6" t="s">
        <v>1628</v>
      </c>
      <c r="F105" s="6" t="s">
        <v>1629</v>
      </c>
    </row>
    <row r="106" customFormat="false" ht="114.75" hidden="false" customHeight="true" outlineLevel="0" collapsed="false">
      <c r="A106" s="5" t="s">
        <v>1630</v>
      </c>
      <c r="B106" s="5" t="s">
        <v>1631</v>
      </c>
      <c r="C106" s="5" t="s">
        <v>123</v>
      </c>
      <c r="D106" s="5" t="s">
        <v>327</v>
      </c>
      <c r="E106" s="5" t="s">
        <v>1632</v>
      </c>
      <c r="F106" s="5" t="s">
        <v>1633</v>
      </c>
    </row>
    <row r="107" customFormat="false" ht="114.75" hidden="false" customHeight="true" outlineLevel="0" collapsed="false">
      <c r="A107" s="6" t="s">
        <v>1634</v>
      </c>
      <c r="B107" s="6" t="s">
        <v>1635</v>
      </c>
      <c r="C107" s="6" t="s">
        <v>123</v>
      </c>
      <c r="D107" s="6" t="s">
        <v>1636</v>
      </c>
      <c r="E107" s="6" t="s">
        <v>1637</v>
      </c>
      <c r="F107" s="6" t="s">
        <v>1638</v>
      </c>
    </row>
    <row r="108" customFormat="false" ht="114.75" hidden="false" customHeight="true" outlineLevel="0" collapsed="false">
      <c r="A108" s="5" t="s">
        <v>1639</v>
      </c>
      <c r="B108" s="5" t="s">
        <v>1367</v>
      </c>
      <c r="C108" s="5" t="s">
        <v>1640</v>
      </c>
      <c r="D108" s="5" t="s">
        <v>1641</v>
      </c>
      <c r="E108" s="5" t="s">
        <v>1642</v>
      </c>
      <c r="F108" s="5" t="s">
        <v>1643</v>
      </c>
    </row>
    <row r="109" customFormat="false" ht="114.75" hidden="false" customHeight="true" outlineLevel="0" collapsed="false">
      <c r="A109" s="6" t="s">
        <v>1644</v>
      </c>
      <c r="B109" s="6" t="s">
        <v>1645</v>
      </c>
      <c r="C109" s="6" t="s">
        <v>123</v>
      </c>
      <c r="D109" s="6" t="s">
        <v>1641</v>
      </c>
      <c r="E109" s="6" t="s">
        <v>1646</v>
      </c>
      <c r="F109" s="6" t="s">
        <v>1647</v>
      </c>
    </row>
    <row r="110" customFormat="false" ht="114.75" hidden="false" customHeight="true" outlineLevel="0" collapsed="false">
      <c r="A110" s="5" t="s">
        <v>1648</v>
      </c>
      <c r="B110" s="5" t="s">
        <v>1645</v>
      </c>
      <c r="C110" s="5" t="s">
        <v>130</v>
      </c>
      <c r="D110" s="5" t="s">
        <v>1641</v>
      </c>
      <c r="E110" s="5" t="s">
        <v>1649</v>
      </c>
      <c r="F110" s="5" t="s">
        <v>1650</v>
      </c>
    </row>
    <row r="111" customFormat="false" ht="114.75" hidden="false" customHeight="true" outlineLevel="0" collapsed="false">
      <c r="A111" s="6" t="s">
        <v>1651</v>
      </c>
      <c r="B111" s="6" t="s">
        <v>1645</v>
      </c>
      <c r="C111" s="6" t="s">
        <v>135</v>
      </c>
      <c r="D111" s="6" t="s">
        <v>1641</v>
      </c>
      <c r="E111" s="6" t="s">
        <v>1652</v>
      </c>
      <c r="F111" s="6" t="s">
        <v>1653</v>
      </c>
    </row>
    <row r="112" customFormat="false" ht="114.75" hidden="false" customHeight="true" outlineLevel="0" collapsed="false">
      <c r="A112" s="5" t="s">
        <v>1654</v>
      </c>
      <c r="B112" s="5" t="s">
        <v>11</v>
      </c>
      <c r="C112" s="5" t="s">
        <v>1523</v>
      </c>
      <c r="D112" s="5" t="s">
        <v>327</v>
      </c>
      <c r="E112" s="5" t="s">
        <v>1655</v>
      </c>
      <c r="F112" s="5" t="s">
        <v>1656</v>
      </c>
    </row>
    <row r="113" customFormat="false" ht="114.75" hidden="false" customHeight="true" outlineLevel="0" collapsed="false">
      <c r="A113" s="6" t="s">
        <v>1657</v>
      </c>
      <c r="B113" s="6" t="s">
        <v>1658</v>
      </c>
      <c r="C113" s="6" t="s">
        <v>78</v>
      </c>
      <c r="D113" s="6" t="s">
        <v>337</v>
      </c>
      <c r="E113" s="6" t="s">
        <v>1659</v>
      </c>
      <c r="F113" s="6" t="s">
        <v>1660</v>
      </c>
    </row>
    <row r="114" customFormat="false" ht="114.75" hidden="false" customHeight="true" outlineLevel="0" collapsed="false">
      <c r="A114" s="5" t="s">
        <v>1661</v>
      </c>
      <c r="B114" s="5" t="s">
        <v>1662</v>
      </c>
      <c r="C114" s="5" t="s">
        <v>1247</v>
      </c>
      <c r="D114" s="5" t="s">
        <v>327</v>
      </c>
      <c r="E114" s="5" t="s">
        <v>1663</v>
      </c>
      <c r="F114" s="5" t="s">
        <v>1664</v>
      </c>
    </row>
    <row r="115" customFormat="false" ht="114.75" hidden="false" customHeight="true" outlineLevel="0" collapsed="false">
      <c r="A115" s="6" t="s">
        <v>1665</v>
      </c>
      <c r="B115" s="6" t="s">
        <v>1431</v>
      </c>
      <c r="C115" s="6" t="s">
        <v>1506</v>
      </c>
      <c r="D115" s="6" t="s">
        <v>1641</v>
      </c>
      <c r="E115" s="6" t="s">
        <v>1666</v>
      </c>
      <c r="F115" s="6" t="s">
        <v>1667</v>
      </c>
    </row>
    <row r="116" customFormat="false" ht="114.75" hidden="false" customHeight="true" outlineLevel="0" collapsed="false">
      <c r="A116" s="5" t="s">
        <v>1668</v>
      </c>
      <c r="B116" s="5" t="s">
        <v>1431</v>
      </c>
      <c r="C116" s="5" t="s">
        <v>141</v>
      </c>
      <c r="D116" s="5" t="s">
        <v>208</v>
      </c>
      <c r="E116" s="5" t="s">
        <v>1669</v>
      </c>
      <c r="F116" s="5" t="s">
        <v>1670</v>
      </c>
    </row>
    <row r="117" customFormat="false" ht="114.75" hidden="false" customHeight="true" outlineLevel="0" collapsed="false">
      <c r="A117" s="6" t="s">
        <v>1671</v>
      </c>
      <c r="B117" s="6" t="s">
        <v>1431</v>
      </c>
      <c r="C117" s="6" t="s">
        <v>150</v>
      </c>
      <c r="D117" s="6" t="s">
        <v>208</v>
      </c>
      <c r="E117" s="6" t="s">
        <v>1672</v>
      </c>
      <c r="F117" s="6" t="s">
        <v>1673</v>
      </c>
    </row>
    <row r="118" customFormat="false" ht="114.75" hidden="false" customHeight="true" outlineLevel="0" collapsed="false">
      <c r="A118" s="5" t="s">
        <v>1674</v>
      </c>
      <c r="B118" s="5" t="s">
        <v>319</v>
      </c>
      <c r="C118" s="5" t="s">
        <v>1247</v>
      </c>
      <c r="D118" s="5" t="s">
        <v>208</v>
      </c>
      <c r="E118" s="5" t="s">
        <v>1675</v>
      </c>
      <c r="F118" s="5" t="s">
        <v>1676</v>
      </c>
    </row>
    <row r="119" customFormat="false" ht="114.75" hidden="false" customHeight="true" outlineLevel="0" collapsed="false">
      <c r="A119" s="6" t="s">
        <v>1677</v>
      </c>
      <c r="B119" s="6" t="s">
        <v>1146</v>
      </c>
      <c r="C119" s="6" t="s">
        <v>1247</v>
      </c>
      <c r="D119" s="6" t="s">
        <v>1678</v>
      </c>
      <c r="E119" s="6" t="s">
        <v>1679</v>
      </c>
      <c r="F119" s="6" t="s">
        <v>1680</v>
      </c>
    </row>
    <row r="120" customFormat="false" ht="114.75" hidden="false" customHeight="true" outlineLevel="0" collapsed="false">
      <c r="A120" s="5" t="s">
        <v>1681</v>
      </c>
      <c r="B120" s="5" t="s">
        <v>130</v>
      </c>
      <c r="C120" s="5" t="s">
        <v>1447</v>
      </c>
      <c r="D120" s="5" t="s">
        <v>1641</v>
      </c>
      <c r="E120" s="5" t="s">
        <v>1682</v>
      </c>
      <c r="F120" s="5" t="s">
        <v>1683</v>
      </c>
    </row>
    <row r="121" customFormat="false" ht="114.75" hidden="false" customHeight="true" outlineLevel="0" collapsed="false">
      <c r="A121" s="6" t="s">
        <v>1684</v>
      </c>
      <c r="B121" s="6" t="s">
        <v>1685</v>
      </c>
      <c r="C121" s="6" t="s">
        <v>130</v>
      </c>
      <c r="D121" s="6" t="s">
        <v>327</v>
      </c>
      <c r="E121" s="6" t="s">
        <v>1686</v>
      </c>
      <c r="F121" s="6" t="s">
        <v>1687</v>
      </c>
    </row>
    <row r="122" customFormat="false" ht="114.75" hidden="false" customHeight="true" outlineLevel="0" collapsed="false">
      <c r="A122" s="5" t="s">
        <v>1688</v>
      </c>
      <c r="B122" s="5" t="s">
        <v>1689</v>
      </c>
      <c r="C122" s="5" t="s">
        <v>130</v>
      </c>
      <c r="D122" s="5" t="s">
        <v>1690</v>
      </c>
      <c r="E122" s="5" t="s">
        <v>1691</v>
      </c>
      <c r="F122" s="5" t="s">
        <v>1692</v>
      </c>
    </row>
    <row r="123" customFormat="false" ht="114.75" hidden="false" customHeight="true" outlineLevel="0" collapsed="false">
      <c r="A123" s="6" t="s">
        <v>1693</v>
      </c>
      <c r="B123" s="6" t="s">
        <v>1694</v>
      </c>
      <c r="C123" s="6" t="s">
        <v>135</v>
      </c>
      <c r="D123" s="6" t="s">
        <v>1695</v>
      </c>
      <c r="E123" s="6" t="s">
        <v>1696</v>
      </c>
      <c r="F123" s="6" t="s">
        <v>1697</v>
      </c>
    </row>
    <row r="124" customFormat="false" ht="114.75" hidden="false" customHeight="true" outlineLevel="0" collapsed="false">
      <c r="A124" s="5" t="s">
        <v>1698</v>
      </c>
      <c r="B124" s="5" t="s">
        <v>1699</v>
      </c>
      <c r="C124" s="5" t="s">
        <v>135</v>
      </c>
      <c r="D124" s="5" t="s">
        <v>327</v>
      </c>
      <c r="E124" s="5" t="s">
        <v>1700</v>
      </c>
      <c r="F124" s="5" t="s">
        <v>1701</v>
      </c>
    </row>
    <row r="125" customFormat="false" ht="114.75" hidden="false" customHeight="true" outlineLevel="0" collapsed="false">
      <c r="A125" s="6" t="s">
        <v>1702</v>
      </c>
      <c r="B125" s="6" t="s">
        <v>1703</v>
      </c>
      <c r="C125" s="6" t="s">
        <v>135</v>
      </c>
      <c r="D125" s="6" t="s">
        <v>1704</v>
      </c>
      <c r="E125" s="6" t="s">
        <v>1705</v>
      </c>
      <c r="F125" s="6" t="s">
        <v>1706</v>
      </c>
    </row>
    <row r="126" customFormat="false" ht="114.75" hidden="false" customHeight="true" outlineLevel="0" collapsed="false">
      <c r="A126" s="5" t="s">
        <v>1707</v>
      </c>
      <c r="B126" s="5" t="s">
        <v>1708</v>
      </c>
      <c r="C126" s="5" t="s">
        <v>135</v>
      </c>
      <c r="D126" s="5" t="s">
        <v>1709</v>
      </c>
      <c r="E126" s="5" t="s">
        <v>1710</v>
      </c>
      <c r="F126" s="5" t="s">
        <v>1711</v>
      </c>
    </row>
    <row r="127" customFormat="false" ht="114.75" hidden="false" customHeight="true" outlineLevel="0" collapsed="false">
      <c r="A127" s="6" t="s">
        <v>1712</v>
      </c>
      <c r="B127" s="6" t="s">
        <v>1713</v>
      </c>
      <c r="C127" s="6" t="s">
        <v>135</v>
      </c>
      <c r="D127" s="6" t="s">
        <v>1641</v>
      </c>
      <c r="E127" s="6" t="s">
        <v>1714</v>
      </c>
      <c r="F127" s="6" t="s">
        <v>1715</v>
      </c>
    </row>
    <row r="128" customFormat="false" ht="114.75" hidden="false" customHeight="true" outlineLevel="0" collapsed="false">
      <c r="A128" s="5" t="s">
        <v>1716</v>
      </c>
      <c r="B128" s="5" t="s">
        <v>1717</v>
      </c>
      <c r="C128" s="5" t="s">
        <v>1463</v>
      </c>
      <c r="D128" s="5" t="s">
        <v>1695</v>
      </c>
      <c r="E128" s="5" t="s">
        <v>1718</v>
      </c>
      <c r="F128" s="5" t="s">
        <v>1719</v>
      </c>
    </row>
    <row r="129" customFormat="false" ht="114.75" hidden="false" customHeight="true" outlineLevel="0" collapsed="false">
      <c r="A129" s="6" t="s">
        <v>1720</v>
      </c>
      <c r="B129" s="6" t="s">
        <v>1721</v>
      </c>
      <c r="C129" s="6" t="s">
        <v>1543</v>
      </c>
      <c r="D129" s="6" t="s">
        <v>1641</v>
      </c>
      <c r="E129" s="6" t="s">
        <v>1722</v>
      </c>
      <c r="F129" s="6" t="s">
        <v>1723</v>
      </c>
    </row>
    <row r="130" customFormat="false" ht="114.75" hidden="false" customHeight="true" outlineLevel="0" collapsed="false">
      <c r="A130" s="5" t="s">
        <v>1724</v>
      </c>
      <c r="B130" s="5" t="s">
        <v>323</v>
      </c>
      <c r="C130" s="5" t="s">
        <v>1523</v>
      </c>
      <c r="D130" s="5" t="s">
        <v>327</v>
      </c>
      <c r="E130" s="5" t="s">
        <v>1725</v>
      </c>
      <c r="F130" s="5" t="s">
        <v>1726</v>
      </c>
    </row>
    <row r="131" customFormat="false" ht="114.75" hidden="false" customHeight="true" outlineLevel="0" collapsed="false">
      <c r="A131" s="6" t="s">
        <v>1727</v>
      </c>
      <c r="B131" s="6" t="s">
        <v>1728</v>
      </c>
      <c r="C131" s="6" t="s">
        <v>1274</v>
      </c>
      <c r="D131" s="6" t="s">
        <v>327</v>
      </c>
      <c r="E131" s="6" t="s">
        <v>1729</v>
      </c>
      <c r="F131" s="6" t="s">
        <v>1730</v>
      </c>
    </row>
    <row r="132" customFormat="false" ht="114.75" hidden="false" customHeight="true" outlineLevel="0" collapsed="false">
      <c r="A132" s="5" t="s">
        <v>1731</v>
      </c>
      <c r="B132" s="5" t="s">
        <v>1137</v>
      </c>
      <c r="C132" s="5" t="s">
        <v>1251</v>
      </c>
      <c r="D132" s="5" t="s">
        <v>1695</v>
      </c>
      <c r="E132" s="5" t="s">
        <v>1732</v>
      </c>
      <c r="F132" s="5" t="s">
        <v>1733</v>
      </c>
    </row>
    <row r="133" customFormat="false" ht="114.75" hidden="false" customHeight="true" outlineLevel="0" collapsed="false">
      <c r="A133" s="6" t="s">
        <v>1734</v>
      </c>
      <c r="B133" s="6" t="s">
        <v>1735</v>
      </c>
      <c r="C133" s="6" t="s">
        <v>1736</v>
      </c>
      <c r="D133" s="6" t="s">
        <v>1737</v>
      </c>
      <c r="E133" s="6" t="s">
        <v>1738</v>
      </c>
      <c r="F133" s="6" t="s">
        <v>1739</v>
      </c>
    </row>
    <row r="134" customFormat="false" ht="114.75" hidden="false" customHeight="true" outlineLevel="0" collapsed="false">
      <c r="A134" s="5" t="s">
        <v>1740</v>
      </c>
      <c r="B134" s="5" t="s">
        <v>35</v>
      </c>
      <c r="C134" s="5" t="s">
        <v>1247</v>
      </c>
      <c r="D134" s="5" t="s">
        <v>1741</v>
      </c>
      <c r="E134" s="5" t="s">
        <v>1742</v>
      </c>
      <c r="F134" s="5" t="s">
        <v>1743</v>
      </c>
    </row>
    <row r="135" customFormat="false" ht="114.75" hidden="false" customHeight="true" outlineLevel="0" collapsed="false">
      <c r="A135" s="6" t="s">
        <v>1744</v>
      </c>
      <c r="B135" s="6" t="s">
        <v>1745</v>
      </c>
      <c r="C135" s="6" t="s">
        <v>1746</v>
      </c>
      <c r="D135" s="6" t="s">
        <v>1747</v>
      </c>
      <c r="E135" s="6" t="s">
        <v>1748</v>
      </c>
      <c r="F135" s="6" t="s">
        <v>1749</v>
      </c>
    </row>
    <row r="136" customFormat="false" ht="114.75" hidden="false" customHeight="true" outlineLevel="0" collapsed="false">
      <c r="A136" s="5" t="s">
        <v>1750</v>
      </c>
      <c r="B136" s="5" t="s">
        <v>35</v>
      </c>
      <c r="C136" s="5" t="s">
        <v>1751</v>
      </c>
      <c r="D136" s="5" t="s">
        <v>337</v>
      </c>
      <c r="E136" s="5" t="s">
        <v>1752</v>
      </c>
      <c r="F136" s="5" t="s">
        <v>1753</v>
      </c>
    </row>
    <row r="137" customFormat="false" ht="114.75" hidden="false" customHeight="true" outlineLevel="0" collapsed="false">
      <c r="A137" s="6" t="s">
        <v>1754</v>
      </c>
      <c r="B137" s="6" t="s">
        <v>35</v>
      </c>
      <c r="C137" s="6" t="s">
        <v>1751</v>
      </c>
      <c r="D137" s="6" t="s">
        <v>342</v>
      </c>
      <c r="E137" s="6" t="s">
        <v>1755</v>
      </c>
      <c r="F137" s="6" t="s">
        <v>1756</v>
      </c>
    </row>
    <row r="138" customFormat="false" ht="114.75" hidden="false" customHeight="true" outlineLevel="0" collapsed="false">
      <c r="A138" s="5" t="s">
        <v>1757</v>
      </c>
      <c r="B138" s="5" t="s">
        <v>35</v>
      </c>
      <c r="C138" s="5" t="s">
        <v>1751</v>
      </c>
      <c r="D138" s="5" t="s">
        <v>347</v>
      </c>
      <c r="E138" s="5" t="s">
        <v>1758</v>
      </c>
      <c r="F138" s="5" t="s">
        <v>1759</v>
      </c>
    </row>
    <row r="139" customFormat="false" ht="114.75" hidden="false" customHeight="true" outlineLevel="0" collapsed="false">
      <c r="A139" s="6" t="s">
        <v>1760</v>
      </c>
      <c r="B139" s="6" t="s">
        <v>35</v>
      </c>
      <c r="C139" s="6" t="s">
        <v>1751</v>
      </c>
      <c r="D139" s="6" t="s">
        <v>352</v>
      </c>
      <c r="E139" s="6" t="s">
        <v>1761</v>
      </c>
      <c r="F139" s="6" t="s">
        <v>1762</v>
      </c>
    </row>
    <row r="140" customFormat="false" ht="114.75" hidden="false" customHeight="true" outlineLevel="0" collapsed="false">
      <c r="A140" s="5" t="s">
        <v>1763</v>
      </c>
      <c r="B140" s="5" t="s">
        <v>35</v>
      </c>
      <c r="C140" s="5" t="s">
        <v>1751</v>
      </c>
      <c r="D140" s="5" t="s">
        <v>352</v>
      </c>
      <c r="E140" s="5" t="s">
        <v>1764</v>
      </c>
      <c r="F140" s="5" t="s">
        <v>1765</v>
      </c>
    </row>
    <row r="141" customFormat="false" ht="114.75" hidden="false" customHeight="true" outlineLevel="0" collapsed="false">
      <c r="A141" s="6" t="s">
        <v>1766</v>
      </c>
      <c r="B141" s="6" t="s">
        <v>35</v>
      </c>
      <c r="C141" s="6" t="s">
        <v>1751</v>
      </c>
      <c r="D141" s="6" t="s">
        <v>342</v>
      </c>
      <c r="E141" s="6" t="s">
        <v>1767</v>
      </c>
      <c r="F141" s="6" t="s">
        <v>1768</v>
      </c>
    </row>
    <row r="142" customFormat="false" ht="114.75" hidden="false" customHeight="true" outlineLevel="0" collapsed="false">
      <c r="A142" s="5" t="s">
        <v>1769</v>
      </c>
      <c r="B142" s="5" t="s">
        <v>35</v>
      </c>
      <c r="C142" s="5" t="s">
        <v>1751</v>
      </c>
      <c r="D142" s="5" t="s">
        <v>365</v>
      </c>
      <c r="E142" s="5" t="s">
        <v>1770</v>
      </c>
      <c r="F142" s="5" t="s">
        <v>1771</v>
      </c>
    </row>
    <row r="143" customFormat="false" ht="114.75" hidden="false" customHeight="true" outlineLevel="0" collapsed="false">
      <c r="A143" s="6" t="s">
        <v>1772</v>
      </c>
      <c r="B143" s="6" t="s">
        <v>35</v>
      </c>
      <c r="C143" s="6" t="s">
        <v>1751</v>
      </c>
      <c r="D143" s="6" t="s">
        <v>370</v>
      </c>
      <c r="E143" s="6" t="s">
        <v>1773</v>
      </c>
      <c r="F143" s="6" t="s">
        <v>1774</v>
      </c>
    </row>
    <row r="144" customFormat="false" ht="114.75" hidden="false" customHeight="true" outlineLevel="0" collapsed="false">
      <c r="A144" s="5" t="s">
        <v>1775</v>
      </c>
      <c r="B144" s="5" t="s">
        <v>35</v>
      </c>
      <c r="C144" s="5" t="s">
        <v>1751</v>
      </c>
      <c r="D144" s="5" t="s">
        <v>375</v>
      </c>
      <c r="E144" s="5" t="s">
        <v>1776</v>
      </c>
      <c r="F144" s="5" t="s">
        <v>1777</v>
      </c>
    </row>
    <row r="145" customFormat="false" ht="114.75" hidden="false" customHeight="true" outlineLevel="0" collapsed="false">
      <c r="A145" s="6" t="s">
        <v>1778</v>
      </c>
      <c r="B145" s="6" t="s">
        <v>35</v>
      </c>
      <c r="C145" s="6" t="s">
        <v>1751</v>
      </c>
      <c r="D145" s="6" t="s">
        <v>378</v>
      </c>
      <c r="E145" s="6" t="s">
        <v>1776</v>
      </c>
      <c r="F145" s="6" t="s">
        <v>1779</v>
      </c>
    </row>
    <row r="146" customFormat="false" ht="114.75" hidden="false" customHeight="true" outlineLevel="0" collapsed="false">
      <c r="A146" s="5" t="s">
        <v>1780</v>
      </c>
      <c r="B146" s="5" t="s">
        <v>35</v>
      </c>
      <c r="C146" s="5" t="s">
        <v>1751</v>
      </c>
      <c r="D146" s="5" t="s">
        <v>383</v>
      </c>
      <c r="E146" s="5" t="s">
        <v>1781</v>
      </c>
      <c r="F146" s="5" t="s">
        <v>1782</v>
      </c>
    </row>
    <row r="147" customFormat="false" ht="114.75" hidden="false" customHeight="true" outlineLevel="0" collapsed="false">
      <c r="A147" s="6" t="s">
        <v>1783</v>
      </c>
      <c r="B147" s="6" t="s">
        <v>35</v>
      </c>
      <c r="C147" s="6" t="s">
        <v>1751</v>
      </c>
      <c r="D147" s="6" t="s">
        <v>388</v>
      </c>
      <c r="E147" s="6" t="s">
        <v>1784</v>
      </c>
      <c r="F147" s="6" t="s">
        <v>1785</v>
      </c>
    </row>
    <row r="148" customFormat="false" ht="114.75" hidden="false" customHeight="true" outlineLevel="0" collapsed="false">
      <c r="A148" s="5" t="s">
        <v>1786</v>
      </c>
      <c r="B148" s="5" t="s">
        <v>35</v>
      </c>
      <c r="C148" s="5" t="s">
        <v>1751</v>
      </c>
      <c r="D148" s="5" t="s">
        <v>393</v>
      </c>
      <c r="E148" s="5" t="s">
        <v>1787</v>
      </c>
      <c r="F148" s="5" t="s">
        <v>1788</v>
      </c>
    </row>
    <row r="149" customFormat="false" ht="114.75" hidden="false" customHeight="true" outlineLevel="0" collapsed="false">
      <c r="A149" s="6" t="s">
        <v>1789</v>
      </c>
      <c r="B149" s="6" t="s">
        <v>35</v>
      </c>
      <c r="C149" s="6" t="s">
        <v>1751</v>
      </c>
      <c r="D149" s="6" t="s">
        <v>398</v>
      </c>
      <c r="E149" s="6" t="s">
        <v>1790</v>
      </c>
      <c r="F149" s="6" t="s">
        <v>1791</v>
      </c>
    </row>
    <row r="150" customFormat="false" ht="114.75" hidden="false" customHeight="true" outlineLevel="0" collapsed="false">
      <c r="A150" s="5" t="s">
        <v>1792</v>
      </c>
      <c r="B150" s="5" t="s">
        <v>1793</v>
      </c>
      <c r="C150" s="5" t="s">
        <v>1794</v>
      </c>
      <c r="D150" s="5" t="s">
        <v>1795</v>
      </c>
      <c r="E150" s="5" t="s">
        <v>1796</v>
      </c>
      <c r="F150" s="5" t="s">
        <v>1797</v>
      </c>
    </row>
    <row r="151" customFormat="false" ht="114.75" hidden="false" customHeight="true" outlineLevel="0" collapsed="false">
      <c r="A151" s="6" t="s">
        <v>1798</v>
      </c>
      <c r="B151" s="6" t="s">
        <v>1793</v>
      </c>
      <c r="C151" s="6" t="s">
        <v>1794</v>
      </c>
      <c r="D151" s="6" t="s">
        <v>1795</v>
      </c>
      <c r="E151" s="6" t="s">
        <v>1799</v>
      </c>
      <c r="F151" s="6" t="s">
        <v>1800</v>
      </c>
    </row>
    <row r="152" customFormat="false" ht="114.75" hidden="false" customHeight="true" outlineLevel="0" collapsed="false">
      <c r="A152" s="5" t="s">
        <v>1801</v>
      </c>
      <c r="B152" s="5" t="s">
        <v>1793</v>
      </c>
      <c r="C152" s="5" t="s">
        <v>1794</v>
      </c>
      <c r="D152" s="5" t="s">
        <v>1795</v>
      </c>
      <c r="E152" s="5" t="s">
        <v>1802</v>
      </c>
      <c r="F152" s="5" t="s">
        <v>1803</v>
      </c>
    </row>
    <row r="153" customFormat="false" ht="114.75" hidden="false" customHeight="true" outlineLevel="0" collapsed="false">
      <c r="A153" s="6" t="s">
        <v>1804</v>
      </c>
      <c r="B153" s="6" t="s">
        <v>1793</v>
      </c>
      <c r="C153" s="6" t="s">
        <v>1794</v>
      </c>
      <c r="D153" s="6" t="s">
        <v>1795</v>
      </c>
      <c r="E153" s="6" t="s">
        <v>1805</v>
      </c>
      <c r="F153" s="6" t="s">
        <v>1806</v>
      </c>
    </row>
    <row r="154" customFormat="false" ht="114.75" hidden="false" customHeight="true" outlineLevel="0" collapsed="false">
      <c r="A154" s="5" t="s">
        <v>1807</v>
      </c>
      <c r="B154" s="5" t="s">
        <v>1793</v>
      </c>
      <c r="C154" s="5" t="s">
        <v>1794</v>
      </c>
      <c r="D154" s="5" t="s">
        <v>1795</v>
      </c>
      <c r="E154" s="5" t="s">
        <v>1808</v>
      </c>
      <c r="F154" s="5" t="s">
        <v>1809</v>
      </c>
    </row>
    <row r="155" customFormat="false" ht="114.75" hidden="false" customHeight="true" outlineLevel="0" collapsed="false">
      <c r="A155" s="6" t="s">
        <v>1810</v>
      </c>
      <c r="B155" s="6" t="s">
        <v>50</v>
      </c>
      <c r="C155" s="6" t="s">
        <v>150</v>
      </c>
      <c r="D155" s="6" t="s">
        <v>232</v>
      </c>
      <c r="E155" s="6" t="s">
        <v>1811</v>
      </c>
      <c r="F155" s="6" t="s">
        <v>1812</v>
      </c>
    </row>
    <row r="156" customFormat="false" ht="114.75" hidden="false" customHeight="true" outlineLevel="0" collapsed="false">
      <c r="A156" s="5" t="s">
        <v>1813</v>
      </c>
      <c r="B156" s="5" t="s">
        <v>50</v>
      </c>
      <c r="C156" s="5" t="s">
        <v>150</v>
      </c>
      <c r="D156" s="5" t="s">
        <v>232</v>
      </c>
      <c r="E156" s="5" t="s">
        <v>1814</v>
      </c>
      <c r="F156" s="5" t="s">
        <v>1815</v>
      </c>
    </row>
    <row r="157" customFormat="false" ht="114.75" hidden="false" customHeight="true" outlineLevel="0" collapsed="false">
      <c r="A157" s="6" t="s">
        <v>1816</v>
      </c>
      <c r="B157" s="6" t="s">
        <v>50</v>
      </c>
      <c r="C157" s="6" t="s">
        <v>150</v>
      </c>
      <c r="D157" s="6" t="s">
        <v>598</v>
      </c>
      <c r="E157" s="6" t="s">
        <v>1817</v>
      </c>
      <c r="F157" s="6" t="s">
        <v>1818</v>
      </c>
    </row>
    <row r="158" customFormat="false" ht="114.75" hidden="false" customHeight="true" outlineLevel="0" collapsed="false">
      <c r="A158" s="5" t="s">
        <v>1819</v>
      </c>
      <c r="B158" s="5" t="s">
        <v>50</v>
      </c>
      <c r="C158" s="5" t="s">
        <v>150</v>
      </c>
      <c r="D158" s="5" t="s">
        <v>232</v>
      </c>
      <c r="E158" s="5" t="s">
        <v>1820</v>
      </c>
      <c r="F158" s="5" t="s">
        <v>1821</v>
      </c>
    </row>
    <row r="159" customFormat="false" ht="114.75" hidden="false" customHeight="true" outlineLevel="0" collapsed="false">
      <c r="A159" s="6" t="s">
        <v>1822</v>
      </c>
      <c r="B159" s="6" t="s">
        <v>50</v>
      </c>
      <c r="C159" s="6" t="s">
        <v>150</v>
      </c>
      <c r="D159" s="6" t="s">
        <v>232</v>
      </c>
      <c r="E159" s="6" t="s">
        <v>1823</v>
      </c>
      <c r="F159" s="6" t="s">
        <v>1824</v>
      </c>
    </row>
    <row r="160" customFormat="false" ht="114.75" hidden="false" customHeight="true" outlineLevel="0" collapsed="false">
      <c r="A160" s="5" t="s">
        <v>1825</v>
      </c>
      <c r="B160" s="5" t="s">
        <v>50</v>
      </c>
      <c r="C160" s="5" t="s">
        <v>150</v>
      </c>
      <c r="D160" s="5" t="s">
        <v>232</v>
      </c>
      <c r="E160" s="5" t="s">
        <v>1826</v>
      </c>
      <c r="F160" s="5" t="s">
        <v>1827</v>
      </c>
    </row>
    <row r="161" customFormat="false" ht="114.75" hidden="false" customHeight="true" outlineLevel="0" collapsed="false">
      <c r="A161" s="6" t="s">
        <v>1828</v>
      </c>
      <c r="B161" s="6" t="s">
        <v>50</v>
      </c>
      <c r="C161" s="6" t="s">
        <v>150</v>
      </c>
      <c r="D161" s="6" t="s">
        <v>615</v>
      </c>
      <c r="E161" s="6" t="s">
        <v>1829</v>
      </c>
      <c r="F161" s="6" t="s">
        <v>1830</v>
      </c>
    </row>
    <row r="162" customFormat="false" ht="114.75" hidden="false" customHeight="true" outlineLevel="0" collapsed="false">
      <c r="A162" s="5" t="s">
        <v>1831</v>
      </c>
      <c r="B162" s="5" t="s">
        <v>50</v>
      </c>
      <c r="C162" s="5" t="s">
        <v>150</v>
      </c>
      <c r="D162" s="5" t="s">
        <v>620</v>
      </c>
      <c r="E162" s="5" t="s">
        <v>1832</v>
      </c>
      <c r="F162" s="5" t="s">
        <v>1833</v>
      </c>
    </row>
    <row r="163" customFormat="false" ht="114.75" hidden="false" customHeight="true" outlineLevel="0" collapsed="false">
      <c r="A163" s="6" t="s">
        <v>1834</v>
      </c>
      <c r="B163" s="6" t="s">
        <v>50</v>
      </c>
      <c r="C163" s="6" t="s">
        <v>150</v>
      </c>
      <c r="D163" s="6" t="s">
        <v>625</v>
      </c>
      <c r="E163" s="6" t="s">
        <v>1835</v>
      </c>
      <c r="F163" s="6" t="s">
        <v>1836</v>
      </c>
    </row>
    <row r="164" customFormat="false" ht="114.75" hidden="false" customHeight="true" outlineLevel="0" collapsed="false">
      <c r="A164" s="5" t="s">
        <v>1837</v>
      </c>
      <c r="B164" s="5" t="s">
        <v>50</v>
      </c>
      <c r="C164" s="5" t="s">
        <v>150</v>
      </c>
      <c r="D164" s="5" t="s">
        <v>232</v>
      </c>
      <c r="E164" s="5" t="s">
        <v>1838</v>
      </c>
      <c r="F164" s="5" t="s">
        <v>1839</v>
      </c>
    </row>
    <row r="165" customFormat="false" ht="114.75" hidden="false" customHeight="true" outlineLevel="0" collapsed="false">
      <c r="A165" s="6" t="s">
        <v>1840</v>
      </c>
      <c r="B165" s="6" t="s">
        <v>50</v>
      </c>
      <c r="C165" s="6" t="s">
        <v>150</v>
      </c>
      <c r="D165" s="6" t="s">
        <v>598</v>
      </c>
      <c r="E165" s="6" t="s">
        <v>1841</v>
      </c>
      <c r="F165" s="6" t="s">
        <v>1842</v>
      </c>
    </row>
    <row r="166" customFormat="false" ht="114.75" hidden="false" customHeight="true" outlineLevel="0" collapsed="false">
      <c r="A166" s="5" t="s">
        <v>1843</v>
      </c>
      <c r="B166" s="5" t="s">
        <v>50</v>
      </c>
      <c r="C166" s="5" t="s">
        <v>150</v>
      </c>
      <c r="D166" s="5" t="s">
        <v>232</v>
      </c>
      <c r="E166" s="5" t="s">
        <v>1844</v>
      </c>
      <c r="F166" s="5" t="s">
        <v>1845</v>
      </c>
    </row>
    <row r="167" customFormat="false" ht="114.75" hidden="false" customHeight="true" outlineLevel="0" collapsed="false">
      <c r="A167" s="6" t="s">
        <v>1846</v>
      </c>
      <c r="B167" s="6" t="s">
        <v>50</v>
      </c>
      <c r="C167" s="6" t="s">
        <v>150</v>
      </c>
      <c r="D167" s="6" t="s">
        <v>642</v>
      </c>
      <c r="E167" s="6" t="s">
        <v>1847</v>
      </c>
      <c r="F167" s="6" t="s">
        <v>1848</v>
      </c>
    </row>
    <row r="168" customFormat="false" ht="114.75" hidden="false" customHeight="true" outlineLevel="0" collapsed="false">
      <c r="A168" s="5" t="s">
        <v>1849</v>
      </c>
      <c r="B168" s="5" t="s">
        <v>50</v>
      </c>
      <c r="C168" s="5" t="s">
        <v>150</v>
      </c>
      <c r="D168" s="5" t="s">
        <v>647</v>
      </c>
      <c r="E168" s="5" t="s">
        <v>1850</v>
      </c>
      <c r="F168" s="5" t="s">
        <v>1851</v>
      </c>
    </row>
    <row r="169" customFormat="false" ht="114.75" hidden="false" customHeight="true" outlineLevel="0" collapsed="false">
      <c r="A169" s="6" t="s">
        <v>1852</v>
      </c>
      <c r="B169" s="6" t="s">
        <v>50</v>
      </c>
      <c r="C169" s="6" t="s">
        <v>150</v>
      </c>
      <c r="D169" s="6" t="s">
        <v>232</v>
      </c>
      <c r="E169" s="6" t="s">
        <v>1853</v>
      </c>
      <c r="F169" s="6" t="s">
        <v>1854</v>
      </c>
    </row>
    <row r="170" customFormat="false" ht="114.75" hidden="false" customHeight="true" outlineLevel="0" collapsed="false">
      <c r="A170" s="5" t="s">
        <v>1855</v>
      </c>
      <c r="B170" s="5" t="s">
        <v>50</v>
      </c>
      <c r="C170" s="5" t="s">
        <v>150</v>
      </c>
      <c r="D170" s="5" t="s">
        <v>232</v>
      </c>
      <c r="E170" s="5" t="s">
        <v>1856</v>
      </c>
      <c r="F170" s="5" t="s">
        <v>1857</v>
      </c>
    </row>
    <row r="171" customFormat="false" ht="114.75" hidden="false" customHeight="true" outlineLevel="0" collapsed="false">
      <c r="A171" s="6" t="s">
        <v>1858</v>
      </c>
      <c r="B171" s="6" t="s">
        <v>50</v>
      </c>
      <c r="C171" s="6" t="s">
        <v>150</v>
      </c>
      <c r="D171" s="6" t="s">
        <v>647</v>
      </c>
      <c r="E171" s="6" t="s">
        <v>1859</v>
      </c>
      <c r="F171" s="6" t="s">
        <v>1860</v>
      </c>
    </row>
    <row r="172" customFormat="false" ht="114.75" hidden="false" customHeight="true" outlineLevel="0" collapsed="false">
      <c r="A172" s="5" t="s">
        <v>1861</v>
      </c>
      <c r="B172" s="5" t="s">
        <v>50</v>
      </c>
      <c r="C172" s="5" t="s">
        <v>150</v>
      </c>
      <c r="D172" s="5" t="s">
        <v>647</v>
      </c>
      <c r="E172" s="5" t="s">
        <v>1862</v>
      </c>
      <c r="F172" s="5" t="s">
        <v>1863</v>
      </c>
    </row>
    <row r="173" customFormat="false" ht="114.75" hidden="false" customHeight="true" outlineLevel="0" collapsed="false">
      <c r="A173" s="6" t="s">
        <v>1864</v>
      </c>
      <c r="B173" s="6" t="s">
        <v>50</v>
      </c>
      <c r="C173" s="6" t="s">
        <v>150</v>
      </c>
      <c r="D173" s="6" t="s">
        <v>667</v>
      </c>
      <c r="E173" s="6" t="s">
        <v>1865</v>
      </c>
      <c r="F173" s="6" t="s">
        <v>1866</v>
      </c>
    </row>
    <row r="174" customFormat="false" ht="114.75" hidden="false" customHeight="true" outlineLevel="0" collapsed="false">
      <c r="A174" s="5" t="s">
        <v>1867</v>
      </c>
      <c r="B174" s="5" t="s">
        <v>50</v>
      </c>
      <c r="C174" s="5" t="s">
        <v>150</v>
      </c>
      <c r="D174" s="5" t="s">
        <v>672</v>
      </c>
      <c r="E174" s="5" t="s">
        <v>1868</v>
      </c>
      <c r="F174" s="5" t="s">
        <v>1869</v>
      </c>
    </row>
    <row r="175" customFormat="false" ht="114.75" hidden="false" customHeight="true" outlineLevel="0" collapsed="false">
      <c r="A175" s="6" t="s">
        <v>1870</v>
      </c>
      <c r="B175" s="6" t="s">
        <v>50</v>
      </c>
      <c r="C175" s="6" t="s">
        <v>150</v>
      </c>
      <c r="D175" s="6" t="s">
        <v>672</v>
      </c>
      <c r="E175" s="6" t="s">
        <v>1871</v>
      </c>
      <c r="F175" s="6" t="s">
        <v>1872</v>
      </c>
    </row>
    <row r="176" customFormat="false" ht="114.75" hidden="false" customHeight="true" outlineLevel="0" collapsed="false">
      <c r="A176" s="5" t="s">
        <v>1873</v>
      </c>
      <c r="B176" s="5" t="s">
        <v>53</v>
      </c>
      <c r="C176" s="5" t="s">
        <v>1874</v>
      </c>
      <c r="D176" s="5" t="s">
        <v>752</v>
      </c>
      <c r="E176" s="5" t="s">
        <v>750</v>
      </c>
      <c r="F176" s="5" t="s">
        <v>1875</v>
      </c>
    </row>
    <row r="177" customFormat="false" ht="114.75" hidden="false" customHeight="true" outlineLevel="0" collapsed="false">
      <c r="A177" s="6" t="s">
        <v>1876</v>
      </c>
      <c r="B177" s="6" t="s">
        <v>53</v>
      </c>
      <c r="C177" s="6" t="s">
        <v>1874</v>
      </c>
      <c r="D177" s="6" t="s">
        <v>756</v>
      </c>
      <c r="E177" s="6" t="s">
        <v>754</v>
      </c>
      <c r="F177" s="6" t="s">
        <v>1877</v>
      </c>
    </row>
    <row r="178" customFormat="false" ht="114.75" hidden="false" customHeight="true" outlineLevel="0" collapsed="false">
      <c r="A178" s="5" t="s">
        <v>1878</v>
      </c>
      <c r="B178" s="5" t="s">
        <v>53</v>
      </c>
      <c r="C178" s="5" t="s">
        <v>1874</v>
      </c>
      <c r="D178" s="5" t="s">
        <v>337</v>
      </c>
      <c r="E178" s="5" t="s">
        <v>757</v>
      </c>
      <c r="F178" s="5" t="s">
        <v>1879</v>
      </c>
    </row>
    <row r="179" customFormat="false" ht="114.75" hidden="false" customHeight="true" outlineLevel="0" collapsed="false">
      <c r="A179" s="6" t="s">
        <v>1880</v>
      </c>
      <c r="B179" s="6" t="s">
        <v>53</v>
      </c>
      <c r="C179" s="6" t="s">
        <v>1874</v>
      </c>
      <c r="D179" s="6" t="s">
        <v>337</v>
      </c>
      <c r="E179" s="6" t="s">
        <v>760</v>
      </c>
      <c r="F179" s="6" t="s">
        <v>1881</v>
      </c>
    </row>
    <row r="180" customFormat="false" ht="114.75" hidden="false" customHeight="true" outlineLevel="0" collapsed="false">
      <c r="A180" s="5" t="s">
        <v>1882</v>
      </c>
      <c r="B180" s="5" t="s">
        <v>53</v>
      </c>
      <c r="C180" s="5" t="s">
        <v>1874</v>
      </c>
      <c r="D180" s="5" t="s">
        <v>337</v>
      </c>
      <c r="E180" s="5" t="s">
        <v>763</v>
      </c>
      <c r="F180" s="5" t="s">
        <v>1883</v>
      </c>
    </row>
    <row r="181" customFormat="false" ht="114.75" hidden="false" customHeight="true" outlineLevel="0" collapsed="false">
      <c r="A181" s="6" t="s">
        <v>1884</v>
      </c>
      <c r="B181" s="6" t="s">
        <v>53</v>
      </c>
      <c r="C181" s="6" t="s">
        <v>1874</v>
      </c>
      <c r="D181" s="6" t="s">
        <v>768</v>
      </c>
      <c r="E181" s="6" t="s">
        <v>766</v>
      </c>
      <c r="F181" s="6" t="s">
        <v>1885</v>
      </c>
    </row>
    <row r="182" customFormat="false" ht="114.75" hidden="false" customHeight="true" outlineLevel="0" collapsed="false">
      <c r="A182" s="5" t="s">
        <v>1886</v>
      </c>
      <c r="B182" s="5" t="s">
        <v>53</v>
      </c>
      <c r="C182" s="5" t="s">
        <v>1874</v>
      </c>
      <c r="D182" s="5" t="s">
        <v>772</v>
      </c>
      <c r="E182" s="5" t="s">
        <v>770</v>
      </c>
      <c r="F182" s="5" t="s">
        <v>1887</v>
      </c>
    </row>
    <row r="183" customFormat="false" ht="114.75" hidden="false" customHeight="true" outlineLevel="0" collapsed="false">
      <c r="A183" s="6" t="s">
        <v>1888</v>
      </c>
      <c r="B183" s="6" t="s">
        <v>53</v>
      </c>
      <c r="C183" s="6" t="s">
        <v>1874</v>
      </c>
      <c r="D183" s="6" t="s">
        <v>776</v>
      </c>
      <c r="E183" s="6" t="s">
        <v>774</v>
      </c>
      <c r="F183" s="6" t="s">
        <v>1889</v>
      </c>
    </row>
    <row r="184" customFormat="false" ht="114.75" hidden="false" customHeight="true" outlineLevel="0" collapsed="false">
      <c r="A184" s="5" t="s">
        <v>1890</v>
      </c>
      <c r="B184" s="5" t="s">
        <v>53</v>
      </c>
      <c r="C184" s="5" t="s">
        <v>1874</v>
      </c>
      <c r="D184" s="5" t="s">
        <v>780</v>
      </c>
      <c r="E184" s="5" t="s">
        <v>778</v>
      </c>
      <c r="F184" s="5" t="s">
        <v>1891</v>
      </c>
    </row>
    <row r="185" customFormat="false" ht="114.75" hidden="false" customHeight="true" outlineLevel="0" collapsed="false">
      <c r="A185" s="6" t="s">
        <v>1892</v>
      </c>
      <c r="B185" s="6" t="s">
        <v>53</v>
      </c>
      <c r="C185" s="6" t="s">
        <v>1874</v>
      </c>
      <c r="D185" s="6" t="s">
        <v>337</v>
      </c>
      <c r="E185" s="6" t="s">
        <v>782</v>
      </c>
      <c r="F185" s="6" t="s">
        <v>1893</v>
      </c>
    </row>
    <row r="186" customFormat="false" ht="114.75" hidden="false" customHeight="true" outlineLevel="0" collapsed="false">
      <c r="A186" s="5" t="s">
        <v>1894</v>
      </c>
      <c r="B186" s="5" t="s">
        <v>53</v>
      </c>
      <c r="C186" s="5" t="s">
        <v>1874</v>
      </c>
      <c r="D186" s="5" t="s">
        <v>787</v>
      </c>
      <c r="E186" s="5" t="s">
        <v>785</v>
      </c>
      <c r="F186" s="5" t="s">
        <v>1895</v>
      </c>
    </row>
    <row r="187" customFormat="false" ht="114.75" hidden="false" customHeight="true" outlineLevel="0" collapsed="false">
      <c r="A187" s="6" t="s">
        <v>1896</v>
      </c>
      <c r="B187" s="6" t="s">
        <v>53</v>
      </c>
      <c r="C187" s="6" t="s">
        <v>1874</v>
      </c>
      <c r="D187" s="6" t="s">
        <v>791</v>
      </c>
      <c r="E187" s="6" t="s">
        <v>789</v>
      </c>
      <c r="F187" s="6" t="s">
        <v>1897</v>
      </c>
    </row>
  </sheetData>
  <autoFilter ref="A5:F187"/>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6796875" defaultRowHeight="14.25" customHeight="false" zeroHeight="false" outlineLevelRow="0" outlineLevelCol="0"/>
  <cols>
    <col collapsed="false" customWidth="true" hidden="false" outlineLevel="0" max="1" min="1" style="1" width="28.67"/>
    <col collapsed="false" customWidth="true" hidden="false" outlineLevel="0" max="2" min="2" style="1" width="24.67"/>
    <col collapsed="false" customWidth="true" hidden="false" outlineLevel="0" max="3" min="3" style="1" width="26.67"/>
    <col collapsed="false" customWidth="true" hidden="false" outlineLevel="0" max="4" min="4" style="1" width="65.67"/>
    <col collapsed="false" customWidth="true" hidden="false" outlineLevel="0" max="5" min="5" style="1" width="110.67"/>
  </cols>
  <sheetData>
    <row r="1" customFormat="false" ht="33.75" hidden="false" customHeight="true" outlineLevel="0" collapsed="false">
      <c r="A1" s="21" t="s">
        <v>1898</v>
      </c>
      <c r="B1" s="21"/>
      <c r="C1" s="21"/>
      <c r="D1" s="21"/>
      <c r="E1" s="21"/>
    </row>
    <row r="2" customFormat="false" ht="24.75" hidden="false" customHeight="true" outlineLevel="0" collapsed="false">
      <c r="A2" s="22" t="s">
        <v>1899</v>
      </c>
      <c r="B2" s="22"/>
      <c r="C2" s="22"/>
      <c r="D2" s="22"/>
      <c r="E2" s="22"/>
    </row>
    <row r="3" customFormat="false" ht="24.75" hidden="false" customHeight="true" outlineLevel="0" collapsed="false">
      <c r="A3" s="22"/>
      <c r="B3" s="22"/>
      <c r="C3" s="22"/>
      <c r="D3" s="22"/>
      <c r="E3" s="22"/>
    </row>
    <row r="5" customFormat="false" ht="48" hidden="false" customHeight="true" outlineLevel="0" collapsed="false">
      <c r="A5" s="23" t="s">
        <v>1900</v>
      </c>
      <c r="B5" s="23" t="s">
        <v>1901</v>
      </c>
      <c r="C5" s="23" t="s">
        <v>1902</v>
      </c>
      <c r="D5" s="23" t="s">
        <v>1903</v>
      </c>
      <c r="E5" s="23" t="s">
        <v>332</v>
      </c>
    </row>
    <row r="6" customFormat="false" ht="51.75" hidden="false" customHeight="true" outlineLevel="0" collapsed="false">
      <c r="A6" s="24" t="n">
        <v>-100</v>
      </c>
      <c r="B6" s="24" t="n">
        <f aca="false">SIGN(A6)*IF(ABS(A6)&lt;=50,ABS(A6)/300,1/6+(ABS(A6)-50)/60)</f>
        <v>-1</v>
      </c>
      <c r="C6" s="25" t="n">
        <f aca="false">IF(B6=0,"brak zmiany",1/ABS(B6))</f>
        <v>1</v>
      </c>
      <c r="D6" s="26" t="s">
        <v>1904</v>
      </c>
      <c r="E6" s="26" t="s">
        <v>1905</v>
      </c>
    </row>
    <row r="7" customFormat="false" ht="51.75" hidden="false" customHeight="true" outlineLevel="0" collapsed="false">
      <c r="A7" s="24" t="n">
        <v>-75</v>
      </c>
      <c r="B7" s="24" t="n">
        <f aca="false">SIGN(A7)*IF(ABS(A7)&lt;=50,ABS(A7)/300,1/6+(ABS(A7)-50)/60)</f>
        <v>-0.583333333333333</v>
      </c>
      <c r="C7" s="25" t="n">
        <f aca="false">IF(B7=0,"brak zmiany",1/ABS(B7))</f>
        <v>1.71428571428571</v>
      </c>
      <c r="D7" s="27" t="s">
        <v>1904</v>
      </c>
      <c r="E7" s="27" t="s">
        <v>1905</v>
      </c>
    </row>
    <row r="8" customFormat="false" ht="51.75" hidden="false" customHeight="true" outlineLevel="0" collapsed="false">
      <c r="A8" s="24" t="n">
        <v>-50</v>
      </c>
      <c r="B8" s="24" t="n">
        <f aca="false">SIGN(A8)*IF(ABS(A8)&lt;=50,ABS(A8)/300,1/6+(ABS(A8)-50)/60)</f>
        <v>-0.166666666666667</v>
      </c>
      <c r="C8" s="25" t="n">
        <f aca="false">IF(B8=0,"brak zmiany",1/ABS(B8))</f>
        <v>6</v>
      </c>
      <c r="D8" s="26" t="s">
        <v>1904</v>
      </c>
      <c r="E8" s="26" t="s">
        <v>1905</v>
      </c>
    </row>
    <row r="9" customFormat="false" ht="51.75" hidden="false" customHeight="true" outlineLevel="0" collapsed="false">
      <c r="A9" s="24" t="n">
        <v>-25</v>
      </c>
      <c r="B9" s="24" t="n">
        <f aca="false">SIGN(A9)*IF(ABS(A9)&lt;=50,ABS(A9)/300,1/6+(ABS(A9)-50)/60)</f>
        <v>-0.0833333333333333</v>
      </c>
      <c r="C9" s="25" t="n">
        <f aca="false">IF(B9=0,"brak zmiany",1/ABS(B9))</f>
        <v>12</v>
      </c>
      <c r="D9" s="27" t="s">
        <v>1904</v>
      </c>
      <c r="E9" s="27" t="s">
        <v>1905</v>
      </c>
    </row>
    <row r="10" customFormat="false" ht="51.75" hidden="false" customHeight="true" outlineLevel="0" collapsed="false">
      <c r="A10" s="24" t="n">
        <v>0</v>
      </c>
      <c r="B10" s="24" t="n">
        <f aca="false">SIGN(A10)*IF(ABS(A10)&lt;=50,ABS(A10)/300,1/6+(ABS(A10)-50)/60)</f>
        <v>0</v>
      </c>
      <c r="C10" s="25" t="str">
        <f aca="false">IF(B10=0,"brak zmiany",1/ABS(B10))</f>
        <v>brak zmiany</v>
      </c>
      <c r="D10" s="26" t="s">
        <v>1906</v>
      </c>
      <c r="E10" s="26" t="s">
        <v>1905</v>
      </c>
    </row>
    <row r="11" customFormat="false" ht="51.75" hidden="false" customHeight="true" outlineLevel="0" collapsed="false">
      <c r="A11" s="24" t="n">
        <v>25</v>
      </c>
      <c r="B11" s="24" t="n">
        <f aca="false">SIGN(A11)*IF(ABS(A11)&lt;=50,ABS(A11)/300,1/6+(ABS(A11)-50)/60)</f>
        <v>0.0833333333333333</v>
      </c>
      <c r="C11" s="25" t="n">
        <f aca="false">IF(B11=0,"brak zmiany",1/ABS(B11))</f>
        <v>12</v>
      </c>
      <c r="D11" s="27" t="s">
        <v>1907</v>
      </c>
      <c r="E11" s="27" t="s">
        <v>1905</v>
      </c>
    </row>
    <row r="12" customFormat="false" ht="51.75" hidden="false" customHeight="true" outlineLevel="0" collapsed="false">
      <c r="A12" s="24" t="n">
        <v>50</v>
      </c>
      <c r="B12" s="24" t="n">
        <f aca="false">SIGN(A12)*IF(ABS(A12)&lt;=50,ABS(A12)/300,1/6+(ABS(A12)-50)/60)</f>
        <v>0.166666666666667</v>
      </c>
      <c r="C12" s="25" t="n">
        <f aca="false">IF(B12=0,"brak zmiany",1/ABS(B12))</f>
        <v>6</v>
      </c>
      <c r="D12" s="26" t="s">
        <v>1907</v>
      </c>
      <c r="E12" s="26" t="s">
        <v>1905</v>
      </c>
    </row>
    <row r="13" customFormat="false" ht="51.75" hidden="false" customHeight="true" outlineLevel="0" collapsed="false">
      <c r="A13" s="24" t="n">
        <v>75</v>
      </c>
      <c r="B13" s="24" t="n">
        <f aca="false">SIGN(A13)*IF(ABS(A13)&lt;=50,ABS(A13)/300,1/6+(ABS(A13)-50)/60)</f>
        <v>0.583333333333333</v>
      </c>
      <c r="C13" s="25" t="n">
        <f aca="false">IF(B13=0,"brak zmiany",1/ABS(B13))</f>
        <v>1.71428571428571</v>
      </c>
      <c r="D13" s="27" t="s">
        <v>1907</v>
      </c>
      <c r="E13" s="27" t="s">
        <v>1905</v>
      </c>
    </row>
    <row r="14" customFormat="false" ht="51.75" hidden="false" customHeight="true" outlineLevel="0" collapsed="false">
      <c r="A14" s="24" t="n">
        <v>100</v>
      </c>
      <c r="B14" s="24" t="n">
        <f aca="false">SIGN(A14)*IF(ABS(A14)&lt;=50,ABS(A14)/300,1/6+(ABS(A14)-50)/60)</f>
        <v>1</v>
      </c>
      <c r="C14" s="25" t="n">
        <f aca="false">IF(B14=0,"brak zmiany",1/ABS(B14))</f>
        <v>1</v>
      </c>
      <c r="D14" s="26" t="s">
        <v>1907</v>
      </c>
      <c r="E14" s="26" t="s">
        <v>1905</v>
      </c>
    </row>
    <row r="17" customFormat="false" ht="14.25" hidden="false" customHeight="true" outlineLevel="0" collapsed="false">
      <c r="A17" s="23" t="s">
        <v>1908</v>
      </c>
      <c r="B17" s="23"/>
      <c r="C17" s="23"/>
      <c r="D17" s="23"/>
      <c r="E17" s="23"/>
    </row>
    <row r="18" customFormat="false" ht="14.25" hidden="false" customHeight="true" outlineLevel="0" collapsed="false">
      <c r="A18" s="22" t="s">
        <v>1909</v>
      </c>
      <c r="B18" s="22"/>
      <c r="C18" s="22"/>
      <c r="D18" s="22"/>
      <c r="E18" s="22"/>
    </row>
    <row r="19" customFormat="false" ht="14.25" hidden="false" customHeight="true" outlineLevel="0" collapsed="false">
      <c r="A19" s="22"/>
      <c r="B19" s="22"/>
      <c r="C19" s="22"/>
      <c r="D19" s="22"/>
      <c r="E19" s="22"/>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3"/>
    <col collapsed="false" customWidth="true" hidden="false" outlineLevel="0" max="2" min="2" style="1" width="26"/>
    <col collapsed="false" customWidth="true" hidden="false" outlineLevel="0" max="3" min="3" style="1" width="28"/>
    <col collapsed="false" customWidth="true" hidden="false" outlineLevel="0" max="4" min="4" style="1" width="27"/>
    <col collapsed="false" customWidth="true" hidden="false" outlineLevel="0" max="5" min="5" style="1" width="28"/>
    <col collapsed="false" customWidth="true" hidden="false" outlineLevel="0" max="6" min="6" style="1" width="31"/>
    <col collapsed="false" customWidth="true" hidden="false" outlineLevel="0" max="7" min="7" style="1" width="32"/>
    <col collapsed="false" customWidth="true" hidden="false" outlineLevel="0" max="8" min="8" style="1" width="115"/>
  </cols>
  <sheetData>
    <row r="1" customFormat="false" ht="33.75" hidden="false" customHeight="true" outlineLevel="0" collapsed="false">
      <c r="A1" s="7" t="s">
        <v>1910</v>
      </c>
      <c r="B1" s="7"/>
      <c r="C1" s="7"/>
      <c r="D1" s="7"/>
      <c r="E1" s="7"/>
      <c r="F1" s="7"/>
      <c r="G1" s="7"/>
      <c r="H1" s="7"/>
    </row>
    <row r="2" customFormat="false" ht="24.75" hidden="false" customHeight="true" outlineLevel="0" collapsed="false">
      <c r="A2" s="3" t="s">
        <v>1911</v>
      </c>
      <c r="B2" s="3"/>
      <c r="C2" s="3"/>
      <c r="D2" s="3"/>
      <c r="E2" s="3"/>
      <c r="F2" s="3"/>
      <c r="G2" s="3"/>
      <c r="H2" s="3"/>
    </row>
    <row r="3" customFormat="false" ht="24.75" hidden="false" customHeight="true" outlineLevel="0" collapsed="false">
      <c r="A3" s="3"/>
      <c r="B3" s="3"/>
      <c r="C3" s="3"/>
      <c r="D3" s="3"/>
      <c r="E3" s="3"/>
      <c r="F3" s="3"/>
      <c r="G3" s="3"/>
      <c r="H3" s="3"/>
    </row>
    <row r="5" customFormat="false" ht="48" hidden="false" customHeight="true" outlineLevel="0" collapsed="false">
      <c r="A5" s="4" t="s">
        <v>1912</v>
      </c>
      <c r="B5" s="4" t="s">
        <v>1913</v>
      </c>
      <c r="C5" s="4" t="s">
        <v>1914</v>
      </c>
      <c r="D5" s="4" t="s">
        <v>1915</v>
      </c>
      <c r="E5" s="4" t="s">
        <v>1916</v>
      </c>
      <c r="F5" s="4" t="s">
        <v>1917</v>
      </c>
      <c r="G5" s="4" t="s">
        <v>1918</v>
      </c>
      <c r="H5" s="4" t="s">
        <v>332</v>
      </c>
    </row>
    <row r="6" customFormat="false" ht="64.5" hidden="false" customHeight="true" outlineLevel="0" collapsed="false">
      <c r="A6" s="5" t="n">
        <v>1</v>
      </c>
      <c r="B6" s="5" t="n">
        <f aca="false">Parametry!$C$32*(1+Parametry!$C$35*(A6-1))</f>
        <v>50</v>
      </c>
      <c r="C6" s="5" t="n">
        <f aca="false">Parametry!$C$34*(1+Parametry!$C$35*(A6-1))</f>
        <v>150</v>
      </c>
      <c r="D6" s="16" t="n">
        <f aca="false">Parametry!$C$31</f>
        <v>40</v>
      </c>
      <c r="E6" s="16" t="n">
        <f aca="false">Parametry!$C$33</f>
        <v>140</v>
      </c>
      <c r="F6" s="5" t="n">
        <f aca="false">Parametry!$C$32*(A6+Parametry!$C$35*A6*(A6-1)/2)</f>
        <v>50</v>
      </c>
      <c r="G6" s="5" t="n">
        <f aca="false">Parametry!$C$34*(A6+Parametry!$C$35*A6*(A6-1)/2)</f>
        <v>150</v>
      </c>
      <c r="H6" s="5" t="s">
        <v>1919</v>
      </c>
    </row>
    <row r="7" customFormat="false" ht="64.5" hidden="false" customHeight="true" outlineLevel="0" collapsed="false">
      <c r="A7" s="6" t="n">
        <v>2</v>
      </c>
      <c r="B7" s="6" t="n">
        <f aca="false">Parametry!$C$32*(1+Parametry!$C$35*(A7-1))</f>
        <v>55</v>
      </c>
      <c r="C7" s="6" t="n">
        <f aca="false">Parametry!$C$34*(1+Parametry!$C$35*(A7-1))</f>
        <v>165</v>
      </c>
      <c r="D7" s="17" t="n">
        <f aca="false">Parametry!$C$31</f>
        <v>40</v>
      </c>
      <c r="E7" s="17" t="n">
        <f aca="false">Parametry!$C$33</f>
        <v>140</v>
      </c>
      <c r="F7" s="6" t="n">
        <f aca="false">Parametry!$C$32*(A7+Parametry!$C$35*A7*(A7-1)/2)</f>
        <v>105</v>
      </c>
      <c r="G7" s="6" t="n">
        <f aca="false">Parametry!$C$34*(A7+Parametry!$C$35*A7*(A7-1)/2)</f>
        <v>315</v>
      </c>
      <c r="H7" s="6" t="s">
        <v>1919</v>
      </c>
    </row>
    <row r="8" customFormat="false" ht="64.5" hidden="false" customHeight="true" outlineLevel="0" collapsed="false">
      <c r="A8" s="5" t="n">
        <v>3</v>
      </c>
      <c r="B8" s="5" t="n">
        <f aca="false">Parametry!$C$32*(1+Parametry!$C$35*(A8-1))</f>
        <v>60</v>
      </c>
      <c r="C8" s="5" t="n">
        <f aca="false">Parametry!$C$34*(1+Parametry!$C$35*(A8-1))</f>
        <v>180</v>
      </c>
      <c r="D8" s="16" t="n">
        <f aca="false">Parametry!$C$31</f>
        <v>40</v>
      </c>
      <c r="E8" s="16" t="n">
        <f aca="false">Parametry!$C$33</f>
        <v>140</v>
      </c>
      <c r="F8" s="5" t="n">
        <f aca="false">Parametry!$C$32*(A8+Parametry!$C$35*A8*(A8-1)/2)</f>
        <v>165</v>
      </c>
      <c r="G8" s="5" t="n">
        <f aca="false">Parametry!$C$34*(A8+Parametry!$C$35*A8*(A8-1)/2)</f>
        <v>495</v>
      </c>
      <c r="H8" s="5" t="s">
        <v>1919</v>
      </c>
    </row>
    <row r="9" customFormat="false" ht="64.5" hidden="false" customHeight="true" outlineLevel="0" collapsed="false">
      <c r="A9" s="6" t="n">
        <v>4</v>
      </c>
      <c r="B9" s="6" t="n">
        <f aca="false">Parametry!$C$32*(1+Parametry!$C$35*(A9-1))</f>
        <v>65</v>
      </c>
      <c r="C9" s="6" t="n">
        <f aca="false">Parametry!$C$34*(1+Parametry!$C$35*(A9-1))</f>
        <v>195</v>
      </c>
      <c r="D9" s="17" t="n">
        <f aca="false">Parametry!$C$31</f>
        <v>40</v>
      </c>
      <c r="E9" s="17" t="n">
        <f aca="false">Parametry!$C$33</f>
        <v>140</v>
      </c>
      <c r="F9" s="6" t="n">
        <f aca="false">Parametry!$C$32*(A9+Parametry!$C$35*A9*(A9-1)/2)</f>
        <v>230</v>
      </c>
      <c r="G9" s="6" t="n">
        <f aca="false">Parametry!$C$34*(A9+Parametry!$C$35*A9*(A9-1)/2)</f>
        <v>690</v>
      </c>
      <c r="H9" s="6" t="s">
        <v>1919</v>
      </c>
    </row>
    <row r="10" customFormat="false" ht="64.5" hidden="false" customHeight="true" outlineLevel="0" collapsed="false">
      <c r="A10" s="5" t="n">
        <v>5</v>
      </c>
      <c r="B10" s="5" t="n">
        <f aca="false">Parametry!$C$32*(1+Parametry!$C$35*(A10-1))</f>
        <v>70</v>
      </c>
      <c r="C10" s="5" t="n">
        <f aca="false">Parametry!$C$34*(1+Parametry!$C$35*(A10-1))</f>
        <v>210</v>
      </c>
      <c r="D10" s="16" t="n">
        <f aca="false">Parametry!$C$31</f>
        <v>40</v>
      </c>
      <c r="E10" s="16" t="n">
        <f aca="false">Parametry!$C$33</f>
        <v>140</v>
      </c>
      <c r="F10" s="5" t="n">
        <f aca="false">Parametry!$C$32*(A10+Parametry!$C$35*A10*(A10-1)/2)</f>
        <v>300</v>
      </c>
      <c r="G10" s="5" t="n">
        <f aca="false">Parametry!$C$34*(A10+Parametry!$C$35*A10*(A10-1)/2)</f>
        <v>900</v>
      </c>
      <c r="H10" s="5" t="s">
        <v>1919</v>
      </c>
    </row>
    <row r="11" customFormat="false" ht="64.5" hidden="false" customHeight="true" outlineLevel="0" collapsed="false">
      <c r="A11" s="6" t="n">
        <v>6</v>
      </c>
      <c r="B11" s="6" t="n">
        <f aca="false">Parametry!$C$32*(1+Parametry!$C$35*(A11-1))</f>
        <v>75</v>
      </c>
      <c r="C11" s="6" t="n">
        <f aca="false">Parametry!$C$34*(1+Parametry!$C$35*(A11-1))</f>
        <v>225</v>
      </c>
      <c r="D11" s="17" t="n">
        <f aca="false">Parametry!$C$31</f>
        <v>40</v>
      </c>
      <c r="E11" s="17" t="n">
        <f aca="false">Parametry!$C$33</f>
        <v>140</v>
      </c>
      <c r="F11" s="6" t="n">
        <f aca="false">Parametry!$C$32*(A11+Parametry!$C$35*A11*(A11-1)/2)</f>
        <v>375</v>
      </c>
      <c r="G11" s="6" t="n">
        <f aca="false">Parametry!$C$34*(A11+Parametry!$C$35*A11*(A11-1)/2)</f>
        <v>1125</v>
      </c>
      <c r="H11" s="6" t="s">
        <v>1919</v>
      </c>
    </row>
    <row r="12" customFormat="false" ht="64.5" hidden="false" customHeight="true" outlineLevel="0" collapsed="false">
      <c r="A12" s="5" t="n">
        <v>7</v>
      </c>
      <c r="B12" s="5" t="n">
        <f aca="false">Parametry!$C$32*(1+Parametry!$C$35*(A12-1))</f>
        <v>80</v>
      </c>
      <c r="C12" s="5" t="n">
        <f aca="false">Parametry!$C$34*(1+Parametry!$C$35*(A12-1))</f>
        <v>240</v>
      </c>
      <c r="D12" s="16" t="n">
        <f aca="false">Parametry!$C$31</f>
        <v>40</v>
      </c>
      <c r="E12" s="16" t="n">
        <f aca="false">Parametry!$C$33</f>
        <v>140</v>
      </c>
      <c r="F12" s="5" t="n">
        <f aca="false">Parametry!$C$32*(A12+Parametry!$C$35*A12*(A12-1)/2)</f>
        <v>455</v>
      </c>
      <c r="G12" s="5" t="n">
        <f aca="false">Parametry!$C$34*(A12+Parametry!$C$35*A12*(A12-1)/2)</f>
        <v>1365</v>
      </c>
      <c r="H12" s="5" t="s">
        <v>1919</v>
      </c>
    </row>
    <row r="13" customFormat="false" ht="64.5" hidden="false" customHeight="true" outlineLevel="0" collapsed="false">
      <c r="A13" s="6" t="n">
        <v>8</v>
      </c>
      <c r="B13" s="6" t="n">
        <f aca="false">Parametry!$C$32*(1+Parametry!$C$35*(A13-1))</f>
        <v>85</v>
      </c>
      <c r="C13" s="6" t="n">
        <f aca="false">Parametry!$C$34*(1+Parametry!$C$35*(A13-1))</f>
        <v>255</v>
      </c>
      <c r="D13" s="17" t="n">
        <f aca="false">Parametry!$C$31</f>
        <v>40</v>
      </c>
      <c r="E13" s="17" t="n">
        <f aca="false">Parametry!$C$33</f>
        <v>140</v>
      </c>
      <c r="F13" s="6" t="n">
        <f aca="false">Parametry!$C$32*(A13+Parametry!$C$35*A13*(A13-1)/2)</f>
        <v>540</v>
      </c>
      <c r="G13" s="6" t="n">
        <f aca="false">Parametry!$C$34*(A13+Parametry!$C$35*A13*(A13-1)/2)</f>
        <v>1620</v>
      </c>
      <c r="H13" s="6" t="s">
        <v>1919</v>
      </c>
    </row>
    <row r="14" customFormat="false" ht="64.5" hidden="false" customHeight="true" outlineLevel="0" collapsed="false">
      <c r="A14" s="5" t="n">
        <v>9</v>
      </c>
      <c r="B14" s="5" t="n">
        <f aca="false">Parametry!$C$32*(1+Parametry!$C$35*(A14-1))</f>
        <v>90</v>
      </c>
      <c r="C14" s="5" t="n">
        <f aca="false">Parametry!$C$34*(1+Parametry!$C$35*(A14-1))</f>
        <v>270</v>
      </c>
      <c r="D14" s="16" t="n">
        <f aca="false">Parametry!$C$31</f>
        <v>40</v>
      </c>
      <c r="E14" s="16" t="n">
        <f aca="false">Parametry!$C$33</f>
        <v>140</v>
      </c>
      <c r="F14" s="5" t="n">
        <f aca="false">Parametry!$C$32*(A14+Parametry!$C$35*A14*(A14-1)/2)</f>
        <v>630</v>
      </c>
      <c r="G14" s="5" t="n">
        <f aca="false">Parametry!$C$34*(A14+Parametry!$C$35*A14*(A14-1)/2)</f>
        <v>1890</v>
      </c>
      <c r="H14" s="5" t="s">
        <v>1919</v>
      </c>
    </row>
    <row r="15" customFormat="false" ht="64.5" hidden="false" customHeight="true" outlineLevel="0" collapsed="false">
      <c r="A15" s="6" t="n">
        <v>10</v>
      </c>
      <c r="B15" s="6" t="n">
        <f aca="false">Parametry!$C$32*(1+Parametry!$C$35*(A15-1))</f>
        <v>95</v>
      </c>
      <c r="C15" s="6" t="n">
        <f aca="false">Parametry!$C$34*(1+Parametry!$C$35*(A15-1))</f>
        <v>285</v>
      </c>
      <c r="D15" s="17" t="n">
        <f aca="false">Parametry!$C$31</f>
        <v>40</v>
      </c>
      <c r="E15" s="17" t="n">
        <f aca="false">Parametry!$C$33</f>
        <v>140</v>
      </c>
      <c r="F15" s="6" t="n">
        <f aca="false">Parametry!$C$32*(A15+Parametry!$C$35*A15*(A15-1)/2)</f>
        <v>725</v>
      </c>
      <c r="G15" s="6" t="n">
        <f aca="false">Parametry!$C$34*(A15+Parametry!$C$35*A15*(A15-1)/2)</f>
        <v>2175</v>
      </c>
      <c r="H15" s="6" t="s">
        <v>1919</v>
      </c>
    </row>
    <row r="17" customFormat="false" ht="99.75" hidden="false" customHeight="true" outlineLevel="0" collapsed="false">
      <c r="A17" s="6" t="s">
        <v>1920</v>
      </c>
      <c r="B17" s="6"/>
      <c r="C17" s="6"/>
      <c r="D17" s="6"/>
      <c r="E17" s="6"/>
      <c r="F17" s="6"/>
      <c r="G17" s="6"/>
      <c r="H17" s="6" t="s">
        <v>1921</v>
      </c>
    </row>
    <row r="18" customFormat="false" ht="109.5" hidden="false" customHeight="true" outlineLevel="0" collapsed="false">
      <c r="A18" s="5" t="s">
        <v>1922</v>
      </c>
      <c r="B18" s="5"/>
      <c r="C18" s="5"/>
      <c r="D18" s="5"/>
      <c r="E18" s="5"/>
      <c r="F18" s="5"/>
      <c r="G18" s="5"/>
      <c r="H18" s="5" t="s">
        <v>1923</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35"/>
  </cols>
  <sheetData>
    <row r="1" customFormat="false" ht="33.75" hidden="false" customHeight="true" outlineLevel="0" collapsed="false">
      <c r="A1" s="7" t="s">
        <v>1924</v>
      </c>
      <c r="B1" s="7"/>
      <c r="C1" s="7"/>
    </row>
    <row r="2" customFormat="false" ht="24.75" hidden="false" customHeight="true" outlineLevel="0" collapsed="false">
      <c r="A2" s="3" t="s">
        <v>1925</v>
      </c>
      <c r="B2" s="3"/>
      <c r="C2" s="3"/>
    </row>
    <row r="3" customFormat="false" ht="24.75" hidden="false" customHeight="true" outlineLevel="0" collapsed="false">
      <c r="A3" s="3"/>
      <c r="B3" s="3"/>
      <c r="C3" s="3"/>
    </row>
    <row r="5" customFormat="false" ht="48" hidden="false" customHeight="true" outlineLevel="0" collapsed="false">
      <c r="A5" s="4" t="s">
        <v>1926</v>
      </c>
      <c r="B5" s="4" t="s">
        <v>1927</v>
      </c>
      <c r="C5" s="4" t="s">
        <v>1928</v>
      </c>
    </row>
    <row r="6" customFormat="false" ht="105" hidden="false" customHeight="true" outlineLevel="0" collapsed="false">
      <c r="A6" s="5" t="s">
        <v>1929</v>
      </c>
      <c r="B6" s="5" t="s">
        <v>1930</v>
      </c>
      <c r="C6" s="5" t="s">
        <v>1931</v>
      </c>
    </row>
    <row r="7" customFormat="false" ht="105" hidden="false" customHeight="true" outlineLevel="0" collapsed="false">
      <c r="A7" s="6" t="s">
        <v>284</v>
      </c>
      <c r="B7" s="6" t="s">
        <v>1932</v>
      </c>
      <c r="C7" s="6" t="s">
        <v>1933</v>
      </c>
    </row>
    <row r="8" customFormat="false" ht="105" hidden="false" customHeight="true" outlineLevel="0" collapsed="false">
      <c r="A8" s="5" t="s">
        <v>1934</v>
      </c>
      <c r="B8" s="5" t="s">
        <v>1935</v>
      </c>
      <c r="C8" s="5" t="s">
        <v>1936</v>
      </c>
    </row>
    <row r="9" customFormat="false" ht="105" hidden="false" customHeight="true" outlineLevel="0" collapsed="false">
      <c r="A9" s="6" t="s">
        <v>294</v>
      </c>
      <c r="B9" s="6" t="s">
        <v>1937</v>
      </c>
      <c r="C9" s="6" t="s">
        <v>1938</v>
      </c>
    </row>
    <row r="10" customFormat="false" ht="105" hidden="false" customHeight="true" outlineLevel="0" collapsed="false">
      <c r="A10" s="5" t="s">
        <v>1939</v>
      </c>
      <c r="B10" s="5" t="s">
        <v>1940</v>
      </c>
      <c r="C10" s="5" t="s">
        <v>1941</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00"/>
  </cols>
  <sheetData>
    <row r="1" customFormat="false" ht="33.75" hidden="false" customHeight="true" outlineLevel="0" collapsed="false">
      <c r="A1" s="7" t="s">
        <v>1942</v>
      </c>
      <c r="B1" s="7"/>
      <c r="C1" s="7"/>
    </row>
    <row r="2" customFormat="false" ht="24.75" hidden="false" customHeight="true" outlineLevel="0" collapsed="false">
      <c r="A2" s="3" t="s">
        <v>1943</v>
      </c>
      <c r="B2" s="3"/>
      <c r="C2" s="3"/>
    </row>
    <row r="3" customFormat="false" ht="24.75" hidden="false" customHeight="true" outlineLevel="0" collapsed="false">
      <c r="A3" s="3"/>
      <c r="B3" s="3"/>
      <c r="C3" s="3"/>
    </row>
    <row r="5" customFormat="false" ht="48" hidden="false" customHeight="true" outlineLevel="0" collapsed="false">
      <c r="A5" s="4" t="s">
        <v>804</v>
      </c>
      <c r="B5" s="4" t="s">
        <v>1944</v>
      </c>
      <c r="C5" s="4" t="s">
        <v>516</v>
      </c>
    </row>
    <row r="6" customFormat="false" ht="90" hidden="false" customHeight="true" outlineLevel="0" collapsed="false">
      <c r="A6" s="5" t="s">
        <v>1307</v>
      </c>
      <c r="B6" s="5" t="s">
        <v>1112</v>
      </c>
      <c r="C6" s="5" t="s">
        <v>1945</v>
      </c>
    </row>
    <row r="7" customFormat="false" ht="90" hidden="false" customHeight="true" outlineLevel="0" collapsed="false">
      <c r="A7" s="6" t="s">
        <v>150</v>
      </c>
      <c r="B7" s="6" t="s">
        <v>1946</v>
      </c>
      <c r="C7" s="6" t="s">
        <v>1947</v>
      </c>
    </row>
    <row r="8" customFormat="false" ht="90" hidden="false" customHeight="true" outlineLevel="0" collapsed="false">
      <c r="A8" s="5" t="s">
        <v>141</v>
      </c>
      <c r="B8" s="5" t="s">
        <v>1948</v>
      </c>
      <c r="C8" s="5" t="s">
        <v>1947</v>
      </c>
    </row>
    <row r="9" customFormat="false" ht="90" hidden="false" customHeight="true" outlineLevel="0" collapsed="false">
      <c r="A9" s="6" t="s">
        <v>23</v>
      </c>
      <c r="B9" s="6" t="s">
        <v>1949</v>
      </c>
      <c r="C9" s="6" t="s">
        <v>1950</v>
      </c>
    </row>
    <row r="10" customFormat="false" ht="90" hidden="false" customHeight="true" outlineLevel="0" collapsed="false">
      <c r="A10" s="5" t="s">
        <v>1951</v>
      </c>
      <c r="B10" s="5" t="s">
        <v>1952</v>
      </c>
      <c r="C10" s="5" t="s">
        <v>1953</v>
      </c>
    </row>
    <row r="11" customFormat="false" ht="90" hidden="false" customHeight="true" outlineLevel="0" collapsed="false">
      <c r="A11" s="6" t="s">
        <v>17</v>
      </c>
      <c r="B11" s="6" t="s">
        <v>1954</v>
      </c>
      <c r="C11" s="6" t="s">
        <v>1955</v>
      </c>
    </row>
    <row r="12" customFormat="false" ht="90" hidden="false" customHeight="true" outlineLevel="0" collapsed="false">
      <c r="A12" s="5" t="s">
        <v>1596</v>
      </c>
      <c r="B12" s="5" t="s">
        <v>1956</v>
      </c>
      <c r="C12" s="5" t="s">
        <v>1957</v>
      </c>
    </row>
    <row r="13" customFormat="false" ht="99.75" hidden="false" customHeight="true" outlineLevel="0" collapsed="false">
      <c r="A13" s="6" t="s">
        <v>1958</v>
      </c>
      <c r="B13" s="6" t="s">
        <v>1959</v>
      </c>
      <c r="C13" s="6" t="s">
        <v>1960</v>
      </c>
    </row>
    <row r="14" customFormat="false" ht="99.75" hidden="false" customHeight="true" outlineLevel="0" collapsed="false">
      <c r="A14" s="5" t="s">
        <v>1961</v>
      </c>
      <c r="B14" s="5" t="s">
        <v>1962</v>
      </c>
      <c r="C14" s="5" t="s">
        <v>1963</v>
      </c>
    </row>
  </sheetData>
  <autoFilter ref="A5:C14"/>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40"/>
    <col collapsed="false" customWidth="true" hidden="false" outlineLevel="0" max="3" min="3" style="1" width="100"/>
  </cols>
  <sheetData>
    <row r="1" customFormat="false" ht="33.75" hidden="false" customHeight="true" outlineLevel="0" collapsed="false">
      <c r="A1" s="7" t="s">
        <v>1964</v>
      </c>
      <c r="B1" s="7"/>
      <c r="C1" s="7"/>
    </row>
    <row r="2" customFormat="false" ht="24.75" hidden="false" customHeight="true" outlineLevel="0" collapsed="false">
      <c r="A2" s="3" t="s">
        <v>1965</v>
      </c>
      <c r="B2" s="3"/>
      <c r="C2" s="3"/>
    </row>
    <row r="3" customFormat="false" ht="24.75" hidden="false" customHeight="true" outlineLevel="0" collapsed="false">
      <c r="A3" s="3"/>
      <c r="B3" s="3"/>
      <c r="C3" s="3"/>
    </row>
    <row r="5" customFormat="false" ht="48" hidden="false" customHeight="true" outlineLevel="0" collapsed="false">
      <c r="A5" s="4" t="s">
        <v>1966</v>
      </c>
      <c r="B5" s="4" t="s">
        <v>1596</v>
      </c>
      <c r="C5" s="4" t="s">
        <v>1967</v>
      </c>
    </row>
    <row r="6" customFormat="false" ht="90" hidden="false" customHeight="true" outlineLevel="0" collapsed="false">
      <c r="A6" s="5" t="s">
        <v>1968</v>
      </c>
      <c r="B6" s="5" t="s">
        <v>1969</v>
      </c>
      <c r="C6" s="5" t="s">
        <v>1970</v>
      </c>
    </row>
    <row r="7" customFormat="false" ht="90" hidden="false" customHeight="true" outlineLevel="0" collapsed="false">
      <c r="A7" s="5" t="s">
        <v>1971</v>
      </c>
      <c r="B7" s="5" t="s">
        <v>1969</v>
      </c>
      <c r="C7" s="5" t="s">
        <v>1972</v>
      </c>
    </row>
    <row r="8" customFormat="false" ht="90" hidden="false" customHeight="true" outlineLevel="0" collapsed="false">
      <c r="A8" s="5" t="s">
        <v>1973</v>
      </c>
      <c r="B8" s="5" t="s">
        <v>1969</v>
      </c>
      <c r="C8" s="5" t="s">
        <v>1974</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3"/>
    <col collapsed="false" customWidth="true" hidden="false" outlineLevel="0" max="2" min="2" style="1" width="80"/>
    <col collapsed="false" customWidth="true" hidden="false" outlineLevel="0" max="3" min="3" style="1" width="145"/>
    <col collapsed="false" customWidth="true" hidden="false" outlineLevel="0" max="4" min="4" style="1" width="70"/>
  </cols>
  <sheetData>
    <row r="1" customFormat="false" ht="33.75" hidden="false" customHeight="true" outlineLevel="0" collapsed="false">
      <c r="A1" s="7" t="s">
        <v>1975</v>
      </c>
      <c r="B1" s="7"/>
      <c r="C1" s="7"/>
      <c r="D1" s="7"/>
    </row>
    <row r="2" customFormat="false" ht="24.75" hidden="false" customHeight="true" outlineLevel="0" collapsed="false">
      <c r="A2" s="3" t="s">
        <v>1976</v>
      </c>
      <c r="B2" s="3"/>
      <c r="C2" s="3"/>
      <c r="D2" s="3"/>
    </row>
    <row r="3" customFormat="false" ht="24.75" hidden="false" customHeight="true" outlineLevel="0" collapsed="false">
      <c r="A3" s="3"/>
      <c r="B3" s="3"/>
      <c r="C3" s="3"/>
      <c r="D3" s="3"/>
    </row>
    <row r="5" customFormat="false" ht="48" hidden="false" customHeight="true" outlineLevel="0" collapsed="false">
      <c r="A5" s="4" t="s">
        <v>1596</v>
      </c>
      <c r="B5" s="4" t="s">
        <v>1977</v>
      </c>
      <c r="C5" s="4" t="s">
        <v>1978</v>
      </c>
      <c r="D5" s="4" t="s">
        <v>1979</v>
      </c>
    </row>
    <row r="6" customFormat="false" ht="135" hidden="false" customHeight="true" outlineLevel="0" collapsed="false">
      <c r="A6" s="5" t="s">
        <v>1980</v>
      </c>
      <c r="B6" s="5"/>
      <c r="C6" s="5" t="s">
        <v>1981</v>
      </c>
      <c r="D6" s="5" t="s">
        <v>1982</v>
      </c>
    </row>
    <row r="7" customFormat="false" ht="135" hidden="false" customHeight="true" outlineLevel="0" collapsed="false">
      <c r="A7" s="6" t="s">
        <v>1983</v>
      </c>
      <c r="B7" s="6"/>
      <c r="C7" s="6" t="s">
        <v>1984</v>
      </c>
      <c r="D7" s="6" t="s">
        <v>1982</v>
      </c>
    </row>
    <row r="8" customFormat="false" ht="135" hidden="false" customHeight="true" outlineLevel="0" collapsed="false">
      <c r="A8" s="5" t="s">
        <v>1985</v>
      </c>
      <c r="B8" s="5"/>
      <c r="C8" s="5" t="s">
        <v>1986</v>
      </c>
      <c r="D8" s="5" t="s">
        <v>1982</v>
      </c>
    </row>
    <row r="9" customFormat="false" ht="135" hidden="false" customHeight="true" outlineLevel="0" collapsed="false">
      <c r="A9" s="6" t="s">
        <v>1987</v>
      </c>
      <c r="B9" s="6"/>
      <c r="C9" s="6" t="s">
        <v>1988</v>
      </c>
      <c r="D9" s="6" t="s">
        <v>1982</v>
      </c>
    </row>
    <row r="10" customFormat="false" ht="135" hidden="false" customHeight="true" outlineLevel="0" collapsed="false">
      <c r="A10" s="5" t="s">
        <v>1989</v>
      </c>
      <c r="B10" s="5" t="s">
        <v>1990</v>
      </c>
      <c r="C10" s="5" t="s">
        <v>1991</v>
      </c>
      <c r="D10" s="5" t="s">
        <v>1982</v>
      </c>
    </row>
    <row r="11" customFormat="false" ht="135" hidden="false" customHeight="true" outlineLevel="0" collapsed="false">
      <c r="A11" s="6" t="s">
        <v>1992</v>
      </c>
      <c r="B11" s="6" t="s">
        <v>1993</v>
      </c>
      <c r="C11" s="6" t="s">
        <v>1990</v>
      </c>
      <c r="D11" s="6" t="s">
        <v>1982</v>
      </c>
    </row>
    <row r="12" customFormat="false" ht="135" hidden="false" customHeight="true" outlineLevel="0" collapsed="false">
      <c r="A12" s="5" t="s">
        <v>1994</v>
      </c>
      <c r="B12" s="5"/>
      <c r="C12" s="5" t="s">
        <v>1995</v>
      </c>
      <c r="D12" s="5" t="s">
        <v>1982</v>
      </c>
    </row>
    <row r="13" customFormat="false" ht="135" hidden="false" customHeight="true" outlineLevel="0" collapsed="false">
      <c r="A13" s="6" t="s">
        <v>1996</v>
      </c>
      <c r="B13" s="6"/>
      <c r="C13" s="6" t="s">
        <v>1993</v>
      </c>
      <c r="D13" s="6" t="s">
        <v>1982</v>
      </c>
    </row>
    <row r="14" customFormat="false" ht="135" hidden="false" customHeight="true" outlineLevel="0" collapsed="false">
      <c r="A14" s="5" t="s">
        <v>1997</v>
      </c>
      <c r="B14" s="5" t="s">
        <v>1998</v>
      </c>
      <c r="C14" s="5" t="s">
        <v>1999</v>
      </c>
      <c r="D14" s="5" t="s">
        <v>1982</v>
      </c>
    </row>
    <row r="15" customFormat="false" ht="135" hidden="false" customHeight="true" outlineLevel="0" collapsed="false">
      <c r="A15" s="6" t="s">
        <v>2000</v>
      </c>
      <c r="B15" s="6" t="s">
        <v>2001</v>
      </c>
      <c r="C15" s="6" t="s">
        <v>2002</v>
      </c>
      <c r="D15" s="6" t="s">
        <v>1982</v>
      </c>
    </row>
    <row r="16" customFormat="false" ht="135" hidden="false" customHeight="true" outlineLevel="0" collapsed="false">
      <c r="A16" s="5" t="s">
        <v>2003</v>
      </c>
      <c r="B16" s="5" t="s">
        <v>2004</v>
      </c>
      <c r="C16" s="5" t="s">
        <v>88</v>
      </c>
      <c r="D16" s="5" t="s">
        <v>1982</v>
      </c>
    </row>
    <row r="17" customFormat="false" ht="135" hidden="false" customHeight="true" outlineLevel="0" collapsed="false">
      <c r="A17" s="6" t="s">
        <v>2005</v>
      </c>
      <c r="B17" s="6" t="s">
        <v>1998</v>
      </c>
      <c r="C17" s="6" t="s">
        <v>1999</v>
      </c>
      <c r="D17" s="6" t="s">
        <v>1982</v>
      </c>
    </row>
    <row r="18" customFormat="false" ht="135" hidden="false" customHeight="true" outlineLevel="0" collapsed="false">
      <c r="A18" s="5" t="s">
        <v>2006</v>
      </c>
      <c r="B18" s="5" t="s">
        <v>2001</v>
      </c>
      <c r="C18" s="5" t="s">
        <v>2002</v>
      </c>
      <c r="D18" s="5" t="s">
        <v>1982</v>
      </c>
    </row>
    <row r="19" customFormat="false" ht="135" hidden="false" customHeight="true" outlineLevel="0" collapsed="false">
      <c r="A19" s="6" t="s">
        <v>2007</v>
      </c>
      <c r="B19" s="6" t="s">
        <v>2008</v>
      </c>
      <c r="C19" s="6" t="s">
        <v>95</v>
      </c>
      <c r="D19" s="6" t="s">
        <v>1982</v>
      </c>
    </row>
    <row r="20" customFormat="false" ht="135" hidden="false" customHeight="true" outlineLevel="0" collapsed="false">
      <c r="A20" s="5" t="s">
        <v>2009</v>
      </c>
      <c r="B20" s="5" t="s">
        <v>2010</v>
      </c>
      <c r="C20" s="5" t="s">
        <v>2011</v>
      </c>
      <c r="D20" s="5" t="s">
        <v>1982</v>
      </c>
    </row>
    <row r="21" customFormat="false" ht="135" hidden="false" customHeight="true" outlineLevel="0" collapsed="false">
      <c r="A21" s="6" t="s">
        <v>2012</v>
      </c>
      <c r="B21" s="6" t="s">
        <v>2013</v>
      </c>
      <c r="C21" s="6" t="s">
        <v>2014</v>
      </c>
      <c r="D21" s="6" t="s">
        <v>1982</v>
      </c>
    </row>
    <row r="22" customFormat="false" ht="135" hidden="false" customHeight="true" outlineLevel="0" collapsed="false">
      <c r="A22" s="5" t="s">
        <v>2015</v>
      </c>
      <c r="B22" s="5" t="s">
        <v>2001</v>
      </c>
      <c r="C22" s="5" t="s">
        <v>2002</v>
      </c>
      <c r="D22" s="5" t="s">
        <v>1982</v>
      </c>
    </row>
    <row r="23" customFormat="false" ht="135" hidden="false" customHeight="true" outlineLevel="0" collapsed="false">
      <c r="A23" s="6" t="s">
        <v>2016</v>
      </c>
      <c r="B23" s="6" t="s">
        <v>2017</v>
      </c>
      <c r="C23" s="6" t="s">
        <v>105</v>
      </c>
      <c r="D23" s="6" t="s">
        <v>1982</v>
      </c>
    </row>
    <row r="24" customFormat="false" ht="135" hidden="false" customHeight="true" outlineLevel="0" collapsed="false">
      <c r="A24" s="5" t="s">
        <v>2018</v>
      </c>
      <c r="B24" s="5" t="s">
        <v>2001</v>
      </c>
      <c r="C24" s="5" t="s">
        <v>2002</v>
      </c>
      <c r="D24" s="5" t="s">
        <v>1982</v>
      </c>
    </row>
    <row r="25" customFormat="false" ht="135" hidden="false" customHeight="true" outlineLevel="0" collapsed="false">
      <c r="A25" s="6" t="s">
        <v>2019</v>
      </c>
      <c r="B25" s="6" t="s">
        <v>2001</v>
      </c>
      <c r="C25" s="6" t="s">
        <v>2002</v>
      </c>
      <c r="D25" s="6" t="s">
        <v>1982</v>
      </c>
    </row>
    <row r="26" customFormat="false" ht="135" hidden="false" customHeight="true" outlineLevel="0" collapsed="false">
      <c r="A26" s="5" t="s">
        <v>2020</v>
      </c>
      <c r="B26" s="5" t="s">
        <v>2001</v>
      </c>
      <c r="C26" s="5" t="s">
        <v>2002</v>
      </c>
      <c r="D26" s="5" t="s">
        <v>1982</v>
      </c>
    </row>
    <row r="27" customFormat="false" ht="135" hidden="false" customHeight="true" outlineLevel="0" collapsed="false">
      <c r="A27" s="6" t="s">
        <v>2021</v>
      </c>
      <c r="B27" s="6" t="s">
        <v>2001</v>
      </c>
      <c r="C27" s="6" t="s">
        <v>2002</v>
      </c>
      <c r="D27" s="6" t="s">
        <v>1982</v>
      </c>
    </row>
    <row r="28" customFormat="false" ht="135" hidden="false" customHeight="true" outlineLevel="0" collapsed="false">
      <c r="A28" s="5" t="s">
        <v>2022</v>
      </c>
      <c r="B28" s="5" t="s">
        <v>2023</v>
      </c>
      <c r="C28" s="5" t="s">
        <v>2024</v>
      </c>
      <c r="D28" s="5" t="s">
        <v>1982</v>
      </c>
    </row>
    <row r="29" customFormat="false" ht="135" hidden="false" customHeight="true" outlineLevel="0" collapsed="false">
      <c r="A29" s="6" t="s">
        <v>2025</v>
      </c>
      <c r="B29" s="6" t="s">
        <v>2001</v>
      </c>
      <c r="C29" s="6" t="s">
        <v>2002</v>
      </c>
      <c r="D29" s="6" t="s">
        <v>1982</v>
      </c>
    </row>
    <row r="30" customFormat="false" ht="135" hidden="false" customHeight="true" outlineLevel="0" collapsed="false">
      <c r="A30" s="5" t="s">
        <v>2026</v>
      </c>
      <c r="B30" s="5" t="s">
        <v>2027</v>
      </c>
      <c r="C30" s="5" t="s">
        <v>128</v>
      </c>
      <c r="D30" s="5" t="s">
        <v>1982</v>
      </c>
    </row>
    <row r="31" customFormat="false" ht="135" hidden="false" customHeight="true" outlineLevel="0" collapsed="false">
      <c r="A31" s="6" t="s">
        <v>2028</v>
      </c>
      <c r="B31" s="6" t="s">
        <v>2029</v>
      </c>
      <c r="C31" s="6" t="s">
        <v>2030</v>
      </c>
      <c r="D31" s="6" t="s">
        <v>1982</v>
      </c>
    </row>
    <row r="32" customFormat="false" ht="135" hidden="false" customHeight="true" outlineLevel="0" collapsed="false">
      <c r="A32" s="5" t="s">
        <v>2031</v>
      </c>
      <c r="B32" s="5" t="s">
        <v>2023</v>
      </c>
      <c r="C32" s="5" t="s">
        <v>2024</v>
      </c>
      <c r="D32" s="5" t="s">
        <v>1982</v>
      </c>
    </row>
    <row r="33" customFormat="false" ht="135" hidden="false" customHeight="true" outlineLevel="0" collapsed="false">
      <c r="A33" s="6" t="s">
        <v>2032</v>
      </c>
      <c r="B33" s="6" t="s">
        <v>2001</v>
      </c>
      <c r="C33" s="6" t="s">
        <v>2002</v>
      </c>
      <c r="D33" s="6" t="s">
        <v>1982</v>
      </c>
    </row>
    <row r="34" customFormat="false" ht="135" hidden="false" customHeight="true" outlineLevel="0" collapsed="false">
      <c r="A34" s="5" t="s">
        <v>2033</v>
      </c>
      <c r="B34" s="5" t="s">
        <v>2034</v>
      </c>
      <c r="C34" s="5" t="s">
        <v>133</v>
      </c>
      <c r="D34" s="5" t="s">
        <v>1982</v>
      </c>
    </row>
    <row r="35" customFormat="false" ht="135" hidden="false" customHeight="true" outlineLevel="0" collapsed="false">
      <c r="A35" s="6" t="s">
        <v>2035</v>
      </c>
      <c r="B35" s="6" t="s">
        <v>2023</v>
      </c>
      <c r="C35" s="6" t="s">
        <v>2036</v>
      </c>
      <c r="D35" s="6" t="s">
        <v>1982</v>
      </c>
    </row>
    <row r="36" customFormat="false" ht="135" hidden="false" customHeight="true" outlineLevel="0" collapsed="false">
      <c r="A36" s="5" t="s">
        <v>2037</v>
      </c>
      <c r="B36" s="5" t="s">
        <v>2001</v>
      </c>
      <c r="C36" s="5" t="s">
        <v>2002</v>
      </c>
      <c r="D36" s="5" t="s">
        <v>1982</v>
      </c>
    </row>
    <row r="37" customFormat="false" ht="135" hidden="false" customHeight="true" outlineLevel="0" collapsed="false">
      <c r="A37" s="6" t="s">
        <v>2038</v>
      </c>
      <c r="B37" s="6" t="s">
        <v>2039</v>
      </c>
      <c r="C37" s="6" t="s">
        <v>139</v>
      </c>
      <c r="D37" s="6" t="s">
        <v>1982</v>
      </c>
    </row>
    <row r="38" customFormat="false" ht="135" hidden="false" customHeight="true" outlineLevel="0" collapsed="false">
      <c r="A38" s="5" t="s">
        <v>2040</v>
      </c>
      <c r="B38" s="5" t="s">
        <v>2041</v>
      </c>
      <c r="C38" s="5" t="s">
        <v>2042</v>
      </c>
      <c r="D38" s="5" t="s">
        <v>1982</v>
      </c>
    </row>
    <row r="39" customFormat="false" ht="135" hidden="false" customHeight="true" outlineLevel="0" collapsed="false">
      <c r="A39" s="6" t="s">
        <v>2043</v>
      </c>
      <c r="B39" s="6" t="s">
        <v>157</v>
      </c>
      <c r="C39" s="6" t="s">
        <v>2044</v>
      </c>
      <c r="D39" s="6" t="s">
        <v>1982</v>
      </c>
    </row>
    <row r="40" customFormat="false" ht="135" hidden="false" customHeight="true" outlineLevel="0" collapsed="false">
      <c r="A40" s="5" t="s">
        <v>2045</v>
      </c>
      <c r="B40" s="5" t="s">
        <v>2046</v>
      </c>
      <c r="C40" s="5" t="s">
        <v>2047</v>
      </c>
      <c r="D40" s="5" t="s">
        <v>1982</v>
      </c>
    </row>
    <row r="41" customFormat="false" ht="135" hidden="false" customHeight="true" outlineLevel="0" collapsed="false">
      <c r="A41" s="6" t="s">
        <v>2048</v>
      </c>
      <c r="B41" s="6" t="s">
        <v>157</v>
      </c>
      <c r="C41" s="6" t="s">
        <v>2044</v>
      </c>
      <c r="D41" s="6" t="s">
        <v>1982</v>
      </c>
    </row>
    <row r="42" customFormat="false" ht="135" hidden="false" customHeight="true" outlineLevel="0" collapsed="false">
      <c r="A42" s="5" t="s">
        <v>2049</v>
      </c>
      <c r="B42" s="5" t="s">
        <v>2050</v>
      </c>
      <c r="C42" s="5" t="s">
        <v>157</v>
      </c>
      <c r="D42" s="5" t="s">
        <v>1982</v>
      </c>
    </row>
    <row r="43" customFormat="false" ht="135" hidden="false" customHeight="true" outlineLevel="0" collapsed="false">
      <c r="A43" s="6" t="s">
        <v>2051</v>
      </c>
      <c r="B43" s="6" t="s">
        <v>171</v>
      </c>
      <c r="C43" s="6" t="s">
        <v>2052</v>
      </c>
      <c r="D43" s="6" t="s">
        <v>1982</v>
      </c>
    </row>
    <row r="44" customFormat="false" ht="135" hidden="false" customHeight="true" outlineLevel="0" collapsed="false">
      <c r="A44" s="5" t="s">
        <v>2053</v>
      </c>
      <c r="B44" s="5"/>
      <c r="C44" s="5" t="s">
        <v>171</v>
      </c>
      <c r="D44" s="5" t="s">
        <v>1982</v>
      </c>
    </row>
    <row r="45" customFormat="false" ht="135" hidden="false" customHeight="true" outlineLevel="0" collapsed="false">
      <c r="A45" s="6" t="s">
        <v>2054</v>
      </c>
      <c r="B45" s="6"/>
      <c r="C45" s="6" t="s">
        <v>171</v>
      </c>
      <c r="D45" s="6" t="s">
        <v>1982</v>
      </c>
    </row>
    <row r="46" customFormat="false" ht="135" hidden="false" customHeight="true" outlineLevel="0" collapsed="false">
      <c r="A46" s="5" t="s">
        <v>2055</v>
      </c>
      <c r="B46" s="5" t="s">
        <v>2056</v>
      </c>
      <c r="C46" s="5" t="s">
        <v>2057</v>
      </c>
      <c r="D46" s="5" t="s">
        <v>1982</v>
      </c>
    </row>
    <row r="47" customFormat="false" ht="135" hidden="false" customHeight="true" outlineLevel="0" collapsed="false">
      <c r="A47" s="6" t="s">
        <v>2058</v>
      </c>
      <c r="B47" s="6" t="s">
        <v>2059</v>
      </c>
      <c r="C47" s="6" t="s">
        <v>2060</v>
      </c>
      <c r="D47" s="6" t="s">
        <v>1982</v>
      </c>
    </row>
    <row r="48" customFormat="false" ht="135" hidden="false" customHeight="true" outlineLevel="0" collapsed="false">
      <c r="A48" s="5" t="s">
        <v>2061</v>
      </c>
      <c r="B48" s="5" t="s">
        <v>2062</v>
      </c>
      <c r="C48" s="5" t="s">
        <v>2063</v>
      </c>
      <c r="D48" s="5" t="s">
        <v>1982</v>
      </c>
    </row>
    <row r="49" customFormat="false" ht="135" hidden="false" customHeight="true" outlineLevel="0" collapsed="false">
      <c r="A49" s="6" t="s">
        <v>2064</v>
      </c>
      <c r="B49" s="6" t="s">
        <v>2065</v>
      </c>
      <c r="C49" s="6" t="s">
        <v>2066</v>
      </c>
      <c r="D49" s="6" t="s">
        <v>1982</v>
      </c>
    </row>
    <row r="50" customFormat="false" ht="135" hidden="false" customHeight="true" outlineLevel="0" collapsed="false">
      <c r="A50" s="5" t="s">
        <v>2067</v>
      </c>
      <c r="B50" s="5" t="s">
        <v>2068</v>
      </c>
      <c r="C50" s="5" t="s">
        <v>2069</v>
      </c>
      <c r="D50" s="5" t="s">
        <v>1982</v>
      </c>
    </row>
    <row r="51" customFormat="false" ht="135" hidden="false" customHeight="true" outlineLevel="0" collapsed="false">
      <c r="A51" s="6" t="s">
        <v>2070</v>
      </c>
      <c r="B51" s="6" t="s">
        <v>2071</v>
      </c>
      <c r="C51" s="6" t="s">
        <v>2072</v>
      </c>
      <c r="D51" s="6" t="s">
        <v>1982</v>
      </c>
    </row>
    <row r="52" customFormat="false" ht="135" hidden="false" customHeight="true" outlineLevel="0" collapsed="false">
      <c r="A52" s="5" t="s">
        <v>2073</v>
      </c>
      <c r="B52" s="5" t="s">
        <v>2074</v>
      </c>
      <c r="C52" s="5" t="s">
        <v>2075</v>
      </c>
      <c r="D52" s="5" t="s">
        <v>1982</v>
      </c>
    </row>
    <row r="53" customFormat="false" ht="135" hidden="false" customHeight="true" outlineLevel="0" collapsed="false">
      <c r="A53" s="6" t="s">
        <v>2076</v>
      </c>
      <c r="B53" s="6" t="s">
        <v>2077</v>
      </c>
      <c r="C53" s="6" t="s">
        <v>2078</v>
      </c>
      <c r="D53" s="6" t="s">
        <v>1982</v>
      </c>
    </row>
    <row r="54" customFormat="false" ht="135" hidden="false" customHeight="true" outlineLevel="0" collapsed="false">
      <c r="A54" s="5" t="s">
        <v>2079</v>
      </c>
      <c r="B54" s="5" t="s">
        <v>2080</v>
      </c>
      <c r="C54" s="5" t="s">
        <v>2081</v>
      </c>
      <c r="D54" s="5" t="s">
        <v>1982</v>
      </c>
    </row>
    <row r="55" customFormat="false" ht="135" hidden="false" customHeight="true" outlineLevel="0" collapsed="false">
      <c r="A55" s="6" t="s">
        <v>2082</v>
      </c>
      <c r="B55" s="6" t="s">
        <v>1260</v>
      </c>
      <c r="C55" s="6" t="s">
        <v>2083</v>
      </c>
      <c r="D55" s="6" t="s">
        <v>1982</v>
      </c>
    </row>
    <row r="56" customFormat="false" ht="135" hidden="false" customHeight="true" outlineLevel="0" collapsed="false">
      <c r="A56" s="5" t="s">
        <v>2084</v>
      </c>
      <c r="B56" s="5" t="s">
        <v>2085</v>
      </c>
      <c r="C56" s="5" t="s">
        <v>2086</v>
      </c>
      <c r="D56" s="5" t="s">
        <v>1982</v>
      </c>
    </row>
    <row r="57" customFormat="false" ht="135" hidden="false" customHeight="true" outlineLevel="0" collapsed="false">
      <c r="A57" s="6" t="s">
        <v>2087</v>
      </c>
      <c r="B57" s="6" t="s">
        <v>2088</v>
      </c>
      <c r="C57" s="6" t="s">
        <v>2089</v>
      </c>
      <c r="D57" s="6" t="s">
        <v>1982</v>
      </c>
    </row>
    <row r="58" customFormat="false" ht="135" hidden="false" customHeight="true" outlineLevel="0" collapsed="false">
      <c r="A58" s="5" t="s">
        <v>2090</v>
      </c>
      <c r="B58" s="5" t="s">
        <v>1318</v>
      </c>
      <c r="C58" s="5" t="s">
        <v>2091</v>
      </c>
      <c r="D58" s="5" t="s">
        <v>1982</v>
      </c>
    </row>
    <row r="59" customFormat="false" ht="135" hidden="false" customHeight="true" outlineLevel="0" collapsed="false">
      <c r="A59" s="6" t="s">
        <v>2092</v>
      </c>
      <c r="B59" s="6" t="s">
        <v>1321</v>
      </c>
      <c r="C59" s="6" t="s">
        <v>2093</v>
      </c>
      <c r="D59" s="6" t="s">
        <v>1982</v>
      </c>
    </row>
    <row r="60" customFormat="false" ht="135" hidden="false" customHeight="true" outlineLevel="0" collapsed="false">
      <c r="A60" s="5" t="s">
        <v>2094</v>
      </c>
      <c r="B60" s="5" t="s">
        <v>1321</v>
      </c>
      <c r="C60" s="5" t="s">
        <v>2093</v>
      </c>
      <c r="D60" s="5" t="s">
        <v>1982</v>
      </c>
    </row>
    <row r="61" customFormat="false" ht="135" hidden="false" customHeight="true" outlineLevel="0" collapsed="false">
      <c r="A61" s="6" t="s">
        <v>2095</v>
      </c>
      <c r="B61" s="6" t="s">
        <v>1342</v>
      </c>
      <c r="C61" s="6" t="s">
        <v>2096</v>
      </c>
      <c r="D61" s="6" t="s">
        <v>1982</v>
      </c>
    </row>
    <row r="62" customFormat="false" ht="135" hidden="false" customHeight="true" outlineLevel="0" collapsed="false">
      <c r="A62" s="5" t="s">
        <v>2097</v>
      </c>
      <c r="B62" s="5" t="s">
        <v>2098</v>
      </c>
      <c r="C62" s="5" t="s">
        <v>2099</v>
      </c>
      <c r="D62" s="5" t="s">
        <v>1982</v>
      </c>
    </row>
    <row r="63" customFormat="false" ht="135" hidden="false" customHeight="true" outlineLevel="0" collapsed="false">
      <c r="A63" s="6" t="s">
        <v>2100</v>
      </c>
      <c r="B63" s="6" t="s">
        <v>2101</v>
      </c>
      <c r="C63" s="6" t="s">
        <v>2102</v>
      </c>
      <c r="D63" s="6" t="s">
        <v>1982</v>
      </c>
    </row>
    <row r="64" customFormat="false" ht="135" hidden="false" customHeight="true" outlineLevel="0" collapsed="false">
      <c r="A64" s="5" t="s">
        <v>2103</v>
      </c>
      <c r="B64" s="5" t="s">
        <v>2104</v>
      </c>
      <c r="C64" s="5" t="s">
        <v>2105</v>
      </c>
      <c r="D64" s="5" t="s">
        <v>1982</v>
      </c>
    </row>
    <row r="65" customFormat="false" ht="135" hidden="false" customHeight="true" outlineLevel="0" collapsed="false">
      <c r="A65" s="6" t="s">
        <v>2106</v>
      </c>
      <c r="B65" s="6"/>
      <c r="C65" s="6" t="s">
        <v>2107</v>
      </c>
      <c r="D65" s="6" t="s">
        <v>1982</v>
      </c>
    </row>
    <row r="66" customFormat="false" ht="135" hidden="false" customHeight="true" outlineLevel="0" collapsed="false">
      <c r="A66" s="5" t="s">
        <v>2108</v>
      </c>
      <c r="B66" s="5"/>
      <c r="C66" s="5" t="s">
        <v>2109</v>
      </c>
      <c r="D66" s="5" t="s">
        <v>1982</v>
      </c>
    </row>
    <row r="67" customFormat="false" ht="135" hidden="false" customHeight="true" outlineLevel="0" collapsed="false">
      <c r="A67" s="6" t="s">
        <v>2110</v>
      </c>
      <c r="B67" s="6"/>
      <c r="C67" s="6" t="s">
        <v>2111</v>
      </c>
      <c r="D67" s="6" t="s">
        <v>1982</v>
      </c>
    </row>
    <row r="68" customFormat="false" ht="135" hidden="false" customHeight="true" outlineLevel="0" collapsed="false">
      <c r="A68" s="5" t="s">
        <v>2112</v>
      </c>
      <c r="B68" s="5"/>
      <c r="C68" s="5" t="s">
        <v>2113</v>
      </c>
      <c r="D68" s="5" t="s">
        <v>1982</v>
      </c>
    </row>
    <row r="69" customFormat="false" ht="135" hidden="false" customHeight="true" outlineLevel="0" collapsed="false">
      <c r="A69" s="6" t="s">
        <v>2114</v>
      </c>
      <c r="B69" s="6"/>
      <c r="C69" s="6" t="s">
        <v>2115</v>
      </c>
      <c r="D69" s="6" t="s">
        <v>1982</v>
      </c>
    </row>
    <row r="70" customFormat="false" ht="135" hidden="false" customHeight="true" outlineLevel="0" collapsed="false">
      <c r="A70" s="5" t="s">
        <v>2116</v>
      </c>
      <c r="B70" s="5"/>
      <c r="C70" s="5" t="s">
        <v>2117</v>
      </c>
      <c r="D70" s="5" t="s">
        <v>1982</v>
      </c>
    </row>
    <row r="71" customFormat="false" ht="135" hidden="false" customHeight="true" outlineLevel="0" collapsed="false">
      <c r="A71" s="6" t="s">
        <v>2118</v>
      </c>
      <c r="B71" s="6"/>
      <c r="C71" s="6" t="s">
        <v>2119</v>
      </c>
      <c r="D71" s="6" t="s">
        <v>1982</v>
      </c>
    </row>
    <row r="72" customFormat="false" ht="135" hidden="false" customHeight="true" outlineLevel="0" collapsed="false">
      <c r="A72" s="5" t="s">
        <v>2120</v>
      </c>
      <c r="B72" s="5"/>
      <c r="C72" s="5" t="s">
        <v>2121</v>
      </c>
      <c r="D72" s="5" t="s">
        <v>1982</v>
      </c>
    </row>
    <row r="73" customFormat="false" ht="135" hidden="false" customHeight="true" outlineLevel="0" collapsed="false">
      <c r="A73" s="6" t="s">
        <v>2122</v>
      </c>
      <c r="B73" s="6"/>
      <c r="C73" s="6" t="s">
        <v>2123</v>
      </c>
      <c r="D73" s="6" t="s">
        <v>1982</v>
      </c>
    </row>
    <row r="74" customFormat="false" ht="135" hidden="false" customHeight="true" outlineLevel="0" collapsed="false">
      <c r="A74" s="5" t="s">
        <v>2124</v>
      </c>
      <c r="B74" s="5"/>
      <c r="C74" s="5" t="s">
        <v>2125</v>
      </c>
      <c r="D74" s="5" t="s">
        <v>1982</v>
      </c>
    </row>
    <row r="75" customFormat="false" ht="135" hidden="false" customHeight="true" outlineLevel="0" collapsed="false">
      <c r="A75" s="6" t="s">
        <v>2126</v>
      </c>
      <c r="B75" s="6"/>
      <c r="C75" s="6" t="s">
        <v>2119</v>
      </c>
      <c r="D75" s="6" t="s">
        <v>1982</v>
      </c>
    </row>
    <row r="76" customFormat="false" ht="135" hidden="false" customHeight="true" outlineLevel="0" collapsed="false">
      <c r="A76" s="5" t="s">
        <v>2127</v>
      </c>
      <c r="B76" s="5"/>
      <c r="C76" s="5" t="s">
        <v>2125</v>
      </c>
      <c r="D76" s="5" t="s">
        <v>1982</v>
      </c>
    </row>
    <row r="77" customFormat="false" ht="135" hidden="false" customHeight="true" outlineLevel="0" collapsed="false">
      <c r="A77" s="6" t="s">
        <v>2128</v>
      </c>
      <c r="B77" s="6"/>
      <c r="C77" s="6" t="s">
        <v>2129</v>
      </c>
      <c r="D77" s="6" t="s">
        <v>1982</v>
      </c>
    </row>
    <row r="78" customFormat="false" ht="135" hidden="false" customHeight="true" outlineLevel="0" collapsed="false">
      <c r="A78" s="5" t="s">
        <v>2130</v>
      </c>
      <c r="B78" s="5" t="s">
        <v>2131</v>
      </c>
      <c r="C78" s="5" t="s">
        <v>2132</v>
      </c>
      <c r="D78" s="5" t="s">
        <v>1982</v>
      </c>
    </row>
    <row r="79" customFormat="false" ht="135" hidden="false" customHeight="true" outlineLevel="0" collapsed="false">
      <c r="A79" s="6" t="s">
        <v>2133</v>
      </c>
      <c r="B79" s="6" t="s">
        <v>2131</v>
      </c>
      <c r="C79" s="6" t="s">
        <v>2134</v>
      </c>
      <c r="D79" s="6" t="s">
        <v>1982</v>
      </c>
    </row>
    <row r="80" customFormat="false" ht="135" hidden="false" customHeight="true" outlineLevel="0" collapsed="false">
      <c r="A80" s="5" t="s">
        <v>2135</v>
      </c>
      <c r="B80" s="5" t="s">
        <v>2136</v>
      </c>
      <c r="C80" s="5" t="s">
        <v>2137</v>
      </c>
      <c r="D80" s="5" t="s">
        <v>1982</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4.25" customHeight="false" zeroHeight="false" outlineLevelRow="0" outlineLevelCol="0"/>
  <cols>
    <col collapsed="false" customWidth="true" hidden="false" outlineLevel="0" max="1" min="1" style="1" width="24.67"/>
    <col collapsed="false" customWidth="true" hidden="false" outlineLevel="0" max="2" min="2" style="1" width="44.66"/>
    <col collapsed="false" customWidth="true" hidden="false" outlineLevel="0" max="3" min="3" style="1" width="50.67"/>
    <col collapsed="false" customWidth="true" hidden="false" outlineLevel="0" max="4" min="4" style="1" width="55.67"/>
    <col collapsed="false" customWidth="true" hidden="false" outlineLevel="0" max="5" min="5" style="1" width="48.67"/>
    <col collapsed="false" customWidth="true" hidden="false" outlineLevel="0" max="6" min="6" style="1" width="22.67"/>
    <col collapsed="false" customWidth="true" hidden="false" outlineLevel="0" max="7" min="7" style="1" width="90.67"/>
    <col collapsed="false" customWidth="true" hidden="false" outlineLevel="0" max="8" min="8" style="1" width="65.67"/>
    <col collapsed="false" customWidth="true" hidden="false" outlineLevel="0" max="9" min="9" style="1" width="90.67"/>
    <col collapsed="false" customWidth="true" hidden="false" outlineLevel="0" max="10" min="10" style="1" width="65.67"/>
    <col collapsed="false" customWidth="true" hidden="false" outlineLevel="0" max="13" min="11" style="1" width="36.67"/>
  </cols>
  <sheetData>
    <row r="1" customFormat="false" ht="33.75" hidden="false" customHeight="true" outlineLevel="0" collapsed="false">
      <c r="A1" s="21" t="s">
        <v>2138</v>
      </c>
      <c r="B1" s="21"/>
      <c r="C1" s="21"/>
      <c r="D1" s="21"/>
      <c r="E1" s="21"/>
      <c r="F1" s="21"/>
      <c r="G1" s="21"/>
      <c r="H1" s="21"/>
      <c r="I1" s="21"/>
      <c r="J1" s="21"/>
      <c r="K1" s="21"/>
      <c r="L1" s="21"/>
      <c r="M1" s="21"/>
    </row>
    <row r="2" customFormat="false" ht="24.75" hidden="false" customHeight="true" outlineLevel="0" collapsed="false">
      <c r="A2" s="22" t="s">
        <v>2139</v>
      </c>
      <c r="B2" s="22"/>
      <c r="C2" s="22"/>
      <c r="D2" s="22"/>
      <c r="E2" s="22"/>
      <c r="F2" s="22"/>
      <c r="G2" s="22"/>
      <c r="H2" s="22"/>
      <c r="I2" s="22"/>
      <c r="J2" s="22"/>
      <c r="K2" s="22"/>
      <c r="L2" s="22"/>
      <c r="M2" s="22"/>
    </row>
    <row r="3" customFormat="false" ht="24.75" hidden="false" customHeight="true" outlineLevel="0" collapsed="false">
      <c r="A3" s="22"/>
      <c r="B3" s="22"/>
      <c r="C3" s="22"/>
      <c r="D3" s="22"/>
      <c r="E3" s="22"/>
      <c r="F3" s="22"/>
      <c r="G3" s="22"/>
      <c r="H3" s="22"/>
      <c r="I3" s="22"/>
      <c r="J3" s="22"/>
      <c r="K3" s="22"/>
      <c r="L3" s="22"/>
      <c r="M3" s="22"/>
    </row>
    <row r="5" customFormat="false" ht="48" hidden="false" customHeight="true" outlineLevel="0" collapsed="false">
      <c r="A5" s="23" t="s">
        <v>852</v>
      </c>
      <c r="B5" s="23" t="s">
        <v>2140</v>
      </c>
      <c r="C5" s="23" t="s">
        <v>2141</v>
      </c>
      <c r="D5" s="23" t="s">
        <v>67</v>
      </c>
      <c r="E5" s="23" t="s">
        <v>2142</v>
      </c>
      <c r="F5" s="23" t="s">
        <v>2143</v>
      </c>
      <c r="G5" s="23" t="s">
        <v>70</v>
      </c>
      <c r="H5" s="23" t="s">
        <v>2144</v>
      </c>
      <c r="I5" s="23" t="s">
        <v>2145</v>
      </c>
      <c r="J5" s="23" t="s">
        <v>2146</v>
      </c>
      <c r="K5" s="23" t="s">
        <v>2147</v>
      </c>
      <c r="L5" s="23" t="s">
        <v>2148</v>
      </c>
      <c r="M5" s="23" t="s">
        <v>2149</v>
      </c>
    </row>
    <row r="6" customFormat="false" ht="159.75" hidden="false" customHeight="true" outlineLevel="0" collapsed="false">
      <c r="A6" s="26" t="s">
        <v>78</v>
      </c>
      <c r="B6" s="26" t="s">
        <v>2150</v>
      </c>
      <c r="C6" s="26" t="s">
        <v>2151</v>
      </c>
      <c r="D6" s="26" t="s">
        <v>2152</v>
      </c>
      <c r="E6" s="26" t="s">
        <v>2153</v>
      </c>
      <c r="F6" s="26" t="s">
        <v>2154</v>
      </c>
      <c r="G6" s="26" t="s">
        <v>2155</v>
      </c>
      <c r="H6" s="26" t="s">
        <v>2156</v>
      </c>
      <c r="I6" s="26"/>
      <c r="J6" s="26" t="s">
        <v>2157</v>
      </c>
      <c r="K6" s="26"/>
      <c r="L6" s="26"/>
      <c r="M6" s="26"/>
    </row>
    <row r="7" customFormat="false" ht="159.75" hidden="false" customHeight="true" outlineLevel="0" collapsed="false">
      <c r="A7" s="27" t="s">
        <v>90</v>
      </c>
      <c r="B7" s="27" t="s">
        <v>2158</v>
      </c>
      <c r="C7" s="27" t="s">
        <v>2159</v>
      </c>
      <c r="D7" s="27" t="s">
        <v>2160</v>
      </c>
      <c r="E7" s="27" t="s">
        <v>2153</v>
      </c>
      <c r="F7" s="27" t="s">
        <v>2154</v>
      </c>
      <c r="G7" s="27" t="s">
        <v>2155</v>
      </c>
      <c r="H7" s="27" t="s">
        <v>2161</v>
      </c>
      <c r="I7" s="27"/>
      <c r="J7" s="27" t="s">
        <v>2157</v>
      </c>
      <c r="K7" s="27"/>
      <c r="L7" s="27"/>
      <c r="M7" s="27"/>
    </row>
    <row r="8" customFormat="false" ht="159.75" hidden="false" customHeight="true" outlineLevel="0" collapsed="false">
      <c r="A8" s="26" t="s">
        <v>97</v>
      </c>
      <c r="B8" s="26" t="s">
        <v>2162</v>
      </c>
      <c r="C8" s="26" t="s">
        <v>2163</v>
      </c>
      <c r="D8" s="26" t="s">
        <v>2164</v>
      </c>
      <c r="E8" s="26" t="s">
        <v>2165</v>
      </c>
      <c r="F8" s="26" t="s">
        <v>2166</v>
      </c>
      <c r="G8" s="26" t="s">
        <v>2167</v>
      </c>
      <c r="H8" s="26" t="s">
        <v>2168</v>
      </c>
      <c r="I8" s="26" t="s">
        <v>2169</v>
      </c>
      <c r="J8" s="26" t="s">
        <v>2157</v>
      </c>
      <c r="K8" s="26"/>
      <c r="L8" s="26"/>
      <c r="M8" s="26"/>
    </row>
    <row r="9" customFormat="false" ht="159.75" hidden="false" customHeight="true" outlineLevel="0" collapsed="false">
      <c r="A9" s="27" t="s">
        <v>107</v>
      </c>
      <c r="B9" s="27" t="s">
        <v>2170</v>
      </c>
      <c r="C9" s="27" t="s">
        <v>2163</v>
      </c>
      <c r="D9" s="27" t="s">
        <v>2164</v>
      </c>
      <c r="E9" s="27" t="s">
        <v>2171</v>
      </c>
      <c r="F9" s="27" t="s">
        <v>2166</v>
      </c>
      <c r="G9" s="27" t="s">
        <v>2172</v>
      </c>
      <c r="H9" s="27" t="s">
        <v>2168</v>
      </c>
      <c r="I9" s="27" t="s">
        <v>2169</v>
      </c>
      <c r="J9" s="27" t="s">
        <v>2157</v>
      </c>
      <c r="K9" s="27"/>
      <c r="L9" s="27"/>
      <c r="M9" s="27"/>
    </row>
    <row r="10" customFormat="false" ht="159.75" hidden="false" customHeight="true" outlineLevel="0" collapsed="false">
      <c r="A10" s="26" t="s">
        <v>111</v>
      </c>
      <c r="B10" s="26" t="s">
        <v>2173</v>
      </c>
      <c r="C10" s="26" t="s">
        <v>2163</v>
      </c>
      <c r="D10" s="26" t="s">
        <v>2164</v>
      </c>
      <c r="E10" s="26" t="s">
        <v>2174</v>
      </c>
      <c r="F10" s="26" t="s">
        <v>2166</v>
      </c>
      <c r="G10" s="26" t="s">
        <v>2172</v>
      </c>
      <c r="H10" s="26" t="s">
        <v>2168</v>
      </c>
      <c r="I10" s="26" t="s">
        <v>2169</v>
      </c>
      <c r="J10" s="26" t="s">
        <v>2157</v>
      </c>
      <c r="K10" s="26"/>
      <c r="L10" s="26"/>
      <c r="M10" s="26"/>
    </row>
    <row r="11" customFormat="false" ht="159.75" hidden="false" customHeight="true" outlineLevel="0" collapsed="false">
      <c r="A11" s="27" t="s">
        <v>115</v>
      </c>
      <c r="B11" s="27" t="s">
        <v>2175</v>
      </c>
      <c r="C11" s="27" t="s">
        <v>2163</v>
      </c>
      <c r="D11" s="27" t="s">
        <v>2164</v>
      </c>
      <c r="E11" s="27" t="s">
        <v>2176</v>
      </c>
      <c r="F11" s="27" t="s">
        <v>2166</v>
      </c>
      <c r="G11" s="27" t="s">
        <v>2172</v>
      </c>
      <c r="H11" s="27" t="s">
        <v>2168</v>
      </c>
      <c r="I11" s="27" t="s">
        <v>2169</v>
      </c>
      <c r="J11" s="27" t="s">
        <v>2157</v>
      </c>
      <c r="K11" s="27"/>
      <c r="L11" s="27"/>
      <c r="M11" s="27"/>
    </row>
    <row r="12" customFormat="false" ht="159.75" hidden="false" customHeight="true" outlineLevel="0" collapsed="false">
      <c r="A12" s="26" t="s">
        <v>119</v>
      </c>
      <c r="B12" s="26" t="s">
        <v>2177</v>
      </c>
      <c r="C12" s="26" t="s">
        <v>2163</v>
      </c>
      <c r="D12" s="26" t="s">
        <v>2164</v>
      </c>
      <c r="E12" s="26" t="s">
        <v>2178</v>
      </c>
      <c r="F12" s="26" t="s">
        <v>2166</v>
      </c>
      <c r="G12" s="26" t="s">
        <v>2172</v>
      </c>
      <c r="H12" s="26" t="s">
        <v>2168</v>
      </c>
      <c r="I12" s="26" t="s">
        <v>2169</v>
      </c>
      <c r="J12" s="26" t="s">
        <v>2157</v>
      </c>
      <c r="K12" s="26"/>
      <c r="L12" s="26"/>
      <c r="M12" s="26"/>
    </row>
    <row r="13" customFormat="false" ht="159.75" hidden="false" customHeight="true" outlineLevel="0" collapsed="false">
      <c r="A13" s="27" t="s">
        <v>123</v>
      </c>
      <c r="B13" s="27" t="s">
        <v>2179</v>
      </c>
      <c r="C13" s="27" t="s">
        <v>2163</v>
      </c>
      <c r="D13" s="27" t="s">
        <v>2180</v>
      </c>
      <c r="E13" s="27" t="s">
        <v>2153</v>
      </c>
      <c r="F13" s="27" t="s">
        <v>2166</v>
      </c>
      <c r="G13" s="27" t="s">
        <v>2181</v>
      </c>
      <c r="H13" s="27" t="s">
        <v>2182</v>
      </c>
      <c r="I13" s="27" t="s">
        <v>2183</v>
      </c>
      <c r="J13" s="27" t="s">
        <v>2157</v>
      </c>
      <c r="K13" s="27"/>
      <c r="L13" s="27"/>
      <c r="M13" s="27"/>
    </row>
    <row r="14" customFormat="false" ht="159.75" hidden="false" customHeight="true" outlineLevel="0" collapsed="false">
      <c r="A14" s="26" t="s">
        <v>130</v>
      </c>
      <c r="B14" s="26" t="s">
        <v>2184</v>
      </c>
      <c r="C14" s="26" t="s">
        <v>2185</v>
      </c>
      <c r="D14" s="26" t="s">
        <v>2186</v>
      </c>
      <c r="E14" s="26" t="s">
        <v>2153</v>
      </c>
      <c r="F14" s="26" t="s">
        <v>2166</v>
      </c>
      <c r="G14" s="26" t="s">
        <v>2155</v>
      </c>
      <c r="H14" s="26" t="s">
        <v>2168</v>
      </c>
      <c r="I14" s="26"/>
      <c r="J14" s="26" t="s">
        <v>2157</v>
      </c>
      <c r="K14" s="26"/>
      <c r="L14" s="26"/>
      <c r="M14" s="26"/>
    </row>
    <row r="15" customFormat="false" ht="159.75" hidden="false" customHeight="true" outlineLevel="0" collapsed="false">
      <c r="A15" s="27" t="s">
        <v>135</v>
      </c>
      <c r="B15" s="27" t="s">
        <v>2187</v>
      </c>
      <c r="C15" s="27" t="s">
        <v>2185</v>
      </c>
      <c r="D15" s="27" t="s">
        <v>2188</v>
      </c>
      <c r="E15" s="27" t="s">
        <v>2153</v>
      </c>
      <c r="F15" s="27" t="s">
        <v>2166</v>
      </c>
      <c r="G15" s="27" t="s">
        <v>2189</v>
      </c>
      <c r="H15" s="27" t="s">
        <v>2190</v>
      </c>
      <c r="I15" s="27"/>
      <c r="J15" s="27" t="s">
        <v>2157</v>
      </c>
      <c r="K15" s="27"/>
      <c r="L15" s="27"/>
      <c r="M15" s="27"/>
    </row>
    <row r="16" customFormat="false" ht="159.75" hidden="false" customHeight="true" outlineLevel="0" collapsed="false">
      <c r="A16" s="26" t="s">
        <v>141</v>
      </c>
      <c r="B16" s="26" t="s">
        <v>2191</v>
      </c>
      <c r="C16" s="26" t="s">
        <v>2192</v>
      </c>
      <c r="D16" s="26" t="s">
        <v>2193</v>
      </c>
      <c r="E16" s="26" t="s">
        <v>2194</v>
      </c>
      <c r="F16" s="26" t="s">
        <v>2195</v>
      </c>
      <c r="G16" s="26" t="s">
        <v>2196</v>
      </c>
      <c r="H16" s="26" t="s">
        <v>2197</v>
      </c>
      <c r="I16" s="26" t="s">
        <v>2198</v>
      </c>
      <c r="J16" s="26" t="s">
        <v>2157</v>
      </c>
      <c r="K16" s="26"/>
      <c r="L16" s="26"/>
      <c r="M16" s="26"/>
    </row>
    <row r="17" customFormat="false" ht="159.75" hidden="false" customHeight="true" outlineLevel="0" collapsed="false">
      <c r="A17" s="27" t="s">
        <v>150</v>
      </c>
      <c r="B17" s="27" t="s">
        <v>2199</v>
      </c>
      <c r="C17" s="27" t="s">
        <v>2192</v>
      </c>
      <c r="D17" s="27" t="s">
        <v>2200</v>
      </c>
      <c r="E17" s="27" t="s">
        <v>2201</v>
      </c>
      <c r="F17" s="27" t="s">
        <v>2202</v>
      </c>
      <c r="G17" s="27" t="s">
        <v>2155</v>
      </c>
      <c r="H17" s="27" t="s">
        <v>2203</v>
      </c>
      <c r="I17" s="27" t="s">
        <v>2204</v>
      </c>
      <c r="J17" s="27" t="s">
        <v>2157</v>
      </c>
      <c r="K17" s="27"/>
      <c r="L17" s="27"/>
      <c r="M17" s="27"/>
    </row>
    <row r="18" customFormat="false" ht="159.75" hidden="false" customHeight="true" outlineLevel="0" collapsed="false">
      <c r="A18" s="26"/>
      <c r="B18" s="26"/>
      <c r="C18" s="26"/>
      <c r="D18" s="26"/>
      <c r="E18" s="26"/>
      <c r="F18" s="26"/>
      <c r="G18" s="26"/>
      <c r="H18" s="26"/>
      <c r="I18" s="26"/>
      <c r="J18" s="26"/>
      <c r="K18" s="26"/>
      <c r="L18" s="26"/>
      <c r="M18" s="26"/>
    </row>
    <row r="19" customFormat="false" ht="159.75" hidden="false" customHeight="true" outlineLevel="0" collapsed="false">
      <c r="A19" s="27" t="s">
        <v>2205</v>
      </c>
      <c r="B19" s="27"/>
      <c r="C19" s="27"/>
      <c r="D19" s="27"/>
      <c r="E19" s="27"/>
      <c r="F19" s="27"/>
      <c r="G19" s="27"/>
      <c r="H19" s="27"/>
      <c r="I19" s="27"/>
      <c r="J19" s="27"/>
      <c r="K19" s="27"/>
      <c r="L19" s="27"/>
      <c r="M19" s="27"/>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5"/>
    <col collapsed="false" customWidth="true" hidden="false" outlineLevel="0" max="3" min="3" style="0" width="75"/>
  </cols>
  <sheetData>
    <row r="1" customFormat="false" ht="33.75" hidden="false" customHeight="true" outlineLevel="0" collapsed="false">
      <c r="A1" s="9" t="s">
        <v>2206</v>
      </c>
      <c r="B1" s="9"/>
      <c r="C1" s="9"/>
    </row>
    <row r="2" customFormat="false" ht="27" hidden="false" customHeight="true" outlineLevel="0" collapsed="false">
      <c r="A2" s="3" t="s">
        <v>2207</v>
      </c>
      <c r="B2" s="3"/>
      <c r="C2" s="3"/>
    </row>
    <row r="3" customFormat="false" ht="27" hidden="false" customHeight="true" outlineLevel="0" collapsed="false">
      <c r="A3" s="3"/>
      <c r="B3" s="3"/>
      <c r="C3" s="3"/>
    </row>
    <row r="5" customFormat="false" ht="45" hidden="false" customHeight="true" outlineLevel="0" collapsed="false">
      <c r="A5" s="4" t="s">
        <v>2208</v>
      </c>
      <c r="B5" s="4" t="s">
        <v>2209</v>
      </c>
      <c r="C5" s="4" t="s">
        <v>2210</v>
      </c>
    </row>
    <row r="6" customFormat="false" ht="90" hidden="false" customHeight="true" outlineLevel="0" collapsed="false">
      <c r="A6" s="5" t="n">
        <v>1</v>
      </c>
      <c r="B6" s="5" t="s">
        <v>2211</v>
      </c>
      <c r="C6" s="5" t="s">
        <v>2212</v>
      </c>
    </row>
    <row r="7" customFormat="false" ht="90" hidden="false" customHeight="true" outlineLevel="0" collapsed="false">
      <c r="A7" s="6" t="n">
        <v>2</v>
      </c>
      <c r="B7" s="6" t="s">
        <v>2213</v>
      </c>
      <c r="C7" s="6" t="s">
        <v>2212</v>
      </c>
    </row>
    <row r="8" customFormat="false" ht="90" hidden="false" customHeight="true" outlineLevel="0" collapsed="false">
      <c r="A8" s="5" t="n">
        <v>3</v>
      </c>
      <c r="B8" s="5" t="s">
        <v>2214</v>
      </c>
      <c r="C8" s="5" t="s">
        <v>2212</v>
      </c>
    </row>
    <row r="9" customFormat="false" ht="90" hidden="false" customHeight="true" outlineLevel="0" collapsed="false">
      <c r="A9" s="6" t="n">
        <v>4</v>
      </c>
      <c r="B9" s="6" t="s">
        <v>2215</v>
      </c>
      <c r="C9" s="6" t="s">
        <v>2212</v>
      </c>
    </row>
    <row r="10" customFormat="false" ht="90" hidden="false" customHeight="true" outlineLevel="0" collapsed="false">
      <c r="A10" s="5" t="n">
        <v>5</v>
      </c>
      <c r="B10" s="5" t="s">
        <v>2216</v>
      </c>
      <c r="C10" s="5" t="s">
        <v>2212</v>
      </c>
    </row>
    <row r="11" customFormat="false" ht="90" hidden="false" customHeight="true" outlineLevel="0" collapsed="false">
      <c r="A11" s="6" t="n">
        <v>6</v>
      </c>
      <c r="B11" s="6" t="s">
        <v>2217</v>
      </c>
      <c r="C11" s="6" t="s">
        <v>2212</v>
      </c>
    </row>
    <row r="12" customFormat="false" ht="90" hidden="false" customHeight="true" outlineLevel="0" collapsed="false">
      <c r="A12" s="5" t="n">
        <v>7</v>
      </c>
      <c r="B12" s="5" t="s">
        <v>2218</v>
      </c>
      <c r="C12" s="5" t="s">
        <v>2212</v>
      </c>
    </row>
    <row r="13" customFormat="false" ht="90" hidden="false" customHeight="true" outlineLevel="0" collapsed="false">
      <c r="A13" s="6" t="n">
        <v>8</v>
      </c>
      <c r="B13" s="6" t="s">
        <v>2219</v>
      </c>
      <c r="C13" s="6" t="s">
        <v>2212</v>
      </c>
    </row>
    <row r="14" customFormat="false" ht="90" hidden="false" customHeight="true" outlineLevel="0" collapsed="false">
      <c r="A14" s="5" t="n">
        <v>9</v>
      </c>
      <c r="B14" s="5" t="s">
        <v>2220</v>
      </c>
      <c r="C14" s="5" t="s">
        <v>2212</v>
      </c>
    </row>
    <row r="15" customFormat="false" ht="90" hidden="false" customHeight="true" outlineLevel="0" collapsed="false">
      <c r="A15" s="6" t="n">
        <v>10</v>
      </c>
      <c r="B15" s="6" t="s">
        <v>2221</v>
      </c>
      <c r="C15" s="6" t="s">
        <v>2212</v>
      </c>
    </row>
    <row r="16" customFormat="false" ht="90" hidden="false" customHeight="true" outlineLevel="0" collapsed="false">
      <c r="A16" s="5" t="n">
        <v>11</v>
      </c>
      <c r="B16" s="5" t="s">
        <v>2222</v>
      </c>
      <c r="C16" s="5" t="s">
        <v>2212</v>
      </c>
    </row>
    <row r="17" customFormat="false" ht="90" hidden="false" customHeight="true" outlineLevel="0" collapsed="false">
      <c r="A17" s="6" t="n">
        <v>12</v>
      </c>
      <c r="B17" s="6" t="s">
        <v>2223</v>
      </c>
      <c r="C17" s="6" t="s">
        <v>2212</v>
      </c>
    </row>
    <row r="18" customFormat="false" ht="90" hidden="false" customHeight="true" outlineLevel="0" collapsed="false">
      <c r="A18" s="5" t="n">
        <v>13</v>
      </c>
      <c r="B18" s="5" t="s">
        <v>2224</v>
      </c>
      <c r="C18" s="5" t="s">
        <v>2212</v>
      </c>
    </row>
    <row r="19" customFormat="false" ht="90" hidden="false" customHeight="true" outlineLevel="0" collapsed="false">
      <c r="A19" s="6" t="n">
        <v>14</v>
      </c>
      <c r="B19" s="6" t="s">
        <v>2225</v>
      </c>
      <c r="C19" s="6" t="s">
        <v>2212</v>
      </c>
    </row>
    <row r="20" customFormat="false" ht="90" hidden="false" customHeight="true" outlineLevel="0" collapsed="false">
      <c r="A20" s="5" t="n">
        <v>15</v>
      </c>
      <c r="B20" s="5"/>
      <c r="C20" s="5" t="s">
        <v>2212</v>
      </c>
    </row>
    <row r="21" customFormat="false" ht="90" hidden="false" customHeight="true" outlineLevel="0" collapsed="false">
      <c r="A21" s="6" t="n">
        <v>16</v>
      </c>
      <c r="B21" s="6" t="s">
        <v>2226</v>
      </c>
      <c r="C21" s="6" t="s">
        <v>2212</v>
      </c>
    </row>
    <row r="22" customFormat="false" ht="90" hidden="false" customHeight="true" outlineLevel="0" collapsed="false">
      <c r="A22" s="5" t="n">
        <v>17</v>
      </c>
      <c r="B22" s="5" t="s">
        <v>2227</v>
      </c>
      <c r="C22" s="5" t="s">
        <v>2212</v>
      </c>
    </row>
    <row r="23" customFormat="false" ht="90" hidden="false" customHeight="true" outlineLevel="0" collapsed="false">
      <c r="A23" s="6" t="n">
        <v>18</v>
      </c>
      <c r="B23" s="6" t="s">
        <v>2228</v>
      </c>
      <c r="C23" s="6" t="s">
        <v>2212</v>
      </c>
    </row>
    <row r="24" customFormat="false" ht="90" hidden="false" customHeight="true" outlineLevel="0" collapsed="false">
      <c r="A24" s="5" t="n">
        <v>19</v>
      </c>
      <c r="B24" s="5" t="s">
        <v>2229</v>
      </c>
      <c r="C24" s="5" t="s">
        <v>2212</v>
      </c>
    </row>
    <row r="25" customFormat="false" ht="90" hidden="false" customHeight="true" outlineLevel="0" collapsed="false">
      <c r="A25" s="6" t="n">
        <v>20</v>
      </c>
      <c r="B25" s="6" t="s">
        <v>2230</v>
      </c>
      <c r="C25" s="6" t="s">
        <v>2212</v>
      </c>
    </row>
    <row r="26" customFormat="false" ht="90" hidden="false" customHeight="true" outlineLevel="0" collapsed="false">
      <c r="A26" s="5" t="n">
        <v>21</v>
      </c>
      <c r="B26" s="5" t="s">
        <v>2231</v>
      </c>
      <c r="C26" s="5" t="s">
        <v>2212</v>
      </c>
    </row>
    <row r="27" customFormat="false" ht="90" hidden="false" customHeight="true" outlineLevel="0" collapsed="false">
      <c r="A27" s="6" t="n">
        <v>22</v>
      </c>
      <c r="B27" s="6" t="s">
        <v>2232</v>
      </c>
      <c r="C27" s="6" t="s">
        <v>2212</v>
      </c>
    </row>
    <row r="28" customFormat="false" ht="90" hidden="false" customHeight="true" outlineLevel="0" collapsed="false">
      <c r="A28" s="5" t="n">
        <v>23</v>
      </c>
      <c r="B28" s="5" t="s">
        <v>2233</v>
      </c>
      <c r="C28" s="5" t="s">
        <v>2212</v>
      </c>
    </row>
    <row r="29" customFormat="false" ht="90" hidden="false" customHeight="true" outlineLevel="0" collapsed="false">
      <c r="A29" s="6" t="n">
        <v>24</v>
      </c>
      <c r="B29" s="6" t="s">
        <v>2234</v>
      </c>
      <c r="C29" s="6" t="s">
        <v>2212</v>
      </c>
    </row>
    <row r="30" customFormat="false" ht="90" hidden="false" customHeight="true" outlineLevel="0" collapsed="false">
      <c r="A30" s="5" t="n">
        <v>25</v>
      </c>
      <c r="B30" s="5" t="s">
        <v>2235</v>
      </c>
      <c r="C30" s="5" t="s">
        <v>2212</v>
      </c>
    </row>
    <row r="31" customFormat="false" ht="90" hidden="false" customHeight="true" outlineLevel="0" collapsed="false">
      <c r="A31" s="6" t="n">
        <v>26</v>
      </c>
      <c r="B31" s="6" t="s">
        <v>2236</v>
      </c>
      <c r="C31" s="6" t="s">
        <v>2212</v>
      </c>
    </row>
    <row r="32" customFormat="false" ht="90" hidden="false" customHeight="true" outlineLevel="0" collapsed="false">
      <c r="A32" s="5" t="n">
        <v>27</v>
      </c>
      <c r="B32" s="5"/>
      <c r="C32" s="5" t="s">
        <v>2212</v>
      </c>
    </row>
    <row r="33" customFormat="false" ht="90" hidden="false" customHeight="true" outlineLevel="0" collapsed="false">
      <c r="A33" s="6" t="n">
        <v>28</v>
      </c>
      <c r="B33" s="6" t="s">
        <v>2237</v>
      </c>
      <c r="C33" s="6" t="s">
        <v>2212</v>
      </c>
    </row>
    <row r="34" customFormat="false" ht="90" hidden="false" customHeight="true" outlineLevel="0" collapsed="false">
      <c r="A34" s="5" t="n">
        <v>29</v>
      </c>
      <c r="B34" s="5" t="s">
        <v>2238</v>
      </c>
      <c r="C34" s="5" t="s">
        <v>2212</v>
      </c>
    </row>
    <row r="35" customFormat="false" ht="90" hidden="false" customHeight="true" outlineLevel="0" collapsed="false">
      <c r="A35" s="6" t="n">
        <v>30</v>
      </c>
      <c r="B35" s="6" t="s">
        <v>2239</v>
      </c>
      <c r="C35" s="6" t="s">
        <v>2212</v>
      </c>
    </row>
    <row r="36" customFormat="false" ht="90" hidden="false" customHeight="true" outlineLevel="0" collapsed="false">
      <c r="A36" s="5" t="n">
        <v>31</v>
      </c>
      <c r="B36" s="5" t="s">
        <v>2240</v>
      </c>
      <c r="C36" s="5" t="s">
        <v>2212</v>
      </c>
    </row>
    <row r="37" customFormat="false" ht="90" hidden="false" customHeight="true" outlineLevel="0" collapsed="false">
      <c r="A37" s="6" t="n">
        <v>32</v>
      </c>
      <c r="B37" s="6" t="s">
        <v>2241</v>
      </c>
      <c r="C37" s="6" t="s">
        <v>2212</v>
      </c>
    </row>
    <row r="38" customFormat="false" ht="90" hidden="false" customHeight="true" outlineLevel="0" collapsed="false">
      <c r="A38" s="5" t="n">
        <v>33</v>
      </c>
      <c r="B38" s="5" t="s">
        <v>2242</v>
      </c>
      <c r="C38" s="5" t="s">
        <v>2212</v>
      </c>
    </row>
    <row r="39" customFormat="false" ht="90" hidden="false" customHeight="true" outlineLevel="0" collapsed="false">
      <c r="A39" s="6" t="n">
        <v>34</v>
      </c>
      <c r="B39" s="6" t="s">
        <v>2243</v>
      </c>
      <c r="C39" s="6" t="s">
        <v>2212</v>
      </c>
    </row>
    <row r="40" customFormat="false" ht="90" hidden="false" customHeight="true" outlineLevel="0" collapsed="false">
      <c r="A40" s="5" t="n">
        <v>35</v>
      </c>
      <c r="B40" s="5" t="s">
        <v>2244</v>
      </c>
      <c r="C40" s="5" t="s">
        <v>2212</v>
      </c>
    </row>
    <row r="41" customFormat="false" ht="90" hidden="false" customHeight="true" outlineLevel="0" collapsed="false">
      <c r="A41" s="6" t="n">
        <v>36</v>
      </c>
      <c r="B41" s="6" t="s">
        <v>2245</v>
      </c>
      <c r="C41" s="6" t="s">
        <v>2212</v>
      </c>
    </row>
    <row r="42" customFormat="false" ht="90" hidden="false" customHeight="true" outlineLevel="0" collapsed="false">
      <c r="A42" s="5" t="n">
        <v>37</v>
      </c>
      <c r="B42" s="5" t="s">
        <v>2246</v>
      </c>
      <c r="C42" s="5" t="s">
        <v>2212</v>
      </c>
    </row>
    <row r="43" customFormat="false" ht="90" hidden="false" customHeight="true" outlineLevel="0" collapsed="false">
      <c r="A43" s="6" t="n">
        <v>38</v>
      </c>
      <c r="B43" s="6" t="s">
        <v>2247</v>
      </c>
      <c r="C43" s="6" t="s">
        <v>2212</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Źródło zachowane w arkuszu Zrodlo. Propozycje i założenia nie są zatwierdzonymi zasadami.</dc:description>
  <dc:language>en-US</dc:language>
  <cp:lastModifiedBy>Sobczak, Krzysztof</cp:lastModifiedBy>
  <dcterms:modified xsi:type="dcterms:W3CDTF">2026-10-22T20:27:14Z</dcterms:modified>
  <cp:revision>0</cp:revision>
  <dc:subject>Projekt zasad: Excel, bez zmian w grze</dc:subject>
  <dc:title>HARBORLIGHT — tabela budynków i analiza zasad</dc:title>
</cp:coreProperties>
</file>

<file path=docProps/custom.xml><?xml version="1.0" encoding="utf-8"?>
<Properties xmlns="http://schemas.openxmlformats.org/officeDocument/2006/custom-properties" xmlns:vt="http://schemas.openxmlformats.org/officeDocument/2006/docPropsVTypes"/>
</file>