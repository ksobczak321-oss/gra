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gft365-my.sharepoint.com/personal/kfsc_gft_com/Documents/Documents/"/>
    </mc:Choice>
  </mc:AlternateContent>
  <xr:revisionPtr revIDLastSave="0" documentId="8_{A2501DAA-3160-4D97-8DCF-92E5E90A0B3D}" xr6:coauthVersionLast="47" xr6:coauthVersionMax="47" xr10:uidLastSave="{00000000-0000-0000-0000-000000000000}"/>
  <bookViews>
    <workbookView xWindow="-108" yWindow="-108" windowWidth="23256" windowHeight="12456" tabRatio="500" activeTab="2" xr2:uid="{00000000-000D-0000-FFFF-FFFF00000000}"/>
  </bookViews>
  <sheets>
    <sheet name="Start" sheetId="1" r:id="rId1"/>
    <sheet name="Budynki" sheetId="2" r:id="rId2"/>
    <sheet name="Czlowiek" sheetId="3" r:id="rId3"/>
    <sheet name="Produkcja" sheetId="4" r:id="rId4"/>
    <sheet name="Ustalenia - uwagi" sheetId="5" r:id="rId5"/>
    <sheet name="Czas budowy" sheetId="6" r:id="rId6"/>
    <sheet name="Transport i priorytety" sheetId="7" r:id="rId7"/>
    <sheet name="Premium" sheetId="8" r:id="rId8"/>
    <sheet name="Parametry" sheetId="9" r:id="rId9"/>
    <sheet name="Decyzje i konflikty" sheetId="10" r:id="rId10"/>
    <sheet name="Populacja i szczescie" sheetId="11" r:id="rId11"/>
    <sheet name="Przystan" sheetId="12" r:id="rId12"/>
    <sheet name="Blogoslawienstwa" sheetId="13" r:id="rId13"/>
    <sheet name="Odpowiedzi i zmiany" sheetId="14" r:id="rId14"/>
    <sheet name="Twoje wpisy v1" sheetId="15" r:id="rId15"/>
    <sheet name="Zrodlo" sheetId="16" r:id="rId16"/>
    <sheet name="Pomysly" sheetId="17" r:id="rId17"/>
  </sheets>
  <definedNames>
    <definedName name="_xlnm._FilterDatabase" localSheetId="12" hidden="1">Blogoslawienstwa!$A$5:$C$10</definedName>
    <definedName name="_xlnm._FilterDatabase" localSheetId="1" hidden="1">Budynki!$A$5:$O$18</definedName>
    <definedName name="_xlnm._FilterDatabase" localSheetId="5" hidden="1">'Czas budowy'!$A$5:$AA$79</definedName>
    <definedName name="_xlnm._FilterDatabase" localSheetId="2" hidden="1">Czlowiek!$A$5:$E$37</definedName>
    <definedName name="_xlnm._FilterDatabase" localSheetId="9" hidden="1">'Decyzje i konflikty'!$A$5:$E$19</definedName>
    <definedName name="_xlnm._FilterDatabase" localSheetId="13" hidden="1">'Odpowiedzi i zmiany'!$A$5:$C$12</definedName>
    <definedName name="_xlnm._FilterDatabase" localSheetId="8" hidden="1">Parametry!$A$5:$F$40</definedName>
    <definedName name="_xlnm._FilterDatabase" localSheetId="16" hidden="1">Pomysly!$A$5:$C$8</definedName>
    <definedName name="_xlnm._FilterDatabase" localSheetId="10" hidden="1">'Populacja i szczescie'!$A$5:$E$14</definedName>
    <definedName name="_xlnm._FilterDatabase" localSheetId="7" hidden="1">Premium!$A$5:$G$21</definedName>
    <definedName name="_xlnm._FilterDatabase" localSheetId="3" hidden="1">Produkcja!$A$5:$F$15</definedName>
    <definedName name="_xlnm._FilterDatabase" localSheetId="11" hidden="1">Przystan!$A$5:$H$18</definedName>
    <definedName name="_xlnm._FilterDatabase" localSheetId="0" hidden="1">Start!$A$5:$C$20</definedName>
    <definedName name="_xlnm._FilterDatabase" localSheetId="6" hidden="1">'Transport i priorytety'!$A$5:$D$19</definedName>
    <definedName name="_xlnm._FilterDatabase" localSheetId="14" hidden="1">'Twoje wpisy v1'!$A$5:$D$80</definedName>
    <definedName name="_xlnm._FilterDatabase" localSheetId="4" hidden="1">'Ustalenia - uwagi'!$A$5:$F$135</definedName>
    <definedName name="_xlnm._FilterDatabase" localSheetId="15" hidden="1">Zrodlo!$A$5:$M$19</definedName>
    <definedName name="_xlnm.Print_Area" localSheetId="12">Blogoslawienstwa!$A$1:$C$10</definedName>
    <definedName name="_xlnm.Print_Area" localSheetId="1">Budynki!$A$1:$O$18</definedName>
    <definedName name="_xlnm.Print_Area" localSheetId="5">'Czas budowy'!$A$1:$AA$79</definedName>
    <definedName name="_xlnm.Print_Area" localSheetId="2">Czlowiek!$A$1:$E$37</definedName>
    <definedName name="_xlnm.Print_Area" localSheetId="9">'Decyzje i konflikty'!$A$1:$E$19</definedName>
    <definedName name="_xlnm.Print_Area" localSheetId="13">'Odpowiedzi i zmiany'!$A$1:$C$12</definedName>
    <definedName name="_xlnm.Print_Area" localSheetId="8">Parametry!$A$1:$F$40</definedName>
    <definedName name="_xlnm.Print_Area" localSheetId="16">Pomysly!$A$1:$C$8</definedName>
    <definedName name="_xlnm.Print_Area" localSheetId="10">'Populacja i szczescie'!$A$1:$O$18</definedName>
    <definedName name="_xlnm.Print_Area" localSheetId="7">Premium!$A$1:$G$21</definedName>
    <definedName name="_xlnm.Print_Area" localSheetId="3">Produkcja!$A$1:$F$15</definedName>
    <definedName name="_xlnm.Print_Area" localSheetId="11">Przystan!$A$1:$H$18</definedName>
    <definedName name="_xlnm.Print_Area" localSheetId="0">Start!$A$1:$C$20</definedName>
    <definedName name="_xlnm.Print_Area" localSheetId="6">'Transport i priorytety'!$A$1:$D$19</definedName>
    <definedName name="_xlnm.Print_Area" localSheetId="14">'Twoje wpisy v1'!$A$1:$D$80</definedName>
    <definedName name="_xlnm.Print_Area" localSheetId="4">'Ustalenia - uwagi'!$A$1:$F$135</definedName>
    <definedName name="_xlnm.Print_Area" localSheetId="15">Zrodlo!$A$1:$F$97</definedName>
    <definedName name="_xlnm.Print_Titles" localSheetId="12">Blogoslawienstwa!$1:$5</definedName>
    <definedName name="_xlnm.Print_Titles" localSheetId="1">Budynki!$1:$5</definedName>
    <definedName name="_xlnm.Print_Titles" localSheetId="5">'Czas budowy'!$1:$5</definedName>
    <definedName name="_xlnm.Print_Titles" localSheetId="2">Czlowiek!$1:$5</definedName>
    <definedName name="_xlnm.Print_Titles" localSheetId="9">'Decyzje i konflikty'!$1:$5</definedName>
    <definedName name="_xlnm.Print_Titles" localSheetId="13">'Odpowiedzi i zmiany'!$1:$5</definedName>
    <definedName name="_xlnm.Print_Titles" localSheetId="8">Parametry!$1:$5</definedName>
    <definedName name="_xlnm.Print_Titles" localSheetId="10">'Populacja i szczescie'!$1:$5</definedName>
    <definedName name="_xlnm.Print_Titles" localSheetId="7">Premium!$1:$5</definedName>
    <definedName name="_xlnm.Print_Titles" localSheetId="3">Produkcja!$1:$5</definedName>
    <definedName name="_xlnm.Print_Titles" localSheetId="11">Przystan!$1:$5</definedName>
    <definedName name="_xlnm.Print_Titles" localSheetId="0">Start!$1:$5</definedName>
    <definedName name="_xlnm.Print_Titles" localSheetId="6">'Transport i priorytety'!$1:$5</definedName>
    <definedName name="_xlnm.Print_Titles" localSheetId="14">'Twoje wpisy v1'!$1:$5</definedName>
    <definedName name="_xlnm.Print_Titles" localSheetId="4">'Ustalenia - uwagi'!$1:$5</definedName>
    <definedName name="_xlnm.Print_Titles" localSheetId="15">Zrodlo!$1:$5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5" i="12" l="1"/>
  <c r="F15" i="12"/>
  <c r="E15" i="12"/>
  <c r="D15" i="12"/>
  <c r="C15" i="12"/>
  <c r="B15" i="12"/>
  <c r="G14" i="12"/>
  <c r="F14" i="12"/>
  <c r="E14" i="12"/>
  <c r="D14" i="12"/>
  <c r="C14" i="12"/>
  <c r="B14" i="12"/>
  <c r="G13" i="12"/>
  <c r="F13" i="12"/>
  <c r="E13" i="12"/>
  <c r="D13" i="12"/>
  <c r="C13" i="12"/>
  <c r="B13" i="12"/>
  <c r="G12" i="12"/>
  <c r="F12" i="12"/>
  <c r="E12" i="12"/>
  <c r="D12" i="12"/>
  <c r="C12" i="12"/>
  <c r="B12" i="12"/>
  <c r="G11" i="12"/>
  <c r="F11" i="12"/>
  <c r="E11" i="12"/>
  <c r="D11" i="12"/>
  <c r="C11" i="12"/>
  <c r="B11" i="12"/>
  <c r="G10" i="12"/>
  <c r="F10" i="12"/>
  <c r="E10" i="12"/>
  <c r="D10" i="12"/>
  <c r="C10" i="12"/>
  <c r="B10" i="12"/>
  <c r="G9" i="12"/>
  <c r="F9" i="12"/>
  <c r="E9" i="12"/>
  <c r="D9" i="12"/>
  <c r="C9" i="12"/>
  <c r="B9" i="12"/>
  <c r="G8" i="12"/>
  <c r="F8" i="12"/>
  <c r="E8" i="12"/>
  <c r="D8" i="12"/>
  <c r="C8" i="12"/>
  <c r="B8" i="12"/>
  <c r="G7" i="12"/>
  <c r="F7" i="12"/>
  <c r="E7" i="12"/>
  <c r="D7" i="12"/>
  <c r="C7" i="12"/>
  <c r="B7" i="12"/>
  <c r="G6" i="12"/>
  <c r="F6" i="12"/>
  <c r="E6" i="12"/>
  <c r="D6" i="12"/>
  <c r="C6" i="12"/>
  <c r="B6" i="12"/>
  <c r="C14" i="11"/>
  <c r="B14" i="11"/>
  <c r="C13" i="11"/>
  <c r="B13" i="11"/>
  <c r="B12" i="11"/>
  <c r="C12" i="11" s="1"/>
  <c r="C11" i="11"/>
  <c r="B11" i="11"/>
  <c r="C10" i="11"/>
  <c r="B10" i="11"/>
  <c r="C9" i="11"/>
  <c r="B9" i="11"/>
  <c r="C8" i="11"/>
  <c r="B8" i="11"/>
  <c r="B7" i="11"/>
  <c r="C7" i="11" s="1"/>
  <c r="C6" i="11"/>
  <c r="B6" i="11"/>
  <c r="W79" i="6"/>
  <c r="N79" i="6"/>
  <c r="S79" i="6" s="1"/>
  <c r="M79" i="6"/>
  <c r="R79" i="6" s="1"/>
  <c r="L79" i="6"/>
  <c r="Q79" i="6" s="1"/>
  <c r="K79" i="6"/>
  <c r="P79" i="6" s="1"/>
  <c r="J79" i="6"/>
  <c r="I79" i="6"/>
  <c r="H79" i="6"/>
  <c r="O79" i="6" s="1"/>
  <c r="G79" i="6"/>
  <c r="E79" i="6"/>
  <c r="Z78" i="6"/>
  <c r="W78" i="6"/>
  <c r="Q78" i="6"/>
  <c r="N78" i="6"/>
  <c r="M78" i="6"/>
  <c r="L78" i="6"/>
  <c r="K78" i="6"/>
  <c r="P78" i="6" s="1"/>
  <c r="J78" i="6"/>
  <c r="I78" i="6"/>
  <c r="H78" i="6"/>
  <c r="S78" i="6" s="1"/>
  <c r="G78" i="6"/>
  <c r="E78" i="6"/>
  <c r="W77" i="6"/>
  <c r="R77" i="6"/>
  <c r="O77" i="6"/>
  <c r="N77" i="6"/>
  <c r="S77" i="6" s="1"/>
  <c r="M77" i="6"/>
  <c r="L77" i="6"/>
  <c r="K77" i="6"/>
  <c r="J77" i="6"/>
  <c r="Z77" i="6" s="1"/>
  <c r="I77" i="6"/>
  <c r="H77" i="6"/>
  <c r="Q77" i="6" s="1"/>
  <c r="G77" i="6"/>
  <c r="E77" i="6"/>
  <c r="W76" i="6"/>
  <c r="O76" i="6"/>
  <c r="N76" i="6"/>
  <c r="S76" i="6" s="1"/>
  <c r="M76" i="6"/>
  <c r="R76" i="6" s="1"/>
  <c r="L76" i="6"/>
  <c r="Q76" i="6" s="1"/>
  <c r="K76" i="6"/>
  <c r="P76" i="6" s="1"/>
  <c r="J76" i="6"/>
  <c r="I76" i="6"/>
  <c r="H76" i="6"/>
  <c r="G76" i="6"/>
  <c r="E76" i="6"/>
  <c r="Z75" i="6"/>
  <c r="W75" i="6"/>
  <c r="O75" i="6"/>
  <c r="N75" i="6"/>
  <c r="M75" i="6"/>
  <c r="L75" i="6"/>
  <c r="K75" i="6"/>
  <c r="J75" i="6"/>
  <c r="I75" i="6"/>
  <c r="H75" i="6"/>
  <c r="G75" i="6"/>
  <c r="E75" i="6"/>
  <c r="W74" i="6"/>
  <c r="Q74" i="6"/>
  <c r="N74" i="6"/>
  <c r="M74" i="6"/>
  <c r="R74" i="6" s="1"/>
  <c r="L74" i="6"/>
  <c r="K74" i="6"/>
  <c r="J74" i="6"/>
  <c r="Z74" i="6" s="1"/>
  <c r="I74" i="6"/>
  <c r="H74" i="6"/>
  <c r="P74" i="6" s="1"/>
  <c r="G74" i="6"/>
  <c r="E74" i="6"/>
  <c r="W73" i="6"/>
  <c r="N73" i="6"/>
  <c r="S73" i="6" s="1"/>
  <c r="M73" i="6"/>
  <c r="R73" i="6" s="1"/>
  <c r="L73" i="6"/>
  <c r="Q73" i="6" s="1"/>
  <c r="K73" i="6"/>
  <c r="J73" i="6"/>
  <c r="O73" i="6" s="1"/>
  <c r="I73" i="6"/>
  <c r="H73" i="6"/>
  <c r="G73" i="6"/>
  <c r="E73" i="6"/>
  <c r="W72" i="6"/>
  <c r="R72" i="6"/>
  <c r="Q72" i="6"/>
  <c r="O72" i="6"/>
  <c r="N72" i="6"/>
  <c r="S72" i="6" s="1"/>
  <c r="M72" i="6"/>
  <c r="L72" i="6"/>
  <c r="K72" i="6"/>
  <c r="J72" i="6"/>
  <c r="Z72" i="6" s="1"/>
  <c r="I72" i="6"/>
  <c r="H72" i="6"/>
  <c r="P72" i="6" s="1"/>
  <c r="G72" i="6"/>
  <c r="E72" i="6"/>
  <c r="H71" i="6"/>
  <c r="G71" i="6"/>
  <c r="E71" i="6"/>
  <c r="Z70" i="6"/>
  <c r="W70" i="6"/>
  <c r="R70" i="6"/>
  <c r="Q70" i="6"/>
  <c r="M70" i="6"/>
  <c r="L70" i="6"/>
  <c r="K70" i="6"/>
  <c r="P70" i="6" s="1"/>
  <c r="J70" i="6"/>
  <c r="I70" i="6"/>
  <c r="H70" i="6"/>
  <c r="G70" i="6"/>
  <c r="E70" i="6"/>
  <c r="N70" i="6" s="1"/>
  <c r="S70" i="6" s="1"/>
  <c r="W69" i="6"/>
  <c r="R69" i="6"/>
  <c r="N69" i="6"/>
  <c r="M69" i="6"/>
  <c r="J69" i="6"/>
  <c r="I69" i="6"/>
  <c r="H69" i="6"/>
  <c r="G69" i="6"/>
  <c r="E69" i="6"/>
  <c r="W68" i="6"/>
  <c r="M68" i="6"/>
  <c r="R68" i="6" s="1"/>
  <c r="L68" i="6"/>
  <c r="Q68" i="6" s="1"/>
  <c r="K68" i="6"/>
  <c r="P68" i="6" s="1"/>
  <c r="J68" i="6"/>
  <c r="H68" i="6"/>
  <c r="G68" i="6"/>
  <c r="E68" i="6"/>
  <c r="I68" i="6" s="1"/>
  <c r="W67" i="6"/>
  <c r="S67" i="6"/>
  <c r="L67" i="6"/>
  <c r="Q67" i="6" s="1"/>
  <c r="K67" i="6"/>
  <c r="P67" i="6" s="1"/>
  <c r="J67" i="6"/>
  <c r="I67" i="6"/>
  <c r="H67" i="6"/>
  <c r="G67" i="6"/>
  <c r="E67" i="6"/>
  <c r="N67" i="6" s="1"/>
  <c r="W66" i="6"/>
  <c r="N66" i="6"/>
  <c r="S66" i="6" s="1"/>
  <c r="M66" i="6"/>
  <c r="R66" i="6" s="1"/>
  <c r="L66" i="6"/>
  <c r="Q66" i="6" s="1"/>
  <c r="I66" i="6"/>
  <c r="H66" i="6"/>
  <c r="G66" i="6"/>
  <c r="E66" i="6"/>
  <c r="W65" i="6"/>
  <c r="N65" i="6"/>
  <c r="S65" i="6" s="1"/>
  <c r="M65" i="6"/>
  <c r="R65" i="6" s="1"/>
  <c r="L65" i="6"/>
  <c r="Q65" i="6" s="1"/>
  <c r="K65" i="6"/>
  <c r="J65" i="6"/>
  <c r="O65" i="6" s="1"/>
  <c r="I65" i="6"/>
  <c r="H65" i="6"/>
  <c r="G65" i="6"/>
  <c r="E65" i="6"/>
  <c r="W64" i="6"/>
  <c r="R64" i="6"/>
  <c r="Q64" i="6"/>
  <c r="O64" i="6"/>
  <c r="N64" i="6"/>
  <c r="S64" i="6" s="1"/>
  <c r="M64" i="6"/>
  <c r="L64" i="6"/>
  <c r="K64" i="6"/>
  <c r="J64" i="6"/>
  <c r="I64" i="6"/>
  <c r="H64" i="6"/>
  <c r="P64" i="6" s="1"/>
  <c r="G64" i="6"/>
  <c r="E64" i="6"/>
  <c r="W63" i="6"/>
  <c r="O63" i="6"/>
  <c r="N63" i="6"/>
  <c r="M63" i="6"/>
  <c r="L63" i="6"/>
  <c r="K63" i="6"/>
  <c r="J63" i="6"/>
  <c r="I63" i="6"/>
  <c r="H63" i="6"/>
  <c r="S63" i="6" s="1"/>
  <c r="G63" i="6"/>
  <c r="E63" i="6"/>
  <c r="W62" i="6"/>
  <c r="T62" i="6"/>
  <c r="U62" i="6" s="1"/>
  <c r="V62" i="6" s="1"/>
  <c r="S62" i="6"/>
  <c r="O62" i="6"/>
  <c r="N62" i="6"/>
  <c r="M62" i="6"/>
  <c r="R62" i="6" s="1"/>
  <c r="L62" i="6"/>
  <c r="Q62" i="6" s="1"/>
  <c r="K62" i="6"/>
  <c r="P62" i="6" s="1"/>
  <c r="J62" i="6"/>
  <c r="I62" i="6"/>
  <c r="H62" i="6"/>
  <c r="G62" i="6"/>
  <c r="E62" i="6"/>
  <c r="W61" i="6"/>
  <c r="O61" i="6"/>
  <c r="N61" i="6"/>
  <c r="M61" i="6"/>
  <c r="L61" i="6"/>
  <c r="K61" i="6"/>
  <c r="J61" i="6"/>
  <c r="Z61" i="6" s="1"/>
  <c r="I61" i="6"/>
  <c r="H61" i="6"/>
  <c r="G61" i="6"/>
  <c r="E61" i="6"/>
  <c r="W60" i="6"/>
  <c r="S60" i="6"/>
  <c r="N60" i="6"/>
  <c r="M60" i="6"/>
  <c r="R60" i="6" s="1"/>
  <c r="L60" i="6"/>
  <c r="Q60" i="6" s="1"/>
  <c r="K60" i="6"/>
  <c r="P60" i="6" s="1"/>
  <c r="J60" i="6"/>
  <c r="I60" i="6"/>
  <c r="H60" i="6"/>
  <c r="G60" i="6"/>
  <c r="E60" i="6"/>
  <c r="W59" i="6"/>
  <c r="R59" i="6"/>
  <c r="O59" i="6"/>
  <c r="N59" i="6"/>
  <c r="S59" i="6" s="1"/>
  <c r="M59" i="6"/>
  <c r="L59" i="6"/>
  <c r="K59" i="6"/>
  <c r="J59" i="6"/>
  <c r="I59" i="6"/>
  <c r="H59" i="6"/>
  <c r="Q59" i="6" s="1"/>
  <c r="G59" i="6"/>
  <c r="E59" i="6"/>
  <c r="W58" i="6"/>
  <c r="S58" i="6"/>
  <c r="Q58" i="6"/>
  <c r="N58" i="6"/>
  <c r="M58" i="6"/>
  <c r="R58" i="6" s="1"/>
  <c r="L58" i="6"/>
  <c r="K58" i="6"/>
  <c r="P58" i="6" s="1"/>
  <c r="J58" i="6"/>
  <c r="Z58" i="6" s="1"/>
  <c r="I58" i="6"/>
  <c r="H58" i="6"/>
  <c r="O58" i="6" s="1"/>
  <c r="G58" i="6"/>
  <c r="E58" i="6"/>
  <c r="W57" i="6"/>
  <c r="N57" i="6"/>
  <c r="S57" i="6" s="1"/>
  <c r="M57" i="6"/>
  <c r="L57" i="6"/>
  <c r="K57" i="6"/>
  <c r="J57" i="6"/>
  <c r="I57" i="6"/>
  <c r="H57" i="6"/>
  <c r="Q57" i="6" s="1"/>
  <c r="G57" i="6"/>
  <c r="E57" i="6"/>
  <c r="W56" i="6"/>
  <c r="R56" i="6"/>
  <c r="Q56" i="6"/>
  <c r="N56" i="6"/>
  <c r="M56" i="6"/>
  <c r="L56" i="6"/>
  <c r="K56" i="6"/>
  <c r="P56" i="6" s="1"/>
  <c r="J56" i="6"/>
  <c r="O56" i="6" s="1"/>
  <c r="T56" i="6" s="1"/>
  <c r="U56" i="6" s="1"/>
  <c r="V56" i="6" s="1"/>
  <c r="I56" i="6"/>
  <c r="H56" i="6"/>
  <c r="S56" i="6" s="1"/>
  <c r="G56" i="6"/>
  <c r="E56" i="6"/>
  <c r="W55" i="6"/>
  <c r="N55" i="6"/>
  <c r="S55" i="6" s="1"/>
  <c r="M55" i="6"/>
  <c r="R55" i="6" s="1"/>
  <c r="L55" i="6"/>
  <c r="K55" i="6"/>
  <c r="J55" i="6"/>
  <c r="I55" i="6"/>
  <c r="H55" i="6"/>
  <c r="P55" i="6" s="1"/>
  <c r="G55" i="6"/>
  <c r="E55" i="6"/>
  <c r="Z54" i="6"/>
  <c r="W54" i="6"/>
  <c r="N54" i="6"/>
  <c r="M54" i="6"/>
  <c r="L54" i="6"/>
  <c r="K54" i="6"/>
  <c r="J54" i="6"/>
  <c r="I54" i="6"/>
  <c r="H54" i="6"/>
  <c r="P54" i="6" s="1"/>
  <c r="G54" i="6"/>
  <c r="E54" i="6"/>
  <c r="W53" i="6"/>
  <c r="N53" i="6"/>
  <c r="M53" i="6"/>
  <c r="R53" i="6" s="1"/>
  <c r="L53" i="6"/>
  <c r="Q53" i="6" s="1"/>
  <c r="K53" i="6"/>
  <c r="J53" i="6"/>
  <c r="Z53" i="6" s="1"/>
  <c r="I53" i="6"/>
  <c r="H53" i="6"/>
  <c r="P53" i="6" s="1"/>
  <c r="G53" i="6"/>
  <c r="E53" i="6"/>
  <c r="Z52" i="6"/>
  <c r="W52" i="6"/>
  <c r="S52" i="6"/>
  <c r="R52" i="6"/>
  <c r="Q52" i="6"/>
  <c r="O52" i="6"/>
  <c r="T52" i="6" s="1"/>
  <c r="U52" i="6" s="1"/>
  <c r="V52" i="6" s="1"/>
  <c r="X52" i="6" s="1"/>
  <c r="N52" i="6"/>
  <c r="M52" i="6"/>
  <c r="L52" i="6"/>
  <c r="K52" i="6"/>
  <c r="P52" i="6" s="1"/>
  <c r="J52" i="6"/>
  <c r="I52" i="6"/>
  <c r="H52" i="6"/>
  <c r="G52" i="6"/>
  <c r="E52" i="6"/>
  <c r="W51" i="6"/>
  <c r="T51" i="6"/>
  <c r="U51" i="6" s="1"/>
  <c r="V51" i="6" s="1"/>
  <c r="S51" i="6"/>
  <c r="R51" i="6"/>
  <c r="O51" i="6"/>
  <c r="N51" i="6"/>
  <c r="M51" i="6"/>
  <c r="L51" i="6"/>
  <c r="Q51" i="6" s="1"/>
  <c r="K51" i="6"/>
  <c r="P51" i="6" s="1"/>
  <c r="J51" i="6"/>
  <c r="Z51" i="6" s="1"/>
  <c r="I51" i="6"/>
  <c r="H51" i="6"/>
  <c r="G51" i="6"/>
  <c r="E51" i="6"/>
  <c r="W50" i="6"/>
  <c r="O50" i="6"/>
  <c r="N50" i="6"/>
  <c r="S50" i="6" s="1"/>
  <c r="M50" i="6"/>
  <c r="L50" i="6"/>
  <c r="K50" i="6"/>
  <c r="J50" i="6"/>
  <c r="I50" i="6"/>
  <c r="H50" i="6"/>
  <c r="Q50" i="6" s="1"/>
  <c r="G50" i="6"/>
  <c r="E50" i="6"/>
  <c r="W49" i="6"/>
  <c r="S49" i="6"/>
  <c r="N49" i="6"/>
  <c r="M49" i="6"/>
  <c r="R49" i="6" s="1"/>
  <c r="L49" i="6"/>
  <c r="Q49" i="6" s="1"/>
  <c r="K49" i="6"/>
  <c r="P49" i="6" s="1"/>
  <c r="J49" i="6"/>
  <c r="I49" i="6"/>
  <c r="H49" i="6"/>
  <c r="G49" i="6"/>
  <c r="E49" i="6"/>
  <c r="W48" i="6"/>
  <c r="R48" i="6"/>
  <c r="O48" i="6"/>
  <c r="N48" i="6"/>
  <c r="S48" i="6" s="1"/>
  <c r="M48" i="6"/>
  <c r="L48" i="6"/>
  <c r="K48" i="6"/>
  <c r="J48" i="6"/>
  <c r="Z48" i="6" s="1"/>
  <c r="I48" i="6"/>
  <c r="H48" i="6"/>
  <c r="Q48" i="6" s="1"/>
  <c r="G48" i="6"/>
  <c r="E48" i="6"/>
  <c r="W47" i="6"/>
  <c r="S47" i="6"/>
  <c r="R47" i="6"/>
  <c r="N47" i="6"/>
  <c r="M47" i="6"/>
  <c r="L47" i="6"/>
  <c r="Q47" i="6" s="1"/>
  <c r="K47" i="6"/>
  <c r="P47" i="6" s="1"/>
  <c r="J47" i="6"/>
  <c r="I47" i="6"/>
  <c r="H47" i="6"/>
  <c r="G47" i="6"/>
  <c r="E47" i="6"/>
  <c r="W46" i="6"/>
  <c r="Q46" i="6"/>
  <c r="N46" i="6"/>
  <c r="M46" i="6"/>
  <c r="L46" i="6"/>
  <c r="K46" i="6"/>
  <c r="J46" i="6"/>
  <c r="I46" i="6"/>
  <c r="H46" i="6"/>
  <c r="S46" i="6" s="1"/>
  <c r="G46" i="6"/>
  <c r="E46" i="6"/>
  <c r="Z45" i="6"/>
  <c r="W45" i="6"/>
  <c r="R45" i="6"/>
  <c r="Q45" i="6"/>
  <c r="N45" i="6"/>
  <c r="M45" i="6"/>
  <c r="L45" i="6"/>
  <c r="K45" i="6"/>
  <c r="J45" i="6"/>
  <c r="O45" i="6" s="1"/>
  <c r="I45" i="6"/>
  <c r="H45" i="6"/>
  <c r="P45" i="6" s="1"/>
  <c r="G45" i="6"/>
  <c r="E45" i="6"/>
  <c r="W44" i="6"/>
  <c r="Q44" i="6"/>
  <c r="O44" i="6"/>
  <c r="T44" i="6" s="1"/>
  <c r="U44" i="6" s="1"/>
  <c r="V44" i="6" s="1"/>
  <c r="N44" i="6"/>
  <c r="S44" i="6" s="1"/>
  <c r="M44" i="6"/>
  <c r="R44" i="6" s="1"/>
  <c r="L44" i="6"/>
  <c r="Z44" i="6" s="1"/>
  <c r="K44" i="6"/>
  <c r="P44" i="6" s="1"/>
  <c r="J44" i="6"/>
  <c r="I44" i="6"/>
  <c r="H44" i="6"/>
  <c r="G44" i="6"/>
  <c r="E44" i="6"/>
  <c r="W43" i="6"/>
  <c r="P43" i="6"/>
  <c r="N43" i="6"/>
  <c r="M43" i="6"/>
  <c r="L43" i="6"/>
  <c r="Z43" i="6" s="1"/>
  <c r="K43" i="6"/>
  <c r="J43" i="6"/>
  <c r="I43" i="6"/>
  <c r="H43" i="6"/>
  <c r="G43" i="6"/>
  <c r="E43" i="6"/>
  <c r="W42" i="6"/>
  <c r="O42" i="6"/>
  <c r="T42" i="6" s="1"/>
  <c r="U42" i="6" s="1"/>
  <c r="V42" i="6" s="1"/>
  <c r="N42" i="6"/>
  <c r="S42" i="6" s="1"/>
  <c r="M42" i="6"/>
  <c r="R42" i="6" s="1"/>
  <c r="L42" i="6"/>
  <c r="Q42" i="6" s="1"/>
  <c r="K42" i="6"/>
  <c r="P42" i="6" s="1"/>
  <c r="J42" i="6"/>
  <c r="I42" i="6"/>
  <c r="H42" i="6"/>
  <c r="G42" i="6"/>
  <c r="E42" i="6"/>
  <c r="W41" i="6"/>
  <c r="N41" i="6"/>
  <c r="M41" i="6"/>
  <c r="L41" i="6"/>
  <c r="K41" i="6"/>
  <c r="P41" i="6" s="1"/>
  <c r="J41" i="6"/>
  <c r="I41" i="6"/>
  <c r="H41" i="6"/>
  <c r="G41" i="6"/>
  <c r="E41" i="6"/>
  <c r="W40" i="6"/>
  <c r="U40" i="6"/>
  <c r="V40" i="6" s="1"/>
  <c r="Y40" i="6" s="1"/>
  <c r="S40" i="6"/>
  <c r="O40" i="6"/>
  <c r="T40" i="6" s="1"/>
  <c r="N40" i="6"/>
  <c r="M40" i="6"/>
  <c r="R40" i="6" s="1"/>
  <c r="L40" i="6"/>
  <c r="K40" i="6"/>
  <c r="P40" i="6" s="1"/>
  <c r="J40" i="6"/>
  <c r="Z40" i="6" s="1"/>
  <c r="I40" i="6"/>
  <c r="H40" i="6"/>
  <c r="Q40" i="6" s="1"/>
  <c r="G40" i="6"/>
  <c r="E40" i="6"/>
  <c r="W39" i="6"/>
  <c r="S39" i="6"/>
  <c r="R39" i="6"/>
  <c r="O39" i="6"/>
  <c r="N39" i="6"/>
  <c r="M39" i="6"/>
  <c r="L39" i="6"/>
  <c r="K39" i="6"/>
  <c r="J39" i="6"/>
  <c r="Z39" i="6" s="1"/>
  <c r="I39" i="6"/>
  <c r="H39" i="6"/>
  <c r="P39" i="6" s="1"/>
  <c r="G39" i="6"/>
  <c r="E39" i="6"/>
  <c r="W38" i="6"/>
  <c r="S38" i="6"/>
  <c r="R38" i="6"/>
  <c r="N38" i="6"/>
  <c r="M38" i="6"/>
  <c r="L38" i="6"/>
  <c r="Q38" i="6" s="1"/>
  <c r="K38" i="6"/>
  <c r="P38" i="6" s="1"/>
  <c r="J38" i="6"/>
  <c r="I38" i="6"/>
  <c r="H38" i="6"/>
  <c r="G38" i="6"/>
  <c r="E38" i="6"/>
  <c r="W37" i="6"/>
  <c r="R37" i="6"/>
  <c r="Q37" i="6"/>
  <c r="N37" i="6"/>
  <c r="S37" i="6" s="1"/>
  <c r="M37" i="6"/>
  <c r="L37" i="6"/>
  <c r="K37" i="6"/>
  <c r="J37" i="6"/>
  <c r="Z37" i="6" s="1"/>
  <c r="I37" i="6"/>
  <c r="H37" i="6"/>
  <c r="P37" i="6" s="1"/>
  <c r="G37" i="6"/>
  <c r="E37" i="6"/>
  <c r="W36" i="6"/>
  <c r="S36" i="6"/>
  <c r="R36" i="6"/>
  <c r="N36" i="6"/>
  <c r="M36" i="6"/>
  <c r="L36" i="6"/>
  <c r="Q36" i="6" s="1"/>
  <c r="K36" i="6"/>
  <c r="P36" i="6" s="1"/>
  <c r="J36" i="6"/>
  <c r="I36" i="6"/>
  <c r="H36" i="6"/>
  <c r="G36" i="6"/>
  <c r="E36" i="6"/>
  <c r="W35" i="6"/>
  <c r="Q35" i="6"/>
  <c r="N35" i="6"/>
  <c r="S35" i="6" s="1"/>
  <c r="M35" i="6"/>
  <c r="L35" i="6"/>
  <c r="K35" i="6"/>
  <c r="J35" i="6"/>
  <c r="I35" i="6"/>
  <c r="H35" i="6"/>
  <c r="R35" i="6" s="1"/>
  <c r="G35" i="6"/>
  <c r="E35" i="6"/>
  <c r="W34" i="6"/>
  <c r="P34" i="6"/>
  <c r="N34" i="6"/>
  <c r="M34" i="6"/>
  <c r="L34" i="6"/>
  <c r="Q34" i="6" s="1"/>
  <c r="K34" i="6"/>
  <c r="J34" i="6"/>
  <c r="I34" i="6"/>
  <c r="H34" i="6"/>
  <c r="G34" i="6"/>
  <c r="E34" i="6"/>
  <c r="W33" i="6"/>
  <c r="Q33" i="6"/>
  <c r="N33" i="6"/>
  <c r="M33" i="6"/>
  <c r="L33" i="6"/>
  <c r="K33" i="6"/>
  <c r="J33" i="6"/>
  <c r="Z33" i="6" s="1"/>
  <c r="I33" i="6"/>
  <c r="H33" i="6"/>
  <c r="P33" i="6" s="1"/>
  <c r="G33" i="6"/>
  <c r="E33" i="6"/>
  <c r="Z32" i="6"/>
  <c r="W32" i="6"/>
  <c r="P32" i="6"/>
  <c r="N32" i="6"/>
  <c r="M32" i="6"/>
  <c r="L32" i="6"/>
  <c r="K32" i="6"/>
  <c r="J32" i="6"/>
  <c r="I32" i="6"/>
  <c r="H32" i="6"/>
  <c r="G32" i="6"/>
  <c r="E32" i="6"/>
  <c r="W31" i="6"/>
  <c r="O31" i="6"/>
  <c r="T31" i="6" s="1"/>
  <c r="U31" i="6" s="1"/>
  <c r="V31" i="6" s="1"/>
  <c r="N31" i="6"/>
  <c r="S31" i="6" s="1"/>
  <c r="M31" i="6"/>
  <c r="R31" i="6" s="1"/>
  <c r="L31" i="6"/>
  <c r="Q31" i="6" s="1"/>
  <c r="K31" i="6"/>
  <c r="P31" i="6" s="1"/>
  <c r="J31" i="6"/>
  <c r="I31" i="6"/>
  <c r="H31" i="6"/>
  <c r="G31" i="6"/>
  <c r="E31" i="6"/>
  <c r="W30" i="6"/>
  <c r="N30" i="6"/>
  <c r="M30" i="6"/>
  <c r="L30" i="6"/>
  <c r="K30" i="6"/>
  <c r="P30" i="6" s="1"/>
  <c r="J30" i="6"/>
  <c r="I30" i="6"/>
  <c r="H30" i="6"/>
  <c r="O30" i="6" s="1"/>
  <c r="G30" i="6"/>
  <c r="E30" i="6"/>
  <c r="W29" i="6"/>
  <c r="O29" i="6"/>
  <c r="T29" i="6" s="1"/>
  <c r="U29" i="6" s="1"/>
  <c r="V29" i="6" s="1"/>
  <c r="N29" i="6"/>
  <c r="S29" i="6" s="1"/>
  <c r="M29" i="6"/>
  <c r="R29" i="6" s="1"/>
  <c r="L29" i="6"/>
  <c r="Q29" i="6" s="1"/>
  <c r="K29" i="6"/>
  <c r="J29" i="6"/>
  <c r="Z29" i="6" s="1"/>
  <c r="I29" i="6"/>
  <c r="H29" i="6"/>
  <c r="P29" i="6" s="1"/>
  <c r="G29" i="6"/>
  <c r="E29" i="6"/>
  <c r="W28" i="6"/>
  <c r="R28" i="6"/>
  <c r="Q28" i="6"/>
  <c r="O28" i="6"/>
  <c r="N28" i="6"/>
  <c r="S28" i="6" s="1"/>
  <c r="M28" i="6"/>
  <c r="L28" i="6"/>
  <c r="K28" i="6"/>
  <c r="P28" i="6" s="1"/>
  <c r="J28" i="6"/>
  <c r="I28" i="6"/>
  <c r="H28" i="6"/>
  <c r="G28" i="6"/>
  <c r="E28" i="6"/>
  <c r="W27" i="6"/>
  <c r="R27" i="6"/>
  <c r="N27" i="6"/>
  <c r="S27" i="6" s="1"/>
  <c r="M27" i="6"/>
  <c r="L27" i="6"/>
  <c r="Q27" i="6" s="1"/>
  <c r="K27" i="6"/>
  <c r="P27" i="6" s="1"/>
  <c r="J27" i="6"/>
  <c r="I27" i="6"/>
  <c r="H27" i="6"/>
  <c r="G27" i="6"/>
  <c r="E27" i="6"/>
  <c r="W26" i="6"/>
  <c r="Q26" i="6"/>
  <c r="N26" i="6"/>
  <c r="S26" i="6" s="1"/>
  <c r="M26" i="6"/>
  <c r="R26" i="6" s="1"/>
  <c r="L26" i="6"/>
  <c r="K26" i="6"/>
  <c r="J26" i="6"/>
  <c r="I26" i="6"/>
  <c r="H26" i="6"/>
  <c r="P26" i="6" s="1"/>
  <c r="G26" i="6"/>
  <c r="E26" i="6"/>
  <c r="Z25" i="6"/>
  <c r="W25" i="6"/>
  <c r="S25" i="6"/>
  <c r="R25" i="6"/>
  <c r="N25" i="6"/>
  <c r="M25" i="6"/>
  <c r="L25" i="6"/>
  <c r="Q25" i="6" s="1"/>
  <c r="K25" i="6"/>
  <c r="P25" i="6" s="1"/>
  <c r="J25" i="6"/>
  <c r="O25" i="6" s="1"/>
  <c r="I25" i="6"/>
  <c r="H25" i="6"/>
  <c r="G25" i="6"/>
  <c r="E25" i="6"/>
  <c r="W24" i="6"/>
  <c r="Q24" i="6"/>
  <c r="N24" i="6"/>
  <c r="S24" i="6" s="1"/>
  <c r="M24" i="6"/>
  <c r="R24" i="6" s="1"/>
  <c r="L24" i="6"/>
  <c r="K24" i="6"/>
  <c r="J24" i="6"/>
  <c r="I24" i="6"/>
  <c r="H24" i="6"/>
  <c r="P24" i="6" s="1"/>
  <c r="G24" i="6"/>
  <c r="E24" i="6"/>
  <c r="W23" i="6"/>
  <c r="N23" i="6"/>
  <c r="M23" i="6"/>
  <c r="L23" i="6"/>
  <c r="Q23" i="6" s="1"/>
  <c r="K23" i="6"/>
  <c r="J23" i="6"/>
  <c r="O23" i="6" s="1"/>
  <c r="I23" i="6"/>
  <c r="H23" i="6"/>
  <c r="S23" i="6" s="1"/>
  <c r="G23" i="6"/>
  <c r="E23" i="6"/>
  <c r="W22" i="6"/>
  <c r="P22" i="6"/>
  <c r="N22" i="6"/>
  <c r="M22" i="6"/>
  <c r="L22" i="6"/>
  <c r="K22" i="6"/>
  <c r="J22" i="6"/>
  <c r="Z22" i="6" s="1"/>
  <c r="I22" i="6"/>
  <c r="H22" i="6"/>
  <c r="O22" i="6" s="1"/>
  <c r="G22" i="6"/>
  <c r="E22" i="6"/>
  <c r="W21" i="6"/>
  <c r="S21" i="6"/>
  <c r="R21" i="6"/>
  <c r="Q21" i="6"/>
  <c r="N21" i="6"/>
  <c r="M21" i="6"/>
  <c r="L21" i="6"/>
  <c r="K21" i="6"/>
  <c r="P21" i="6" s="1"/>
  <c r="J21" i="6"/>
  <c r="O21" i="6" s="1"/>
  <c r="I21" i="6"/>
  <c r="H21" i="6"/>
  <c r="G21" i="6"/>
  <c r="E21" i="6"/>
  <c r="W20" i="6"/>
  <c r="R20" i="6"/>
  <c r="Q20" i="6"/>
  <c r="O20" i="6"/>
  <c r="N20" i="6"/>
  <c r="S20" i="6" s="1"/>
  <c r="M20" i="6"/>
  <c r="L20" i="6"/>
  <c r="K20" i="6"/>
  <c r="J20" i="6"/>
  <c r="I20" i="6"/>
  <c r="H20" i="6"/>
  <c r="P20" i="6" s="1"/>
  <c r="G20" i="6"/>
  <c r="E20" i="6"/>
  <c r="W19" i="6"/>
  <c r="S19" i="6"/>
  <c r="O19" i="6"/>
  <c r="N19" i="6"/>
  <c r="M19" i="6"/>
  <c r="R19" i="6" s="1"/>
  <c r="L19" i="6"/>
  <c r="Q19" i="6" s="1"/>
  <c r="K19" i="6"/>
  <c r="P19" i="6" s="1"/>
  <c r="T19" i="6" s="1"/>
  <c r="U19" i="6" s="1"/>
  <c r="V19" i="6" s="1"/>
  <c r="J19" i="6"/>
  <c r="I19" i="6"/>
  <c r="H19" i="6"/>
  <c r="G19" i="6"/>
  <c r="E19" i="6"/>
  <c r="W18" i="6"/>
  <c r="P18" i="6"/>
  <c r="N18" i="6"/>
  <c r="M18" i="6"/>
  <c r="L18" i="6"/>
  <c r="K18" i="6"/>
  <c r="J18" i="6"/>
  <c r="O18" i="6" s="1"/>
  <c r="I18" i="6"/>
  <c r="H18" i="6"/>
  <c r="G18" i="6"/>
  <c r="E18" i="6"/>
  <c r="W17" i="6"/>
  <c r="Q17" i="6"/>
  <c r="N17" i="6"/>
  <c r="S17" i="6" s="1"/>
  <c r="M17" i="6"/>
  <c r="R17" i="6" s="1"/>
  <c r="L17" i="6"/>
  <c r="K17" i="6"/>
  <c r="J17" i="6"/>
  <c r="I17" i="6"/>
  <c r="H17" i="6"/>
  <c r="P17" i="6" s="1"/>
  <c r="G17" i="6"/>
  <c r="E17" i="6"/>
  <c r="W16" i="6"/>
  <c r="S16" i="6"/>
  <c r="R16" i="6"/>
  <c r="N16" i="6"/>
  <c r="M16" i="6"/>
  <c r="L16" i="6"/>
  <c r="Q16" i="6" s="1"/>
  <c r="K16" i="6"/>
  <c r="P16" i="6" s="1"/>
  <c r="J16" i="6"/>
  <c r="O16" i="6" s="1"/>
  <c r="I16" i="6"/>
  <c r="H16" i="6"/>
  <c r="G16" i="6"/>
  <c r="E16" i="6"/>
  <c r="W15" i="6"/>
  <c r="R15" i="6"/>
  <c r="Q15" i="6"/>
  <c r="N15" i="6"/>
  <c r="M15" i="6"/>
  <c r="L15" i="6"/>
  <c r="K15" i="6"/>
  <c r="J15" i="6"/>
  <c r="Z15" i="6" s="1"/>
  <c r="I15" i="6"/>
  <c r="H15" i="6"/>
  <c r="P15" i="6" s="1"/>
  <c r="G15" i="6"/>
  <c r="E15" i="6"/>
  <c r="W14" i="6"/>
  <c r="Q14" i="6"/>
  <c r="O14" i="6"/>
  <c r="N14" i="6"/>
  <c r="S14" i="6" s="1"/>
  <c r="M14" i="6"/>
  <c r="R14" i="6" s="1"/>
  <c r="L14" i="6"/>
  <c r="K14" i="6"/>
  <c r="P14" i="6" s="1"/>
  <c r="J14" i="6"/>
  <c r="Z14" i="6" s="1"/>
  <c r="I14" i="6"/>
  <c r="H14" i="6"/>
  <c r="G14" i="6"/>
  <c r="E14" i="6"/>
  <c r="W13" i="6"/>
  <c r="S13" i="6"/>
  <c r="N13" i="6"/>
  <c r="M13" i="6"/>
  <c r="L13" i="6"/>
  <c r="Q13" i="6" s="1"/>
  <c r="K13" i="6"/>
  <c r="P13" i="6" s="1"/>
  <c r="J13" i="6"/>
  <c r="Z13" i="6" s="1"/>
  <c r="I13" i="6"/>
  <c r="H13" i="6"/>
  <c r="R13" i="6" s="1"/>
  <c r="G13" i="6"/>
  <c r="E13" i="6"/>
  <c r="W12" i="6"/>
  <c r="N12" i="6"/>
  <c r="M12" i="6"/>
  <c r="R12" i="6" s="1"/>
  <c r="L12" i="6"/>
  <c r="K12" i="6"/>
  <c r="J12" i="6"/>
  <c r="Z12" i="6" s="1"/>
  <c r="I12" i="6"/>
  <c r="H12" i="6"/>
  <c r="O12" i="6" s="1"/>
  <c r="G12" i="6"/>
  <c r="E12" i="6"/>
  <c r="W11" i="6"/>
  <c r="N11" i="6"/>
  <c r="S11" i="6" s="1"/>
  <c r="M11" i="6"/>
  <c r="R11" i="6" s="1"/>
  <c r="L11" i="6"/>
  <c r="Q11" i="6" s="1"/>
  <c r="K11" i="6"/>
  <c r="J11" i="6"/>
  <c r="Z11" i="6" s="1"/>
  <c r="I11" i="6"/>
  <c r="H11" i="6"/>
  <c r="P11" i="6" s="1"/>
  <c r="G11" i="6"/>
  <c r="E11" i="6"/>
  <c r="W10" i="6"/>
  <c r="S10" i="6"/>
  <c r="R10" i="6"/>
  <c r="N10" i="6"/>
  <c r="M10" i="6"/>
  <c r="L10" i="6"/>
  <c r="K10" i="6"/>
  <c r="P10" i="6" s="1"/>
  <c r="J10" i="6"/>
  <c r="O10" i="6" s="1"/>
  <c r="T10" i="6" s="1"/>
  <c r="U10" i="6" s="1"/>
  <c r="V10" i="6" s="1"/>
  <c r="I10" i="6"/>
  <c r="H10" i="6"/>
  <c r="Q10" i="6" s="1"/>
  <c r="G10" i="6"/>
  <c r="E10" i="6"/>
  <c r="W9" i="6"/>
  <c r="O9" i="6"/>
  <c r="N9" i="6"/>
  <c r="S9" i="6" s="1"/>
  <c r="M9" i="6"/>
  <c r="L9" i="6"/>
  <c r="Q9" i="6" s="1"/>
  <c r="K9" i="6"/>
  <c r="J9" i="6"/>
  <c r="Z9" i="6" s="1"/>
  <c r="I9" i="6"/>
  <c r="H9" i="6"/>
  <c r="P9" i="6" s="1"/>
  <c r="G9" i="6"/>
  <c r="E9" i="6"/>
  <c r="W8" i="6"/>
  <c r="S8" i="6"/>
  <c r="O8" i="6"/>
  <c r="N8" i="6"/>
  <c r="M8" i="6"/>
  <c r="R8" i="6" s="1"/>
  <c r="L8" i="6"/>
  <c r="Q8" i="6" s="1"/>
  <c r="K8" i="6"/>
  <c r="P8" i="6" s="1"/>
  <c r="J8" i="6"/>
  <c r="Z8" i="6" s="1"/>
  <c r="I8" i="6"/>
  <c r="H8" i="6"/>
  <c r="G8" i="6"/>
  <c r="E8" i="6"/>
  <c r="W7" i="6"/>
  <c r="R7" i="6"/>
  <c r="Q7" i="6"/>
  <c r="N7" i="6"/>
  <c r="S7" i="6" s="1"/>
  <c r="M7" i="6"/>
  <c r="L7" i="6"/>
  <c r="K7" i="6"/>
  <c r="J7" i="6"/>
  <c r="O7" i="6" s="1"/>
  <c r="I7" i="6"/>
  <c r="H7" i="6"/>
  <c r="P7" i="6" s="1"/>
  <c r="G7" i="6"/>
  <c r="E7" i="6"/>
  <c r="W6" i="6"/>
  <c r="Q6" i="6"/>
  <c r="O6" i="6"/>
  <c r="N6" i="6"/>
  <c r="S6" i="6" s="1"/>
  <c r="M6" i="6"/>
  <c r="R6" i="6" s="1"/>
  <c r="L6" i="6"/>
  <c r="K6" i="6"/>
  <c r="P6" i="6" s="1"/>
  <c r="J6" i="6"/>
  <c r="Z6" i="6" s="1"/>
  <c r="I6" i="6"/>
  <c r="H6" i="6"/>
  <c r="G6" i="6"/>
  <c r="E6" i="6"/>
  <c r="E15" i="4"/>
  <c r="D15" i="4"/>
  <c r="C15" i="4"/>
  <c r="B15" i="4"/>
  <c r="E14" i="4"/>
  <c r="D14" i="4"/>
  <c r="B14" i="4"/>
  <c r="C14" i="4" s="1"/>
  <c r="E13" i="4"/>
  <c r="D13" i="4"/>
  <c r="C13" i="4"/>
  <c r="B13" i="4"/>
  <c r="E12" i="4"/>
  <c r="D12" i="4"/>
  <c r="B12" i="4"/>
  <c r="C12" i="4" s="1"/>
  <c r="E11" i="4"/>
  <c r="D11" i="4"/>
  <c r="C11" i="4"/>
  <c r="B11" i="4"/>
  <c r="E10" i="4"/>
  <c r="D10" i="4"/>
  <c r="B10" i="4"/>
  <c r="C10" i="4" s="1"/>
  <c r="E9" i="4"/>
  <c r="D9" i="4"/>
  <c r="C9" i="4"/>
  <c r="B9" i="4"/>
  <c r="E8" i="4"/>
  <c r="D8" i="4"/>
  <c r="B8" i="4"/>
  <c r="C8" i="4" s="1"/>
  <c r="E7" i="4"/>
  <c r="D7" i="4"/>
  <c r="C7" i="4"/>
  <c r="B7" i="4"/>
  <c r="E6" i="4"/>
  <c r="D6" i="4"/>
  <c r="B6" i="4"/>
  <c r="C6" i="4" s="1"/>
  <c r="T7" i="6" l="1"/>
  <c r="U7" i="6" s="1"/>
  <c r="V7" i="6" s="1"/>
  <c r="Y31" i="6"/>
  <c r="X31" i="6"/>
  <c r="Y42" i="6"/>
  <c r="X42" i="6"/>
  <c r="T6" i="6"/>
  <c r="U6" i="6" s="1"/>
  <c r="V6" i="6" s="1"/>
  <c r="Y19" i="6"/>
  <c r="X19" i="6"/>
  <c r="Y10" i="6"/>
  <c r="X10" i="6"/>
  <c r="T14" i="6"/>
  <c r="U14" i="6" s="1"/>
  <c r="V14" i="6" s="1"/>
  <c r="Y29" i="6"/>
  <c r="X29" i="6"/>
  <c r="X44" i="6"/>
  <c r="Y44" i="6"/>
  <c r="T8" i="6"/>
  <c r="U8" i="6" s="1"/>
  <c r="V8" i="6" s="1"/>
  <c r="Q12" i="6"/>
  <c r="T23" i="6"/>
  <c r="U23" i="6" s="1"/>
  <c r="V23" i="6" s="1"/>
  <c r="Z56" i="6"/>
  <c r="O11" i="6"/>
  <c r="T11" i="6" s="1"/>
  <c r="U11" i="6" s="1"/>
  <c r="V11" i="6" s="1"/>
  <c r="S15" i="6"/>
  <c r="Z17" i="6"/>
  <c r="Z23" i="6"/>
  <c r="Z28" i="6"/>
  <c r="S32" i="6"/>
  <c r="R32" i="6"/>
  <c r="Q32" i="6"/>
  <c r="X40" i="6"/>
  <c r="S43" i="6"/>
  <c r="R43" i="6"/>
  <c r="Q43" i="6"/>
  <c r="T59" i="6"/>
  <c r="U59" i="6" s="1"/>
  <c r="V59" i="6" s="1"/>
  <c r="Z60" i="6"/>
  <c r="O60" i="6"/>
  <c r="T60" i="6" s="1"/>
  <c r="U60" i="6" s="1"/>
  <c r="V60" i="6" s="1"/>
  <c r="T64" i="6"/>
  <c r="U64" i="6" s="1"/>
  <c r="V64" i="6" s="1"/>
  <c r="O67" i="6"/>
  <c r="J71" i="6"/>
  <c r="I71" i="6"/>
  <c r="N71" i="6"/>
  <c r="S71" i="6" s="1"/>
  <c r="W71" i="6"/>
  <c r="M71" i="6"/>
  <c r="R71" i="6" s="1"/>
  <c r="L71" i="6"/>
  <c r="Q71" i="6" s="1"/>
  <c r="K71" i="6"/>
  <c r="P71" i="6" s="1"/>
  <c r="Z57" i="6"/>
  <c r="R57" i="6"/>
  <c r="R9" i="6"/>
  <c r="T9" i="6" s="1"/>
  <c r="U9" i="6" s="1"/>
  <c r="V9" i="6" s="1"/>
  <c r="S12" i="6"/>
  <c r="T16" i="6"/>
  <c r="U16" i="6" s="1"/>
  <c r="V16" i="6" s="1"/>
  <c r="T21" i="6"/>
  <c r="U21" i="6" s="1"/>
  <c r="V21" i="6" s="1"/>
  <c r="R46" i="6"/>
  <c r="Z46" i="6"/>
  <c r="Y62" i="6"/>
  <c r="X62" i="6"/>
  <c r="O68" i="6"/>
  <c r="Z68" i="6"/>
  <c r="T76" i="6"/>
  <c r="U76" i="6" s="1"/>
  <c r="V76" i="6" s="1"/>
  <c r="T79" i="6"/>
  <c r="U79" i="6" s="1"/>
  <c r="V79" i="6" s="1"/>
  <c r="Z7" i="6"/>
  <c r="O13" i="6"/>
  <c r="T13" i="6" s="1"/>
  <c r="U13" i="6" s="1"/>
  <c r="V13" i="6" s="1"/>
  <c r="T25" i="6"/>
  <c r="U25" i="6" s="1"/>
  <c r="V25" i="6" s="1"/>
  <c r="O32" i="6"/>
  <c r="Z36" i="6"/>
  <c r="O36" i="6"/>
  <c r="T36" i="6" s="1"/>
  <c r="U36" i="6" s="1"/>
  <c r="V36" i="6" s="1"/>
  <c r="O43" i="6"/>
  <c r="Z47" i="6"/>
  <c r="O47" i="6"/>
  <c r="T47" i="6" s="1"/>
  <c r="U47" i="6" s="1"/>
  <c r="V47" i="6" s="1"/>
  <c r="R61" i="6"/>
  <c r="Q61" i="6"/>
  <c r="P61" i="6"/>
  <c r="T61" i="6" s="1"/>
  <c r="U61" i="6" s="1"/>
  <c r="V61" i="6" s="1"/>
  <c r="Z62" i="6"/>
  <c r="T65" i="6"/>
  <c r="U65" i="6" s="1"/>
  <c r="V65" i="6" s="1"/>
  <c r="Z10" i="6"/>
  <c r="T20" i="6"/>
  <c r="U20" i="6" s="1"/>
  <c r="V20" i="6" s="1"/>
  <c r="P73" i="6"/>
  <c r="Z73" i="6"/>
  <c r="Z16" i="6"/>
  <c r="Q22" i="6"/>
  <c r="T22" i="6" s="1"/>
  <c r="U22" i="6" s="1"/>
  <c r="V22" i="6" s="1"/>
  <c r="R30" i="6"/>
  <c r="Q30" i="6"/>
  <c r="T30" i="6" s="1"/>
  <c r="U30" i="6" s="1"/>
  <c r="V30" i="6" s="1"/>
  <c r="S41" i="6"/>
  <c r="R41" i="6"/>
  <c r="Q41" i="6"/>
  <c r="O49" i="6"/>
  <c r="T49" i="6" s="1"/>
  <c r="U49" i="6" s="1"/>
  <c r="V49" i="6" s="1"/>
  <c r="Z49" i="6"/>
  <c r="Y51" i="6"/>
  <c r="X51" i="6"/>
  <c r="Y52" i="6"/>
  <c r="S54" i="6"/>
  <c r="R54" i="6"/>
  <c r="Q54" i="6"/>
  <c r="Z59" i="6"/>
  <c r="Z64" i="6"/>
  <c r="P65" i="6"/>
  <c r="Z65" i="6"/>
  <c r="Y56" i="6"/>
  <c r="X56" i="6"/>
  <c r="O15" i="6"/>
  <c r="T15" i="6" s="1"/>
  <c r="U15" i="6" s="1"/>
  <c r="V15" i="6" s="1"/>
  <c r="S18" i="6"/>
  <c r="R18" i="6"/>
  <c r="Q18" i="6"/>
  <c r="T18" i="6" s="1"/>
  <c r="U18" i="6" s="1"/>
  <c r="V18" i="6" s="1"/>
  <c r="Z20" i="6"/>
  <c r="Z21" i="6"/>
  <c r="R22" i="6"/>
  <c r="P23" i="6"/>
  <c r="Z27" i="6"/>
  <c r="O27" i="6"/>
  <c r="T27" i="6" s="1"/>
  <c r="U27" i="6" s="1"/>
  <c r="V27" i="6" s="1"/>
  <c r="S30" i="6"/>
  <c r="Z31" i="6"/>
  <c r="R33" i="6"/>
  <c r="O37" i="6"/>
  <c r="T37" i="6" s="1"/>
  <c r="U37" i="6" s="1"/>
  <c r="V37" i="6" s="1"/>
  <c r="T72" i="6"/>
  <c r="U72" i="6" s="1"/>
  <c r="V72" i="6" s="1"/>
  <c r="S75" i="6"/>
  <c r="R75" i="6"/>
  <c r="Q75" i="6"/>
  <c r="P75" i="6"/>
  <c r="T75" i="6" s="1"/>
  <c r="U75" i="6" s="1"/>
  <c r="V75" i="6" s="1"/>
  <c r="Z76" i="6"/>
  <c r="R78" i="6"/>
  <c r="P12" i="6"/>
  <c r="T12" i="6" s="1"/>
  <c r="U12" i="6" s="1"/>
  <c r="V12" i="6" s="1"/>
  <c r="T73" i="6"/>
  <c r="U73" i="6" s="1"/>
  <c r="V73" i="6" s="1"/>
  <c r="Z19" i="6"/>
  <c r="S22" i="6"/>
  <c r="R23" i="6"/>
  <c r="Z24" i="6"/>
  <c r="T28" i="6"/>
  <c r="U28" i="6" s="1"/>
  <c r="V28" i="6" s="1"/>
  <c r="Z30" i="6"/>
  <c r="S33" i="6"/>
  <c r="O34" i="6"/>
  <c r="S34" i="6"/>
  <c r="Z35" i="6"/>
  <c r="Z38" i="6"/>
  <c r="O38" i="6"/>
  <c r="T38" i="6" s="1"/>
  <c r="U38" i="6" s="1"/>
  <c r="V38" i="6" s="1"/>
  <c r="Z41" i="6"/>
  <c r="O54" i="6"/>
  <c r="T54" i="6" s="1"/>
  <c r="U54" i="6" s="1"/>
  <c r="V54" i="6" s="1"/>
  <c r="Q55" i="6"/>
  <c r="Z55" i="6"/>
  <c r="T58" i="6"/>
  <c r="U58" i="6" s="1"/>
  <c r="V58" i="6" s="1"/>
  <c r="P63" i="6"/>
  <c r="T63" i="6" s="1"/>
  <c r="U63" i="6" s="1"/>
  <c r="V63" i="6" s="1"/>
  <c r="O17" i="6"/>
  <c r="T17" i="6" s="1"/>
  <c r="U17" i="6" s="1"/>
  <c r="V17" i="6" s="1"/>
  <c r="Z18" i="6"/>
  <c r="O24" i="6"/>
  <c r="T24" i="6" s="1"/>
  <c r="U24" i="6" s="1"/>
  <c r="V24" i="6" s="1"/>
  <c r="O26" i="6"/>
  <c r="T26" i="6" s="1"/>
  <c r="U26" i="6" s="1"/>
  <c r="V26" i="6" s="1"/>
  <c r="Z34" i="6"/>
  <c r="O35" i="6"/>
  <c r="O46" i="6"/>
  <c r="P48" i="6"/>
  <c r="T48" i="6" s="1"/>
  <c r="U48" i="6" s="1"/>
  <c r="V48" i="6" s="1"/>
  <c r="P50" i="6"/>
  <c r="T50" i="6" s="1"/>
  <c r="U50" i="6" s="1"/>
  <c r="V50" i="6" s="1"/>
  <c r="S53" i="6"/>
  <c r="P57" i="6"/>
  <c r="P59" i="6"/>
  <c r="O78" i="6"/>
  <c r="T78" i="6" s="1"/>
  <c r="U78" i="6" s="1"/>
  <c r="V78" i="6" s="1"/>
  <c r="P35" i="6"/>
  <c r="O41" i="6"/>
  <c r="T41" i="6" s="1"/>
  <c r="U41" i="6" s="1"/>
  <c r="V41" i="6" s="1"/>
  <c r="P46" i="6"/>
  <c r="O53" i="6"/>
  <c r="T53" i="6" s="1"/>
  <c r="U53" i="6" s="1"/>
  <c r="V53" i="6" s="1"/>
  <c r="O55" i="6"/>
  <c r="Z63" i="6"/>
  <c r="O70" i="6"/>
  <c r="T70" i="6" s="1"/>
  <c r="U70" i="6" s="1"/>
  <c r="V70" i="6" s="1"/>
  <c r="Z50" i="6"/>
  <c r="S69" i="6"/>
  <c r="T77" i="6"/>
  <c r="U77" i="6" s="1"/>
  <c r="V77" i="6" s="1"/>
  <c r="Z26" i="6"/>
  <c r="R34" i="6"/>
  <c r="S45" i="6"/>
  <c r="T45" i="6" s="1"/>
  <c r="U45" i="6" s="1"/>
  <c r="V45" i="6" s="1"/>
  <c r="O57" i="6"/>
  <c r="T57" i="6" s="1"/>
  <c r="U57" i="6" s="1"/>
  <c r="V57" i="6" s="1"/>
  <c r="Q63" i="6"/>
  <c r="K66" i="6"/>
  <c r="P66" i="6" s="1"/>
  <c r="J66" i="6"/>
  <c r="N68" i="6"/>
  <c r="S68" i="6" s="1"/>
  <c r="O69" i="6"/>
  <c r="S74" i="6"/>
  <c r="P77" i="6"/>
  <c r="Z79" i="6"/>
  <c r="O33" i="6"/>
  <c r="Q39" i="6"/>
  <c r="T39" i="6" s="1"/>
  <c r="U39" i="6" s="1"/>
  <c r="V39" i="6" s="1"/>
  <c r="R63" i="6"/>
  <c r="L69" i="6"/>
  <c r="Q69" i="6" s="1"/>
  <c r="K69" i="6"/>
  <c r="P69" i="6" s="1"/>
  <c r="O74" i="6"/>
  <c r="T74" i="6" s="1"/>
  <c r="U74" i="6" s="1"/>
  <c r="V74" i="6" s="1"/>
  <c r="Z42" i="6"/>
  <c r="R50" i="6"/>
  <c r="S61" i="6"/>
  <c r="M67" i="6"/>
  <c r="R67" i="6" s="1"/>
  <c r="Y39" i="6" l="1"/>
  <c r="X39" i="6"/>
  <c r="X12" i="6"/>
  <c r="Y12" i="6"/>
  <c r="Y9" i="6"/>
  <c r="X9" i="6"/>
  <c r="Y61" i="6"/>
  <c r="X61" i="6"/>
  <c r="Y18" i="6"/>
  <c r="M8" i="2" s="1"/>
  <c r="X18" i="6"/>
  <c r="Y30" i="6"/>
  <c r="X30" i="6"/>
  <c r="X75" i="6"/>
  <c r="Y75" i="6"/>
  <c r="X22" i="6"/>
  <c r="Y22" i="6"/>
  <c r="O8" i="2" s="1"/>
  <c r="Y45" i="6"/>
  <c r="N12" i="2" s="1"/>
  <c r="X45" i="6"/>
  <c r="Y50" i="6"/>
  <c r="N13" i="2" s="1"/>
  <c r="X50" i="6"/>
  <c r="Y48" i="6"/>
  <c r="X48" i="6"/>
  <c r="Y63" i="6"/>
  <c r="X63" i="6"/>
  <c r="X36" i="6"/>
  <c r="Y36" i="6"/>
  <c r="Y77" i="6"/>
  <c r="X77" i="6"/>
  <c r="Y6" i="6"/>
  <c r="X6" i="6"/>
  <c r="Z66" i="6"/>
  <c r="O66" i="6"/>
  <c r="T66" i="6" s="1"/>
  <c r="U66" i="6" s="1"/>
  <c r="V66" i="6" s="1"/>
  <c r="T35" i="6"/>
  <c r="U35" i="6" s="1"/>
  <c r="V35" i="6" s="1"/>
  <c r="T34" i="6"/>
  <c r="U34" i="6" s="1"/>
  <c r="V34" i="6" s="1"/>
  <c r="X73" i="6"/>
  <c r="Y73" i="6"/>
  <c r="T32" i="6"/>
  <c r="U32" i="6" s="1"/>
  <c r="V32" i="6" s="1"/>
  <c r="T68" i="6"/>
  <c r="U68" i="6" s="1"/>
  <c r="V68" i="6" s="1"/>
  <c r="Y72" i="6"/>
  <c r="X72" i="6"/>
  <c r="Y27" i="6"/>
  <c r="X27" i="6"/>
  <c r="Y49" i="6"/>
  <c r="X49" i="6"/>
  <c r="Y25" i="6"/>
  <c r="X25" i="6"/>
  <c r="N15" i="2"/>
  <c r="Z71" i="6"/>
  <c r="O71" i="6"/>
  <c r="T71" i="6" s="1"/>
  <c r="U71" i="6" s="1"/>
  <c r="V71" i="6" s="1"/>
  <c r="Y14" i="6"/>
  <c r="X14" i="6"/>
  <c r="T46" i="6"/>
  <c r="U46" i="6" s="1"/>
  <c r="V46" i="6" s="1"/>
  <c r="Y78" i="6"/>
  <c r="X78" i="6"/>
  <c r="Y70" i="6"/>
  <c r="X70" i="6"/>
  <c r="Y26" i="6"/>
  <c r="N9" i="2" s="1"/>
  <c r="X26" i="6"/>
  <c r="X54" i="6"/>
  <c r="Y54" i="6"/>
  <c r="Z69" i="6"/>
  <c r="Y15" i="6"/>
  <c r="X15" i="6"/>
  <c r="Y13" i="6"/>
  <c r="X13" i="6"/>
  <c r="T67" i="6"/>
  <c r="U67" i="6" s="1"/>
  <c r="V67" i="6" s="1"/>
  <c r="Y8" i="6"/>
  <c r="N6" i="2" s="1"/>
  <c r="X8" i="6"/>
  <c r="T69" i="6"/>
  <c r="U69" i="6" s="1"/>
  <c r="V69" i="6" s="1"/>
  <c r="X65" i="6"/>
  <c r="Y65" i="6"/>
  <c r="X41" i="6"/>
  <c r="Y41" i="6"/>
  <c r="O11" i="2" s="1"/>
  <c r="Y59" i="6"/>
  <c r="X59" i="6"/>
  <c r="Y57" i="6"/>
  <c r="X57" i="6"/>
  <c r="Y24" i="6"/>
  <c r="X24" i="6"/>
  <c r="X28" i="6"/>
  <c r="Y28" i="6"/>
  <c r="Y47" i="6"/>
  <c r="X47" i="6"/>
  <c r="Z67" i="6"/>
  <c r="O6" i="2"/>
  <c r="Y23" i="6"/>
  <c r="X23" i="6"/>
  <c r="T33" i="6"/>
  <c r="U33" i="6" s="1"/>
  <c r="V33" i="6" s="1"/>
  <c r="T55" i="6"/>
  <c r="U55" i="6" s="1"/>
  <c r="V55" i="6" s="1"/>
  <c r="Y38" i="6"/>
  <c r="X38" i="6"/>
  <c r="N14" i="2"/>
  <c r="Y20" i="6"/>
  <c r="X20" i="6"/>
  <c r="Y79" i="6"/>
  <c r="X79" i="6"/>
  <c r="Y64" i="6"/>
  <c r="O15" i="2" s="1"/>
  <c r="X64" i="6"/>
  <c r="Y11" i="6"/>
  <c r="X11" i="6"/>
  <c r="Y16" i="6"/>
  <c r="X16" i="6"/>
  <c r="Y58" i="6"/>
  <c r="O14" i="2" s="1"/>
  <c r="X58" i="6"/>
  <c r="Y74" i="6"/>
  <c r="N17" i="2" s="1"/>
  <c r="X74" i="6"/>
  <c r="Y53" i="6"/>
  <c r="X53" i="6"/>
  <c r="X17" i="6"/>
  <c r="Y17" i="6"/>
  <c r="Y37" i="6"/>
  <c r="X37" i="6"/>
  <c r="O13" i="2"/>
  <c r="T43" i="6"/>
  <c r="U43" i="6" s="1"/>
  <c r="V43" i="6" s="1"/>
  <c r="Y76" i="6"/>
  <c r="X76" i="6"/>
  <c r="X21" i="6"/>
  <c r="Y21" i="6"/>
  <c r="X60" i="6"/>
  <c r="Y60" i="6"/>
  <c r="X7" i="6"/>
  <c r="Y7" i="6"/>
  <c r="N8" i="2" l="1"/>
  <c r="Y69" i="6"/>
  <c r="X69" i="6"/>
  <c r="Y68" i="6"/>
  <c r="X68" i="6"/>
  <c r="Y66" i="6"/>
  <c r="X66" i="6"/>
  <c r="O7" i="2"/>
  <c r="O17" i="2"/>
  <c r="X32" i="6"/>
  <c r="Y32" i="6"/>
  <c r="M6" i="2"/>
  <c r="M13" i="2"/>
  <c r="M9" i="2"/>
  <c r="M17" i="2"/>
  <c r="X43" i="6"/>
  <c r="Y43" i="6"/>
  <c r="M12" i="2" s="1"/>
  <c r="N11" i="2"/>
  <c r="M14" i="2"/>
  <c r="Y46" i="6"/>
  <c r="O12" i="2" s="1"/>
  <c r="X46" i="6"/>
  <c r="M7" i="2"/>
  <c r="M10" i="2"/>
  <c r="Y55" i="6"/>
  <c r="X55" i="6"/>
  <c r="M15" i="2"/>
  <c r="X33" i="6"/>
  <c r="Y33" i="6"/>
  <c r="O9" i="2"/>
  <c r="Y67" i="6"/>
  <c r="X67" i="6"/>
  <c r="N7" i="2"/>
  <c r="X34" i="6"/>
  <c r="Y34" i="6"/>
  <c r="M11" i="2"/>
  <c r="Y71" i="6"/>
  <c r="O16" i="2" s="1"/>
  <c r="X71" i="6"/>
  <c r="Y35" i="6"/>
  <c r="X35" i="6"/>
  <c r="M16" i="2" l="1"/>
  <c r="N16" i="2"/>
  <c r="N10" i="2"/>
  <c r="O1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Aktualne ustalenia v2</author>
    <author>Analiza v2</author>
  </authors>
  <commentList>
    <comment ref="I6" authorId="0" shapeId="0" xr:uid="{00000000-0006-0000-0100-000001000000}">
      <text>
        <r>
          <rPr>
            <sz val="10"/>
            <rFont val="Arial"/>
            <family val="2"/>
          </rPr>
          <t>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U004 [AKTUALNE; PRZESTÓJ DO DOPRECYZOWANIA]: Poziom gracza=poziom Ratusza.
Ratusz nie zatrudnia pracowników.
U005 [AKTUALNE; PRZESTÓJ DO DOPRECYZOWANIA]: Pozostałe budynki mogą mieć najwyżej poziom Ratusza.
Podniesienie ratusza odblokowuje możliwość rozbudowy, nie wykonuje jej za gracza.
U006 [AKTUALNE; PRZESTÓJ DO DOPRECYZOWANIA]: Teoretyczny limit mieszkańców=24×poziom Ratusza.
PrzykładRatusz4→96;Ratusz6→144. To limit, nie automatyczna liczba osób.
U010 [POTWIERDZONE V2]: Limit każdego miejsca pracy=12×POZIOM TEGO BUDYNKU,ograniczony faktyczną pulą wolnych.
Drwale1:max12;Ratusz2bezdrwali2nicniezmienia;drwale2:max24.
U042 [DO UJEDNOLICENIA PO NOWEJ ZASADZIE]: Pracujący1moneta/h;bezrobotny i osoba w drodze0.
Nowo:blokada produkcji powoduje brak pracy. Podatek/+1przyblokadzie wymagają doprecyzowania.
U045 [AKTUALNE; PRZESTÓJ DO DOPRECYZOWANIA]: Dokładna średnia0%:brak zmian; dodatnia:przyrost;ujemna:ubytek.
Ubytek zawsze nazywamy odejściem,nie śmiercią.
U048 [AKTUALNE; PRZESTÓJ DO DOPRECYZOWANIA]: Co najmniej6osób; maksymalnie24×ratusz; przy minimum gra nadal grywalna.
Rozbudowa domu/ratusza nie dodaje ludzi natychmiast.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U063 [POTWIERDZONE V2]: Każdegoz6zasobów: Ratusz/Dom500L;Magazyn/Targ300L;Przystań400L.
Kolejka+10%całejceny.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U069 [POTWIERDZONE V2]: Ratusz i Dom:łącznie2T=Ttransportu+Tbudowy.
Zastępuje3T.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U090 [ZAAKCEPTOWANE]: Ratusz2→Magazyn2→Ratusz3→Magazyn3→Ratusz4 ze względu na miejsce na pełny koszt.
5000materiałów kosztuRatusza3 nie mieści się wMagazynie1(4000);7500Ratusza4nie wMagazynie2(6000).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Kolejka [NOWE]: Zakolejkowany budynek kosztuje o 10% więcej niż zlecony bez kolejki.
Pełny koszt z dopłatą musi być w chwili zamówienia i zostaje zarezerwowany; zakres dopłaty, zaokrąglenie i zwiększenie fizycznych dostaw wymagają jawnej interpretacji.
Budowy [POTWIERDZONE]: Ratusz L daje L aktywnych rozbudów i L pozycji kolejki; kolejka wymaga surowców już przy zlecaniu.
Dopłata +10% jest nowa; oferty premium zebrane osobno.
Postęp budowy [NOWE]: Panel pokazuje potrzebną i dostarczoną ilość każdego materiału, np. 60/100, oraz ETA transportu i budowy przy bieżących priorytetach.
Nie utożsamiać z ilością w magazynie: to postęp dostawy na budowę.
Czas [ZMIENIONE]: Łączny czas ratusza i domu wraca do 2T = przewóz T + budowa T.
Zastępuje 3T.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comment>
    <comment ref="M6" authorId="1" shapeId="0" xr:uid="{00000000-0006-0000-0100-00000D000000}">
      <text>
        <r>
          <rPr>
            <sz val="10"/>
            <rFont val="Arial"/>
            <family val="2"/>
          </rPr>
          <t>6tragarzy dostępnychdla tejbudowy,poziom magazynuL,gotowe materiały,pełnykurs5min;jedenrodzajnakurs. Bez zbierania,karmienia,prerekwizytówiczasuoczekiwania.</t>
        </r>
      </text>
    </comment>
    <comment ref="N6" authorId="1" shapeId="0" xr:uid="{00000000-0006-0000-0100-000019000000}">
      <text>
        <r>
          <rPr>
            <sz val="10"/>
            <rFont val="Arial"/>
            <family val="2"/>
          </rPr>
          <t>6tragarzy dostępnychdla tejbudowy,poziom magazynuL,gotowe materiały,pełnykurs5min;jedenrodzajnakurs. Bez zbierania,karmienia,prerekwizytówiczasuoczekiwania.</t>
        </r>
      </text>
    </comment>
    <comment ref="O6" authorId="1" shapeId="0" xr:uid="{00000000-0006-0000-0100-000025000000}">
      <text>
        <r>
          <rPr>
            <sz val="10"/>
            <rFont val="Arial"/>
            <family val="2"/>
          </rPr>
          <t>6tragarzy dostępnychdla tejbudowy,poziom magazynuL,gotowe materiały,pełnykurs5min;jedenrodzajnakurs. Bez zbierania,karmienia,prerekwizytówiczasuoczekiwania.</t>
        </r>
      </text>
    </comment>
    <comment ref="I7" authorId="0" shapeId="0" xr:uid="{00000000-0006-0000-0100-000002000000}">
      <text>
        <r>
          <rPr>
            <sz val="10"/>
            <rFont val="Arial"/>
            <family val="2"/>
          </rPr>
          <t>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U007 [AKTUALNE; PRZESTÓJ DO DOPRECYZOWANIA]: Dom daje24×swój poziom miejsc mieszkalnych.
Ratusz i Dom mają niezależne limity; Ratusz4,Dom3→limit96,miejsca72.
U008 [AKTUALNE; PRZESTÓJ DO DOPRECYZOWANIA]: PrzeludnienieU=max(0,P−24×poziom Domu). Każdej osobie naliczamy−Upp/h.
78osób/72miejsca→−6pp/h każdemu; kara sumuje się z innymi stawkami.
U009 [AKTUALNE; PRZESTÓJ DO DOPRECYZOWANIA]: Nowe miejsca po ukończeniu Domu zatrzymują przyszłą karę w pokrytym zakresie, bez zwracania utraconego szczęścia.
Nie ma natychmiastowego dodania ludzi po rozbudowie.
U010 [POTWIERDZONE V2]: Limit każdego miejsca pracy=12×POZIOM TEGO BUDYNKU,ograniczony faktyczną pulą wolnych.
Drwale1:max12;Ratusz2bezdrwali2nicniezmienia;drwale2:max24.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U063 [POTWIERDZONE V2]: Każdegoz6zasobów: Ratusz/Dom500L;Magazyn/Targ300L;Przystań400L.
Kolejka+10%całejceny.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U069 [POTWIERDZONE V2]: Ratusz i Dom:łącznie2T=Ttransportu+Tbudowy.
Zastępuje3T.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U089 [NOWE]: Dom ma dodatkowo powiadamiać o przeludnieniu.
Propozycja reagowania na zmianę stanu/liczbyosób,nie alarm co klatkę;częstotliwość przypomnień nieustalona.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Dom [NOWE]: Z panelu domu widać wszystkich ludzi i przydziały oraz można wysyłać do kaplicy lub latarni.
Na starcie 12 osób znajduje się w domu.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[ZMIENIONE]: Łączny czas ratusza i domu wraca do 2T = przewóz T + budowa T.
Zastępuje 3T.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Nowi ludzie [NOWE]: Przyrost populacji zawsze dodaje człowieka do domu.
Nie przypisuje go od razu do gospodarki. Maksimum ratusza, nie domu.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comment>
    <comment ref="M7" authorId="1" shapeId="0" xr:uid="{00000000-0006-0000-0100-00000E000000}">
      <text>
        <r>
          <rPr>
            <sz val="10"/>
            <rFont val="Arial"/>
            <family val="2"/>
          </rPr>
          <t>6tragarzy dostępnychdla tejbudowy,poziom magazynuL,gotowe materiały,pełnykurs5min;jedenrodzajnakurs. Bez zbierania,karmienia,prerekwizytówiczasuoczekiwania.</t>
        </r>
      </text>
    </comment>
    <comment ref="N7" authorId="1" shapeId="0" xr:uid="{00000000-0006-0000-0100-00001A000000}">
      <text>
        <r>
          <rPr>
            <sz val="10"/>
            <rFont val="Arial"/>
            <family val="2"/>
          </rPr>
          <t>6tragarzy dostępnychdla tejbudowy,poziom magazynuL,gotowe materiały,pełnykurs5min;jedenrodzajnakurs. Bez zbierania,karmienia,prerekwizytówiczasuoczekiwania.</t>
        </r>
      </text>
    </comment>
    <comment ref="O7" authorId="1" shapeId="0" xr:uid="{00000000-0006-0000-0100-000026000000}">
      <text>
        <r>
          <rPr>
            <sz val="10"/>
            <rFont val="Arial"/>
            <family val="2"/>
          </rPr>
          <t>6tragarzy dostępnychdla tejbudowy,poziom magazynuL,gotowe materiały,pełnykurs5min;jedenrodzajnakurs. Bez zbierania,karmienia,prerekwizytówiczasuoczekiwania.</t>
        </r>
      </text>
    </comment>
    <comment ref="I8" authorId="0" shapeId="0" xr:uid="{00000000-0006-0000-0100-000003000000}">
      <text>
        <r>
          <rPr>
            <sz val="10"/>
            <rFont val="Arial"/>
            <family val="2"/>
          </rPr>
          <t>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U016 [POTWIERDZONE W ROZMOWIE]: Produkcja/os./h według poziomu:10,12,13,14…;L1=10,L&gt;=2:L+10.
Głód×0.5;latarnia×2;całeosobnesztuki.
U017 [AKTUALNE; PRZESTÓJ DO DOPRECYZOWANIA]: Zwolnienie odrzuca niedokończoną część sztuki tego pracownika.
Gotowy towar pozostaje w lokalnym magazynie.
U018 [AKTUALNE; PRZESTÓJ DO DOPRECYZOWANIA]: Farma produkuje osobne zboże, nie gotową żywność.
Zboże wymaga przewozu centralnie przed zużyciem przez młyn.
U022 [AKTUALNE; PRZESTÓJ DO DOPRECYZOWANIA]: Pojemność bufora każdego producenta=200×poziom Ratusza.
Wcześniej uzgodniono zależność od ratusza; nie zmieniono jej na własny poziom producenta.
U023 [AKTUALNE; PRZESTÓJ DO DOPRECYZOWANIA]: Pełny bufor zatrzymuje produkcję i daje jego załodze−10szczęścia od razu.
To offset, nie−10pp na godzinę.
U024 [AKTUALNE; PRZESTÓJ DO DOPRECYZOWANIA]: Kolejne−10 co24h ciągłego zapełnienia, maksymalnie−50:−20po24h,−30po48h,−40po72h,−50po96h.
Po zwolnieniu miejsca ta osobna kara znika.
U025 [AKTUALNE; PRZESTÓJ DO DOPRECYZOWANIA / NOWE DLA PORTU]: Powiadomienie przy zapełnieniu magazynu/bufora, także głównego.
Nowy port ma mieć notyfikację pełnego magazynu; nie spam co klatkę.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U061 [AKTUALNE; PRZESTÓJ DO DOPRECYZOWANIA]: Norma240×obecny poziom/dobę. Koszt30%drewna,30%kamienia,50%własnego produktu.
72Ldrewna+72Lkamienia+120Lproduktu;nakładające się materiały sumujemy.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U091 [ROZSTRZYGNIĘTE V2]: Własny poziom producenta zwiększa limit12×L oraz wydajność10,12,13,14…
Ratusz nadalwarunkiem rozbudowy;lokalnypojemnik200×ratuszpozostaje.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Produkcja [POTWIERDZONE W ODPOWIEDZI]: Wydajność na osobę na poziomach 1,2,3,4: dokładnie 10,12,13,14 szt./h.
Wybrany ciąg zastępuje ogólny sprzeczny zapis +10%; po poziomie 2 wzrost o 1 na poziom.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comment>
    <comment ref="M8" authorId="1" shapeId="0" xr:uid="{00000000-0006-0000-0100-00000F000000}">
      <text>
        <r>
          <rPr>
            <sz val="10"/>
            <rFont val="Arial"/>
            <family val="2"/>
          </rPr>
          <t>6tragarzy dostępnychdla tejbudowy,poziom magazynuL,gotowe materiały,pełnykurs5min;jedenrodzajnakurs. Bez zbierania,karmienia,prerekwizytówiczasuoczekiwania.</t>
        </r>
      </text>
    </comment>
    <comment ref="N8" authorId="1" shapeId="0" xr:uid="{00000000-0006-0000-0100-00001B000000}">
      <text>
        <r>
          <rPr>
            <sz val="10"/>
            <rFont val="Arial"/>
            <family val="2"/>
          </rPr>
          <t>6tragarzy dostępnychdla tejbudowy,poziom magazynuL,gotowe materiały,pełnykurs5min;jedenrodzajnakurs. Bez zbierania,karmienia,prerekwizytówiczasuoczekiwania.</t>
        </r>
      </text>
    </comment>
    <comment ref="O8" authorId="1" shapeId="0" xr:uid="{00000000-0006-0000-0100-000027000000}">
      <text>
        <r>
          <rPr>
            <sz val="10"/>
            <rFont val="Arial"/>
            <family val="2"/>
          </rPr>
          <t>6tragarzy dostępnychdla tejbudowy,poziom magazynuL,gotowe materiały,pełnykurs5min;jedenrodzajnakurs. Bez zbierania,karmienia,prerekwizytówiczasuoczekiwania.</t>
        </r>
      </text>
    </comment>
    <comment ref="I9" authorId="0" shapeId="0" xr:uid="{00000000-0006-0000-0100-000004000000}">
      <text>
        <r>
          <rPr>
            <sz val="10"/>
            <rFont val="Arial"/>
            <family val="2"/>
          </rPr>
          <t>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U016 [POTWIERDZONE W ROZMOWIE]: Produkcja/os./h według poziomu:10,12,13,14…;L1=10,L&gt;=2:L+10.
Głód×0.5;latarnia×2;całeosobnesztuki.
U017 [AKTUALNE; PRZESTÓJ DO DOPRECYZOWANIA]: Zwolnienie odrzuca niedokończoną część sztuki tego pracownika.
Gotowy towar pozostaje w lokalnym magazynie.
U019 [AKTUALNE; PRZESTÓJ DO DOPRECYZOWANIA]: 2zboża z magazynu centralnego→1Food do lokalnego bufora młyna.
Brak surowca lub miejsca zatrzymuje produkcję.
U022 [AKTUALNE; PRZESTÓJ DO DOPRECYZOWANIA]: Pojemność bufora każdego producenta=200×poziom Ratusza.
Wcześniej uzgodniono zależność od ratusza; nie zmieniono jej na własny poziom producenta.
U023 [AKTUALNE; PRZESTÓJ DO DOPRECYZOWANIA]: Pełny bufor zatrzymuje produkcję i daje jego załodze−10szczęścia od razu.
To offset, nie−10pp na godzinę.
U024 [AKTUALNE; PRZESTÓJ DO DOPRECYZOWANIA]: Kolejne−10 co24h ciągłego zapełnienia, maksymalnie−50:−20po24h,−30po48h,−40po72h,−50po96h.
Po zwolnieniu miejsca ta osobna kara znika.
U025 [AKTUALNE; PRZESTÓJ DO DOPRECYZOWANIA / NOWE DLA PORTU]: Powiadomienie przy zapełnieniu magazynu/bufora, także głównego.
Nowy port ma mieć notyfikację pełnego magazynu; nie spam co klatkę.
U031 [AKTUALNE; PRZESTÓJ DO DOPRECYZOWANIA]: Każdy mieszkaniec automatycznie je1Food/h, niezależnie od zatrudnienia.
Tylko magazyn centralny. Food lokalny, targowy lub portowy nie karmi bez dowozu.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U061 [AKTUALNE; PRZESTÓJ DO DOPRECYZOWANIA]: Norma240×obecny poziom/dobę. Koszt30%drewna,30%kamienia,50%własnego produktu.
72Ldrewna+72Lkamienia+120Lproduktu;nakładające się materiały sumujemy.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U091 [ROZSTRZYGNIĘTE V2]: Własny poziom producenta zwiększa limit12×L oraz wydajność10,12,13,14…
Ratusz nadalwarunkiem rozbudowy;lokalnypojemnik200×ratuszpozostaje.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Produkcja [POTWIERDZONE W ODPOWIEDZI]: Wydajność na osobę na poziomach 1,2,3,4: dokładnie 10,12,13,14 szt./h.
Wybrany ciąg zastępuje ogólny sprzeczny zapis +10%; po poziomie 2 wzrost o 1 na poziom.
Przestój [NOWE; DO DOPRECYZOWANIA]: Brak surowca lub miejsca zatrzymuje produkcję i powoduje karę za brak pracy.
Próg po 12 h zgodnie z dotychczasową karą; nie ustalono naliczania podatku i bonusu pracy ani nakładania z karą pełnego magazynu.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comment>
    <comment ref="M9" authorId="1" shapeId="0" xr:uid="{00000000-0006-0000-0100-000010000000}">
      <text>
        <r>
          <rPr>
            <sz val="10"/>
            <rFont val="Arial"/>
            <family val="2"/>
          </rPr>
          <t>6tragarzy dostępnychdla tejbudowy,poziom magazynuL,gotowe materiały,pełnykurs5min;jedenrodzajnakurs. Bez zbierania,karmienia,prerekwizytówiczasuoczekiwania.</t>
        </r>
      </text>
    </comment>
    <comment ref="N9" authorId="1" shapeId="0" xr:uid="{00000000-0006-0000-0100-00001C000000}">
      <text>
        <r>
          <rPr>
            <sz val="10"/>
            <rFont val="Arial"/>
            <family val="2"/>
          </rPr>
          <t>6tragarzy dostępnychdla tejbudowy,poziom magazynuL,gotowe materiały,pełnykurs5min;jedenrodzajnakurs. Bez zbierania,karmienia,prerekwizytówiczasuoczekiwania.</t>
        </r>
      </text>
    </comment>
    <comment ref="O9" authorId="1" shapeId="0" xr:uid="{00000000-0006-0000-0100-000028000000}">
      <text>
        <r>
          <rPr>
            <sz val="10"/>
            <rFont val="Arial"/>
            <family val="2"/>
          </rPr>
          <t>6tragarzy dostępnychdla tejbudowy,poziom magazynuL,gotowe materiały,pełnykurs5min;jedenrodzajnakurs. Bez zbierania,karmienia,prerekwizytówiczasuoczekiwania.</t>
        </r>
      </text>
    </comment>
    <comment ref="I10" authorId="0" shapeId="0" xr:uid="{00000000-0006-0000-0100-000005000000}">
      <text>
        <r>
          <rPr>
            <sz val="10"/>
            <rFont val="Arial"/>
            <family val="2"/>
          </rPr>
          <t>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U016 [POTWIERDZONE W ROZMOWIE]: Produkcja/os./h według poziomu:10,12,13,14…;L1=10,L&gt;=2:L+10.
Głód×0.5;latarnia×2;całeosobnesztuki.
U017 [AKTUALNE; PRZESTÓJ DO DOPRECYZOWANIA]: Zwolnienie odrzuca niedokończoną część sztuki tego pracownika.
Gotowy towar pozostaje w lokalnym magazynie.
U021 [AKTUALNE; PRZESTÓJ DO DOPRECYZOWANIA]: Drwale produkują drewno; kamieniołom kamień.
Skończona produkcja trafia do bufora przy budynku.
U022 [AKTUALNE; PRZESTÓJ DO DOPRECYZOWANIA]: Pojemność bufora każdego producenta=200×poziom Ratusza.
Wcześniej uzgodniono zależność od ratusza; nie zmieniono jej na własny poziom producenta.
U023 [AKTUALNE; PRZESTÓJ DO DOPRECYZOWANIA]: Pełny bufor zatrzymuje produkcję i daje jego załodze−10szczęścia od razu.
To offset, nie−10pp na godzinę.
U024 [AKTUALNE; PRZESTÓJ DO DOPRECYZOWANIA]: Kolejne−10 co24h ciągłego zapełnienia, maksymalnie−50:−20po24h,−30po48h,−40po72h,−50po96h.
Po zwolnieniu miejsca ta osobna kara znika.
U025 [AKTUALNE; PRZESTÓJ DO DOPRECYZOWANIA / NOWE DLA PORTU]: Powiadomienie przy zapełnieniu magazynu/bufora, także głównego.
Nowy port ma mieć notyfikację pełnego magazynu; nie spam co klatkę.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U061 [AKTUALNE; PRZESTÓJ DO DOPRECYZOWANIA]: Norma240×obecny poziom/dobę. Koszt30%drewna,30%kamienia,50%własnego produktu.
72Ldrewna+72Lkamienia+120Lproduktu;nakładające się materiały sumujemy.
U062 [AKTUALNE; PRZESTÓJ DO DOPRECYZOWANIA]: Drwale192Ldrewna+72Lkamienia;kamieniołom72Ldrewna+192Lkamienia.
To nie dodatkowe podwójne naliczenie; suma składnika bazowego i produktu.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U091 [ROZSTRZYGNIĘTE V2]: Własny poziom producenta zwiększa limit12×L oraz wydajność10,12,13,14…
Ratusz nadalwarunkiem rozbudowy;lokalnypojemnik200×ratuszpozostaje.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Produkcja [POTWIERDZONE W ODPOWIEDZI]: Wydajność na osobę na poziomach 1,2,3,4: dokładnie 10,12,13,14 szt./h.
Wybrany ciąg zastępuje ogólny sprzeczny zapis +10%; po poziomie 2 wzrost o 1 na poziom.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comment>
    <comment ref="M10" authorId="1" shapeId="0" xr:uid="{00000000-0006-0000-0100-000011000000}">
      <text>
        <r>
          <rPr>
            <sz val="10"/>
            <rFont val="Arial"/>
            <family val="2"/>
          </rPr>
          <t>6tragarzy dostępnychdla tejbudowy,poziom magazynuL,gotowe materiały,pełnykurs5min;jedenrodzajnakurs. Bez zbierania,karmienia,prerekwizytówiczasuoczekiwania.</t>
        </r>
      </text>
    </comment>
    <comment ref="N10" authorId="1" shapeId="0" xr:uid="{00000000-0006-0000-0100-00001D000000}">
      <text>
        <r>
          <rPr>
            <sz val="10"/>
            <rFont val="Arial"/>
            <family val="2"/>
          </rPr>
          <t>6tragarzy dostępnychdla tejbudowy,poziom magazynuL,gotowe materiały,pełnykurs5min;jedenrodzajnakurs. Bez zbierania,karmienia,prerekwizytówiczasuoczekiwania.</t>
        </r>
      </text>
    </comment>
    <comment ref="O10" authorId="1" shapeId="0" xr:uid="{00000000-0006-0000-0100-000029000000}">
      <text>
        <r>
          <rPr>
            <sz val="10"/>
            <rFont val="Arial"/>
            <family val="2"/>
          </rPr>
          <t>6tragarzy dostępnychdla tejbudowy,poziom magazynuL,gotowe materiały,pełnykurs5min;jedenrodzajnakurs. Bez zbierania,karmienia,prerekwizytówiczasuoczekiwania.</t>
        </r>
      </text>
    </comment>
    <comment ref="I11" authorId="0" shapeId="0" xr:uid="{00000000-0006-0000-0100-000006000000}">
      <text>
        <r>
          <rPr>
            <sz val="10"/>
            <rFont val="Arial"/>
            <family val="2"/>
          </rPr>
          <t>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U016 [POTWIERDZONE W ROZMOWIE]: Produkcja/os./h według poziomu:10,12,13,14…;L1=10,L&gt;=2:L+10.
Głód×0.5;latarnia×2;całeosobnesztuki.
U017 [AKTUALNE; PRZESTÓJ DO DOPRECYZOWANIA]: Zwolnienie odrzuca niedokończoną część sztuki tego pracownika.
Gotowy towar pozostaje w lokalnym magazynie.
U020 [AKTUALNE; PRZESTÓJ DO DOPRECYZOWANIA]: 2drewna z magazynu centralnego→1deska do lokalnego bufora tartaku.
Brak surowca lub miejsca zatrzymuje produkcję.
U022 [AKTUALNE; PRZESTÓJ DO DOPRECYZOWANIA]: Pojemność bufora każdego producenta=200×poziom Ratusza.
Wcześniej uzgodniono zależność od ratusza; nie zmieniono jej na własny poziom producenta.
U023 [AKTUALNE; PRZESTÓJ DO DOPRECYZOWANIA]: Pełny bufor zatrzymuje produkcję i daje jego załodze−10szczęścia od razu.
To offset, nie−10pp na godzinę.
U024 [AKTUALNE; PRZESTÓJ DO DOPRECYZOWANIA]: Kolejne−10 co24h ciągłego zapełnienia, maksymalnie−50:−20po24h,−30po48h,−40po72h,−50po96h.
Po zwolnieniu miejsca ta osobna kara znika.
U025 [AKTUALNE; PRZESTÓJ DO DOPRECYZOWANIA / NOWE DLA PORTU]: Powiadomienie przy zapełnieniu magazynu/bufora, także głównego.
Nowy port ma mieć notyfikację pełnego magazynu; nie spam co klatkę.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U061 [AKTUALNE; PRZESTÓJ DO DOPRECYZOWANIA]: Norma240×obecny poziom/dobę. Koszt30%drewna,30%kamienia,50%własnego produktu.
72Ldrewna+72Lkamienia+120Lproduktu;nakładające się materiały sumujemy.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U091 [ROZSTRZYGNIĘTE V2]: Własny poziom producenta zwiększa limit12×L oraz wydajność10,12,13,14…
Ratusz nadalwarunkiem rozbudowy;lokalnypojemnik200×ratuszpozostaje.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Produkcja [POTWIERDZONE W ODPOWIEDZI]: Wydajność na osobę na poziomach 1,2,3,4: dokładnie 10,12,13,14 szt./h.
Wybrany ciąg zastępuje ogólny sprzeczny zapis +10%; po poziomie 2 wzrost o 1 na poziom.
Przestój [NOWE; DO DOPRECYZOWANIA]: Brak surowca lub miejsca zatrzymuje produkcję i powoduje karę za brak pracy.
Próg po 12 h zgodnie z dotychczasową karą; nie ustalono naliczania podatku i bonusu pracy ani nakładania z karą pełnego magazynu.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comment>
    <comment ref="M11" authorId="1" shapeId="0" xr:uid="{00000000-0006-0000-0100-000012000000}">
      <text>
        <r>
          <rPr>
            <sz val="10"/>
            <rFont val="Arial"/>
            <family val="2"/>
          </rPr>
          <t>6tragarzy dostępnychdla tejbudowy,poziom magazynuL,gotowe materiały,pełnykurs5min;jedenrodzajnakurs. Bez zbierania,karmienia,prerekwizytówiczasuoczekiwania.</t>
        </r>
      </text>
    </comment>
    <comment ref="N11" authorId="1" shapeId="0" xr:uid="{00000000-0006-0000-0100-00001E000000}">
      <text>
        <r>
          <rPr>
            <sz val="10"/>
            <rFont val="Arial"/>
            <family val="2"/>
          </rPr>
          <t>6tragarzy dostępnychdla tejbudowy,poziom magazynuL,gotowe materiały,pełnykurs5min;jedenrodzajnakurs. Bez zbierania,karmienia,prerekwizytówiczasuoczekiwania.</t>
        </r>
      </text>
    </comment>
    <comment ref="O11" authorId="1" shapeId="0" xr:uid="{00000000-0006-0000-0100-00002A000000}">
      <text>
        <r>
          <rPr>
            <sz val="10"/>
            <rFont val="Arial"/>
            <family val="2"/>
          </rPr>
          <t>6tragarzy dostępnychdla tejbudowy,poziom magazynuL,gotowe materiały,pełnykurs5min;jedenrodzajnakurs. Bez zbierania,karmienia,prerekwizytówiczasuoczekiwania.</t>
        </r>
      </text>
    </comment>
    <comment ref="I12" authorId="0" shapeId="0" xr:uid="{00000000-0006-0000-0100-000007000000}">
      <text>
        <r>
          <rPr>
            <sz val="10"/>
            <rFont val="Arial"/>
            <family val="2"/>
          </rPr>
          <t>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U016 [POTWIERDZONE W ROZMOWIE]: Produkcja/os./h według poziomu:10,12,13,14…;L1=10,L&gt;=2:L+10.
Głód×0.5;latarnia×2;całeosobnesztuki.
U017 [AKTUALNE; PRZESTÓJ DO DOPRECYZOWANIA]: Zwolnienie odrzuca niedokończoną część sztuki tego pracownika.
Gotowy towar pozostaje w lokalnym magazynie.
U021 [AKTUALNE; PRZESTÓJ DO DOPRECYZOWANIA]: Drwale produkują drewno; kamieniołom kamień.
Skończona produkcja trafia do bufora przy budynku.
U022 [AKTUALNE; PRZESTÓJ DO DOPRECYZOWANIA]: Pojemność bufora każdego producenta=200×poziom Ratusza.
Wcześniej uzgodniono zależność od ratusza; nie zmieniono jej na własny poziom producenta.
U023 [AKTUALNE; PRZESTÓJ DO DOPRECYZOWANIA]: Pełny bufor zatrzymuje produkcję i daje jego załodze−10szczęścia od razu.
To offset, nie−10pp na godzinę.
U024 [AKTUALNE; PRZESTÓJ DO DOPRECYZOWANIA]: Kolejne−10 co24h ciągłego zapełnienia, maksymalnie−50:−20po24h,−30po48h,−40po72h,−50po96h.
Po zwolnieniu miejsca ta osobna kara znika.
U025 [AKTUALNE; PRZESTÓJ DO DOPRECYZOWANIA / NOWE DLA PORTU]: Powiadomienie przy zapełnieniu magazynu/bufora, także głównego.
Nowy port ma mieć notyfikację pełnego magazynu; nie spam co klatkę.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U061 [AKTUALNE; PRZESTÓJ DO DOPRECYZOWANIA]: Norma240×obecny poziom/dobę. Koszt30%drewna,30%kamienia,50%własnego produktu.
72Ldrewna+72Lkamienia+120Lproduktu;nakładające się materiały sumujemy.
U062 [AKTUALNE; PRZESTÓJ DO DOPRECYZOWANIA]: Drwale192Ldrewna+72Lkamienia;kamieniołom72Ldrewna+192Lkamienia.
To nie dodatkowe podwójne naliczenie; suma składnika bazowego i produktu.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U091 [ROZSTRZYGNIĘTE V2]: Własny poziom producenta zwiększa limit12×L oraz wydajność10,12,13,14…
Ratusz nadalwarunkiem rozbudowy;lokalnypojemnik200×ratuszpozostaje.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Produkcja [POTWIERDZONE W ODPOWIEDZI]: Wydajność na osobę na poziomach 1,2,3,4: dokładnie 10,12,13,14 szt./h.
Wybrany ciąg zastępuje ogólny sprzeczny zapis +10%; po poziomie 2 wzrost o 1 na poziom.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comment>
    <comment ref="M12" authorId="1" shapeId="0" xr:uid="{00000000-0006-0000-0100-000013000000}">
      <text>
        <r>
          <rPr>
            <sz val="10"/>
            <rFont val="Arial"/>
            <family val="2"/>
          </rPr>
          <t>6tragarzy dostępnychdla tejbudowy,poziom magazynuL,gotowe materiały,pełnykurs5min;jedenrodzajnakurs. Bez zbierania,karmienia,prerekwizytówiczasuoczekiwania.</t>
        </r>
      </text>
    </comment>
    <comment ref="N12" authorId="1" shapeId="0" xr:uid="{00000000-0006-0000-0100-00001F000000}">
      <text>
        <r>
          <rPr>
            <sz val="10"/>
            <rFont val="Arial"/>
            <family val="2"/>
          </rPr>
          <t>6tragarzy dostępnychdla tejbudowy,poziom magazynuL,gotowe materiały,pełnykurs5min;jedenrodzajnakurs. Bez zbierania,karmienia,prerekwizytówiczasuoczekiwania.</t>
        </r>
      </text>
    </comment>
    <comment ref="O12" authorId="1" shapeId="0" xr:uid="{00000000-0006-0000-0100-00002B000000}">
      <text>
        <r>
          <rPr>
            <sz val="10"/>
            <rFont val="Arial"/>
            <family val="2"/>
          </rPr>
          <t>6tragarzy dostępnychdla tejbudowy,poziom magazynuL,gotowe materiały,pełnykurs5min;jedenrodzajnakurs. Bez zbierania,karmienia,prerekwizytówiczasuoczekiwania.</t>
        </r>
      </text>
    </comment>
    <comment ref="I13" authorId="0" shapeId="0" xr:uid="{00000000-0006-0000-0100-000008000000}">
      <text>
        <r>
          <rPr>
            <sz val="10"/>
            <rFont val="Arial"/>
            <family val="2"/>
          </rPr>
          <t>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U025 [AKTUALNE; PRZESTÓJ DO DOPRECYZOWANIA / NOWE DLA PORTU]: Powiadomienie przy zapełnieniu magazynu/bufora, także głównego.
Nowy port ma mieć notyfikację pełnego magazynu; nie spam co klatkę.
U026 [AKTUALNE; PRZESTÓJ DO DOPRECYZOWANIA]: Poziom1:1000na każdy z5 materiałów, nie więcej niż4000łącznie.
Monety są osobno w skarbcu.
U027 [AKTUALNE; PRZESTÓJ DO DOPRECYZOWANIA]: Każdy kolejny poziom mnoży oba limity×1.5, z zaokrągleniem w dół.
Poziom2:1500/6000;poziom3:2250/9000;poziom4:3375/13500.
U028 [POTWIERDZONE V2]: Ładunek60szt./kurs na1poziomie;pełnykurs5min,jeden materiał.
Nie60szt./h. Nie czeka na pełny ładunek.
U029 [POTWIERDZONE / FORMUŁA MODELOWA]: Pojemność tragarza rośnie10%/poziom własnego magazynu,targu lub portu.
W modelu floor(60×1.1^(L−1));60,66,72…
U030 [POTWIERDZONE V2]: Magazynierzy noszą produkcję i budowy;targ i port mają własne załogi w obie strony.
Przepływ przetwórstwa przez centralę.
U031 [AKTUALNE; PRZESTÓJ DO DOPRECYZOWANIA]: Każdy mieszkaniec automatycznie je1Food/h, niezależnie od zatrudnienia.
Tylko magazyn centralny. Food lokalny, targowy lub portowy nie karmi bez dowozu.
U032 [POTWIERDZONE V2]: Rezerwa Food=50×poziom magazynu;nie wynosić jej do celów innych niż żywienie.
Ludzie mogą zjadaćrezerwę.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U054 [POTWIERDZONE V2]: Targ ma własną załogę w obie strony,z takimi samymi zasadami ładunku i wzrostu jakmagazyn.
Dawna blokadadostaw1hniezostała usunięta.
U055 [POTWIERDZONE V2]: Towar z targu odnosi wyłącznie załoga targu. Zapas24hodprzyniesienia przepada;wynik wymiany ma nowe24h.
Zastępuje odbiór magazynierami;nie otrzymujemytowaruwcentrali natychmiast.
U060 [ZASADA UZGODNIONA / NAGRODA NIEUSTALONA]: Kolejny dzień logowania zwiększa lojalność do10dni; bonus lojalnościowy zostanie zdefiniowany później.
Nie wymyślono nagród. Poprzedni model używał dni Warszawy; szczegóły konta są przyszłe.
U063 [POTWIERDZONE V2]: Każdegoz6zasobów: Ratusz/Dom500L;Magazyn/Targ300L;Przystań400L.
Kolejka+10%całejceny.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U090 [ZAAKCEPTOWANE]: Ratusz2→Magazyn2→Ratusz3→Magazyn3→Ratusz4 ze względu na miejsce na pełny koszt.
5000materiałów kosztuRatusza3 nie mieści się wMagazynie1(4000);7500Ratusza4nie wMagazynie2(6000).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Transport [POTWIERDZONE W ODPOWIEDZI]: Cały kurs z powrotem trwa 5 min. Bazowy ładunek na poziomie 1 to 60 sztuk jednego produktu.
100 wymaga dwóch kursów 60 i 40. Nie czeka na pełny ładunek i nie miesza produktów. To zastępuje wcześniejsze 60 szt./h.
Pojemność tragarza [POTWIERDZONE; ZAOKRĄGLENIE DO DECYZJI]: Kolejny poziom zwiększa ilość materiału, którą tragarz może zabrać, o 10%; takie same zasady w targu i porcie.
Sposób wzrostu liniowy/składany oraz zaokrąglenie całych sztuk nie zostały dopisane jako pewne ustalenia.
Priorytety [NOWE]: Domyślnie najpierw zaopatrzenie magazynu, później budowy; gracz może zmieniać priorytety kategorii, producenta i konkretnej budowy.
ETA ma wynikać z aktualnych priorytetów i już dostarczonych partii.
Transport żywności [NOWE; PRÓG DO UJEDNOLICENIA]: Jeden tragarz ma nosić żywność, gdy jest wyprodukowana, a centrala spadnie poniżej progu.
Nowa rezerwa to 50 × poziom magazynu, ale opis tragarza nadal używa 50. Nie wolno stworzyć pracownika, gdy obsada wynosi 0.
Rezerwa [ZMIENIONE]: Minimum pożywienia chronionego przed wynoszeniem = 50 × poziom magazynu.
Ludzie mogą zjadać rezerwę; transport żywności nie jest akcją ręcznego karmienia.
Koszt [ZMIENIONE]: Rozbudowa magazynu: 300 × obecny poziom każdego z 6 zasobów.
Zastępuje 500; 5 materiałów jadą na budowę, monety ze skarbca.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Targ [ZMIENIONE]: Targ ma własnych ludzi; tylko oni donoszą na targ i odwożą z targu do magazynu.
Zastępuje odbiór wyniku wymiany przez magazynierów. Towar musi być na targu, aby go wymienić.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comment>
    <comment ref="M13" authorId="1" shapeId="0" xr:uid="{00000000-0006-0000-0100-000014000000}">
      <text>
        <r>
          <rPr>
            <sz val="10"/>
            <rFont val="Arial"/>
            <family val="2"/>
          </rPr>
          <t>6tragarzy dostępnychdla tejbudowy,poziom magazynuL,gotowe materiały,pełnykurs5min;jedenrodzajnakurs. Bez zbierania,karmienia,prerekwizytówiczasuoczekiwania.</t>
        </r>
      </text>
    </comment>
    <comment ref="N13" authorId="1" shapeId="0" xr:uid="{00000000-0006-0000-0100-000020000000}">
      <text>
        <r>
          <rPr>
            <sz val="10"/>
            <rFont val="Arial"/>
            <family val="2"/>
          </rPr>
          <t>6tragarzy dostępnychdla tejbudowy,poziom magazynuL,gotowe materiały,pełnykurs5min;jedenrodzajnakurs. Bez zbierania,karmienia,prerekwizytówiczasuoczekiwania.</t>
        </r>
      </text>
    </comment>
    <comment ref="O13" authorId="1" shapeId="0" xr:uid="{00000000-0006-0000-0100-00002C000000}">
      <text>
        <r>
          <rPr>
            <sz val="10"/>
            <rFont val="Arial"/>
            <family val="2"/>
          </rPr>
          <t>6tragarzy dostępnychdla tejbudowy,poziom magazynuL,gotowe materiały,pełnykurs5min;jedenrodzajnakurs. Bez zbierania,karmienia,prerekwizytówiczasuoczekiwania.</t>
        </r>
      </text>
    </comment>
    <comment ref="I14" authorId="0" shapeId="0" xr:uid="{00000000-0006-0000-0100-000009000000}">
      <text>
        <r>
          <rPr>
            <sz val="10"/>
            <rFont val="Arial"/>
            <family val="2"/>
          </rPr>
          <t>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U025 [AKTUALNE; PRZESTÓJ DO DOPRECYZOWANIA / NOWE DLA PORTU]: Powiadomienie przy zapełnieniu magazynu/bufora, także głównego.
Nowy port ma mieć notyfikację pełnego magazynu; nie spam co klatkę.
U032 [POTWIERDZONE V2]: Rezerwa Food=50×poziom magazynu;nie wynosić jej do celów innych niż żywienie.
Ludzie mogą zjadaćrezerwę.
U049 [POTWIERDZONE W ROZMOWIE]: Cała gospodarka liczyczas zegarowy również offline.
Zastępuje zatrzymywanie po ukryciu/zamknięciu karty. Guziki przyspieszenia powiązane z czasowymi premiami.
U050 [AKTUALNE; PRZESTÓJ DO DOPRECYZOWANIA]: Targ dostępny od poziomu gracza2.
Przystań od4; odblokowanie następuje z poziomu ratusza.
U051 [AKTUALNE; PRZESTÓJ DO DOPRECYZOWANIA]: Wymiana dowolnej ilości, ale tylko w grupach:drewno/kamień/zboże lub deski/Food.
Brak wymiany między grupami; brak kupowania za pieniądze.
U052 [AKTUALNE; PRZESTÓJ DO DOPRECYZOWANIA]: Nominalnie1:1;marża10%,np.10drewna→9kamienia.
Nie stosujemy wcześniejszego sprzecznego przykładu deski→kamień.
U053 [AKTUALNE; PRZESTÓJ DO DOPRECYZOWANIA]: Pojemność1000na1,1500na2,2250na3…;każdy poziom×1.5.
Jeden limit łączny własnego targu, nie1000każdego materiału.
U054 [POTWIERDZONE V2]: Targ ma własną załogę w obie strony,z takimi samymi zasadami ładunku i wzrostu jakmagazyn.
Dawna blokadadostaw1hniezostała usunięta.
U055 [POTWIERDZONE V2]: Towar z targu odnosi wyłącznie załoga targu. Zapas24hodprzyniesienia przepada;wynik wymiany ma nowe24h.
Zastępuje odbiór magazynierami;nie otrzymujemytowaruwcentrali natychmiast.
U060 [ZASADA UZGODNIONA / NAGRODA NIEUSTALONA]: Kolejny dzień logowania zwiększa lojalność do10dni; bonus lojalnościowy zostanie zdefiniowany później.
Nie wymyślono nagród. Poprzedni model używał dni Warszawy; szczegóły konta są przyszłe.
U063 [POTWIERDZONE V2]: Każdegoz6zasobów: Ratusz/Dom500L;Magazyn/Targ300L;Przystań400L.
Kolejka+10%całejceny.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Transport [POTWIERDZONE W ODPOWIEDZI]: Cały kurs z powrotem trwa 5 min. Bazowy ładunek na poziomie 1 to 60 sztuk jednego produktu.
100 wymaga dwóch kursów 60 i 40. Nie czeka na pełny ładunek i nie miesza produktów. To zastępuje wcześniejsze 60 szt./h.
Pojemność tragarza [POTWIERDZONE; ZAOKRĄGLENIE DO DECYZJI]: Kolejny poziom zwiększa ilość materiału, którą tragarz może zabrać, o 10%; takie same zasady w targu i porcie.
Sposób wzrostu liniowy/składany oraz zaokrąglenie całych sztuk nie zostały dopisane jako pewne ustalenia.
Koszt [ZMIENIONE]: Rozbudowa targu: 300 × obecny poziom każdego z 6 zasobów.
Zastępuje 500.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Targ [ZMIENIONE]: Targ ma własnych ludzi; tylko oni donoszą na targ i odwożą z targu do magazynu.
Zastępuje odbiór wyniku wymiany przez magazynierów. Towar musi być na targu, aby go wymienić.
Targ: wygaśnięcie [NOWE]: Towar na targu znika po 24 h od przyniesienia; wynik wymiany także znika po własnych 24 h.
Nie określono osobno zasad dzielenia/łączenia partii ani wpływu premium na wiek.
Targ: wymiana [POTWIERDZONE W NAJNOWSZEJ ODPOWIEDZI]: Targ pozostaje wymianą bez monet w dwóch grupach i z marżą10%.
140/150 to nowe portowe ceny przetworzonych, nie oferta pieniężna targu.
Ranking [NOWE]: W ustawieniach ranking według wyniku: poziom ratusza × ilość złota.
Brak osobnych reguł remisu, częstotliwości aktualizacji i ochrony przed manipulacją stanem skarbca.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comment>
    <comment ref="M14" authorId="1" shapeId="0" xr:uid="{00000000-0006-0000-0100-000015000000}">
      <text>
        <r>
          <rPr>
            <sz val="10"/>
            <rFont val="Arial"/>
            <family val="2"/>
          </rPr>
          <t>6tragarzy dostępnychdla tejbudowy,poziom magazynuL,gotowe materiały,pełnykurs5min;jedenrodzajnakurs. Bez zbierania,karmienia,prerekwizytówiczasuoczekiwania.</t>
        </r>
      </text>
    </comment>
    <comment ref="N14" authorId="1" shapeId="0" xr:uid="{00000000-0006-0000-0100-000021000000}">
      <text>
        <r>
          <rPr>
            <sz val="10"/>
            <rFont val="Arial"/>
            <family val="2"/>
          </rPr>
          <t>6tragarzy dostępnychdla tejbudowy,poziom magazynuL,gotowe materiały,pełnykurs5min;jedenrodzajnakurs. Bez zbierania,karmienia,prerekwizytówiczasuoczekiwania.</t>
        </r>
      </text>
    </comment>
    <comment ref="O14" authorId="1" shapeId="0" xr:uid="{00000000-0006-0000-0100-00002D000000}">
      <text>
        <r>
          <rPr>
            <sz val="10"/>
            <rFont val="Arial"/>
            <family val="2"/>
          </rPr>
          <t>6tragarzy dostępnychdla tejbudowy,poziom magazynuL,gotowe materiały,pełnykurs5min;jedenrodzajnakurs. Bez zbierania,karmienia,prerekwizytówiczasuoczekiwania.</t>
        </r>
      </text>
    </comment>
    <comment ref="I15" authorId="0" shapeId="0" xr:uid="{00000000-0006-0000-0100-00000A000000}">
      <text>
        <r>
          <rPr>
            <sz val="10"/>
            <rFont val="Arial"/>
            <family val="2"/>
          </rPr>
          <t>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U025 [AKTUALNE; PRZESTÓJ DO DOPRECYZOWANIA / NOWE DLA PORTU]: Powiadomienie przy zapełnieniu magazynu/bufora, także głównego.
Nowy port ma mieć notyfikację pełnego magazynu; nie spam co klatkę.
U030 [POTWIERDZONE V2]: Magazynierzy noszą produkcję i budowy;targ i port mają własne załogi w obie strony.
Przepływ przetwórstwa przez centralę.
U032 [POTWIERDZONE V2]: Rezerwa Food=50×poziom magazynu;nie wynosić jej do celów innych niż żywienie.
Ludzie mogą zjadaćrezerwę.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U063 [POTWIERDZONE V2]: Każdegoz6zasobów: Ratusz/Dom500L;Magazyn/Targ300L;Przystań400L.
Kolejka+10%całejceny.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U081 [NOWE]: Od ratusza4 kupno i sprzedaż wszystkich5materiałów za monety;tylko pełne100.
Nie oznacza kupowania samych monet za monety.
U082 [OSTATNIA KOREKTA ROZMOWY]: Port za100:podstawowe40sprzedaż/50kupno;przetworzone140/150.
Zastępuje70/80;Targ pozostaje bezpieniędzy.
U083 [POTWIERDZONE LINIOWO]: Drugaikolejnakupionapaczka100wostatnich3h:+10%cenybazowej za każdy kolejny stopień.
50,55,60…;150,165,180…;licznikglobalny/perproduktnieokreślony.
U084 [POTWIERDZONE V2]: Portsprzedaż:centrala→port+port→statek;płatność/notyfikacja przy wypłynięciu. Zakup:płatność przy przypłynięciu,rozładunek i powrót towarów do centrali.
Załoga własna,zasadyjakmagazyn;statek mapojemnośćportu.
U085 [NOWE]: Pojemność portu jak magazynu:1000każdego/4000łącznie na1,potem×1.5.
Nie naliczono nieustalonej opłaty jako ceny budowy.
U088 [NOWE DOPRECYZOWANIE]: Zawsze powiadomienie o ukończeniu budowy.
Dotychczas takżezlecenie,start i dostawa;nowealarmyopisanojakoprojekt,nie wdrożenie.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Transport [POTWIERDZONE W ODPOWIEDZI]: Cały kurs z powrotem trwa 5 min. Bazowy ładunek na poziomie 1 to 60 sztuk jednego produktu.
100 wymaga dwóch kursów 60 i 40. Nie czeka na pełny ładunek i nie miesza produktów. To zastępuje wcześniejsze 60 szt./h.
Pojemność tragarza [POTWIERDZONE; ZAOKRĄGLENIE DO DECYZJI]: Kolejny poziom zwiększa ilość materiału, którą tragarz może zabrać, o 10%; takie same zasady w targu i porcie.
Sposób wzrostu liniowy/składany oraz zaokrąglenie całych sztuk nie zostały dopisane jako pewne ustalenia.
Koszt [ZMIENIONE]: Rozbudowa przystani: 400 × obecny poziom każdego z 6 zasobów.
Zastępuje 500.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Port: operacje [WYJAŚNIONE]: Sprzedaż: z centrali do portu, potem na statek, własną załogą. Przy wypłynięciu statku notyfikacja i zapłata.
Przy zakupie zapłata przy przypłynięciu, potem rozładunek i transport do centrali. Przed dowozem zakup nie jest wydawalny centralnie.
Statek [NOWE]: Statek ma pojemność magazynu portu.
Port ma limit na każdy materiał i łączny; statek powinien respektować oba albo wymagać potwierdzenia jednego globalnego limitu.
Port: ceny [ZMIENIONE I POTWIERDZONE]: Za100 podstawowych sprzedaż40/kupno50; za100 przetworzonych sprzedaż140/kupno150.
Nowe140/150 zastępuje wcześniejsze portowe70/80; podstawowe pozostają40/50.
Port: podwyżki [WYJAŚNIONE CZĘŚCIOWO]: Rosnące ceny zakupów w ostatnich 3 h liczyć liniowo, nie składanie.
Druga i kolejne paczki +10% ceny bazowej; globalność/per materiał i zaokrąglenie nieustalone.
Port: wygaśnięcie [ZMIENIONE]: Towar nieodebrany w 24 h przepada.
Zastępuje wcześniejszą opłatę 10 monet; nie należy naliczać obu konsekwencji.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comment>
    <comment ref="M15" authorId="1" shapeId="0" xr:uid="{00000000-0006-0000-0100-000016000000}">
      <text>
        <r>
          <rPr>
            <sz val="10"/>
            <rFont val="Arial"/>
            <family val="2"/>
          </rPr>
          <t>6tragarzy dostępnychdla tejbudowy,poziom magazynuL,gotowe materiały,pełnykurs5min;jedenrodzajnakurs. Bez zbierania,karmienia,prerekwizytówiczasuoczekiwania.</t>
        </r>
      </text>
    </comment>
    <comment ref="N15" authorId="1" shapeId="0" xr:uid="{00000000-0006-0000-0100-000022000000}">
      <text>
        <r>
          <rPr>
            <sz val="10"/>
            <rFont val="Arial"/>
            <family val="2"/>
          </rPr>
          <t>6tragarzy dostępnychdla tejbudowy,poziom magazynuL,gotowe materiały,pełnykurs5min;jedenrodzajnakurs. Bez zbierania,karmienia,prerekwizytówiczasuoczekiwania.</t>
        </r>
      </text>
    </comment>
    <comment ref="O15" authorId="1" shapeId="0" xr:uid="{00000000-0006-0000-0100-00002E000000}">
      <text>
        <r>
          <rPr>
            <sz val="10"/>
            <rFont val="Arial"/>
            <family val="2"/>
          </rPr>
          <t>6tragarzy dostępnychdla tejbudowy,poziom magazynuL,gotowe materiały,pełnykurs5min;jedenrodzajnakurs. Bez zbierania,karmienia,prerekwizytówiczasuoczekiwania.</t>
        </r>
      </text>
    </comment>
    <comment ref="I16" authorId="0" shapeId="0" xr:uid="{00000000-0006-0000-0100-00000B000000}">
      <text>
        <r>
          <rPr>
            <sz val="10"/>
            <rFont val="Arial"/>
            <family val="2"/>
          </rPr>
          <t>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U043 [AKTUALNE; PRZESTÓJ DO DOPRECYZOWANIA]: Głód nie obniża podatku; premia kaplicy daje×2podatku na10h.
Kaplica podwaja tylko istniejący podatek pracujących.
U049 [POTWIERDZONE W ROZMOWIE]: Cała gospodarka liczyczas zegarowy również offline.
Zastępuje zatrzymywanie po ukryciu/zamknięciu karty. Guziki przyspieszenia powiązane z czasowymi premiami.
U056 [AKTUALNE; PRZESTÓJ DO DOPRECYZOWANIA]: Na poziomie1 bez pasywnego plusa/minusa. Po rozbudowie doN:+10×Nszczęścia wszystkim i podatek×2przez10h.
Premia za ukończenie rozbudowy; kolejna odświeża okres, bez nakładania mnożnika do×4.
U057 [WCZEŚNIEJ UZGODNIONE / NOWE SZCZEGÓŁY ODŁOŻONE]: Ręczne użycie:+50każdego zasobu,+20szczęścia wszystkim na1h.
Przynależność wyjaśniona: Kaplica = błogosławieństwo, Latarnia = zwiedzanie. Liczba darmowych użyć błogosławieństwa = poziom kaplicy; nowe odstępy i oferty Premium są odłożone.
U058 [ODŁOŻONE]: Nowe odstępy+25%,zakup/challenge/share/reklama i natychmiastowe użycie.
Konflikt z godzinnym efektem bez nakładania zostawiony na później zgodnie z instrukcją.
U059 [ODŁOŻONE]: Nowa notatka:60sreklamy skraca pozostały czas o połowę, maks.2na1hgry.
Nie wybieramy resetu, czasu okna, początku cooldownu ani harmonogramu.
U060 [ZASADA UZGODNIONA / NAGRODA NIEUSTALONA]: Kolejny dzień logowania zwiększa lojalność do10dni; bonus lojalnościowy zostanie zdefiniowany później.
Nie wymyślono nagród. Poprzedni model używał dni Warszawy; szczegóły konta są przyszłe.
U064 [TYMCZASOWE]: N×(180monet+20drewna+60kamienia+10desek),Nnowy poziom.
Cena nie była docelowo ustalona;do przewozu90×N.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U071 [POTWIERDZONE W ROZMOWIE]: Kaplica:T+3T×(N−1),Nnowy poziom;1→2:4T,2→3:7T,3→4:10T.
Nie używamy obecnego poziomu wczłonie N−1.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[POTWIERDZONE W ODPOWIEDZI]: Łącznie T + 3T × (nowy poziom −1). Rozbudowy 1→2,2→3,3→4: 4T,7T,10T.
W mnożniku użyto nowego poziomu, nie starego.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Kaplica i latarnia [WYJAŚNIONE]: Błogosławieństwo należy do kaplicy; zwiedzanie do latarni. Oba prowadzą do bonusu/premii.
Czas i efekt pojedynczej wizyty nie są tym samym co automatyczna premia rozbudowy.
Ranking [NOWE]: W ustawieniach ranking według wyniku: poziom ratusza × ilość złota.
Brak osobnych reguł remisu, częstotliwości aktualizacji i ochrony przed manipulacją stanem skarbca.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comment>
    <comment ref="M16" authorId="1" shapeId="0" xr:uid="{00000000-0006-0000-0100-000017000000}">
      <text>
        <r>
          <rPr>
            <sz val="10"/>
            <rFont val="Arial"/>
            <family val="2"/>
          </rPr>
          <t>6tragarzy dostępnychdla tejbudowy,poziom magazynuL,gotowe materiały,pełnykurs5min;jedenrodzajnakurs. Bez zbierania,karmienia,prerekwizytówiczasuoczekiwania.</t>
        </r>
      </text>
    </comment>
    <comment ref="N16" authorId="1" shapeId="0" xr:uid="{00000000-0006-0000-0100-000023000000}">
      <text>
        <r>
          <rPr>
            <sz val="10"/>
            <rFont val="Arial"/>
            <family val="2"/>
          </rPr>
          <t>6tragarzy dostępnychdla tejbudowy,poziom magazynuL,gotowe materiały,pełnykurs5min;jedenrodzajnakurs. Bez zbierania,karmienia,prerekwizytówiczasuoczekiwania.</t>
        </r>
      </text>
    </comment>
    <comment ref="O16" authorId="1" shapeId="0" xr:uid="{00000000-0006-0000-0100-00002F000000}">
      <text>
        <r>
          <rPr>
            <sz val="10"/>
            <rFont val="Arial"/>
            <family val="2"/>
          </rPr>
          <t>6tragarzy dostępnychdla tejbudowy,poziom magazynuL,gotowe materiały,pełnykurs5min;jedenrodzajnakurs. Bez zbierania,karmienia,prerekwizytówiczasuoczekiwania.</t>
        </r>
      </text>
    </comment>
    <comment ref="I17" authorId="0" shapeId="0" xr:uid="{00000000-0006-0000-0100-00000C000000}">
      <text>
        <r>
          <rPr>
            <sz val="10"/>
            <rFont val="Arial"/>
            <family val="2"/>
          </rPr>
          <t>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U049 [POTWIERDZONE W ROZMOWIE]: Cała gospodarka liczyczas zegarowy również offline.
Zastępuje zatrzymywanie po ukryciu/zamknięciu karty. Guziki przyspieszenia powiązane z czasowymi premiami.
U057 [WCZEŚNIEJ UZGODNIONE / NOWE SZCZEGÓŁY ODŁOŻONE]: Ręczne użycie:+50każdego zasobu,+20szczęścia wszystkim na1h.
Przynależność wyjaśniona: Kaplica = błogosławieństwo, Latarnia = zwiedzanie. Liczba darmowych użyć błogosławieństwa = poziom kaplicy; nowe odstępy i oferty Premium są odłożone.
U058 [ODŁOŻONE]: Nowe odstępy+25%,zakup/challenge/share/reklama i natychmiastowe użycie.
Konflikt z godzinnym efektem bez nakładania zostawiony na później zgodnie z instrukcją.
U059 [ODŁOŻONE]: Nowa notatka:60sreklamy skraca pozostały czas o połowę, maks.2na1hgry.
Nie wybieramy resetu, czasu okna, początku cooldownu ani harmonogramu.
U060 [ZASADA UZGODNIONA / NAGRODA NIEUSTALONA]: Kolejny dzień logowania zwiększa lojalność do10dni; bonus lojalnościowy zostanie zdefiniowany później.
Nie wymyślono nagród. Poprzedni model używał dni Warszawy; szczegóły konta są przyszłe.
U065 [AKTUALNE; PRZESTÓJ DO DOPRECYZOWANIA]: 500każdego zasobu razem zmonetami/złotem;dla pierwszejbudowy500, dalej500×obecny poziom.
Użytkownik zdecydował zachować koszt500pomimo długiego zbierania. Do transportu2500×max(1,L).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U072 [POTWIERDZONE W ROZMOWIE]: Latarnia:łącznie5T=Ttransportu+4Tbudowy.
Zastępuje6T.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U079 [POTWIERDZONE V2]: Latarnia ustawia skuteczne szczęście KAŻDEGO na100%,nie dodaje+100. Produkcja×2.
Obie premie24h×N;podatki/transportbezmnożnika.
U080 [AKTUALNE; PRZESTÓJ DO DOPRECYZOWANIA]: Kolejna rozbudowa odświeża czas, a nie mnożnik produkcji do×4.
Premia zaczyna się po ukończeniu;nowe błogosławieństwaODŁOŻONE.
U088 [NOWE DOPRECYZOWANIE]: Zawsze powiadomienie o ukończeniu budowy.
Dotychczas takżezlecenie,start i dostawa;nowealarmyopisanojakoprojekt,nie wdrożenie.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[POTWIERDZONE W ODPOWIEDZI]: Łącznie 5T = transport T + budowanie 4T.
Zastępuje sprzeczny nagłówek 6T.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Kaplica i latarnia [WYJAŚNIONE]: Błogosławieństwo należy do kaplicy; zwiedzanie do latarni. Oba prowadzą do bonusu/premii.
Czas i efekt pojedynczej wizyty nie są tym samym co automatyczna premia rozbudowy.
Latarnia: szczęście [ZMIENIONE]: Podczas premii wszyscy mają ustawione 100% szczęścia, nie dodane +100 pp.
Obie premie nadal 24 h × osiągnięty poziom; produkcja ×2; powrót do osobistych wartości po zakończeniu wymaga doprecyzowania.
Ranking [NOWE]: W ustawieniach ranking według wyniku: poziom ratusza × ilość złota.
Brak osobnych reguł remisu, częstotliwości aktualizacji i ochrony przed manipulacją stanem skarbca.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comment>
    <comment ref="M17" authorId="1" shapeId="0" xr:uid="{00000000-0006-0000-0100-000018000000}">
      <text>
        <r>
          <rPr>
            <sz val="10"/>
            <rFont val="Arial"/>
            <family val="2"/>
          </rPr>
          <t>6tragarzy dostępnychdla tejbudowy,poziom magazynuL,gotowe materiały,pełnykurs5min;jedenrodzajnakurs. Bez zbierania,karmienia,prerekwizytówiczasuoczekiwania.</t>
        </r>
      </text>
    </comment>
    <comment ref="N17" authorId="1" shapeId="0" xr:uid="{00000000-0006-0000-0100-000024000000}">
      <text>
        <r>
          <rPr>
            <sz val="10"/>
            <rFont val="Arial"/>
            <family val="2"/>
          </rPr>
          <t>6tragarzy dostępnychdla tejbudowy,poziom magazynuL,gotowe materiały,pełnykurs5min;jedenrodzajnakurs. Bez zbierania,karmienia,prerekwizytówiczasuoczekiwania.</t>
        </r>
      </text>
    </comment>
    <comment ref="O17" authorId="1" shapeId="0" xr:uid="{00000000-0006-0000-0100-000030000000}">
      <text>
        <r>
          <rPr>
            <sz val="10"/>
            <rFont val="Arial"/>
            <family val="2"/>
          </rPr>
          <t>6tragarzy dostępnychdla tejbudowy,poziom magazynuL,gotowe materiały,pełnykurs5min;jedenrodzajnakurs. Bez zbierania,karmienia,prerekwizytówiczasuoczekiwania.</t>
        </r>
      </text>
    </comment>
  </commentList>
</comments>
</file>

<file path=xl/sharedStrings.xml><?xml version="1.0" encoding="utf-8"?>
<sst xmlns="http://schemas.openxmlformats.org/spreadsheetml/2006/main" count="2511" uniqueCount="1533">
  <si>
    <t>HARBORLIGHT 2 • zmiany i komentarze uwzględnione</t>
  </si>
  <si>
    <t>Tylko Excel. Oryginał 1 z Twoimi komentarzami pozostaje. Wersja 2 zawiera aktualne tabele, przeliczone ładunki i czasy, osobne Premium, archiwum Twoich wpisów i pełne ustalenia. Bez zmian w kodzie gry.</t>
  </si>
  <si>
    <t>Obszar</t>
  </si>
  <si>
    <t>Co zmieniono</t>
  </si>
  <si>
    <t>Gdzie sprawdzić</t>
  </si>
  <si>
    <t>Główna tabela</t>
  </si>
  <si>
    <t>12 budynków + asset Człowiek; nowe koszty, limity własnego poziomu, efekty rozbudowy i czasy.</t>
  </si>
  <si>
    <t>Budynki</t>
  </si>
  <si>
    <t>Czasy</t>
  </si>
  <si>
    <t>5 min — pełny kurs, jeden rodzaj towaru, ładunki 60/66/72; Ratusz/Dom 2 T, Latarnia 5 T, Kaplica 4 T/7 T/10 T.</t>
  </si>
  <si>
    <t>Czas budowy: 74 warianty (37 etapów × bazowy/kolejka).</t>
  </si>
  <si>
    <t>Kolejka</t>
  </si>
  <si>
    <t>Pełny koszt przy zleceniu +10%; dopłata materiałowa zmienia liczbę kursów i czas.</t>
  </si>
  <si>
    <t>Normalnie L budów + L miejsc kolejki. Czekanie w kolejce jest wyłączone z estymat.</t>
  </si>
  <si>
    <t>Zatrudnienie</t>
  </si>
  <si>
    <t>Własny limit 12 × poziom budynku; produkcja 10, 12, 13, 14…; 5 min do pracy i do domu.</t>
  </si>
  <si>
    <t>Czlowiek / Produkcja</t>
  </si>
  <si>
    <t>Offline</t>
  </si>
  <si>
    <t>Cała gospodarka działa również offline: podatki, jedzenie, szczęście, populacja, produkcja, transport i budowa.</t>
  </si>
  <si>
    <t>Transport i priorytety; Czlowiek</t>
  </si>
  <si>
    <t>Koszty</t>
  </si>
  <si>
    <t>Magazyn/Targ: 300 L każdego zasobu; Port: 400 L; Ratusz/Dom: 500 L; Latarnia: 500 × max(1, L).</t>
  </si>
  <si>
    <t>Parametry / Czas budowy</t>
  </si>
  <si>
    <t>Transport</t>
  </si>
  <si>
    <t>Rezerwa Food: 50 × poziom magazynu; priorytety: zaopatrzenie, potem budowy; własne załogi targu i portu.</t>
  </si>
  <si>
    <t>Transport i priorytety. Ratunkowy próg Food wymaga spójnego doprecyzowania.</t>
  </si>
  <si>
    <t>Ceny</t>
  </si>
  <si>
    <t>Port: podstawowe 40/50, produkty 140/150 za 100; podwyżki zakupowe +10% liniowo. Ostatnia korekta dotyczy PORTU, nie TARGU.</t>
  </si>
  <si>
    <t>Przystan; Targ: bez monet, marża 10%.</t>
  </si>
  <si>
    <t>Terminy</t>
  </si>
  <si>
    <t>Towar w porcie/targu nieodebrany przez 24 h przepada; portowa opłata 10 monet została zniesiona.</t>
  </si>
  <si>
    <t>Terminy zegarowe, również offline.</t>
  </si>
  <si>
    <t>Premie i wizyty</t>
  </si>
  <si>
    <t>Kaplica = błogosławieństwo, Latarnia = zwiedzanie. Latarnia ustawia szczęście na 100%, nie dodaje +100.</t>
  </si>
  <si>
    <t>Blogoslawienstwa; szczegóły wizyt pozostają otwarte.</t>
  </si>
  <si>
    <t>Premium</t>
  </si>
  <si>
    <t>Zebrane oferty: 2× szybciej, natychmiast z zasobami, kup bez surowców, transport one-click, wcześniejsze +4/pipeline.</t>
  </si>
  <si>
    <t>Premium; ceny i limity do ustalenia później.</t>
  </si>
  <si>
    <t>Ludzie i ranking</t>
  </si>
  <si>
    <t>Nowi trafiają do domu, ubytek = odejście; priorytet: dom / największa załoga; ranking = Ratusz × złoto.</t>
  </si>
  <si>
    <t>Czlowiek; niepełna kolejność przy remisach w arkuszu Decyzje i konflikty.</t>
  </si>
  <si>
    <t>Twoje wpisy</t>
  </si>
  <si>
    <t>Zachowano wszystkie 75 tekstowych różnic, również notatki w komórkach, nie tylko komentarze Excel.</t>
  </si>
  <si>
    <t>Twoje wpisy v1 / Odpowiedzi i zmiany</t>
  </si>
  <si>
    <t>Niewybrane szczegóły</t>
  </si>
  <si>
    <t>Zablokowana produkcja i podatek, ratunkowy próg Food, kolejność remisów, globalność cen, oferty Premium.</t>
  </si>
  <si>
    <t>Decyzje i konflikty: jasno opisane luki, bez wymyślonych ustaleń.</t>
  </si>
  <si>
    <t>Nowe pomysły z repozytorium</t>
  </si>
  <si>
    <t>Shakomat na komórkę z kulką (pisownia źródłowa zachowana), ekspedycje, wyzwania do latarni. Bez dopisywania zasad.</t>
  </si>
  <si>
    <t>Pomysly — źródło: docs/arkusze/pomysły</t>
  </si>
  <si>
    <t>BUDYNKI V2 • uwzględnione wpisy i odpowiedzi</t>
  </si>
  <si>
    <t>Nowy plik 2; poprzednie pliki 0 i 1 pozostają. Czasy bazowe przy 6 DOSTĘPNYCH tragarzach, ładunki 60/66/72, pełny kurs 5 min. Bez zbierania, karmienia, oczekiwania w kolejce i wcześniejszych rozbudów. Kolejka ma osobne koszty i czasy z +10% w arkuszu Czas budowy. Wszystko działa offline.</t>
  </si>
  <si>
    <t>Budynek / asset</t>
  </si>
  <si>
    <t>Po co jest</t>
  </si>
  <si>
    <t>Ludzie</t>
  </si>
  <si>
    <t>Co daje rozbudowa</t>
  </si>
  <si>
    <t>Koszt bazowy</t>
  </si>
  <si>
    <t>Czas łączny</t>
  </si>
  <si>
    <t>Stan</t>
  </si>
  <si>
    <t>Notyfikacje</t>
  </si>
  <si>
    <t>Uwagi i reguły</t>
  </si>
  <si>
    <t>Twoje uwagi3 / doprecyzowania</t>
  </si>
  <si>
    <t>Źródło zmian</t>
  </si>
  <si>
    <t>1→2 transport+budowa</t>
  </si>
  <si>
    <t>2→3 transport+budowa</t>
  </si>
  <si>
    <t>3→4 transport+budowa</t>
  </si>
  <si>
    <t>Ratusz</t>
  </si>
  <si>
    <t>Wyznacza poziom gry i limity rozwoju; jest skarbcem monet i pokazuje podatek/h.</t>
  </si>
  <si>
    <t>Brak własnych pracowników.</t>
  </si>
  <si>
    <t>Maksymalna populacja: 24 × L; wyższy poziom innych budynków; L budów + L miejsc kolejki; lokalne bufory producentów: 200 × Ratusz.</t>
  </si>
  <si>
    <t>500×L KAŻDEGO z 6 zasobów</t>
  </si>
  <si>
    <t>2T = T transportu + T budowy</t>
  </si>
  <si>
    <t>Zasady uporządkowane; otwarte szczegóły w arkuszu Decyzje i konflikty.</t>
  </si>
  <si>
    <t>ZAWSZE: ukończenie budowy. Wcześniej także zlecenie/start/dostawa.</t>
  </si>
  <si>
    <t>Ranking = poziom ratusza × monety. L budów + L miejsc kolejki; zlecenia zakolejkowane mają koszt wyższy o 10%.</t>
  </si>
  <si>
    <t xml:space="preserve">Budowa:
Ratusz na poziomie 1 daje możliwość 1 rozbudowy w tym samym czasie i (o ile mam surowce) jednej zakolejkowanej, ale na tą zakolejkowaną muszę mieć surowce w momencie zlecania. Ratusz na poziomie 2 daje prawo do 2 budów I dwóch obiektów w kolejce pod tym samym warunkiem. Budynki zakolejkowane są o 10 % droższe niż te budowane bez kolejki. Później dopiszemy co oferuje premium (na pewno jedną z opcji będzie skróć czas budowy) </t>
  </si>
  <si>
    <t>Budynki!wiersz 6; potwierdzenia w Odpowiedzi i zmiany</t>
  </si>
  <si>
    <t>Dom</t>
  </si>
  <si>
    <t>Zapewnia miejsca mieszkalne, osobno od maksymalnego limitu ratusza.</t>
  </si>
  <si>
    <t>Miejsca: 24 × poziom domu; zmniejszenie kary przeludnienia. Panel pokazuje ludzi i przydziały oraz pozwala wysyłać wizyty do kaplicy i latarni.</t>
  </si>
  <si>
    <t>ZAWSZE: ukończenie budowy. Wcześniej także zlecenie/start/dostawa. NOWE: przeludnienie; proponujemy na zmianę stanu, nie co klatkę.</t>
  </si>
  <si>
    <t>Kara przeludnienia: max(0, P − 24 × poziom domu) pp/h każdej osobie. Nowi mieszkańcy zawsze trafiają do domu.</t>
  </si>
  <si>
    <t>Z poziomu domu widzę wszystkich ludzi gdzie są dopisani, mogę ich stąd wysyłać do kaplicy lub na latarnię</t>
  </si>
  <si>
    <t>Budynki!wiersz 7; potwierdzenia w Odpowiedzi i zmiany</t>
  </si>
  <si>
    <t>Farma</t>
  </si>
  <si>
    <t>Produkuje zboże do młyna, budowy i wymiany.</t>
  </si>
  <si>
    <t>Start: 0; limit 12 × WŁASNY poziom budynku, ograniczony liczbą istniejących dostępnych ludzi. Ratusz tylko ogranicza poziom rozbudowy.</t>
  </si>
  <si>
    <t>Własny poziom daje limit 12 × L pracowników i wydajność na osobę/h: 10, 12, 13, 14…; L1 = 10, L ≥ 2: L + 10. Bufor lokalny: 200 × Ratusz.</t>
  </si>
  <si>
    <t>L×(72 drewna+72 kamienia+120 zboża)</t>
  </si>
  <si>
    <t>ZAWSZE: ukończenie budowy. Wcześniej także zlecenie/start/dostawa. Powiadomienie o pełnym magazynie.</t>
  </si>
  <si>
    <t>Pełny lokalny bufor: produkcja STOP, osobny modyfikator −10…−50. Brak surowca/miejsca powoduje brak pracy; podatek i bonus +1 przy blokadzie pozostają do decyzji. Droga: 5 min w każdą stronę; drewno i zboże przez centralę.</t>
  </si>
  <si>
    <t xml:space="preserve">Do wszystkich produkcyjnych, zwiększenie levelu zwiększa produkcję na 1 h, dla levelu 1 jest to 10 szt / h dla levelu 2 będzie to 12, dla levelu 3 -13 dla 4 - 14 etc 
W premium dla wszystkich produkcyjnych możłiwość natychmiastowego transportu do magazynu  oneclickiem. </t>
  </si>
  <si>
    <t>Budynki!wiersz 8; potwierdzenia w Odpowiedzi i zmiany</t>
  </si>
  <si>
    <t>Młyn</t>
  </si>
  <si>
    <t>Przetwarza 2 zboża z centrali→1 żywność do lokalnego bufora.</t>
  </si>
  <si>
    <t>Budynki!wiersz 9; potwierdzenia w Odpowiedzi i zmiany</t>
  </si>
  <si>
    <t>Drwale</t>
  </si>
  <si>
    <t>Produkują drewno do tartaku i budowy.</t>
  </si>
  <si>
    <t>Budynki!wiersz 10; potwierdzenia w Odpowiedzi i zmiany</t>
  </si>
  <si>
    <t>Tartak</t>
  </si>
  <si>
    <t>Przetwarza 2 drewna z centrali→1 deskę do lokalnego bufora.</t>
  </si>
  <si>
    <t>Budynki!wiersz 11; potwierdzenia w Odpowiedzi i zmiany</t>
  </si>
  <si>
    <t>Kamieniołom</t>
  </si>
  <si>
    <t>Produkuje kamień do budowy i wymiany.</t>
  </si>
  <si>
    <t>Budynki!wiersz 12; potwierdzenia w Odpowiedzi i zmiany</t>
  </si>
  <si>
    <t>Magazyn</t>
  </si>
  <si>
    <t>Przechowuje materiały; własna załoga nosi produkcję do centrali i materiały na budowy. Ludzie jedzą z centrali automatycznie.</t>
  </si>
  <si>
    <t>Limit załogi: 12 × własny L; ładunek na kurs +10%/poziom. Pojemność ×1.5/poziom; magazyn/port: 1000 na rodzaj i 4000 łącznie na poziomie 1; targ: 1000 łącznie na poziomie 1.</t>
  </si>
  <si>
    <t>300 × L każdego z 6 zasobów; w kolejce ×1,1.</t>
  </si>
  <si>
    <t>Rezerwa Food: 50 × poziom magazynu. Domyślnie uzupełnij centralę, potem budowy. Zmienne priorytety według budynku/zlecenia; ratunkowy 1 tragarz Food — próg do doprecyzowania. Pełny kurs: 5 min, 1 rodzaj towaru; niepełny ładunek wysyłany od razu.</t>
  </si>
  <si>
    <t>Transport. Nie rozróżniamy odległości, transport produków zawsze trwa 5 min z/do magazynu x capacity tragarza czyli jeżeli tragarz bierze 60 a potrzebuje przenieść 100 to I tak musi wykonać 2 kursy w jednym bierze 60 w drugim 40, tragarz nie może brać 2 produktow na raz, nie może czekać na towar. Jak klikam rozbudowa np drwala podświetla sie napis ile potrzeba surowców a ile zostało już dostarczonych np 60 /100 i estymowany czas zakońćzenia budowy czyli suma czasu transportu przy aktualnych ustawieniach priorytetów, i budowy. Z poziomu magazynu domyślne prirytety jest najpierw zaopatrz magazyn pózniej budowy, można je zmieniać, dodatkowo też można zmienić ustalić prio na konkretne gospodarstwo bądz konretną budowę, 1 tragarz zawsze będzie nosił żywność o ile jest wyprodukowana a w magazynie jest mniej niż 50 
Premium szybszy transport do puntu odbioru</t>
  </si>
  <si>
    <t>Budynki!wiersz 13; potwierdzenia w Odpowiedzi i zmiany</t>
  </si>
  <si>
    <t>Targ</t>
  </si>
  <si>
    <t>Od poziomu gracza 2: wymiana w grupach drewno/kamień/zboże lub deski/żywność, nominalnie 1:1 z marżą 10%. Bez kupowania za monety.</t>
  </si>
  <si>
    <t>Własna załoga w obu kierunkach. Barter w 2 grupach, marża 10%, bez monet. Pozostaje blokada dostaw 1 h; zapas przepada po 24 h od przyniesienia/wymiany.</t>
  </si>
  <si>
    <t>Premium transport oneclick
Ceny grupa 2 140/150</t>
  </si>
  <si>
    <t>Budynki!wiersz 14; potwierdzenia w Odpowiedzi i zmiany</t>
  </si>
  <si>
    <t>Przystań</t>
  </si>
  <si>
    <t>Od poziomu gracza 4: kupno i sprzedaż pięciu materiałów za monety. Wyłącznie pełne paczki 100. Monety są środkiem płatności, nie osobnym towarem.</t>
  </si>
  <si>
    <t>400 × L każdego z 6 zasobów; w kolejce ×1,1.</t>
  </si>
  <si>
    <t>Za 100: podstawowe 40/50, przetworzone 140/150. Podwyżka zakupu liniowo +10% w 3 h. Własna załoga, dwa cykle; statek = pojemność portu; płatność za sprzedaż przy wypłynięciu, za zakup przy przypłynięciu. Nieodebrane przez 24 h przepada, bez opłaty 10.</t>
  </si>
  <si>
    <t xml:space="preserve">Tempo załogi jak w magazynie, premium jak w magazynie </t>
  </si>
  <si>
    <t>Budynki!wiersz 15; potwierdzenia w Odpowiedzi i zmiany</t>
  </si>
  <si>
    <t>Kaplica</t>
  </si>
  <si>
    <t>Daje premie szczęścia i podatków po rozbudowie; dotychczas była miejscem ręcznych błogosławieństw.</t>
  </si>
  <si>
    <t>Brak etatów; wizyty nie są zatrudnieniem.</t>
  </si>
  <si>
    <t>+1 użycie dotychczasowego błogosławieństwa; rozbudowa do N: +10 × N szczęścia, podatki ×2 na 10 h. Kaplica = błogosławieństwo.</t>
  </si>
  <si>
    <t>TYMCZASOWO:N×(180 monet+20 drewna+60 kamienia+10 desek). N=nowy poziom.</t>
  </si>
  <si>
    <t>T transportu + 3T × (N − 1) budowy; N = nowy poziom. Łącznie: 4T, 7T, 10T…</t>
  </si>
  <si>
    <t>ZAWSZE: ukończenie budowy. Wcześniej także zlecenie/start/dostawa. Uruchomienie premii i ręczne błogosławieństwo.</t>
  </si>
  <si>
    <t>Ręczne: +50 każdego zasobu, +20 szczęścia na 1 h; nowe odstępy i reklamy nadal odłożone. Wyjaśnienie dawnych notatek D09/D16 w arkuszu Decyzje i konflikty.</t>
  </si>
  <si>
    <t>Budynki!wiersz 16; potwierdzenia w Odpowiedzi i zmiany</t>
  </si>
  <si>
    <t>Latarnia</t>
  </si>
  <si>
    <t>Daje premie szczęścia i produkcji po ukończeniu poziomu.</t>
  </si>
  <si>
    <t>Ustawia efektywne szczęście wszystkich na 100% i produkcję ×2 na 24 h × N. Latarnia = zwiedzanie; szczegóły wizyt nie zostały jeszcze opisane.</t>
  </si>
  <si>
    <t>500×max(1, L) KAŻDEGO z 6 zasobów. Pierwsza budowa 0→1:500 każdego.</t>
  </si>
  <si>
    <t>5T = T transportu + 4T budowy</t>
  </si>
  <si>
    <t>ZAWSZE: ukończenie budowy. Wcześniej także zlecenie/start/dostawa. Uruchomienie premii latarni.</t>
  </si>
  <si>
    <t>100% to nie +100; wszyscy mają maksymalne efektywne szczęście w czasie premii. Produkcja ×2, podatki i transport bez mnożnika. Wizyta niesprecyzowana, premium osobno.</t>
  </si>
  <si>
    <t>Nowe błogosławieństwo: kasa/challenge/udostępnienie/reklama. Zgodnie z decyzją użytkownika szczegóły ODŁOŻONE. Brak cen ani zatwierdzonej integracji.</t>
  </si>
  <si>
    <t>Budynki!wiersz 17; potwierdzenia w Odpowiedzi i zmiany</t>
  </si>
  <si>
    <t>CZŁOWIEK — ASSET</t>
  </si>
  <si>
    <t>Je, pracuje, produkuje/nosi, płaci podatki; własna historia szczęścia.</t>
  </si>
  <si>
    <t>12 na starcie w domu; min. 6, max. 24 × Ratusz; jedno zatrudnienie, limit 12 × własny poziom budynku.</t>
  </si>
  <si>
    <t>Nie ulepsza się osoby poziomem; zmieniają się warunki życia i pracy.</t>
  </si>
  <si>
    <t>Utrzymanie: 1 Food/os./h; kupowania ludzi nie ustalono.</t>
  </si>
  <si>
    <t>Demografia zależy od średniego H, liczona zegarowo także offline.</t>
  </si>
  <si>
    <t>Karta Czlowiek zaktualizowana.</t>
  </si>
  <si>
    <t>Odejście, nigdy śmierć; nowy mieszkaniec zawsze w domu.</t>
  </si>
  <si>
    <t>+1 za jedzenie, +1 za pracę; po 12 h braku danego warunku −5; oba braki −10/h. Przeludnienie i osobne kary pełnego bufora. Podatki 1/h; wizyty po zdefiniowaniu.</t>
  </si>
  <si>
    <t>Brak oferty sprzedaży osób.</t>
  </si>
  <si>
    <t>Odejścia:najpierwDom,potemnajwiększazałoga;remisywgpriorytetów;patrzCzlowiek.</t>
  </si>
  <si>
    <t>Czlowiek/Ustalenia/Populacja; potwierdzeniaoffline.</t>
  </si>
  <si>
    <t>Nie dotyczy.</t>
  </si>
  <si>
    <t>CZŁOWIEK • zaktualizowany asset</t>
  </si>
  <si>
    <t>Wersja 2: własny limit budynku 12×L, 5 min do pracy i 5 min do domu, cała gospodarka offline; nowi ludzie do Domu, ubytek to odejście. Latarnia ustawia 100%, nie dodaje 100. Tematy wizyt i zablokowanej produkcji oznaczone tam, gdzie brakuje szczegółów.</t>
  </si>
  <si>
    <t>Stan / obszar</t>
  </si>
  <si>
    <t>Zasada</t>
  </si>
  <si>
    <t>Wzór / liczby</t>
  </si>
  <si>
    <t>Konsekwencje</t>
  </si>
  <si>
    <t>Status</t>
  </si>
  <si>
    <t>Rola assetu</t>
  </si>
  <si>
    <t>Każda osoba ma trwałe ID, własne szczęście, stan pracy/pobytu i niezależne liczniki głodu oraz bezrobocia.</t>
  </si>
  <si>
    <t>12 na starcie; minimum 6; maksimum 24 × poziom ratusza.</t>
  </si>
  <si>
    <t>Nowe osoby trafiają do domu. Ubytek oznacza odejście, nie śmierć.</t>
  </si>
  <si>
    <t>UZGODNIONE; NOWE DOPRECYZOWANIA</t>
  </si>
  <si>
    <t>Start i dom</t>
  </si>
  <si>
    <t>Na starcie wszyscy ludzie są w domu, bez przypisania do gospodarki. Z domu widać ich przydziały; można kierować do kaplicy i latarni.</t>
  </si>
  <si>
    <t>12 w domu, 0 pracowników we wszystkich budynkach; każdy zasób na starcie 100.</t>
  </si>
  <si>
    <t>Przed pierwszym przydziałem nie ma produkcji ani podatków, ale ludzie jedzą.</t>
  </si>
  <si>
    <t>UZGODNIONE / NOWE</t>
  </si>
  <si>
    <t>Limit miejsca pracy</t>
  </si>
  <si>
    <t>Limit zależy od poziomu konkretnego miejsca pracy, nie samego ratusza. Jedna wspólna pula wolnych ludzi.</t>
  </si>
  <si>
    <t>0…12 × poziom budynku; nowy przydział ograniczony faktycznie wolnymi osobami w domu.</t>
  </si>
  <si>
    <t>Ratusz 2 i drwale 1: limit drwali nadal 12. Drwale 2: limit 24, jeżeli tylu wolnych istnieje. Nie wolno ulepszyć ponad ratusz.</t>
  </si>
  <si>
    <t>ZMIENIONE I WYJAŚNIONE</t>
  </si>
  <si>
    <t>Jedzenie</t>
  </si>
  <si>
    <t>Każdy je automatycznie wyłącznie z magazynu centralnego, niezależnie od pracy lub drogi.</t>
  </si>
  <si>
    <t>1 Food/os./h zegarowej.</t>
  </si>
  <si>
    <t>Lokalny młyn, targ i port nie karmią bez przewiezienia do centrali. Rezerwę można zjadać.</t>
  </si>
  <si>
    <t>UZGODNIONE; CZAS ZEGAROWY</t>
  </si>
  <si>
    <t>Rezerwa jedzenia</t>
  </si>
  <si>
    <t>Rezerwa na żywienie rośnie z poziomem magazynu. Operacje nieżywieniowe mają ją zachować.</t>
  </si>
  <si>
    <t>Minimum Food = 50 × poziom magazynu.</t>
  </si>
  <si>
    <t>Osobny wpis mówi o tragarzu żywności dopiero poniżej 50; próg 50 kontra 50 × poziom pozostaje do ujednolicenia.</t>
  </si>
  <si>
    <t>NOWE; PRÓG TRAGARZA DO DECYZJI</t>
  </si>
  <si>
    <t>Praca producenta</t>
  </si>
  <si>
    <t>Wydajność na osobę wynika z własnego poziomu producenta.</t>
  </si>
  <si>
    <t>Poziomy 1,2,3,4: dokładnie 10,12,13,14 szt./h; dalej +1 szt./h na poziom.</t>
  </si>
  <si>
    <t>Wybrany dosłowny ciąg zastępuje sprzeczny ogólny zapis +10%. Głód ×0,5, premia latarni ×2.</t>
  </si>
  <si>
    <t>POTWIERDZONE W ODPOWIEDZI</t>
  </si>
  <si>
    <t>Całe sztuki</t>
  </si>
  <si>
    <t>Każdy pracownik nalicza własny postęp; niedokończone części różnych osób nie łączą się. Zwolnienie odrzuca jego niedokończoną sztukę.</t>
  </si>
  <si>
    <t>Na poziomie 1: jedna sztuka/6 min; po 7 min 1, po 13 min 2. Na wyższych poziomach odstęp = 3600 / wydajność sekund.</t>
  </si>
  <si>
    <t>Gotowy produkt zostaje w lokalnym buforze i wymaga transportu.</t>
  </si>
  <si>
    <t>UZGODNIONE; DOSTOSOWANE DO WYDAJNOŚCI</t>
  </si>
  <si>
    <t>Przeróbka</t>
  </si>
  <si>
    <t>Młyn i tartak zużywają surowce centralne; zboże i drewno idą przez magazyn.</t>
  </si>
  <si>
    <t>2 zboża → 1 Food; 2 drewna → 1 deska.</t>
  </si>
  <si>
    <t>Brak surowca lub miejsca zatrzymuje pracę. Nowy wpis nakazuje karę za brak pracy także mimo przypisania; szczegóły podatku do decyzji.</t>
  </si>
  <si>
    <t>UZGODNIONE + NOWY PRZESTÓJ</t>
  </si>
  <si>
    <t>Tragarz wiezie jeden rodzaj towaru, nie czeka na pełne obłożenie. Pojemność to ładunek na kurs, nie sztuki na godzinę.</t>
  </si>
  <si>
    <t>Poziom 1: 60 szt./kurs; pełny kurs z powrotem 5 min; pojemność rośnie o 10% na poziom miejsca pracy.</t>
  </si>
  <si>
    <t>100 jednego towaru wymaga dwóch kursów: 60 i 40. Magazyn, targ i port stosują takie same bazowe zasady; własne załogi.</t>
  </si>
  <si>
    <t>POTWIERDZONE; ZAOKRĄGLENIE POJEMNOŚCI DO DECYZJI</t>
  </si>
  <si>
    <t>Podatek przy pracy</t>
  </si>
  <si>
    <t>Pracujący płaci podatek, bezrobotny lub idący do domu nie płaci. Premia kaplicy podwaja dochód.</t>
  </si>
  <si>
    <t>1 moneta/os./h zegarowej; podczas premii kaplicy 2.</t>
  </si>
  <si>
    <t>Dla osoby przypisanej, ale zablokowanej brakiem surowca lub miejsca, nowe zasady wymagają kary za brak pracy; dalsze naliczanie podatku nie zostało rozstrzygnięte.</t>
  </si>
  <si>
    <t>UZGODNIONE; PODATEK PODCZAS PRZESTOJU DO DECYZJI</t>
  </si>
  <si>
    <t>Je i pracuje</t>
  </si>
  <si>
    <t>Sumują się bonus jedzenia i bonus pracy.</t>
  </si>
  <si>
    <t>+1 pp/h za jedzenie +1 pp/h za pracę = +2 pp/h.</t>
  </si>
  <si>
    <t>Od osobistego 0% po 10 h takiego stanu ma 20%.</t>
  </si>
  <si>
    <t>UZGODNIONE</t>
  </si>
  <si>
    <t>Je, bez pracy do 12 h</t>
  </si>
  <si>
    <t>Jedzenie daje bonus; pierwszy ciągły okres bezrobocia nie jest jeszcze karany.</t>
  </si>
  <si>
    <t>+1 pp/h.</t>
  </si>
  <si>
    <t>Po 10 h pracy i jedzenia ma 20%; następne 12 h jedzenia bez pracy daje 32%.</t>
  </si>
  <si>
    <t>Je, bez pracy ponad 12 h</t>
  </si>
  <si>
    <t>Po okresie bez kary dochodzi kara bezrobocia.</t>
  </si>
  <si>
    <t>+1 za jedzenie −5 za bezrobocie = −4 pp/h.</t>
  </si>
  <si>
    <t>Po powyższym 32% następna godzina bezrobocia daje 28%.</t>
  </si>
  <si>
    <t>Nie je do 12 h, pracuje</t>
  </si>
  <si>
    <t>Nie dostaje bonusu jedzenia, dostaje bonus pracy; jeszcze bez kary głodu.</t>
  </si>
  <si>
    <t>+1 pp/h; wydajność pracy 50% od początku głodu.</t>
  </si>
  <si>
    <t>Podatek pracującego nie zmniejsza się z powodu głodu.</t>
  </si>
  <si>
    <t>Nie je ponad 12 h, pracuje</t>
  </si>
  <si>
    <t>Po okresie bez kary dochodzi kara głodu.</t>
  </si>
  <si>
    <t>+1 za pracę −5 za głód = −4 pp/h.</t>
  </si>
  <si>
    <t>Wydajność 50%; podatek pracującego nadal 1 moneta/h przed premią kaplicy.</t>
  </si>
  <si>
    <t>Nie je i nie pracuje</t>
  </si>
  <si>
    <t>Głód i bezrobocie liczą się niezależnie i sumują.</t>
  </si>
  <si>
    <t>0 pp/h, gdy oba braki &lt;12 h; −5 pp/h, gdy tylko jeden przekroczył próg; −10 pp/h, gdy oba.</t>
  </si>
  <si>
    <t>Brak produkcji i podatku. Progi nie muszą wystąpić jednocześnie.</t>
  </si>
  <si>
    <t>Resety</t>
  </si>
  <si>
    <t>Jedzenie resetuje tylko głód, a podjęcie pracy tylko bezrobocie. Brak naliczania kary wstecz.</t>
  </si>
  <si>
    <t>Każdy brak ma osobne 12 ciągłych godzin bez kary.</t>
  </si>
  <si>
    <t>Reset licznika nie oddaje utraconego szczęścia i nie kasuje historii człowieka. Przestój rzeczywistej pracy wymaga doprecyzowania tego resetu.</t>
  </si>
  <si>
    <t>UZGODNIONE; PRZESTÓJ DO DOPRECYZOWANIA</t>
  </si>
  <si>
    <t>Droga do pracy</t>
  </si>
  <si>
    <t>Po wysłaniu do nowego miejsca pracy osoba idzie przez ustalony czas.</t>
  </si>
  <si>
    <t>5 min do pracy.</t>
  </si>
  <si>
    <t>W drodze nie produkuje. Podatek i bonus pracy w czasie dojścia nie zostały określone osobno; proponowany brak pracy do chwili dojścia należy oznaczyć jako propozycję.</t>
  </si>
  <si>
    <t>NOWE; EFEKTY W DRODZE DO USTALENIA</t>
  </si>
  <si>
    <t>Powrót do domu</t>
  </si>
  <si>
    <t>Zwolniony zawsze wraca do domu; dopiero po powrocie może być ponownie przydzielony.</t>
  </si>
  <si>
    <t>5 min do domu.</t>
  </si>
  <si>
    <t>Nie pracuje, nie płaci podatku; je i jest liczony jako bezrobotny od zwolnienia. Zachowuje ID oraz szczęście.</t>
  </si>
  <si>
    <t>Przestój gospodarczy</t>
  </si>
  <si>
    <t>Brak surowca lub miejsca zatrzymuje produkcję i według nowej notatki powoduje karę za brak pracy.</t>
  </si>
  <si>
    <t>Docelowo zastosowanie kary bezrobocia −5 pp/h po 12 h wymaga zgodności z dotychczasowym algorytmem.</t>
  </si>
  <si>
    <t>Nie wiadomo, czy nadal działa +1 za przypisanie, czy płynie podatek i kiedy resetuje się licznik. Nie zapisano tego jako gotowej decyzji.</t>
  </si>
  <si>
    <t>NOWE; SZCZEGÓŁY DO DECYZJI</t>
  </si>
  <si>
    <t>Pełny lokalny magazyn</t>
  </si>
  <si>
    <t>Produkcja staje. Kara szczęścia dotyczy załogi zapełnionego budynku.</t>
  </si>
  <si>
    <t>−10 od razu; po 24 h −20, 48 h −30, 72 h −40, 96 h i dalej −50.</t>
  </si>
  <si>
    <t>Nigdy mniej niż −50 z tego tytułu. To osobny modyfikator, nie −10 pp/h. Opróżnienie poniżej limitu usuwa ten modyfikator. Nowa kara przestoju może być drugą karą — do rozstrzygnięcia.</t>
  </si>
  <si>
    <t>Przeludnienie</t>
  </si>
  <si>
    <t>Brak miejsca w domu zmniejsza szczęście każdej osoby; limit populacji nadal wyznacza ratusz.</t>
  </si>
  <si>
    <t>U = max(0, populacja − 24 × poziom domu); każdemu −U pp/h.</t>
  </si>
  <si>
    <t>78 osób i 72 miejsca → −6 pp/h każdej osobie. Zapewnienie miejsc zatrzymuje przyszłą karę, bez zwrotu utraconych punktów.</t>
  </si>
  <si>
    <t>Kaplica: premia poziomu</t>
  </si>
  <si>
    <t>Rozbudowa do N daje bonus szczęścia i podatków; poziom 1 bez pasywnej premii.</t>
  </si>
  <si>
    <t>+10 × N szczęścia wszystkim i podatki ×2 przez 10 h zegarowych.</t>
  </si>
  <si>
    <t>Premia czasowa, nie +10 × N pp co godzinę. Kolejna rozbudowa odświeża okres, nie robi podatków ×4.</t>
  </si>
  <si>
    <t>Kaplica: błogosławieństwo</t>
  </si>
  <si>
    <t>Ręczne błogosławieństwo należy do kaplicy; latarnia oferuje zwiedzanie.</t>
  </si>
  <si>
    <t>Dotychczas +50 każdego zasobu i +20 szczęścia wszystkim na 1 h.</t>
  </si>
  <si>
    <t>Nowe odstępy, płatne użycia, reklamy i konflikt natychmiastowego użycia pozostają odłożone. Przydział ludzi do wizyty i zasięg nagrody wymagają osobnej reguły.</t>
  </si>
  <si>
    <t>NAZWA WYJAŚNIONA; NOWE OFERTY ODŁOŻONE</t>
  </si>
  <si>
    <t>Latarnia: premia poziomu</t>
  </si>
  <si>
    <t>W czasie premii wszyscy mają maksymalne szczęście, a produkcja materiałów jest podwojona.</t>
  </si>
  <si>
    <t>Szczęście USTAWIONE NA100%, nie +100; produkcja ×2. Obie premie 24 h × N.</t>
  </si>
  <si>
    <t>Osoba −50% ma mieć 100%, nie 50%. Nie ustalono jeszcze, jak powrócić do osobistej wartości po końcu tej wymuszonej premii. Podatki i transport bez mnożnika latarni.</t>
  </si>
  <si>
    <t>NOWA ZMIANA; ZAKOŃCZENIE EFEKTU DO DOPRECYZOWANIA</t>
  </si>
  <si>
    <t>Latarnia: zwiedzanie</t>
  </si>
  <si>
    <t>Dom pozwala wysłać mieszkańca do latarni na zwiedzanie prowadzące do premii.</t>
  </si>
  <si>
    <t>Czas pobytu i konkretna premia za wizytę nie zostały określone.</t>
  </si>
  <si>
    <t>Nie należy utożsamiać automatycznie bonusu wizyty z globalną premią rozbudowy latarni.</t>
  </si>
  <si>
    <t>NOWE; DO USTALENIA</t>
  </si>
  <si>
    <t>Średnia i prezentacja</t>
  </si>
  <si>
    <t>Osobiste wartości ograniczamy do −100…+100%, następnie liczymy średnią populacji.</t>
  </si>
  <si>
    <t>H wyspy = suma H osób / populacja.</t>
  </si>
  <si>
    <t>Pokazujemy pełne procenty zaokrąglone w górę. W obliczeniach zachowujemy ułamki. Czasowy force 100 latarni jest wyjątkiem wymagającym obsługi końca efektu.</t>
  </si>
  <si>
    <t>UZGODNIONE + NOWA LATARNIA</t>
  </si>
  <si>
    <t>Tempo demografii</t>
  </si>
  <si>
    <t>Dodatnia dokładna średnia daje przyrost, ujemna odejścia, 0% brak zmiany.</t>
  </si>
  <si>
    <t>±25%: 1/12 h; ±50%: 1/6 h; ±75%: około 1/1 h 43 min; ±100%: 1/h.</t>
  </si>
  <si>
    <t>Odejścia mają symetryczne tempo do przyrostu. Minimum 6; maksimum 24 × ratusz, nie pojemność domu.</t>
  </si>
  <si>
    <t>UZGODNIONE I POTWIERDZONE</t>
  </si>
  <si>
    <t>Nowy mieszkaniec</t>
  </si>
  <si>
    <t>Nowa osoba zawsze trafia do domu i jest dostępna z domowej puli.</t>
  </si>
  <si>
    <t>Wcześniejszy model: własne szczęście 0% przed aktualnymi premiami wyspy.</t>
  </si>
  <si>
    <t>Nie przydziela się automatycznie do produkcji. Brak mieszkań może uruchomić karę przeludnienia.</t>
  </si>
  <si>
    <t>NOWE MIEJSCE; SZCZĘŚCIE 0 PRZYJĘTE WCZEŚNIEJ W MODELU</t>
  </si>
  <si>
    <t>Odejście mieszkańca</t>
  </si>
  <si>
    <t>Najpierw odchodzą osoby z domu. Jeśli ich brak, z gospodarstwa o największej obsadzie.</t>
  </si>
  <si>
    <t>Przy remisie: port → tartak → kamieniołom → drwale → na końcu produkcja żywności i transport.</t>
  </si>
  <si>
    <t>Kolejność targu, rozróżnienie farmy/młyna, ludzi w drodze lub na wizytach nie zostały określone. Nigdy poniżej 6 osób.</t>
  </si>
  <si>
    <t>NOWE; NIEPEŁNA KOLEJNOŚĆ REMISÓW</t>
  </si>
  <si>
    <t>Czas świata</t>
  </si>
  <si>
    <t>Wszystkie procesy działają w czasie rzeczywistym zegarowym także po zamknięciu karty i wylogowaniu.</t>
  </si>
  <si>
    <t>Produkcja, jedzenie, szczęście, podatki, budowy i zegary także offline.</t>
  </si>
  <si>
    <t>Przyspieszenia mają działać czasowo z premiami; dokładne mnożniki i zakres przyspieszeń są jeszcze nieustalone. To zastępuje wcześniejsze zatrzymywanie po ukryciu/offline.</t>
  </si>
  <si>
    <t>Ranking</t>
  </si>
  <si>
    <t>Ranking w ustawieniach według poziomu i posiadanych monet.</t>
  </si>
  <si>
    <t>Wynik = poziom ratusza × ilość złota.</t>
  </si>
  <si>
    <t>Moment aktualizacji i remisy nie zostały doprecyzowane. Wydanie monet może obniżyć wynik.</t>
  </si>
  <si>
    <t>NOWE</t>
  </si>
  <si>
    <t>PRODUKCJA I ŁADUNEK • korzyść własnego poziomu</t>
  </si>
  <si>
    <t>Użytkownik potwierdził dokładnie 10, 12, 13, 14… zamiast ogólnego +10%. Poziom producenta wpływa na wydajność i limit 12 × L; Ratusz jest warunkiem rozbudowy. Ładunek dotyczy własnego poziomu budynku transportowego; głód obniża efektywną wydajność transportu o połowę.</t>
  </si>
  <si>
    <t>Poziom budynku</t>
  </si>
  <si>
    <t>Wydajność/os./h</t>
  </si>
  <si>
    <t>Wydajność głodnego/os./h</t>
  </si>
  <si>
    <t>Limit załogi</t>
  </si>
  <si>
    <t>Ładunek magazyn/targ/port</t>
  </si>
  <si>
    <t>Uwagi</t>
  </si>
  <si>
    <t>Każda osoba osobno; całe sztuki i własna faza pracy. Młyn/tartak nadal 2:1. Bufor lokalny nadal 200×Ratusz.</t>
  </si>
  <si>
    <t>USTALENIA V2 • starsze wartości zastąpione jawnie</t>
  </si>
  <si>
    <t>Pełny rejestr dotychczasowych ustaleń z aktualizacją po pliku 1 i odpowiedziach. ZASTĄPIONE oznacza historię, nie obecną zasadę. Nowe komentarze źródłowe zachowano osobno. Bez implementacji w grze.</t>
  </si>
  <si>
    <t>ID</t>
  </si>
  <si>
    <t>Assety</t>
  </si>
  <si>
    <t>Uwagi / źródło</t>
  </si>
  <si>
    <t>U001</t>
  </si>
  <si>
    <t>Start</t>
  </si>
  <si>
    <t>Wszystkie</t>
  </si>
  <si>
    <t>AKTUALNE</t>
  </si>
  <si>
    <t>Nowa wyspa: Ratusz 1, Dom 1,12 mieszkańców, szczęście 0; 100 każdego zasobu.</t>
  </si>
  <si>
    <t>Zasoby: monety, drewno, kamień, zboże, Food, deski.</t>
  </si>
  <si>
    <t>U002</t>
  </si>
  <si>
    <t>Człowiek</t>
  </si>
  <si>
    <t>NOWSZE USTALENIE</t>
  </si>
  <si>
    <t>W gospodarce 0 pracowników na starcie; 12 wolnych ludzi do ręcznego przydziału.</t>
  </si>
  <si>
    <t>Zastępuje wcześniejsze 6 startowych przydziałów.</t>
  </si>
  <si>
    <t>U003</t>
  </si>
  <si>
    <t>Odświeżenie zachowuje postęp; zestaw startowy nie jest przyznawany ponownie.</t>
  </si>
  <si>
    <t>Logowanie i serwer to przyszły zakres; plik Excel niczego nie wdraża.</t>
  </si>
  <si>
    <t>U004</t>
  </si>
  <si>
    <t>Poziom</t>
  </si>
  <si>
    <t>Poziom gracza=poziom Ratusza.</t>
  </si>
  <si>
    <t>Ratusz nie zatrudnia pracowników.</t>
  </si>
  <si>
    <t>U005</t>
  </si>
  <si>
    <t>Pozostałe budynki mogą mieć najwyżej poziom Ratusza.</t>
  </si>
  <si>
    <t>Podniesienie ratusza odblokowuje możliwość rozbudowy, nie wykonuje jej za gracza.</t>
  </si>
  <si>
    <t>U006</t>
  </si>
  <si>
    <t>Ludność</t>
  </si>
  <si>
    <t>Teoretyczny limit mieszkańców=24×poziom Ratusza.</t>
  </si>
  <si>
    <t>Przykład Ratusz 4→96; Ratusz 6→144. To limit, nie automatyczna liczba osób.</t>
  </si>
  <si>
    <t>U007</t>
  </si>
  <si>
    <t>Mieszkania</t>
  </si>
  <si>
    <t>Dom daje 24×swój poziom miejsc mieszkalnych.</t>
  </si>
  <si>
    <t>Ratusz i Dom mają niezależne limity; Ratusz 4, Dom 3→limit 96, miejsca 72.</t>
  </si>
  <si>
    <t>U008</t>
  </si>
  <si>
    <t>Dom;Człowiek</t>
  </si>
  <si>
    <t>Przeludnienie U=max(0, P−24×poziom Domu). Każdej osobie naliczamy−Upp/h.</t>
  </si>
  <si>
    <t>78 osób/72 miejsca→−6 pp/h każdemu; kara sumuje się z innymi stawkami.</t>
  </si>
  <si>
    <t>U009</t>
  </si>
  <si>
    <t>Nowe miejsca po ukończeniu Domu zatrzymują przyszłą karę w pokrytym zakresie, bez zwracania utraconego szczęścia.</t>
  </si>
  <si>
    <t>Nie ma natychmiastowego dodania ludzi po rozbudowie.</t>
  </si>
  <si>
    <t>U010</t>
  </si>
  <si>
    <t>Limit pracy</t>
  </si>
  <si>
    <t>Człowiek;Wszystkie</t>
  </si>
  <si>
    <t>POTWIERDZONE V2</t>
  </si>
  <si>
    <t>Limit każdego miejsca pracy=12×POZIOM TEGO BUDYNKU, ograniczony faktyczną pulą wolnych.</t>
  </si>
  <si>
    <t>Drwale 1:max 12; Ratusz 2 bezdrwali 2 nicniezmienia; drwale 2:max 24.</t>
  </si>
  <si>
    <t>U011</t>
  </si>
  <si>
    <t>ZASTĄPIONE</t>
  </si>
  <si>
    <t>Wcześniej limit zapisano jako połowę aktualnej populacji.</t>
  </si>
  <si>
    <t>W tym Excelu po najnowszym doprecyzowaniu obowiązuje połowa MAKSIMUM z Ratusza.</t>
  </si>
  <si>
    <t>U012</t>
  </si>
  <si>
    <t>Miejsca pracy</t>
  </si>
  <si>
    <t>Dokładnie 8:farma, młyn, drwale, tartak, kamieniołom, magazyn, przystań, targ.</t>
  </si>
  <si>
    <t>Ratusz, Dom, Kaplica, Latarnia bez własnych pracowników.</t>
  </si>
  <si>
    <t>U013</t>
  </si>
  <si>
    <t>Przydział</t>
  </si>
  <si>
    <t>Jedna osoba ma najwyżej jedno miejsce pracy; nie można zatrudnić ludzi już przypisanych lub w drodze do domu.</t>
  </si>
  <si>
    <t>Wolni=obecna populacja−przypisani−wracający.</t>
  </si>
  <si>
    <t>U014</t>
  </si>
  <si>
    <t>Powrót</t>
  </si>
  <si>
    <t>5 min do domu i 5 min z domu do nowej pracy.</t>
  </si>
  <si>
    <t>W drodze nie pracuje i nie jest dostępny do innego przydziału.</t>
  </si>
  <si>
    <t>U015</t>
  </si>
  <si>
    <t>Dojście</t>
  </si>
  <si>
    <t>Dojście do pracy jest teraz określone:5 min.</t>
  </si>
  <si>
    <t>Zastępuje wcześniejsze nieustalone/natychmiastowe dojście.</t>
  </si>
  <si>
    <t>U016</t>
  </si>
  <si>
    <t>Produkcja</t>
  </si>
  <si>
    <t>Farma; Młyn; Drwale; Tartak; Kamieniołom</t>
  </si>
  <si>
    <t>POTWIERDZONE W ROZMOWIE</t>
  </si>
  <si>
    <t>Produkcja/os./h według poziomu:10,12,13,14…; L1=10, L&gt;=2:L+10.</t>
  </si>
  <si>
    <t>Głód×0.5; latarnia×2; całeosobnesztuki.</t>
  </si>
  <si>
    <t>U017</t>
  </si>
  <si>
    <t>Człowiek; Farma; Młyn; Drwale; Tartak; Kamieniołom</t>
  </si>
  <si>
    <t>Zwolnienie odrzuca niedokończoną część sztuki tego pracownika.</t>
  </si>
  <si>
    <t>Gotowy towar pozostaje w lokalnym magazynie.</t>
  </si>
  <si>
    <t>U018</t>
  </si>
  <si>
    <t>Surowce</t>
  </si>
  <si>
    <t>Farma produkuje osobne zboże, nie gotową żywność.</t>
  </si>
  <si>
    <t>Zboże wymaga przewozu centralnie przed zużyciem przez młyn.</t>
  </si>
  <si>
    <t>U019</t>
  </si>
  <si>
    <t>2 zboża z magazynu centralnego→1 Food do lokalnego bufora młyna.</t>
  </si>
  <si>
    <t>Brak surowca lub miejsca zatrzymuje produkcję.</t>
  </si>
  <si>
    <t>U020</t>
  </si>
  <si>
    <t>2 drewna z magazynu centralnego→1 deska do lokalnego bufora tartaku.</t>
  </si>
  <si>
    <t>U021</t>
  </si>
  <si>
    <t>Drwale;Kamieniołom</t>
  </si>
  <si>
    <t>Drwale produkują drewno; kamieniołom kamień.</t>
  </si>
  <si>
    <t>Skończona produkcja trafia do bufora przy budynku.</t>
  </si>
  <si>
    <t>U022</t>
  </si>
  <si>
    <t>Bufory</t>
  </si>
  <si>
    <t>Pojemność bufora każdego producenta=200×poziom Ratusza.</t>
  </si>
  <si>
    <t>Wcześniej uzgodniono zależność od ratusza; nie zmieniono jej na własny poziom producenta.</t>
  </si>
  <si>
    <t>U023</t>
  </si>
  <si>
    <t>Pełny bufor</t>
  </si>
  <si>
    <t>Farma; Młyn; Drwale; Tartak; Kamieniołom; Człowiek</t>
  </si>
  <si>
    <t>Pełny bufor zatrzymuje produkcję i daje jego załodze−10 szczęścia od razu.</t>
  </si>
  <si>
    <t>To offset, nie−10 pp na godzinę.</t>
  </si>
  <si>
    <t>U024</t>
  </si>
  <si>
    <t>Kolejne−10 co 24 h ciągłego zapełnienia, maksymalnie−50:−20 po 24 h, −30 po 48 h, −40 po 72 h, −50 po 96 h.</t>
  </si>
  <si>
    <t>Po zwolnieniu miejsca ta osobna kara znika.</t>
  </si>
  <si>
    <t>U025</t>
  </si>
  <si>
    <t>Farma; Młyn; Drwale; Tartak; Kamieniołom; Magazyn; Targ; Przystań</t>
  </si>
  <si>
    <t>AKTUALNE / NOWE DLA PORTU</t>
  </si>
  <si>
    <t>Powiadomienie przy zapełnieniu magazynu/bufora, także głównego.</t>
  </si>
  <si>
    <t>Nowy port ma mieć notyfikację pełnego magazynu; nie spam co klatkę.</t>
  </si>
  <si>
    <t>U026</t>
  </si>
  <si>
    <t>Poziom 1:1000 na każdy z 5 materiałów, nie więcej niż 4000 łącznie.</t>
  </si>
  <si>
    <t>Monety są osobno w skarbcu.</t>
  </si>
  <si>
    <t>U027</t>
  </si>
  <si>
    <t>Każdy kolejny poziom mnoży oba limity×1.5, z zaokrągleniem w dół.</t>
  </si>
  <si>
    <t>Poziom 2:1500/6000; poziom 3:2250/9000; poziom 4:3375/13500.</t>
  </si>
  <si>
    <t>U028</t>
  </si>
  <si>
    <t>Ładunek 60 szt./kurs na 1 poziomie; pełny kurs 5 min, jeden materiał.</t>
  </si>
  <si>
    <t>Nie 60 szt./h. Nie czeka na pełny ładunek.</t>
  </si>
  <si>
    <t>U029</t>
  </si>
  <si>
    <t>POTWIERDZONE / FORMUŁA MODELOWA</t>
  </si>
  <si>
    <t>Pojemność tragarza rośnie 10%/poziom własnego magazynu, targu lub portu.</t>
  </si>
  <si>
    <t>W modelu floor(60×1.1^(L−1)); 60,66,72…</t>
  </si>
  <si>
    <t>U030</t>
  </si>
  <si>
    <t>Magazyn;Przystań</t>
  </si>
  <si>
    <t>Magazynierzy noszą produkcję i budowy; targ i port mają własne załogi w obie strony.</t>
  </si>
  <si>
    <t>Przepływ przetwórstwa przez centralę.</t>
  </si>
  <si>
    <t>U031</t>
  </si>
  <si>
    <t>Człowiek; Magazyn; Młyn</t>
  </si>
  <si>
    <t>Każdy mieszkaniec automatycznie je 1 Food/h, niezależnie od zatrudnienia.</t>
  </si>
  <si>
    <t>Tylko magazyn centralny. Food lokalny, targowy lub portowy nie karmi bez dowozu.</t>
  </si>
  <si>
    <t>U032</t>
  </si>
  <si>
    <t>Rezerwa</t>
  </si>
  <si>
    <t>Magazyn; Targ; Przystań; Człowiek</t>
  </si>
  <si>
    <t>Rezerwa Food=50×poziom magazynu; nie wynosić jej do celów innych niż żywienie.</t>
  </si>
  <si>
    <t>Ludzie mogą zjadaćrezerwę.</t>
  </si>
  <si>
    <t>U033</t>
  </si>
  <si>
    <t>Magazyn; Ratusz; Dom; Człowiek</t>
  </si>
  <si>
    <t>ZASTĄPIONY PRZYKŁAD</t>
  </si>
  <si>
    <t>Dawny przykład 6 h 57 przewozu jest nieaktualny po zmianie 60/h→60/kurs 5 min.</t>
  </si>
  <si>
    <t>Zasada ryzyka głodu pozostaje; nie doliczamy karmienia do estymaty.</t>
  </si>
  <si>
    <t>U034</t>
  </si>
  <si>
    <t>Szczęście</t>
  </si>
  <si>
    <t>Indywidualne szczęście i osobna historia każdej osoby. Najpierw ograniczenie−100…+100, potem średnia populacji.</t>
  </si>
  <si>
    <t>Nie zastępujemy indywidualnych wartości jednym wspólnym licznikiem.</t>
  </si>
  <si>
    <t>U035</t>
  </si>
  <si>
    <t>AKTUALNE; PRZESTÓJ DO DOPRECYZOWANIA</t>
  </si>
  <si>
    <t>Jedzenie daje +1 pp/h, a praca osobne +1 pp/h. Wpływ blokady producenta na bonus pracy pozostaje do rozstrzygnięcia w Q07.</t>
  </si>
  <si>
    <t>Nakarmiony pracownik od 0% ma 20% po 10 h. Nie przesądzamy bonusu za samo przypisanie podczas przestoju.</t>
  </si>
  <si>
    <t>U036</t>
  </si>
  <si>
    <t>Brak jedzenia i brak pracy mają osobne okresy 12 ciągłych godzin bez kary; potem za każdy brak−5 pp/h.</t>
  </si>
  <si>
    <t>Kara nie nalicza się wstecz za pierwsze 12 h.</t>
  </si>
  <si>
    <t>U037</t>
  </si>
  <si>
    <t>Je+pracuje:+2/h; je+bezrobotny do 12 h:+1/h; po 12 h:+1−5=−4/h.</t>
  </si>
  <si>
    <t>20%po 10 h pracy/jedzenia→32%po 12 h jedzenia bez pracy→28%po następnej godzinie.</t>
  </si>
  <si>
    <t>U038</t>
  </si>
  <si>
    <t>Głodny+pracuje do 12 h:+1/h; po 12 h:+1−5=−4/h.</t>
  </si>
  <si>
    <t>Wydajność pracy obniża się już od początku głodu.</t>
  </si>
  <si>
    <t>U039</t>
  </si>
  <si>
    <t>Nie je i nie pracuje:0/h przed oboma progami; −5/h gdy jeden brak≥12 h; −10/h gdy oba≥12 h.</t>
  </si>
  <si>
    <t>Każdy licznik biegnie od swojego początku.</t>
  </si>
  <si>
    <t>U040</t>
  </si>
  <si>
    <t>Jedzenie resetuje tylko licznik głodu, a podjęcie pracy tylko licznik bezrobocia. Żaden reset nie zwraca utraconego szczęścia. Szczegóły przestoju producenta: Q07.</t>
  </si>
  <si>
    <t>Osobiste szczęście zachowuje się przy zmianie miejsca pracy.</t>
  </si>
  <si>
    <t>U041</t>
  </si>
  <si>
    <t>Wydajność</t>
  </si>
  <si>
    <t>Człowiek; Magazyn; Przystań; Farma; Młyn; Drwale; Tartak; Kamieniołom</t>
  </si>
  <si>
    <t>Głód od razu zmniejsza efektywną wydajność pracy i transportu o 50%.</t>
  </si>
  <si>
    <t>Estymaty zakładają nakarmionych. Techniczny wybór mniejszego ładunku/dłuższego kursu jeszcze nieustalony.</t>
  </si>
  <si>
    <t>U042</t>
  </si>
  <si>
    <t>Podatki</t>
  </si>
  <si>
    <t>Człowiek;Ratusz</t>
  </si>
  <si>
    <t>DO UJEDNOLICENIA PO NOWEJ ZASADZIE</t>
  </si>
  <si>
    <t>Pracujący płaci 1 monetę/h; bezrobotny i wracający do domu nie płacą. Wpływ dojścia do nowej pracy opisano jako nieustalony w karcie Człowiek.</t>
  </si>
  <si>
    <t>Blokada produkcji powoduje brak pracy. Podatek i bonus +1 podczas blokady wymagają doprecyzowania w Q07.</t>
  </si>
  <si>
    <t>U043</t>
  </si>
  <si>
    <t>Człowiek;Kaplica</t>
  </si>
  <si>
    <t>Głód nie obniża podatku; premia kaplicy daje×2 podatku na 10 h.</t>
  </si>
  <si>
    <t>Kaplica podwaja tylko istniejący podatek pracujących.</t>
  </si>
  <si>
    <t>U044</t>
  </si>
  <si>
    <t>Prezentacja</t>
  </si>
  <si>
    <t>Szczęście wyświetlane bez ułamka, zaokrąglane w górę.</t>
  </si>
  <si>
    <t>W obliczeniach pozostają ułamki; −20.2%pokazane jako−20%, 20.2%jako 21%.</t>
  </si>
  <si>
    <t>U045</t>
  </si>
  <si>
    <t>Demografia</t>
  </si>
  <si>
    <t>Dokładna średnia 0%:brak zmian; dodatnia:przyrost; ujemna:ubytek.</t>
  </si>
  <si>
    <t>Ubytek zawsze nazywamy odejściem, nie śmiercią.</t>
  </si>
  <si>
    <t>U046</t>
  </si>
  <si>
    <t>±25%:1 osoba/12 h; ±50%:1/6 h; ±75%:1/około 1 h 43; ±100%:1/h.</t>
  </si>
  <si>
    <t>Pomiędzy punktami interpolujemy tempo, nie sam okres.</t>
  </si>
  <si>
    <t>U047</t>
  </si>
  <si>
    <t>Dla H=|szczęście| tempo=H/300 os./h do 50%; powyżej 50%:1/6+(H−50)/60; znak określa kierunek.</t>
  </si>
  <si>
    <t>Nowi ludzie pojawiają się w Domu; osobiste szczęście 0%pozostaje dotychczasowym modelem.</t>
  </si>
  <si>
    <t>U048</t>
  </si>
  <si>
    <t>Co najmniej 6 osób; maksymalnie 24×ratusz; przy minimum gra nadal grywalna.</t>
  </si>
  <si>
    <t>Rozbudowa domu/ratusza nie dodaje ludzi natychmiast.</t>
  </si>
  <si>
    <t>U049</t>
  </si>
  <si>
    <t>Czas</t>
  </si>
  <si>
    <t>Cała gospodarka liczyczas zegarowy również offline.</t>
  </si>
  <si>
    <t>Zastępuje zatrzymywanie po ukryciu/zamknięciu karty. Guziki przyspieszenia powiązane z czasowymi premiami.</t>
  </si>
  <si>
    <t>U050</t>
  </si>
  <si>
    <t>Targ dostępny od poziomu gracza 2.</t>
  </si>
  <si>
    <t>Przystań od 4; odblokowanie następuje z poziomu ratusza.</t>
  </si>
  <si>
    <t>U051</t>
  </si>
  <si>
    <t>Wymiana dowolnej ilości, ale tylko w grupach:drewno/kamień/zboże lub deski/Food.</t>
  </si>
  <si>
    <t>Brak wymiany między grupami; brak kupowania za pieniądze.</t>
  </si>
  <si>
    <t>U052</t>
  </si>
  <si>
    <t>Nominalnie 1:1; marża 10%, np.10 drewna→9 kamienia.</t>
  </si>
  <si>
    <t>Nie stosujemy wcześniejszego sprzecznego przykładu deski→kamień.</t>
  </si>
  <si>
    <t>U053</t>
  </si>
  <si>
    <t>Pojemność 1000 na 1,1500 na 2,2250 na 3…; każdy poziom×1.5.</t>
  </si>
  <si>
    <t>Jeden limit łączny własnego targu, nie 1000 każdego materiału.</t>
  </si>
  <si>
    <t>U054</t>
  </si>
  <si>
    <t>Targ;Magazyn</t>
  </si>
  <si>
    <t>Targ ma własną załogę w obie strony, z takimi samymi zasadami ładunku i wzrostu jakmagazyn.</t>
  </si>
  <si>
    <t>Dawna blokadadostaw 1 hniezostała usunięta.</t>
  </si>
  <si>
    <t>U055</t>
  </si>
  <si>
    <t>Towar z targu odnosi wyłącznie załoga targu. Zapas 24 hodprzyniesienia przepada; wynik wymiany ma nowe 24 h.</t>
  </si>
  <si>
    <t>Zastępuje odbiór magazynierami; nie otrzymujemytowaruwcentrali natychmiast.</t>
  </si>
  <si>
    <t>U056</t>
  </si>
  <si>
    <t>Na poziomie 1 bez pasywnego plusa/minusa. Po rozbudowie do N:+10×Nszczęścia wszystkim i podatek×2 przez 10 h.</t>
  </si>
  <si>
    <t>Premia za ukończenie rozbudowy; kolejna odświeża okres, bez nakładania mnożnika do ×4.</t>
  </si>
  <si>
    <t>U057</t>
  </si>
  <si>
    <t>Błogosławieństwo</t>
  </si>
  <si>
    <t>Kaplica; Latarnia; Człowiek</t>
  </si>
  <si>
    <t>WCZEŚNIEJ UZGODNIONE / NOWE SZCZEGÓŁY ODŁOŻONE</t>
  </si>
  <si>
    <t>Ręczne użycie:+50 każdego zasobu, +20 szczęścia wszystkim na 1 h.</t>
  </si>
  <si>
    <t>Przynależność wyjaśniona: Kaplica = błogosławieństwo, Latarnia = zwiedzanie. Liczba darmowych użyć błogosławieństwa = poziom kaplicy; nowe odstępy i oferty Premium są odłożone.</t>
  </si>
  <si>
    <t>U058</t>
  </si>
  <si>
    <t>Kaplica;Latarnia</t>
  </si>
  <si>
    <t>ODŁOŻONE</t>
  </si>
  <si>
    <t>Nowe odstępy+25%, zakup/challenge/share/reklama i natychmiastowe użycie.</t>
  </si>
  <si>
    <t>Konflikt z godzinnym efektem bez nakładania zostawiony na później zgodnie z instrukcją.</t>
  </si>
  <si>
    <t>U059</t>
  </si>
  <si>
    <t>Reklamy</t>
  </si>
  <si>
    <t>Nowa notatka:60 sreklamy skraca pozostały czas o połowę, maks.2 na 1 hgry.</t>
  </si>
  <si>
    <t>Nie wybieramy resetu, czasu okna, początku cooldownu ani harmonogramu.</t>
  </si>
  <si>
    <t>U060</t>
  </si>
  <si>
    <t>Lojalność</t>
  </si>
  <si>
    <t>ZASADA UZGODNIONA / NAGRODA NIEUSTALONA</t>
  </si>
  <si>
    <t>Kolejny dzień logowania zwiększa lojalność do 10 dni; bonus lojalnościowy zostanie zdefiniowany później.</t>
  </si>
  <si>
    <t>Nie wymyślono nagród. Poprzedni model używał dni Warszawy; szczegóły konta są przyszłe.</t>
  </si>
  <si>
    <t>U061</t>
  </si>
  <si>
    <t>Koszt producenta</t>
  </si>
  <si>
    <t>Norma 240×obecny poziom/dobę. Koszt 30%drewna, 30%kamienia, 50%własnego produktu.</t>
  </si>
  <si>
    <t>72 Ldrewna+72 Lkamienia+120 Lproduktu; nakładające się materiały sumujemy.</t>
  </si>
  <si>
    <t>U062</t>
  </si>
  <si>
    <t>Drwale 192 Ldrewna+72 Lkamienia; kamieniołom 72 Ldrewna+192 Lkamienia.</t>
  </si>
  <si>
    <t>To nie dodatkowe podwójne naliczenie; suma składnika bazowego i produktu.</t>
  </si>
  <si>
    <t>U063</t>
  </si>
  <si>
    <t>Ratusz; Dom; Targ; Magazyn; Przystań</t>
  </si>
  <si>
    <t>Każdego z 6 zasobów: Ratusz/Dom 500 L; Magazyn/Targ 300 L; Przystań 400 L.</t>
  </si>
  <si>
    <t>Kolejka+10%całej ceny.</t>
  </si>
  <si>
    <t>U064</t>
  </si>
  <si>
    <t>TYMCZASOWE</t>
  </si>
  <si>
    <t>N×(180 monet+20 drewna+60 kamienia+10 desek), Nnowy poziom.</t>
  </si>
  <si>
    <t>Cena nie była docelowo ustalona; do przewozu 90×N.</t>
  </si>
  <si>
    <t>U065</t>
  </si>
  <si>
    <t>500 każdego zasobu razem z monetami/złotem; dla pierwszej budowy 500, dalej 500×obecny poziom.</t>
  </si>
  <si>
    <t>Użytkownik zdecydował zachować koszt 500 pomimo długiego zbierania. Do transportu 2500×max(1, L).</t>
  </si>
  <si>
    <t>U066</t>
  </si>
  <si>
    <t>Finansowanie</t>
  </si>
  <si>
    <t>Zwykłą budowę można zamówić tylko z pełnym kosztem w magazynie centralnym i skarbcu.</t>
  </si>
  <si>
    <t>Koszt rezerwowany także dla zwykłej kolejki; nie wolno wydać tych samych materiałów drugi raz.</t>
  </si>
  <si>
    <t>U067</t>
  </si>
  <si>
    <t>Transport budowy</t>
  </si>
  <si>
    <t>Materiały na budowę noszą magazynierzy. Bez obsady transport czeka.</t>
  </si>
  <si>
    <t>Monety pobierane ze skarbca, bez fizycznego przewozu.</t>
  </si>
  <si>
    <t>U068</t>
  </si>
  <si>
    <t>Czas budowy</t>
  </si>
  <si>
    <t>T=czas transportu. Estymaty zawierają wyłącznie transport+samo budowanie.</t>
  </si>
  <si>
    <t>Wyłączono zbieranie, karmienie, wymagane wcześniejsze rozbudowy i kolejkę na wyraźną instrukcję użytkownika.</t>
  </si>
  <si>
    <t>U069</t>
  </si>
  <si>
    <t>Ratusz;Dom</t>
  </si>
  <si>
    <t>Ratusz i Dom:łącznie 2 T=Ttransportu+Tbudowy.</t>
  </si>
  <si>
    <t>Zastępuje3T.</t>
  </si>
  <si>
    <t>U070</t>
  </si>
  <si>
    <t>Łącznie 2 T=transport T+budowanie T.</t>
  </si>
  <si>
    <t>Faza budowania korzysta z rzeczywistego czasu wcześniejszego transportu.</t>
  </si>
  <si>
    <t>U071</t>
  </si>
  <si>
    <t>Kaplica:T+3 T×(N−1), Nnowy poziom; 1→2:4 T, 2→3:7 T, 3→4:10 T.</t>
  </si>
  <si>
    <t>Nie używamy obecnego poziomu w członie N−1.</t>
  </si>
  <si>
    <t>U072</t>
  </si>
  <si>
    <t>Latarnia:łącznie 5 T=Ttransportu+4 Tbudowy.</t>
  </si>
  <si>
    <t>Zastępuje6T.</t>
  </si>
  <si>
    <t>U073</t>
  </si>
  <si>
    <t>Budowa</t>
  </si>
  <si>
    <t>Nowy poziom oraz premie działają dopiero po ukończeniu, nie po zamówieniu.</t>
  </si>
  <si>
    <t>Dotychczasowy poziom pracuje podczas rozbudowy.</t>
  </si>
  <si>
    <t>U074</t>
  </si>
  <si>
    <t>Ratusz;Wszystkie</t>
  </si>
  <si>
    <t>Poziom gracza L daje Lrównoległych budów i Lopłaconych pozycji oczekujących.</t>
  </si>
  <si>
    <t>Pełny koszt zarezerwowany przy zleceniu; kolejka+10%całej ceny.</t>
  </si>
  <si>
    <t>U075</t>
  </si>
  <si>
    <t>Po ukończeniu rusza kolejna opłacona pozycja; nie budujemy dwóch poziomów tego samego budynku naraz.</t>
  </si>
  <si>
    <t>Kolejne poziomy zależą od wcześniejszych i limitu Ratusza.</t>
  </si>
  <si>
    <t>U076</t>
  </si>
  <si>
    <t>Pakiet płatny</t>
  </si>
  <si>
    <t>PREMIUM — PROJEKT DO DOPRACOWANIA</t>
  </si>
  <si>
    <t>W czasie pakietu+4 równoległe budowy zawsze oraz dowolnie długa kolejka.</t>
  </si>
  <si>
    <t>Cena i długość pakietu jeszcze niezdefiniowane; arkusz nie uruchamia sprzedaży.</t>
  </si>
  <si>
    <t>U077</t>
  </si>
  <si>
    <t>UZGODNIONY ZAKRES</t>
  </si>
  <si>
    <t>Pakiet pozwala planować budowę na bazie estymaty dostaw, nie tylko obecnych zapasów.</t>
  </si>
  <si>
    <t>Plan nie tworzy surowców; rezerwacja/start gdy realnie pełny koszt trafi do centrali.</t>
  </si>
  <si>
    <t>U078</t>
  </si>
  <si>
    <t>WCZEŚNIEJSZY MODEL PREMIUM, DO DOPRACOWANIA</t>
  </si>
  <si>
    <t>Po wygaśnięciu rozpoczęte budowy kończą się; nowe starty wracają do limitu L, nieopłacone plany czekają.</t>
  </si>
  <si>
    <t>Poprzedni model wygasał czasem zegarowym także offline; docelowe warunki realnej oferty do potwierdzenia.</t>
  </si>
  <si>
    <t>U079</t>
  </si>
  <si>
    <t>Latarnia;Człowiek</t>
  </si>
  <si>
    <t>Latarnia ustawia efektywne szczęście KAŻDEGO na 100%, nie dodaje+100. Produkcja×2.</t>
  </si>
  <si>
    <t>Obie premie 24 h×N; podatki/transport bez mnożnika.</t>
  </si>
  <si>
    <t>U080</t>
  </si>
  <si>
    <t>Kolejna rozbudowa odświeża czas, a nie mnożnik produkcji do ×4.</t>
  </si>
  <si>
    <t>Premia zaczyna się po ukończeniu; nowe błogosławieństwa ODŁOŻONE.</t>
  </si>
  <si>
    <t>U081</t>
  </si>
  <si>
    <t>Od ratusza 4 kupno i sprzedaż wszystkich 5 materiałów za monety; tylko pełne 100.</t>
  </si>
  <si>
    <t>Nie oznacza kupowania samych monet za monety.</t>
  </si>
  <si>
    <t>U082</t>
  </si>
  <si>
    <t>OSTATNIA KOREKTA ROZMOWY</t>
  </si>
  <si>
    <t>Port za 100:podstawowe 40 sprzedaż/50 kupno; przetworzone 140/150.</t>
  </si>
  <si>
    <t>Zastępuje 70/80; Targ pozostaje bez pieniędzy.</t>
  </si>
  <si>
    <t>U083</t>
  </si>
  <si>
    <t>POTWIERDZONE LINIOWO</t>
  </si>
  <si>
    <t>Druga i kolejna kupiona paczka 100 w ostatnich 3 h:+10%cenybazowej za każdy kolejny stopień.</t>
  </si>
  <si>
    <t>50,55,60…; 150,165,180…; licznik globalny/osobno na produkt — nieokreślony.</t>
  </si>
  <si>
    <t>U084</t>
  </si>
  <si>
    <t>Port — sprzedaż:centrala→port+port→statek; płatność/notyfikacja przy wypłynięciu. Zakup:płatność przy przypłynięciu, rozładunek i powrót towarów do centrali.</t>
  </si>
  <si>
    <t>Załoga własna, zasady jak magazyn; statek ma pojemność portu.</t>
  </si>
  <si>
    <t>U085</t>
  </si>
  <si>
    <t>Pojemność portu jak magazynu:1000 każdego/4000 łącznie na 1, potem×1.5.</t>
  </si>
  <si>
    <t>Nie naliczono nieustalonej opłaty jako ceny budowy.</t>
  </si>
  <si>
    <t>U086</t>
  </si>
  <si>
    <t>Towar w porcie nieodebrany 24 hprzepada; opłata 10 monet nie obowiązuje.</t>
  </si>
  <si>
    <t>Termin zegarowy, nawet offline.</t>
  </si>
  <si>
    <t>U087</t>
  </si>
  <si>
    <t>ZASTĄPIONE PRZEZ NOWY CENNIK</t>
  </si>
  <si>
    <t>200 surowca daje 80 monet; 100 produktu po 2:1 daje 140.</t>
  </si>
  <si>
    <t>Nowe 140/150 usuwa dawną uwagę 80→70.</t>
  </si>
  <si>
    <t>U088</t>
  </si>
  <si>
    <t>Powiadomienia</t>
  </si>
  <si>
    <t>NOWE DOPRECYZOWANIE</t>
  </si>
  <si>
    <t>Zawsze powiadomienie o ukończeniu budowy.</t>
  </si>
  <si>
    <t>Dotychczas także zlecenie, start i dostawa; nowe alarmy opisano jako projekt, nie wdrożenie.</t>
  </si>
  <si>
    <t>U089</t>
  </si>
  <si>
    <t>Dom ma dodatkowo powiadamiać o przeludnieniu.</t>
  </si>
  <si>
    <t>Propozycja reagowania na zmianę stanu/liczby osób, nie alarm co klatkę; częstotliwość przypomnień nieustalona.</t>
  </si>
  <si>
    <t>U090</t>
  </si>
  <si>
    <t>Rozbudowa a zasoby</t>
  </si>
  <si>
    <t>Ratusz;Magazyn</t>
  </si>
  <si>
    <t>ZAAKCEPTOWANE</t>
  </si>
  <si>
    <t>Ratusz 2→Magazyn 2→Ratusz 3→Magazyn 3→Ratusz 4 ze względu na miejsce na pełny koszt.</t>
  </si>
  <si>
    <t>5000 materiałów kosztu Ratusza 3 nie mieści się w Magazynie 1(4000); 7500 Ratusza 4 nie w Magazynie 2(6000).</t>
  </si>
  <si>
    <t>U091</t>
  </si>
  <si>
    <t>Projekt</t>
  </si>
  <si>
    <t>ROZSTRZYGNIĘTE V2</t>
  </si>
  <si>
    <t>Własny poziom producenta zwiększa limit 12×L oraz wydajność 10,12,13,14…</t>
  </si>
  <si>
    <t>Ratusz nadal jest warunkiem rozbudowy; lokalny pojemnik 200×ratusz pozostaje.</t>
  </si>
  <si>
    <t>U092</t>
  </si>
  <si>
    <t>AKTUALNE POLECENIE</t>
  </si>
  <si>
    <t>Wyłącznie Excel i analiza logiczna; bez developmentu.</t>
  </si>
  <si>
    <t>Plik i instrukcja pobierania są dokumentacją; nie zmieniają kodu gry, zasad ani zapisów.</t>
  </si>
  <si>
    <t>V2-001</t>
  </si>
  <si>
    <t>Źródło</t>
  </si>
  <si>
    <t>NOWSZE ŹRÓDŁO</t>
  </si>
  <si>
    <t>Uwzględniono komórki i komentarze z HARBORLIGHT1-zasady.xlsx.</t>
  </si>
  <si>
    <t>To nowy Excel, bez zmian kodu gry.
Źródło: Plik użytkownika</t>
  </si>
  <si>
    <t>V2-002</t>
  </si>
  <si>
    <t>Obsada</t>
  </si>
  <si>
    <t>Człowiek; Farma; Młyn; Drwale; Tartak; Kamieniołom; Magazyn; Targ; Przystań</t>
  </si>
  <si>
    <t>Limit na każde miejsce pracy = 12 × poziom tego budynku, z faktycznej wolnej puli w domu.</t>
  </si>
  <si>
    <t>Ratusz jest warunkiem podniesienia poziomu, ale sam nie zwiększa limitu starego producenta.
Źródło: Czlowiek! C8; Decyzje i konflikty! E6</t>
  </si>
  <si>
    <t>V2-003</t>
  </si>
  <si>
    <t>Z panelu domu widać wszystkich ludzi i przydziały oraz można wysyłać do kaplicy lub latarni.</t>
  </si>
  <si>
    <t>Na starcie 12 osób znajduje się w domu.
Źródło: Budynki! K7; Czlowiek! C7</t>
  </si>
  <si>
    <t>V2-004</t>
  </si>
  <si>
    <t>Wydajność na osobę na poziomach 1,2,3,4: dokładnie 10,12,13,14 szt./h.</t>
  </si>
  <si>
    <t>Wybrany ciąg zastępuje ogólny sprzeczny zapis +10%; po poziomie 2 wzrost o 1 na poziom.
Źródło: Budynki! D8; Budynki! K8; odpowiedź użytkownika</t>
  </si>
  <si>
    <t>V2-005</t>
  </si>
  <si>
    <t>Przestój</t>
  </si>
  <si>
    <t>Młyn; Tartak; Człowiek</t>
  </si>
  <si>
    <t>NOWE; DO DOPRECYZOWANIA</t>
  </si>
  <si>
    <t>Brak surowca lub miejsca zatrzymuje produkcję i powoduje karę za brak pracy.</t>
  </si>
  <si>
    <t>Próg po 12 h zgodnie z dotychczasową karą; nie ustalono naliczania podatku i bonusu pracy ani nakładania z karą pełnego magazynu.
Źródło: Ustalenia - uwagi! F24; F25</t>
  </si>
  <si>
    <t>V2-006</t>
  </si>
  <si>
    <t>Droga</t>
  </si>
  <si>
    <t>Dojście do nowego miejsca pracy 5 min; zejście do domu również 5 min.</t>
  </si>
  <si>
    <t>Powrót bez pracy/podatku. Status podatku/bonusu przy dojściu nie opisany osobno.
Źródło: Ustalenia - uwagi! E19; E20; Czlowiek! C21</t>
  </si>
  <si>
    <t>V2-007</t>
  </si>
  <si>
    <t>Magazyn; Targ; Przystań</t>
  </si>
  <si>
    <t>Cały kurs z powrotem trwa 5 min. Bazowy ładunek na poziomie 1 to 60 sztuk jednego produktu.</t>
  </si>
  <si>
    <t>100 wymaga dwóch kursów 60 i 40. Nie czeka na pełny ładunek i nie miesza produktów. To zastępuje wcześniejsze 60 szt./h.
Źródło: Budynki! K13; Parametry! F9; Decyzje i konflikty! I12; odpowiedź użytkownika</t>
  </si>
  <si>
    <t>V2-008</t>
  </si>
  <si>
    <t>Pojemność tragarza</t>
  </si>
  <si>
    <t>POTWIERDZONE; ZAOKRĄGLENIE DO DECYZJI</t>
  </si>
  <si>
    <t>Kolejny poziom zwiększa ilość materiału, którą tragarz może zabrać, o 10%; takie same zasady w targu i porcie.</t>
  </si>
  <si>
    <t>Sposób wzrostu liniowy/składany oraz zaokrąglenie całych sztuk nie zostały dopisane jako pewne ustalenia.
Źródło: Start! E13; Parametry! F9; Budynki! K15; Decyzje i konflikty! I12</t>
  </si>
  <si>
    <t>V2-009</t>
  </si>
  <si>
    <t>Priorytety</t>
  </si>
  <si>
    <t>Domyślnie najpierw zaopatrzenie magazynu, później budowy; gracz może zmieniać priorytety kategorii, producenta i konkretnej budowy.</t>
  </si>
  <si>
    <t>ETA ma wynikać z aktualnych priorytetów i już dostarczonych partii.
Źródło: Budynki! K13</t>
  </si>
  <si>
    <t>V2-010</t>
  </si>
  <si>
    <t>Transport żywności</t>
  </si>
  <si>
    <t>NOWE; PRÓG DO UJEDNOLICENIA</t>
  </si>
  <si>
    <t>Jeden tragarz ma nosić żywność, gdy jest wyprodukowana, a centrala spadnie poniżej progu.</t>
  </si>
  <si>
    <t>Nowa rezerwa to 50 × poziom magazynu, ale opis tragarza nadal używa 50. Nie wolno stworzyć pracownika, gdy obsada wynosi 0.
Źródło: Budynki! K13; Start! E12</t>
  </si>
  <si>
    <t>V2-011</t>
  </si>
  <si>
    <t>Magazyn;Człowiek</t>
  </si>
  <si>
    <t>ZMIENIONE</t>
  </si>
  <si>
    <t>Minimum pożywienia chronionego przed wynoszeniem = 50 × poziom magazynu.</t>
  </si>
  <si>
    <t>Ludzie mogą zjadać rezerwę; transport żywności nie jest akcją ręcznego karmienia.
Źródło: Start! E12</t>
  </si>
  <si>
    <t>V2-012</t>
  </si>
  <si>
    <t>Koszt</t>
  </si>
  <si>
    <t>Rozbudowa magazynu: 300 × obecny poziom każdego z 6 zasobów.</t>
  </si>
  <si>
    <t>Zastępuje 500; 5 materiałów jadą na budowę, monety ze skarbca.
Źródło: Budynki! E13</t>
  </si>
  <si>
    <t>V2-013</t>
  </si>
  <si>
    <t>Rozbudowa targu: 300 × obecny poziom każdego z 6 zasobów.</t>
  </si>
  <si>
    <t>Zastępuje 500.
Źródło: Budynki! E14</t>
  </si>
  <si>
    <t>V2-014</t>
  </si>
  <si>
    <t>Rozbudowa przystani: 400 × obecny poziom każdego z 6 zasobów.</t>
  </si>
  <si>
    <t>Zastępuje 500.
Źródło: Budynki! E15</t>
  </si>
  <si>
    <t>V2-015</t>
  </si>
  <si>
    <t>Zakolejkowany budynek kosztuje o 10% więcej niż zlecony bez kolejki.</t>
  </si>
  <si>
    <t>Pełny koszt z dopłatą musi być w chwili zamówienia i zostaje zarezerwowany; zakres dopłaty, zaokrąglenie i zwiększenie fizycznych dostaw wymagają jawnej interpretacji.
Źródło: Budynki! K6</t>
  </si>
  <si>
    <t>V2-016</t>
  </si>
  <si>
    <t>Budowy</t>
  </si>
  <si>
    <t>POTWIERDZONE</t>
  </si>
  <si>
    <t>Ratusz L daje L aktywnych rozbudów i L pozycji kolejki; kolejka wymaga surowców już przy zlecaniu.</t>
  </si>
  <si>
    <t>Dopłata +10% jest nowa; oferty premium zebrane osobno.
Źródło: Budynki! K6</t>
  </si>
  <si>
    <t>V2-017</t>
  </si>
  <si>
    <t>Postęp budowy</t>
  </si>
  <si>
    <t>Panel pokazuje potrzebną i dostarczoną ilość każdego materiału, np. 60/100, oraz ETA transportu i budowy przy bieżących priorytetach.</t>
  </si>
  <si>
    <t>Nie utożsamiać z ilością w magazynie: to postęp dostawy na budowę.
Źródło: Budynki! K13</t>
  </si>
  <si>
    <t>V2-018</t>
  </si>
  <si>
    <t>Łączny czas ratusza i domu wraca do 2 T = przewóz T + budowa T.</t>
  </si>
  <si>
    <t>Zastępuje 3 T.
Źródło: Budynki! F6; F7</t>
  </si>
  <si>
    <t>V2-019</t>
  </si>
  <si>
    <t>Łącznie T + 3 T × (nowy poziom −1). Rozbudowy 1→2,2→3,3→4: 4 T, 7 T, 10 T.</t>
  </si>
  <si>
    <t>W mnożniku użyto nowego poziomu, nie starego.
Źródło: Budynki! F16; odpowiedź użytkownika</t>
  </si>
  <si>
    <t>V2-020</t>
  </si>
  <si>
    <t>Łącznie 5 T = transport T + budowanie 4 T.</t>
  </si>
  <si>
    <t>Zastępuje sprzeczny nagłówek 6 T.
Źródło: Budynki! F17; odpowiedź użytkownika</t>
  </si>
  <si>
    <t>V2-021</t>
  </si>
  <si>
    <t>Wszystkie mechaniki działają w realnym czasie zegarowym również offline: produkcja, jedzenie, szczęście, podatki i budowy.</t>
  </si>
  <si>
    <t>Zastępuje pauzę ekonomii po zamknięciu/ukryciu. Portowe 24 h oraz okno 3 h są zegarowe.
Źródło: Czlowiek! C29; D29; odpowiedź użytkownika</t>
  </si>
  <si>
    <t>V2-022</t>
  </si>
  <si>
    <t>Przyspieszenia</t>
  </si>
  <si>
    <t>NOWE; SZCZEGÓŁY DO USTALENIA</t>
  </si>
  <si>
    <t>Guziki przyspieszania mają działać czasowo w powiązaniu z premiami.</t>
  </si>
  <si>
    <t>Nie przyjęto stałego darmowego 2×/4× dla ekonomii. Dokładny zakres i czas bonusów później.
Źródło: Czlowiek! C29</t>
  </si>
  <si>
    <t>V2-023</t>
  </si>
  <si>
    <t>Targ ma własnych ludzi; tylko oni donoszą na targ i odwożą z targu do magazynu.</t>
  </si>
  <si>
    <t>Zastępuje odbiór wyniku wymiany przez magazynierów. Towar musi być na targu, aby go wymienić.
Źródło: Budynki! D14</t>
  </si>
  <si>
    <t>V2-024</t>
  </si>
  <si>
    <t>Targ: wygaśnięcie</t>
  </si>
  <si>
    <t>Towar na targu znika po 24 h od przyniesienia; wynik wymiany także znika po własnych 24 h.</t>
  </si>
  <si>
    <t>Nie określono osobno zasad dzielenia/łączenia partii ani wpływu premium na wiek.
Źródło: Budynki! D14</t>
  </si>
  <si>
    <t>V2-025</t>
  </si>
  <si>
    <t>Targ: wymiana</t>
  </si>
  <si>
    <t>POTWIERDZONE W NAJNOWSZEJ ODPOWIEDZI</t>
  </si>
  <si>
    <t>Targ pozostaje wymianą bez monet w dwóch grupach i z marżą 10%.</t>
  </si>
  <si>
    <t>140/150 to nowe portowe ceny przetworzonych, nie oferta pieniężna targu.
Źródło: Budynki! K14; ostatnie doprecyzowanie użytkownika</t>
  </si>
  <si>
    <t>V2-026</t>
  </si>
  <si>
    <t>Port: operacje</t>
  </si>
  <si>
    <t>WYJAŚNIONE</t>
  </si>
  <si>
    <t>Sprzedaż: z centrali do portu, potem na statek, własną załogą. Przy wypłynięciu statku notyfikacja i zapłata.</t>
  </si>
  <si>
    <t>Przy zakupie zapłata przy przypłynięciu, potem rozładunek i transport do centrali. Przed dowozem zakup nie jest wydawalny centralnie.
Źródło: Decyzje i konflikty! I9</t>
  </si>
  <si>
    <t>V2-027</t>
  </si>
  <si>
    <t>Statek</t>
  </si>
  <si>
    <t>Statek ma pojemność magazynu portu.</t>
  </si>
  <si>
    <t>Port ma limit na każdy materiał i łączny; statek powinien respektować oba albo wymagać potwierdzenia jednego globalnego limitu.
Źródło: Decyzje i konflikty! I9</t>
  </si>
  <si>
    <t>V2-028</t>
  </si>
  <si>
    <t>Port: ceny</t>
  </si>
  <si>
    <t>ZMIENIONE I POTWIERDZONE</t>
  </si>
  <si>
    <t>Za 100 podstawowych sprzedaż 40/kupno 50; za 100 przetworzonych sprzedaż 140/kupno 150.</t>
  </si>
  <si>
    <t>Nowe 140/150 zastępuje wcześniejsze portowe 70/80; podstawowe pozostają 40/50.
Źródło: Budynki! K14; ostatnie doprecyzowanie użytkownika</t>
  </si>
  <si>
    <t>V2-029</t>
  </si>
  <si>
    <t>Port: podwyżki</t>
  </si>
  <si>
    <t>WYJAŚNIONE CZĘŚCIOWO</t>
  </si>
  <si>
    <t>Rosnące ceny zakupów w ostatnich 3 h liczyć liniowo, nie składanie.</t>
  </si>
  <si>
    <t>Druga i kolejne paczki +10% ceny bazowej; globalność/per materiał i zaokrąglenie nieustalone.
Źródło: Decyzje i konflikty! I10</t>
  </si>
  <si>
    <t>V2-030</t>
  </si>
  <si>
    <t>Port: wygaśnięcie</t>
  </si>
  <si>
    <t>Towar nieodebrany w 24 h przepada.</t>
  </si>
  <si>
    <t>Zastępuje wcześniejszą opłatę 10 monet; nie należy naliczać obu konsekwencji.
Źródło: Decyzje i konflikty! I11</t>
  </si>
  <si>
    <t>V2-031</t>
  </si>
  <si>
    <t>Kaplica i latarnia</t>
  </si>
  <si>
    <t>Błogosławieństwo należy do kaplicy; zwiedzanie do latarni. Oba prowadzą do bonusu/premii.</t>
  </si>
  <si>
    <t>Czas i efekt pojedynczej wizyty nie są tym samym co automatyczna premia rozbudowy.
Źródło: Decyzje i konflikty! I13; Budynki! K7</t>
  </si>
  <si>
    <t>V2-032</t>
  </si>
  <si>
    <t>Latarnia: szczęście</t>
  </si>
  <si>
    <t>Podczas premii wszyscy mają ustawione 100% szczęścia, nie dodane +100 pp.</t>
  </si>
  <si>
    <t>Obie premie nadal 24 h × osiągnięty poziom; produkcja ×2; powrót do osobistych wartości po zakończeniu wymaga doprecyzowania.
Źródło: Blogoslawienstwa! B8</t>
  </si>
  <si>
    <t>V2-033</t>
  </si>
  <si>
    <t>W ustawieniach ranking według wyniku: poziom ratusza × ilość złota.</t>
  </si>
  <si>
    <t>Brak osobnych reguł remisu, częstotliwości aktualizacji i ochrony przed manipulacją stanem skarbca.
Źródło: Ustalenia - uwagi! E9</t>
  </si>
  <si>
    <t>V2-034</t>
  </si>
  <si>
    <t>Nowi ludzie</t>
  </si>
  <si>
    <t>Przyrost populacji zawsze dodaje człowieka do domu.</t>
  </si>
  <si>
    <t>Nie przypisuje go od razu do gospodarki. Maksimum ratusza, nie domu.
Źródło: Populacja i szczescie! E11; Czlowiek! C28</t>
  </si>
  <si>
    <t>V2-035</t>
  </si>
  <si>
    <t>Odejścia</t>
  </si>
  <si>
    <t>Ubytek populacji nazywamy odejściem, nie śmiercią; tempo jest symetryczne do przyrostu, minimum 6.</t>
  </si>
  <si>
    <t>Najpierw ludzie z domu; później z największej załogi.
Źródło: Start! E16; Decyzje i konflikty! I23; Czlowiek! D28</t>
  </si>
  <si>
    <t>V2-036</t>
  </si>
  <si>
    <t>Priorytet odejść</t>
  </si>
  <si>
    <t>Człowiek; Przystań; Tartak; Kamieniołom; Drwale; Farma; Młyn; Magazyn</t>
  </si>
  <si>
    <t>NOWE; NIEPEŁNE REMISY</t>
  </si>
  <si>
    <t>Przy remisie największych załóg: port, tartak, kamieniołom, drwale; na końcu żywność i transport.</t>
  </si>
  <si>
    <t>Brak miejsca targu, dokładnego rozdzielenia farmy/młyna oraz osób w drodze i na wizytach.
Źródło: Populacja i szczescie! E6</t>
  </si>
  <si>
    <t>V2-037</t>
  </si>
  <si>
    <t>NOWE; OFERTY PÓŹNIEJ</t>
  </si>
  <si>
    <t>2× szybsza budowa, natychmiastowa budowa przy zasobach, kupno bez zasobów; transporty one-click i szybsze.</t>
  </si>
  <si>
    <t>Zebrano w nowym arkuszu Premium, bez cen i arbitralnych reguł pomijania transportu.
Źródło: Budynki! J6:J17; K8; K13; K14; K15</t>
  </si>
  <si>
    <t>V2-038</t>
  </si>
  <si>
    <t>Premium i pytania</t>
  </si>
  <si>
    <t>Kaplica; Latarnia; Wszystkie</t>
  </si>
  <si>
    <t>Nowe oferty, reklamy, challenge i social pozostają do późniejszego opisania.</t>
  </si>
  <si>
    <t>Uwagi „nie rozumiem” przy dawnych cooldownach nie są zatwierdzeniem mechaniki; wyjaśnić prostym językiem.
Źródło: Decyzje i konflikty! I14; I20; I22</t>
  </si>
  <si>
    <t>NOWE CZASY • liczymy kursy, nie sztuki na godzinę</t>
  </si>
  <si>
    <t>Potwierdzone:5 min cały kurs, 1 rodzaj na kurs; 6 tragarzy faktycznie dostępnych; materiały gotowe, bez zbierania, karmienia, wcześniejszych rozbudów i oczekiwania. Osobny wariant+10%kolejki zwiększa koszt i liczbę kursów. Pojemność bazowa 60, magazyn L→floor(60×1.1^(L−1)).</t>
  </si>
  <si>
    <t>Budynek</t>
  </si>
  <si>
    <t>Etap</t>
  </si>
  <si>
    <t>Tryb kosztu</t>
  </si>
  <si>
    <t>Obecny L</t>
  </si>
  <si>
    <t>Nowy N</t>
  </si>
  <si>
    <t>Poziom magazynu</t>
  </si>
  <si>
    <t>Dostępni tragarze</t>
  </si>
  <si>
    <t>Ładunek/os./kurs</t>
  </si>
  <si>
    <t>Monety</t>
  </si>
  <si>
    <t>Drewno</t>
  </si>
  <si>
    <t>Kamień</t>
  </si>
  <si>
    <t>Zboże</t>
  </si>
  <si>
    <t>Food</t>
  </si>
  <si>
    <t>Deski</t>
  </si>
  <si>
    <t>Kursy drewno</t>
  </si>
  <si>
    <t>Kursy kamień</t>
  </si>
  <si>
    <t>Kursy zboże</t>
  </si>
  <si>
    <t>Kursy Food</t>
  </si>
  <si>
    <t>Kursy deski</t>
  </si>
  <si>
    <t>Kursy razem</t>
  </si>
  <si>
    <t>Fale</t>
  </si>
  <si>
    <t>Transport T [min]</t>
  </si>
  <si>
    <t>Łącznie ×T</t>
  </si>
  <si>
    <t>Sama budowa [min]</t>
  </si>
  <si>
    <t>Razem [min]</t>
  </si>
  <si>
    <t>Materiały razem</t>
  </si>
  <si>
    <t>Założenia</t>
  </si>
  <si>
    <t>1→2</t>
  </si>
  <si>
    <t>Bez kolejki</t>
  </si>
  <si>
    <t>Tylko ta budowa; 6 dostępnych po uwzględnieniu priorytetów; poziom magazynu=scenariusz L. Jeśli priorytety blokują dostawy, rzeczywiste ETA rośnie.</t>
  </si>
  <si>
    <t>Kolejka +10%</t>
  </si>
  <si>
    <t>2→3</t>
  </si>
  <si>
    <t>3→4</t>
  </si>
  <si>
    <t>0→1</t>
  </si>
  <si>
    <t>LOGISTYKA • ujednolicone nowe zasady</t>
  </si>
  <si>
    <t>Źródło: Twoje wpisy w K13/K14/K15 oraz odpowiedzi. Nie wdrażamy niczego w grze. Czas offline i paczki transportowe zastępują dawny model godzinowy i zatrzymywanie po wylogowaniu.</t>
  </si>
  <si>
    <t>Uwaga</t>
  </si>
  <si>
    <t>Kurs</t>
  </si>
  <si>
    <t>Pełny kurs z powrotem 5 min. Każdy tragarz niesie tylko 1 rodzaj. Ładunek bazowo 60, rośnie z poziomem własnego magazynu/targu/portu.</t>
  </si>
  <si>
    <t>Nie wolno liczyć ceil(sumy materiałów/C); liczymy SUMĘ ceil(każdy rodzaj/C).</t>
  </si>
  <si>
    <t>Niepełny ładunek</t>
  </si>
  <si>
    <t>Towar pobiera od razu; nie czeka, aż uzbiera pełny ładunek C. 100 szt. przy C=60 wymaga 2 kursów: 60+40.</t>
  </si>
  <si>
    <t>Gotowe zasoby w estymacie; przy rzeczywistej produkcji częściowe kursy mogą zwiększyć ich liczbę.</t>
  </si>
  <si>
    <t>Droga przetwórstwa</t>
  </si>
  <si>
    <t>Zboże i drewno zawsze przez magazyn centralny przed zużyciem przez młyn/tartak.</t>
  </si>
  <si>
    <t>Nie ma darmowego bezpośredniego bufora farma→młyn lub drwale→tartak.</t>
  </si>
  <si>
    <t>Rezerwa żywności</t>
  </si>
  <si>
    <t>50×poziom magazynu na potrzeby ludzi. Wysyłka/rezerwacja nieżywieniowa chroni to minimum; ludzie mogą je zjadać.</t>
  </si>
  <si>
    <t>Sam bufor nie gwarantuje braku głodu; estymaty zakładają nakarmioną obsadę.</t>
  </si>
  <si>
    <t>Ratunkowy tragarz Food</t>
  </si>
  <si>
    <t>1 tragarz ma nosić Food, jeśli jest gotowy i centrala poniżej progu.</t>
  </si>
  <si>
    <t>Notatka mówi &lt;50, podczas gdy nowe minimum to 50 × L. Robocze ujednolicenie: próg 50 × L; do potwierdzenia. Przy 0 tragarzy nie tworzymy nowej osoby.</t>
  </si>
  <si>
    <t>SZCZEGÓŁ DO DECYZJI</t>
  </si>
  <si>
    <t>Domyślne priorytety</t>
  </si>
  <si>
    <t>Najpierw zaopatrzenie centralnego magazynu, potem dostawy na budowy.</t>
  </si>
  <si>
    <t>Gracz może zmienić kolejność i nadać priorytet konkretnemu gospodarstwu lub budowie.</t>
  </si>
  <si>
    <t>ETA budowy</t>
  </si>
  <si>
    <t>Pokazuje wymagane/dostarczone materiały, np. 60/100, oraz estymatę transportu i budowy przy aktualnych priorytetach.</t>
  </si>
  <si>
    <t>6 tragarzy w kalkulatorze oznacza 6 dostępnych DO TEGO ZLECENIA, nie całkowitą obsadę magazynu.</t>
  </si>
  <si>
    <t>Tylko własna załoga nosi w obie strony: centrala → targ i targ → centrala.</t>
  </si>
  <si>
    <t>Każda dostawa zablokowana 1 h; zapas wygasa 24 h po przyniesieniu, wynik wymiany ma nowe 24 h.</t>
  </si>
  <si>
    <t>NOWE / UJEDNOLICONE</t>
  </si>
  <si>
    <t>Port-sprzedaż</t>
  </si>
  <si>
    <t>Centrala → port: pierwszy cykl; port → statek: drugi taki sam. Własna załoga, według zasad magazynu.</t>
  </si>
  <si>
    <t>Pojemność statku=pojemność portu. Przy wypłynięciu notyfikacja i zapłata do skarbca.</t>
  </si>
  <si>
    <t>Port-zakup</t>
  </si>
  <si>
    <t>Gdy statek przypływa następuje zapłata, potem rozładunek i transport własną załogą do centrali.</t>
  </si>
  <si>
    <t>Towar w porcie nie jest jeszcze dostępny do jedzenia ani budowy. Rezerwowanie monet przed rejsem i czas rejsu są nieokreślone.</t>
  </si>
  <si>
    <t>TRASA POTWIERDZONA; SZCZEGÓŁY OTWARTE</t>
  </si>
  <si>
    <t>Port-wygaśnięcie</t>
  </si>
  <si>
    <t>Towar nieodebrany po 24 h przepada. To zastępuje poprzednie 10 monet za składowanie.</t>
  </si>
  <si>
    <t>Śledzić czas oddzielnych partii; terminy zegarowe działają offline.</t>
  </si>
  <si>
    <t>Zatrzymanie produkcji</t>
  </si>
  <si>
    <t>Brak wejściowego surowca albo miejsca zatrzymuje producenta i powoduje karę za brak pracy.</t>
  </si>
  <si>
    <t>Do decyzji: czy przydzielony, zablokowany pracownik od razu traci +1 pp/h i podatek; czy −5 po 12 h liczyć od blokady. Pełny magazyn nadal ma osobny modyfikator −10…−50.</t>
  </si>
  <si>
    <t>NOWA ZASADA; SZCZEGÓŁY OTWARTE</t>
  </si>
  <si>
    <t>Wizyty</t>
  </si>
  <si>
    <t>Z panelu domu widać wszystkich ludzi i ich przydziały; można ich wysyłać do kaplicy na błogosławieństwo oraz do latarni na zwiedzanie.</t>
  </si>
  <si>
    <t>Czas pobytu, zwrot do pracy, podatki i indywidualny/globalny bonus wizyty jeszcze nieopisane. Wizyty nie oznaczają etatów w kaplicy/latarni.</t>
  </si>
  <si>
    <t>FUNKCJA OKREŚLONA; SZCZEGÓŁY OTWARTE</t>
  </si>
  <si>
    <t>Wszystkie mechaniki działają według czasu zegarowego również po zamknięciu karty.</t>
  </si>
  <si>
    <t>Produkcja, transport, jedzenie, podatki, szczęście, populacja, budowa, port/targ i premie. Nie używamy już zasady ukryta karta=stop.</t>
  </si>
  <si>
    <t>PREMIUM • zbiorcza lista, bez fikcyjnych cen</t>
  </si>
  <si>
    <t>Zebrano Twoje nowe wpisy oraz wcześniejszy projekt+4 budowy/nielimitowanej kolejki/planów dostaw. Nie wybrano cen, okresów ani pełnego działania płatności. Błogosławieństwa/reklamy nadal do dopracowania później.</t>
  </si>
  <si>
    <t>Akcja</t>
  </si>
  <si>
    <t>Dotyczy</t>
  </si>
  <si>
    <t>Efekt</t>
  </si>
  <si>
    <t>Warunek zasobów</t>
  </si>
  <si>
    <t>Transport / ograniczenia</t>
  </si>
  <si>
    <t>Cena / limity</t>
  </si>
  <si>
    <t>Budowa 2× szybciej</t>
  </si>
  <si>
    <t>Wszystkie budynki</t>
  </si>
  <si>
    <t>Skrócenie czasu budowy o połowę.</t>
  </si>
  <si>
    <t>Wymagane pełne własne zasoby.</t>
  </si>
  <si>
    <t>Czy przyspiesza cały transport + budowę, czy tylko fazę budowania: do ustalenia.</t>
  </si>
  <si>
    <t>Cena i liczba użyć nieustalone.</t>
  </si>
  <si>
    <t>NOWA OFERTA; SZCZEGÓŁY PÓŹNIEJ</t>
  </si>
  <si>
    <t>Budowa natychmiast</t>
  </si>
  <si>
    <t>Natychmiastowe ukończenie budynku/poziomu.</t>
  </si>
  <si>
    <t>Czy pomija także przewóz i jak rozlicza już dostarczone partie: do ustalenia.</t>
  </si>
  <si>
    <t>Cena i limity nieustalone.</t>
  </si>
  <si>
    <t>Kup budynek bez surowców</t>
  </si>
  <si>
    <t>Zakup budynku mimo braku materiałów.</t>
  </si>
  <si>
    <t>Własne materiały nie są wymagane według notatki.</t>
  </si>
  <si>
    <t>Czy cena obejmuje dostawę, czas, tylko brakujące materiały lub cały koszt: nieustalone.</t>
  </si>
  <si>
    <t>Waluta, cena i warunki nieustalone.</t>
  </si>
  <si>
    <t>Transport produkcji one-click</t>
  </si>
  <si>
    <t>Farma, młyn, drwale, tartak, kamieniołom</t>
  </si>
  <si>
    <t>Gotowa lokalna produkcja natychmiast do magazynu centralnego.</t>
  </si>
  <si>
    <t>Towar musi być rzeczywiście wyprodukowany.</t>
  </si>
  <si>
    <t>Nie może przekraczać miejsca w centrali; obsługa częściowej pojemności i kary pełnego bufora do ustalenia.</t>
  </si>
  <si>
    <t>Cena, limit użyć i zakres paczki nieustalone.</t>
  </si>
  <si>
    <t>Szybszy transport do odbioru</t>
  </si>
  <si>
    <t>Przyspieszenie przewozu do punktu odbioru.</t>
  </si>
  <si>
    <t>Rzeczywiste towary i dostępna pojemność.</t>
  </si>
  <si>
    <t>Mnożnik, czas działania i czy obejmuje powrót nieustalone.</t>
  </si>
  <si>
    <t>Cena, czas i limity nieustalone.</t>
  </si>
  <si>
    <t>Transport targowy one-click</t>
  </si>
  <si>
    <t>Natychmiastowy przewóz targ ↔ centrala według notatki.</t>
  </si>
  <si>
    <t>Towar musi istnieć w punkcie źródłowym; zachować rezerwę Food.</t>
  </si>
  <si>
    <t>Nie określono kierunku/przedmiotu jednego kliknięcia, blokady 1 h i wpływu na termin 24 h.</t>
  </si>
  <si>
    <t>Cena i limit nieustalone.</t>
  </si>
  <si>
    <t>Transport portowy premium</t>
  </si>
  <si>
    <t>Takie opcje transportowe jak magazyn według notatki przy porcie.</t>
  </si>
  <si>
    <t>Własne towary/zamówienia i limity portu/statku.</t>
  </si>
  <si>
    <t>Czy omija przyniesienie, załadunek, rozładunek, dowóz lub wszystkie etapy: nieustalone.</t>
  </si>
  <si>
    <t>Cena, mnożnik i limity nieustalone.</t>
  </si>
  <si>
    <t>Pakiet +4 aktywne budowy</t>
  </si>
  <si>
    <t>Globalnie</t>
  </si>
  <si>
    <t>W czasie pakietu limit aktywnych budów = poziom ratusza +4.</t>
  </si>
  <si>
    <t>Zwykłe opłacone budowy wymagają materiałów; zakupy bez surowców to osobna nowa oferta.</t>
  </si>
  <si>
    <t>Dodatkowe sloty nie produkują materiałów ani nie tworzą transportu.</t>
  </si>
  <si>
    <t>Cena i warianty długości pakietu nieustalone.</t>
  </si>
  <si>
    <t>WCZEŚNIEJ UZGODNIONY ZAKRES</t>
  </si>
  <si>
    <t>Dowolnie długa kolejka</t>
  </si>
  <si>
    <t>Podczas pakietu brak zwykłego limitu długości kolejki.</t>
  </si>
  <si>
    <t>Pełny koszt dla opłaconej kolejki; plan z prognozy jest odrębny.</t>
  </si>
  <si>
    <t>Nowa dopłata kolejki +10%: nie określono, czy premium ją znosi.</t>
  </si>
  <si>
    <t>Oferta i ewentualne zwolnienie z dopłaty nieustalone.</t>
  </si>
  <si>
    <t>WCZEŚNIEJ UZGODNIONE + NOWA DOPŁATA</t>
  </si>
  <si>
    <t>Planowanie z estymaty dostaw</t>
  </si>
  <si>
    <t>Możliwość zlecenia przyszłej budowy według prognozowanych dostaw.</t>
  </si>
  <si>
    <t>Można zaplanować bez pełnych zapasów; plan nie tworzy surowców.</t>
  </si>
  <si>
    <t>Start/rezerwacja po rzeczywistym uzyskaniu kosztu, chyba że użyto osobno oferty kupna bez surowców.</t>
  </si>
  <si>
    <t>Cena i długość uprawnienia w ramach pakietu nieustalone.</t>
  </si>
  <si>
    <t>Czasowe przyspieszenia</t>
  </si>
  <si>
    <t>Globalnie / wskazane premie</t>
  </si>
  <si>
    <t>Przyciski przyspieszenia powiązane z czasowymi premiami.</t>
  </si>
  <si>
    <t>Nieustalone.</t>
  </si>
  <si>
    <t>Zakres procesów, mnożnik i kumulowanie nieokreślone.</t>
  </si>
  <si>
    <t>NOWA WZMIANKA; PÓŹNIEJ</t>
  </si>
  <si>
    <t>Płatne błogosławieństwo</t>
  </si>
  <si>
    <t>Dodatkowe pojedyncze błogosławieństwo.</t>
  </si>
  <si>
    <t>Dotychczas +50 każdego zasobu i +20 szczęścia na 1 h; nowe oferty odłożone.</t>
  </si>
  <si>
    <t>Natychmiastowy efekt kontra blokada aktywnej premii pozostaje nierozstrzygnięty.</t>
  </si>
  <si>
    <t>Błogosławieństwo za challenge</t>
  </si>
  <si>
    <t>Dodatkowe użycie po wyzwaniu.</t>
  </si>
  <si>
    <t>Treść i warunki challenge nieustalone.</t>
  </si>
  <si>
    <t>Wpływ na aktywny efekt i cooldown nieustalony.</t>
  </si>
  <si>
    <t>Limity i nagrody nieustalone.</t>
  </si>
  <si>
    <t>Błogosławieństwo za social</t>
  </si>
  <si>
    <t>Dodatkowe użycie za udostępnienie, np. FB/Instagram.</t>
  </si>
  <si>
    <t>Sposób weryfikacji nieustalony.</t>
  </si>
  <si>
    <t>Limity nieustalone.</t>
  </si>
  <si>
    <t>Reklama i oczekiwanie</t>
  </si>
  <si>
    <t>Kaplica / oferty wizyt do ustalenia</t>
  </si>
  <si>
    <t>Notatka: reklama 60 s skraca pozostałe czekanie o połowę; do 2 reklam na godzinę gry.</t>
  </si>
  <si>
    <t>Nagroda po reklamie — szczegóły nieustalone.</t>
  </si>
  <si>
    <t>Zgodność z aktywnym efektem, rodzaj godziny i reset nieustalone.</t>
  </si>
  <si>
    <t>2/h w źródle; pełne warunki odłożone.</t>
  </si>
  <si>
    <t>Premia za zwiedzanie</t>
  </si>
  <si>
    <t>Zwiedzanie daje bonus/premię; odrębne od nazwy błogosławieństwa kaplicy.</t>
  </si>
  <si>
    <t>Nie określono płatnej oferty ani warunków wejścia.</t>
  </si>
  <si>
    <t>Nie zakładać automatycznie globalnego bonusu rozbudowy za pojedynczą wizytę.</t>
  </si>
  <si>
    <t>NIEUSTALONE; NIE DOPISANO CENY</t>
  </si>
  <si>
    <t>PARAMETRY V2 • aktualne liczby i jednostki</t>
  </si>
  <si>
    <t>Niebieskie wartości edytowalne. Wszystkie zegary gospodarki działają również offline. +10% ładunku roboczo składane i zaokrąglone w dół do całych sztuk; koszt kolejki osobno w górę. Estymaty tylko transport+budowa.</t>
  </si>
  <si>
    <t>Parametr</t>
  </si>
  <si>
    <t>Wartość</t>
  </si>
  <si>
    <t>Jednostka</t>
  </si>
  <si>
    <t>people_start</t>
  </si>
  <si>
    <t>Ludzie na starcie</t>
  </si>
  <si>
    <t>osób</t>
  </si>
  <si>
    <t>W domu, wolni; wszystkie 6 zasobów po 100.</t>
  </si>
  <si>
    <t>town_cap</t>
  </si>
  <si>
    <t>Populacja / poziom ratusza</t>
  </si>
  <si>
    <t>Dom osobno daje 24 miejsc/poziom.</t>
  </si>
  <si>
    <t>job_cap</t>
  </si>
  <si>
    <t>Limit pracy / poziom własnego budynku</t>
  </si>
  <si>
    <t>POTWIERDZONE W V1</t>
  </si>
  <si>
    <t>Limit 12×poziom miejsca pracy, z jednej puli faktycznie wolnych ludzi.</t>
  </si>
  <si>
    <t>capacity</t>
  </si>
  <si>
    <t>Ładunek tragarza na poziomie 1</t>
  </si>
  <si>
    <t>szt./kurs</t>
  </si>
  <si>
    <t>Jeden rodzaj towaru; nie 60 szt./h.</t>
  </si>
  <si>
    <t>capacity_growth</t>
  </si>
  <si>
    <t>Mnożnik ładunku na kolejny poziom</t>
  </si>
  <si>
    <t>mnożnik</t>
  </si>
  <si>
    <t>WZROST POTWIERDZONY</t>
  </si>
  <si>
    <t>Roboczo wzrost składany, pojemność całkowita FLOOR; 60,66,72…</t>
  </si>
  <si>
    <t>trip</t>
  </si>
  <si>
    <t>Pełny kurs, z powrotem</t>
  </si>
  <si>
    <t>min</t>
  </si>
  <si>
    <t>Wszystkie odległości; częściowy ładunek dopuszczalny, bez czekania na pełny.</t>
  </si>
  <si>
    <t>crew</t>
  </si>
  <si>
    <t>Dostępni dla danej budowy tragarze</t>
  </si>
  <si>
    <t>ZAŁOŻENIE ESTYMATY</t>
  </si>
  <si>
    <t>Po odjęciu pilniejszych zadań i ratunkowych dostaw Food; edytowalne.</t>
  </si>
  <si>
    <t>reserve</t>
  </si>
  <si>
    <t>Rezerwa Food / poziom magazynu</t>
  </si>
  <si>
    <t>Food/poziom</t>
  </si>
  <si>
    <t>NOWE POTWIERDZONE</t>
  </si>
  <si>
    <t>Rezerwa 50×poziom magazynu. Ludzie mogą ją zjadać.</t>
  </si>
  <si>
    <t>travel</t>
  </si>
  <si>
    <t>Droga człowieka do pracy / do domu</t>
  </si>
  <si>
    <t>min/odcinek</t>
  </si>
  <si>
    <t>W drodze nie pracuje; 5 min w każdą stronę.</t>
  </si>
  <si>
    <t>queue</t>
  </si>
  <si>
    <t>Dopłata do zlecenia w kolejce</t>
  </si>
  <si>
    <t>mnożnik kosztu</t>
  </si>
  <si>
    <t>Obejmuje całą cenę; każdy składnik zaokrąglony w górę — interpretacja dla całych zasobów.</t>
  </si>
  <si>
    <t>norm</t>
  </si>
  <si>
    <t>Norma kosztu producenta</t>
  </si>
  <si>
    <t>szt./dobę×L</t>
  </si>
  <si>
    <t>30%drewna, 30%kamienia, 50%produktu; norma cenowa nie realna produkcja.</t>
  </si>
  <si>
    <t>wood_share</t>
  </si>
  <si>
    <t>Drewno: udział normy</t>
  </si>
  <si>
    <t>udział</t>
  </si>
  <si>
    <t>Sumuje się z własnym produktem drwali.</t>
  </si>
  <si>
    <t>stone_share</t>
  </si>
  <si>
    <t>Kamień: udział normy</t>
  </si>
  <si>
    <t>Sumuje się z własnym produktem kamieniołomu.</t>
  </si>
  <si>
    <t>own_share</t>
  </si>
  <si>
    <t>Własny produkt: udział normy</t>
  </si>
  <si>
    <t>Farm zboże, młyn Food, drwale wood, tartak planks, quarry stone.</t>
  </si>
  <si>
    <t>town_cost</t>
  </si>
  <si>
    <t>Ratusz/Dom — każdy zasób</t>
  </si>
  <si>
    <t>szt.×L</t>
  </si>
  <si>
    <t>W tym monety; monety bez transportu.</t>
  </si>
  <si>
    <t>store_cost</t>
  </si>
  <si>
    <t>Magazyn/Targ — każdy zasób</t>
  </si>
  <si>
    <t>NOWE W V1</t>
  </si>
  <si>
    <t>Zastępuje500.</t>
  </si>
  <si>
    <t>port_cost</t>
  </si>
  <si>
    <t>Przystań — każdy zasób</t>
  </si>
  <si>
    <t>light_cost</t>
  </si>
  <si>
    <t>Latarnia — każdy zasób</t>
  </si>
  <si>
    <t>szt.×max(1,L)</t>
  </si>
  <si>
    <t>Pierwsza budowa 0→1 również 500 każdego.</t>
  </si>
  <si>
    <t>per</t>
  </si>
  <si>
    <t>Pojemność magazynu/portu poziom 1: na materiał</t>
  </si>
  <si>
    <t>szt.</t>
  </si>
  <si>
    <t>Monety osobno.</t>
  </si>
  <si>
    <t>total</t>
  </si>
  <si>
    <t>Pojemność magazynu/portu poziom 1: łącznie</t>
  </si>
  <si>
    <t>5 rodzajów materiałów.</t>
  </si>
  <si>
    <t>store_growth</t>
  </si>
  <si>
    <t>Wzrost pojemności magazynu/targu/portu</t>
  </si>
  <si>
    <t>mnożnik/poziom</t>
  </si>
  <si>
    <t>Magazyn/port oba limity; targ łączny 1000 na 1.</t>
  </si>
  <si>
    <t>tax</t>
  </si>
  <si>
    <t>Podatek pracującego</t>
  </si>
  <si>
    <t>moneta/os./h</t>
  </si>
  <si>
    <t>Kaplica czasowo×2; stojący producent a podatek do decyzji.</t>
  </si>
  <si>
    <t>food</t>
  </si>
  <si>
    <t>Spożycie osoby</t>
  </si>
  <si>
    <t>Food/os./h</t>
  </si>
  <si>
    <t>Automatycznie z centrali, także offline.</t>
  </si>
  <si>
    <t>grace</t>
  </si>
  <si>
    <t>Okres bez kary głodu/bezrobocia</t>
  </si>
  <si>
    <t>h zegarowych</t>
  </si>
  <si>
    <t>Oddzielne liczniki.</t>
  </si>
  <si>
    <t>lack</t>
  </si>
  <si>
    <t>Kara po progu danego braku</t>
  </si>
  <si>
    <t>pp/os./h</t>
  </si>
  <si>
    <t>Każdy brak osobno−5.</t>
  </si>
  <si>
    <t>raw_sell</t>
  </si>
  <si>
    <t>Port — sprzedaż 100 podstawowych</t>
  </si>
  <si>
    <t>monet</t>
  </si>
  <si>
    <t>Drewno, kamień, zboże.</t>
  </si>
  <si>
    <t>raw_buy</t>
  </si>
  <si>
    <t>Port — zakup 100 podstawowych</t>
  </si>
  <si>
    <t>Przed liniową podwyżką.</t>
  </si>
  <si>
    <t>proc_sell</t>
  </si>
  <si>
    <t>Port — sprzedaż 100 przetworzonych</t>
  </si>
  <si>
    <t>OSTATNIA KOREKTA UŻYTKOWNIKA</t>
  </si>
  <si>
    <t>Deski, Food. NIE targ; zastępuje 70.</t>
  </si>
  <si>
    <t>proc_buy</t>
  </si>
  <si>
    <t>Port — zakup 100 przetworzonych</t>
  </si>
  <si>
    <t>Zastępuje 80; przed liniową podwyżką.</t>
  </si>
  <si>
    <t>price_extra</t>
  </si>
  <si>
    <t>Podwyżka kolejnej paczki zakupu</t>
  </si>
  <si>
    <t>udział ceny bazowej</t>
  </si>
  <si>
    <t>W ruchomych 3 h; zakres licznika per towar/globalnie jeszcze do określenia.</t>
  </si>
  <si>
    <t>price_window</t>
  </si>
  <si>
    <t>Port — okno zakupów</t>
  </si>
  <si>
    <t>Nie czas aktywnej karty.</t>
  </si>
  <si>
    <t>expire</t>
  </si>
  <si>
    <t>Towar na targu/w porcie wygasa</t>
  </si>
  <si>
    <t>Zastępuje portową opłatę 10 monet. Nowy wynik wymiany ma nowe 24 h.</t>
  </si>
  <si>
    <t>market_fee</t>
  </si>
  <si>
    <t>Marża targu</t>
  </si>
  <si>
    <t>Wymiana w dwóch grupach; bez monet.</t>
  </si>
  <si>
    <t>market_lock</t>
  </si>
  <si>
    <t>Blokada dostawy targowej</t>
  </si>
  <si>
    <t>WCZEŚNIEJ UZGODNIONE</t>
  </si>
  <si>
    <t>Nowy plik nie usuwa blokady; wygasanie 24 h jest osobne.</t>
  </si>
  <si>
    <t>min_people</t>
  </si>
  <si>
    <t>Minimalna populacja</t>
  </si>
  <si>
    <t>Ubytek=odejście, nie śmierć.</t>
  </si>
  <si>
    <t>DECYZJE V2 • co ustalone, co nadal otwarte</t>
  </si>
  <si>
    <t>Wszystkie odpowiedzi uwzględniono. Zamknięte pytania nie wracają jako alarmy. Niejednoznaczne szczegóły zostały jawnie oznaczone, bez wybierania za gracza. Dane z pliku 1 są archiwizowane.</t>
  </si>
  <si>
    <t>Temat</t>
  </si>
  <si>
    <t>Wynik / zasada</t>
  </si>
  <si>
    <t>Uwagi / pytanie</t>
  </si>
  <si>
    <t>Q01</t>
  </si>
  <si>
    <t>ROZSTRZYGNIĘTE</t>
  </si>
  <si>
    <t>Dokładnie 10, 12, 13, 14…</t>
  </si>
  <si>
    <t>Potwierdzenie w rozmowie; nie +10% produkcji.</t>
  </si>
  <si>
    <t>Q02</t>
  </si>
  <si>
    <t>5T=T+4T</t>
  </si>
  <si>
    <t>Potwierdzenie w rozmowie.</t>
  </si>
  <si>
    <t>Q03</t>
  </si>
  <si>
    <t>T + 3T × (N−1), N = nowy poziom: 4T, 7T, 10T</t>
  </si>
  <si>
    <t>Q04</t>
  </si>
  <si>
    <t>5 min — pełny kurs z powrotem</t>
  </si>
  <si>
    <t>Nie ma dodatkowego powrotu; 5 min jest całym cyklem.</t>
  </si>
  <si>
    <t>Q05</t>
  </si>
  <si>
    <t>140/150 w PORCIE; TARG bez monet</t>
  </si>
  <si>
    <t>Ostatnia korekta zastępuje pierwszą odpowiedź.</t>
  </si>
  <si>
    <t>Q06</t>
  </si>
  <si>
    <t>Cała gospodarka działa zegarowo również offline</t>
  </si>
  <si>
    <t>Także jedzenie, podatki, szczęście i demografia.</t>
  </si>
  <si>
    <t>Q07</t>
  </si>
  <si>
    <t>DO DOPRECYZOWANIA</t>
  </si>
  <si>
    <t>Zablokowany producent</t>
  </si>
  <si>
    <t>Dodana kara za brak pracy</t>
  </si>
  <si>
    <t>Czy znika bonus +1 za pracę i podatek? Czy kara −5/h zaczyna działać po 12 h blokady? Czy pełny bufor daje równocześnie osobny modyfikator −10…−50?</t>
  </si>
  <si>
    <t>Q08</t>
  </si>
  <si>
    <t>Ratunkowy transport Food</t>
  </si>
  <si>
    <t>Rezerwa 50 × L, a w notatce próg tragarza &lt;50</t>
  </si>
  <si>
    <t>Roboczo ujednolicono do 50 × poziom magazynu; bez tworzenia pracownika, gdy obsada wynosi 0.</t>
  </si>
  <si>
    <t>Q09</t>
  </si>
  <si>
    <t>Dom, największa załoga, remisy według podanej listy</t>
  </si>
  <si>
    <t>Nie określono miejsca targu ani osób w drodze w kolejności; farma, młyn i transport nie są w pełni uszeregowane.</t>
  </si>
  <si>
    <t>Q10</t>
  </si>
  <si>
    <t>Licznik zakupów w oknie 3 h</t>
  </si>
  <si>
    <t>Wzrost liniowy potwierdzony</t>
  </si>
  <si>
    <t>Osobno na produkt czy globalnie? Czy zamówienie zamraża cenę zakupu, czy cena jest liczona przy przypłynięciu?</t>
  </si>
  <si>
    <t>Q11</t>
  </si>
  <si>
    <t>Przyciski = czasowe premie</t>
  </si>
  <si>
    <t>Nie podano wielkości, czasu ani wpływu na poszczególne zegary; oferty zebrano w Premium.</t>
  </si>
  <si>
    <t>Q12</t>
  </si>
  <si>
    <t>MODEL DO POTWIERDZENIA</t>
  </si>
  <si>
    <t>Zaokrąglenia</t>
  </si>
  <si>
    <t>Ładunek: zaokrąglenie w dół; kolejka: ROUNDUP każdego materiału</t>
  </si>
  <si>
    <t>Zasoby są całkowite. Składany wzrost ładunku ×1.1/poziom jest interpretacją zapisu +10%.</t>
  </si>
  <si>
    <t>Q13</t>
  </si>
  <si>
    <t>WYJAŚNIENIE „NIEROZUMIEM”</t>
  </si>
  <si>
    <t>D09 starego arkusza</t>
  </si>
  <si>
    <t>Chodziło o to, czy odstęp między użyciami błogosławieństwa liczyć od startu czy od końca efektu trwającego 1 h.</t>
  </si>
  <si>
    <t>ODŁOŻONE; nie rozstrzygamy teraz harmonogramu.</t>
  </si>
  <si>
    <t>Q14</t>
  </si>
  <si>
    <t>D16 starego arkusza</t>
  </si>
  <si>
    <t>Cennik kaplicy był zachowanym tymczasowym cennikiem: N × (180 monet +20 drewna +60 kamienia +10 desek).</t>
  </si>
  <si>
    <t>Nie ustaliliśmy nowej ceny. W arkuszu pozostawiono go jako jawnie tymczasowy.</t>
  </si>
  <si>
    <t>POPULACJA • przyrost i ubytek zostały ustalone</t>
  </si>
  <si>
    <t>Wszystko działa offline według czasu zegarowego; ubytek oznacza wyłącznie odejście, nie śmierć. Nowi zawsze trafiają do domu. Minimum 6, maksimum 24 × Ratusz, nie Dom. Używamy dokładnej średniej indywidualnego H, nie zaokrąglonego procentu.</t>
  </si>
  <si>
    <t>Szczęście dokładne [%]</t>
  </si>
  <si>
    <t>Zmiana osób / h</t>
  </si>
  <si>
    <t>Czas na 1 osobę [h]</t>
  </si>
  <si>
    <t>Znaczenie</t>
  </si>
  <si>
    <t>Ubywa</t>
  </si>
  <si>
    <t>Minimum 6, maksimum 24 × Ratusz; nowi do domu. Odejście: najpierw dom, potem największa załoga. Przy remisie: port, tartak, kamieniołom, drwale; produkcja żywności i transport na końcu. Targ, farma/młyn i osoby w drodze: pełna kolejność do decyzji.</t>
  </si>
  <si>
    <t>Populacja bez zmian</t>
  </si>
  <si>
    <t>Przybywa</t>
  </si>
  <si>
    <t>WZÓR I PRZYKŁAD</t>
  </si>
  <si>
    <t>Dla H=|szczęście|: tempo=H/300 osoby/h dla 0…50%; dla 50…100%:1/6+(H−50)/60. Znak dodatni daje przyrost, ujemny ubytek. ±75% daje 1 osobę co 1 h 42 min 51 s. Przy 0% brak zmiany. Nowa osoba ma własne szczęście 0, dopiero potem otrzymuje aktualne premie wyspy.</t>
  </si>
  <si>
    <t>PORT • nowe 140/150 i liniowa podwyżka</t>
  </si>
  <si>
    <t>Ceny za 100. Port 40/50 podstawowe i 140/150 przetworzone. Targ bez monetowy+marża 10%. Od 2 paczki zakupu w ruchomych 3 h liniowo+10%ceny bazowej; zakres licznika globalny/per materiał jeszcze do określenia. Przykład dla kolejnych paczekjednego rodzaju bez wygaśnięć okna.</t>
  </si>
  <si>
    <t>Numer paczki100</t>
  </si>
  <si>
    <t>Kupno podstawowych</t>
  </si>
  <si>
    <t>Kupno przetworzonych</t>
  </si>
  <si>
    <t>Sprzedaż podstawowych</t>
  </si>
  <si>
    <t>Sprzedaż przetworzonych</t>
  </si>
  <si>
    <t>Suma kupna podstawowych</t>
  </si>
  <si>
    <t>Suma kupna przetworzonych</t>
  </si>
  <si>
    <t>Jedno zamówienie 500 szt.liczy 5 paczek; dopłata dla każdej kolejnej paczki. Sprzedaż bez tej dopłaty.</t>
  </si>
  <si>
    <t>Rentowność2:1</t>
  </si>
  <si>
    <t>200 drewna sprzedane jako surowiec=80 monet; po przeróbce 100 desek=140. Zakup 200 drewna=100; 100 desek=150. Nowy cennik usuwa poprzednią odwrotną zachętę.</t>
  </si>
  <si>
    <t>Przepływ/terminy</t>
  </si>
  <si>
    <t>Dwa cykle sprzedaży, pojemność statku=port, płatność przy wypłynięciu. Zakup:płatność przy przypłynięciu, rozładunek i dowóz. Towar 24 hnieodebrany przepada; opłata 10 monet zniesiona.</t>
  </si>
  <si>
    <t>KAPLICA / LATARNIA • dwa źródła premii</t>
  </si>
  <si>
    <t>Kaplica = błogosławieństwo, Latarnia = zwiedzanie. W domu widać ludzi i ich przydziały; można ich stamtąd wysyłać. Nowe zasady wizyt są odrębne od premii ZA ukończenie rozbudowy i nie zastępują ich bez decyzji.</t>
  </si>
  <si>
    <t>Element</t>
  </si>
  <si>
    <t>Aktualna zasada</t>
  </si>
  <si>
    <t>Co pozostaje do później</t>
  </si>
  <si>
    <t>Kaplica: rozbudowa</t>
  </si>
  <si>
    <t>+10 × N szczęścia i podatki ×2 przez 10 h; poziom 1 bez pasywnego bonusu.</t>
  </si>
  <si>
    <t>Koszt kaplicy nadal tymczasowy; premia po ukończeniu.</t>
  </si>
  <si>
    <t>Dotychczas: +50 każdego zasobu, +20 szczęścia na 1 h; liczba bezpłatnych użyć = poziom kaplicy.</t>
  </si>
  <si>
    <t>Czas pobytu, indywidualny/globalny bonus wizyt, praca, podatki i powrót.</t>
  </si>
  <si>
    <t>Latarnia: rozbudowa</t>
  </si>
  <si>
    <t>Efektywne szczęście WSZYSTKICH 100%, produkcja materiałów ×2; obie premie przez 24 h × N.</t>
  </si>
  <si>
    <t>Nie dodajemy+100; po zakończeniu powrót do bieżących osobistych liczników jest interpretacją modelu.</t>
  </si>
  <si>
    <t>Ludzi można wysłać z Domu; zwiedzanie prowadzi do premii.</t>
  </si>
  <si>
    <t>Czas wizyty, liczba ludzi, konkretna nagroda i limity.</t>
  </si>
  <si>
    <t>Cooldown/reklamy/zakup</t>
  </si>
  <si>
    <t>Notatkę źródłową zachowano; oferty zebrano w Premium.</t>
  </si>
  <si>
    <t>Nadal odłożone: rosnące odstępy +25%, reklama 60 s, 2/h, natychmiastowe zakupy.</t>
  </si>
  <si>
    <t>POTWIERDZENIA • odpowiedzi z rozmowy</t>
  </si>
  <si>
    <t>22.10.2026, Europa/Warszawa. Ten arkusz pozwala odróżnić Twoje dosłowne odpowiedzi od roboczych interpretacji. Wersja 2 to wynik analizy, nie kod ani wdrożenie.</t>
  </si>
  <si>
    <t>Potwierdzenie</t>
  </si>
  <si>
    <t>Zastosowanie</t>
  </si>
  <si>
    <t>Wszystkie 5 producentów; szczegóły Produkcja.</t>
  </si>
  <si>
    <t>Łącznie 5T: transport T + budowa 4T</t>
  </si>
  <si>
    <t>Czasy przeliczone.</t>
  </si>
  <si>
    <t>Użyj nowego poziomu N: 4T, 7T, 10T</t>
  </si>
  <si>
    <t>Cały kurs z powrotem trwa 5 min</t>
  </si>
  <si>
    <t>Kalkulacja podzielona według ładunków.</t>
  </si>
  <si>
    <t>Ceny-produkty</t>
  </si>
  <si>
    <t>Ostatnia korekta: 140/150 w PORCIE; na TARGU wymiana bez monet z marżą.</t>
  </si>
  <si>
    <t>Zastępuje 70/80 w porcie oraz wcześniejszą odpowiedź dotyczącą targu.</t>
  </si>
  <si>
    <t>Wszystkie mechaniki działają również offline</t>
  </si>
  <si>
    <t>Nie tylko budowa i port.</t>
  </si>
  <si>
    <t>HARBORLIGHT1-zasady.xlsx, commit d8f424d</t>
  </si>
  <si>
    <t>Oryginał niezmieniony; nowy plik: HARBORLIGHT2-zasady.xlsx.</t>
  </si>
  <si>
    <t>TWOJE WPISY • zachowane z pliku1</t>
  </si>
  <si>
    <t>Oryginał HARBORLIGHT1-zasady.xlsx pozostaje nienaruszony. To archiwum75 zmian tekstowych, w tym przesunięć nagłówków; przeniesione formuły nie są liczone jako nowe zasady. Wiążące odpowiedzi z rozmowy mają osobną zakładkę.</t>
  </si>
  <si>
    <t>Poprzednio</t>
  </si>
  <si>
    <t>Twój wpis — bez zmian</t>
  </si>
  <si>
    <t>Obsługa w wersji2</t>
  </si>
  <si>
    <t>Start!E9</t>
  </si>
  <si>
    <t xml:space="preserve">zdefiniowane w innym miejscu </t>
  </si>
  <si>
    <t>Uwzględnione w uporządkowanych zasadach lub jawnie oznaczone jako szczegół do decyzji; patrz Odpowiedzi i zmiany.</t>
  </si>
  <si>
    <t>Start!E12</t>
  </si>
  <si>
    <t>zakładamy nakarmionych tragarzy, ale zwiekszamy limit min pożywienia w magazynie na 50 x Level</t>
  </si>
  <si>
    <t>Start!E13</t>
  </si>
  <si>
    <t xml:space="preserve">tak potwierdzam  wraz z rozbudową magazynu wzrasta ilość materiałów jakie tragarz może ze sobą zabrać, logika też jest osobno opisana przy magazynie </t>
  </si>
  <si>
    <t>Start!E16</t>
  </si>
  <si>
    <t xml:space="preserve">nie nazywajmy ubytku śmiercią </t>
  </si>
  <si>
    <t>Budynki!K5</t>
  </si>
  <si>
    <t>1→2: transport + budowa</t>
  </si>
  <si>
    <t>Uwagi 3</t>
  </si>
  <si>
    <t>Budynki!M5</t>
  </si>
  <si>
    <t>3→4: transport + budowa</t>
  </si>
  <si>
    <t>Budynki!N5</t>
  </si>
  <si>
    <t>2→3: transport + budowa</t>
  </si>
  <si>
    <t>Budynki!O5</t>
  </si>
  <si>
    <t>Budynki!F6</t>
  </si>
  <si>
    <t>ŁĄCZNIE3T: transportT +budowa2T.</t>
  </si>
  <si>
    <t>ŁĄCZNIE3T: transportT +budowa2T. Zmiana, czas 2 T</t>
  </si>
  <si>
    <t>Budynki!J6</t>
  </si>
  <si>
    <t>Oferta dla tego budynku nieustalona. Wcześniejszy projekt globalnego pakietu: +4 równoległe budowy, dowolna kolejka i planowanie z estymaty dostaw na czas pakietu; cena/czas nieustalone.</t>
  </si>
  <si>
    <t xml:space="preserve">Premium, zbuduj 2 x szybciej, zbuduj natychmiast (oba jak masz zasoby) kup budynek jak nie masz surowców </t>
  </si>
  <si>
    <t>Budynki!K6</t>
  </si>
  <si>
    <t>'=TEXT('Czas budowy'!S6,"0.00")&amp;" h łącznie; T="&amp;TEXT('Czas budowy'!P6,"0.00")&amp;" h, budowa="&amp;TEXT('Czas budowy'!R6,"0.00")&amp;" h. Założenia: Czas budowy / D02."</t>
  </si>
  <si>
    <t>Budynki!F7</t>
  </si>
  <si>
    <t>Budynki!J7</t>
  </si>
  <si>
    <t>Budynki!K7</t>
  </si>
  <si>
    <t>'=TEXT('Czas budowy'!S9,"0.00")&amp;" h łącznie; T="&amp;TEXT('Czas budowy'!P9,"0.00")&amp;" h, budowa="&amp;TEXT('Czas budowy'!R9,"0.00")&amp;" h. Założenia: Czas budowy / D02."</t>
  </si>
  <si>
    <t>Budynki!C8</t>
  </si>
  <si>
    <t>Start0. Limit na budynek12×poziom ratusza, ale tylko faktycznie wolni ludzie ze wspólnej puli. Nie można przypisać jednej osoby dwa razy.</t>
  </si>
  <si>
    <t>Start0. Limit na budynek12×poziom ratusza, ale tylko faktycznie wolni ludzie ze wspólnej puli. Nie można przypisać jednej osoby dwa razy. Start wszystkie zasoby = 100</t>
  </si>
  <si>
    <t>Budynki!D8</t>
  </si>
  <si>
    <t>Zamiar z pliku: większa możliwa produkcja dzięki większej obsadzie. Limit obsady został wyjaśniony jako zależny od RATUSZA, nie własnego poziomu producenta. Osobna korzyść ulepszenia tego budynku nadal nie została określona.</t>
  </si>
  <si>
    <t xml:space="preserve">Zamiar z pliku: większa możliwa produkcja dzięki większej obsadzie. Limit obsady został wyjaśniony jako zależny od RATUSZA, nie własnego poziomu producenta. Osobna korzyść ulepszenia tego budynku nadal nie została określona. Rozbudowa na kolejny poziom daje zawsze dodatkowo 10% extra efektywności pracy czyli zwiększa w tym przypadku zboże analogicznie też drewno kamien etc </t>
  </si>
  <si>
    <t>Budynki!J8</t>
  </si>
  <si>
    <t>Budynki!K8</t>
  </si>
  <si>
    <t>'=TEXT('Czas budowy'!S12,"0.00")&amp;" h łącznie; T="&amp;TEXT('Czas budowy'!P12,"0.00")&amp;" h, budowa="&amp;TEXT('Czas budowy'!R12,"0.00")&amp;" h. Założenia: Czas budowy / D02."</t>
  </si>
  <si>
    <t>Budynki!J9</t>
  </si>
  <si>
    <t>Budynki!J10</t>
  </si>
  <si>
    <t>Budynki!J11</t>
  </si>
  <si>
    <t>Budynki!J12</t>
  </si>
  <si>
    <t>Budynki!E13</t>
  </si>
  <si>
    <t>500×L KAŻDEGO z6 zasobów</t>
  </si>
  <si>
    <t>300×L KAŻDEGO z6 zasobów</t>
  </si>
  <si>
    <t>Budynki!J13</t>
  </si>
  <si>
    <t>Budynki!K13</t>
  </si>
  <si>
    <t>'=TEXT('Czas budowy'!S27,"0.00")&amp;" h łącznie; T="&amp;TEXT('Czas budowy'!P27,"0.00")&amp;" h, budowa="&amp;TEXT('Czas budowy'!R27,"0.00")&amp;" h. Założenia: Czas budowy / D02."</t>
  </si>
  <si>
    <t>Budynki!D14</t>
  </si>
  <si>
    <t>Pojemność×1.5:1000,1500,2250… Wynik wymiany czeka na targu na zamówiony odbiór do centrali.</t>
  </si>
  <si>
    <t xml:space="preserve">Pojemność×1.5:1000,1500,2250… Wynik wymiany czeka na targu na zamówiony odbiór do centrali. Targ ma swoich ludzi, tylko oni noszą na targ I do magazynu, jeżeli chcesz sprzedać musisz miec towar na targu czyli musisz polecić jego przyniesienie, towar na targu znika po 24 h od przyniesienia, jak na coś sie wymienisz towar jest na targu 24 i znika, </t>
  </si>
  <si>
    <t>Budynki!E14</t>
  </si>
  <si>
    <t>Budynki!J14</t>
  </si>
  <si>
    <t>Budynki!K14</t>
  </si>
  <si>
    <t>'=TEXT('Czas budowy'!S30,"0.00")&amp;" h łącznie; T="&amp;TEXT('Czas budowy'!P30,"0.00")&amp;" h, budowa="&amp;TEXT('Czas budowy'!R30,"0.00")&amp;" h. Założenia: Czas budowy / D02."</t>
  </si>
  <si>
    <t>Budynki!E15</t>
  </si>
  <si>
    <t>400×L KAŻDEGO z6 zasobów</t>
  </si>
  <si>
    <t>Budynki!J15</t>
  </si>
  <si>
    <t>Budynki!K15</t>
  </si>
  <si>
    <t>'=TEXT('Czas budowy'!S33,"0.00")&amp;" h łącznie; T="&amp;TEXT('Czas budowy'!P33,"0.00")&amp;" h, budowa="&amp;TEXT('Czas budowy'!R33,"0.00")&amp;" h. Założenia: Czas budowy / D02."</t>
  </si>
  <si>
    <t>Budynki!F16</t>
  </si>
  <si>
    <t>ŁĄCZNIE4T: transportT +budowa3T.</t>
  </si>
  <si>
    <t>ŁĄCZNIE4T: transportT +(budowa3Tx aktualny level-1)</t>
  </si>
  <si>
    <t>Budynki!J16</t>
  </si>
  <si>
    <t>Premium, zbuduj 2 x szybciej, zbuduj natychmiast (oba jak masz zasoby) kup budynek jak nie masz surowców 
Nowe błogosławieństwo: kasa/challenge/udostępnienie/reklama. Zgodnie z decyzją użytkownika szczegóły ODŁOŻONE. Brak cen ani zatwierdzonej integracji.</t>
  </si>
  <si>
    <t>Budynki!F17</t>
  </si>
  <si>
    <t>ŁĄCZNIE6T: transportT +budowa5T.</t>
  </si>
  <si>
    <t>ŁĄCZNIE6T: transportT +budowa4T.</t>
  </si>
  <si>
    <t>Budynki!J17</t>
  </si>
  <si>
    <t>Budynki!K17</t>
  </si>
  <si>
    <t>'=TEXT('Czas budowy'!S39,"0.00")&amp;" h łącznie; T="&amp;TEXT('Czas budowy'!P39,"0.00")&amp;" h, budowa="&amp;TEXT('Czas budowy'!R39,"0.00")&amp;" h. Założenia: Czas budowy / D02."</t>
  </si>
  <si>
    <t>Budynki!M18</t>
  </si>
  <si>
    <t>Nie dotyczy — osoba nie ma rozbudowy1→2.</t>
  </si>
  <si>
    <t>Budynki!N18</t>
  </si>
  <si>
    <t>Budynki!O18</t>
  </si>
  <si>
    <t>Czlowiek!C7</t>
  </si>
  <si>
    <t>12 wolnych na starcie; przypisanie możliwe od razu.</t>
  </si>
  <si>
    <t>12 wolnych na starcie; przypisanie możliwe od razu. Na starcie ludzie są w "Domu"</t>
  </si>
  <si>
    <t>Czlowiek!C8</t>
  </si>
  <si>
    <t>0…12×poziom ratusza na budynek; zatrudnić można najwyżej obecnych wolnych ludzi.</t>
  </si>
  <si>
    <t xml:space="preserve">0…12×poziom ratusza na budynek; zatrudnić można najwyżej obecnych wolnych ludzi. UWAGA ZMIANA na poziomie 1 mam 24 ludzi wiec w w kazdym gospodarstwie mogę mieć połowę limitu czyli 12 (o ile mam tylu ludzi i o ile są dostępni w domu), niezależnie od poziomu ratusza póki nie zwiększe poziomu budynky nie mogę mieć wiecej, jeżeli np drwala podniosę do poziomu  2 to mogę mieć połowę maxa czyli 24 etc, a nie mogę podnieść drwala nie podnosząc ratusza bo to jest prerequisit </t>
  </si>
  <si>
    <t>Czlowiek!C21</t>
  </si>
  <si>
    <t>0min w poprzednim modelu; ewentualne5min wymaga decyzji.</t>
  </si>
  <si>
    <t>5min.</t>
  </si>
  <si>
    <t>Czlowiek!D21</t>
  </si>
  <si>
    <t>Nie dopisano symetrycznej drogi do pracy jako uzgodnionej reguły.</t>
  </si>
  <si>
    <t>Nie pracuje, nie płaci podatku; je i jest liczony jako bezrobotny od zwolnienia. Zachowuje ID i szczęście.</t>
  </si>
  <si>
    <t>Czlowiek!C22</t>
  </si>
  <si>
    <t>−10 od razu; po24h−20;48h−30;72h−40;96h i dalej−50.</t>
  </si>
  <si>
    <t xml:space="preserve">−10 od razu; po24h−20;48h−30;72h−40;96h i dalej−50. nie schodzi poniżej -50 </t>
  </si>
  <si>
    <t>Czlowiek!C28</t>
  </si>
  <si>
    <t>0%=0; ±25%=1/12h; ±50%=1/6h; ±75%=1/ok.1h43; ±100%=1/h.</t>
  </si>
  <si>
    <t xml:space="preserve">0%=0; ±25%=1/12h; ±50%=1/6h; ±75%=1/ok.1h43; ±100%=1/h. Do limitu Ratusza a nie domu </t>
  </si>
  <si>
    <t>Czlowiek!D28</t>
  </si>
  <si>
    <t>Minimum6, maksimum24×ratusz. Ustalono tempo ubytku, nie fabularne rozróżnienie śmierci/odejścia.</t>
  </si>
  <si>
    <t>Minimum6, maksimum24×ratusz. Ustalono tempo ubytku, nie fabularne rozróżnienie śmierci/odejścia. Tempo odejścia takie samo jak tempo przyrostu w sensie analogicznie ale na minus. Z Zastrzeżeniem że nie można mieć mniej niż 6 osób.</t>
  </si>
  <si>
    <t>Czlowiek!C29</t>
  </si>
  <si>
    <t>Pauza, ukrycie karty i offline zatrzymują mechanikę.</t>
  </si>
  <si>
    <t xml:space="preserve">Pauza, ukrycie karty i offline zatrzymują mechanikę. Tu zmiana, czas jest czasem realnym, tzn jeżeli gram karta aktywna I mam info że budynek sie robi 2 h to on sie robi 2h realne zegarowe, jeżeli sie wyloguje zamknę kartę to wciąż ten budynek będzie sie robił 2 h, guziki przyspieszenia czasu działają czasowo powiązane są z premiami </t>
  </si>
  <si>
    <t>Czlowiek!D29</t>
  </si>
  <si>
    <t>Nowy portowy próg24h i okno zakupów3h wymagają wyboru czasu aktywnego lub zegarowego.</t>
  </si>
  <si>
    <t>Nowy portowy próg24h i okno zakupów3h wymagają wyboru czasu aktywnego lub zegarowego., zegarowy</t>
  </si>
  <si>
    <t>Ustalenia - uwagi!E9</t>
  </si>
  <si>
    <t xml:space="preserve">Poziom gracza=poziom Ratusza. 
W ustawieniach trzeba dodać ranking, ranking ustalany jako level x ilość złota </t>
  </si>
  <si>
    <t>Ustalenia - uwagi!E19</t>
  </si>
  <si>
    <t>Zwolniony zawsze wraca do domu przez5min; dopiero potem może być ponownie przydzielony.</t>
  </si>
  <si>
    <t xml:space="preserve">Zwolniony zawsze wraca do domu przez5min; dopiero potem może być ponownie przydzielony, I tak samo 5 min idzie w nowe miejsce pracy </t>
  </si>
  <si>
    <t>Ustalenia - uwagi!E20</t>
  </si>
  <si>
    <t>Nie uzgodniono osobnego czasu dojścia do pracy.</t>
  </si>
  <si>
    <t xml:space="preserve">Nie uzgodniono osobnego czasu dojścia do pracy. Powyżej </t>
  </si>
  <si>
    <t>Ustalenia - uwagi!F23</t>
  </si>
  <si>
    <t>Zboże wymaga przewozu centralnie przed zużyciem przez młyn.Zboże i drewno leci via magazyn</t>
  </si>
  <si>
    <t>Ustalenia - uwagi!F24</t>
  </si>
  <si>
    <t xml:space="preserve">Brak surowca lub miejsca zatrzymuje produkcję. I powoduje karę za brak pracy </t>
  </si>
  <si>
    <t>Ustalenia - uwagi!F25</t>
  </si>
  <si>
    <t>Ustalenia - uwagi!D30</t>
  </si>
  <si>
    <t xml:space="preserve">AKTUALNE / NOWE DLA PORTU dodaj do targu </t>
  </si>
  <si>
    <t>Parametry!B9</t>
  </si>
  <si>
    <t>Transport bazowy pracownika</t>
  </si>
  <si>
    <t>Transport bazowy pracownika na magazynie poziom1</t>
  </si>
  <si>
    <t>Parametry!F9</t>
  </si>
  <si>
    <t>Dotychczasowa reguła; głód obniża o połowę.</t>
  </si>
  <si>
    <t xml:space="preserve">Dotychczasowa reguła; głód obniża o połowę. Podniesienie poziomu magazynu zwiększa jak ustalone w innym miejscu, takie same zasady dla targu I przystani </t>
  </si>
  <si>
    <t>Decyzje i konflikty!E6</t>
  </si>
  <si>
    <t>Maks. przydział docelowy=min(12×ratusz,obecna obsada+wolni). Nie wymaga osobnego wzoru własnego poziomu drwala.</t>
  </si>
  <si>
    <t xml:space="preserve">Maks. przydział docelowy=min(12×ratusz,obecna obsada+wolni). Nie wymaga osobnego wzoru własnego poziomu drwala. Wszędzie tak samo min 0 max połowa z ludzi dostępnych na poziomie budynku od ratusza, czyli ratusz poziom 1 max ludzi 24 wszystkich, max ludzi w każdej z usług 12 Bo to połowa z dostępnych ludzi zakładajc że tyle jest wolnych, jeżei ratusz jest na 2 a np drwal na 1 to nic sie nie zmienia ale jak podniosę drwala do 2 to max dla drwala będzie 24 bo to połowa z 48 etc </t>
  </si>
  <si>
    <t>Decyzje i konflikty!I8</t>
  </si>
  <si>
    <t xml:space="preserve">Uwaga zaktaulizowane w innym miejscu </t>
  </si>
  <si>
    <t>Decyzje i konflikty!I9</t>
  </si>
  <si>
    <t>Kazdy towar jest pobierany z magazynu I oddawany do magazynu aby mógł być użyty. Zgodnie z harmonograem prędkością pracy pracowników portu zdefiniwane w innym miejscu, pamiętaj że to są dwa cykle, z magazynu do portu I z portu na statek, przyjmujemy że statek ma pojemność magazynu portu. jak statek wypływa notyfikacja i zapłata, przy zakupie jak statek przypływa zapłata, rozładunek i transport do magazynu</t>
  </si>
  <si>
    <t>Decyzje i konflikty!I10</t>
  </si>
  <si>
    <t xml:space="preserve">tak chodzi o to że jak będę intensywnie coś kupował to cena tego będzie rosła, dostosuj liniowo </t>
  </si>
  <si>
    <t>Decyzje i konflikty!I11</t>
  </si>
  <si>
    <t xml:space="preserve">to jest wyjaśnione w innym miejscu towar nie odebrany w 24 h przepada </t>
  </si>
  <si>
    <t>Decyzje i konflikty!I12</t>
  </si>
  <si>
    <t xml:space="preserve">tak jak w magazynie z bonusami I zwiększeniem ewektywności zależności od levelu </t>
  </si>
  <si>
    <t>Decyzje i konflikty!I13</t>
  </si>
  <si>
    <t>błogosławieństwo = kaplica, zwiedzanie = latarnia oba prowadzą do "bonusu/premii"</t>
  </si>
  <si>
    <t>Decyzje i konflikty!I14</t>
  </si>
  <si>
    <t xml:space="preserve">nie rozumiem </t>
  </si>
  <si>
    <t>Decyzje i konflikty!I16</t>
  </si>
  <si>
    <t xml:space="preserve">jest ok transport + budowa, uwaga zmieniłem w niektroych miejscach czasy budowy do ponownego przeliczenia </t>
  </si>
  <si>
    <t>Decyzje i konflikty!I19</t>
  </si>
  <si>
    <t>zmienione w innym miejscu</t>
  </si>
  <si>
    <t>Decyzje i konflikty!I20</t>
  </si>
  <si>
    <t xml:space="preserve">później, zrób dodatkową zakładkę premium gdzie zbierzemy taki rodzaj akcji </t>
  </si>
  <si>
    <t>Decyzje i konflikty!I21</t>
  </si>
  <si>
    <t>Decyzje i konflikty!I22</t>
  </si>
  <si>
    <t>Decyzje i konflikty!I23</t>
  </si>
  <si>
    <t xml:space="preserve">ubytek odejście nie śmierć zdefiniowane w innym miejscu </t>
  </si>
  <si>
    <t>Populacja i szczescie!E6</t>
  </si>
  <si>
    <t>Minimum6 osób; maksimum24×poziom ratusza. Narodziny/ubytek nie są liczone skokiem raz na godzinę.</t>
  </si>
  <si>
    <t xml:space="preserve">Minimum6 osób; maksimum24×poziom ratusza. Narodziny/ubytek nie są liczone skokiem raz na godzinę. Zabierasz ludzi z domu, jak nie ma w domu to z gospodarki w której jest ich najwiecej, jak wszędzie jest równo to najpierw z portu, później z produkcji desek, kamieniołomu drwala, na końcu z produkcji z żywności i transportu </t>
  </si>
  <si>
    <t>Populacja i szczescie!E11</t>
  </si>
  <si>
    <t xml:space="preserve">Minimum6 osób; maksimum24×poziom ratusza. Narodziny/ubytek nie są liczone skokiem raz na godzinę. Dokładasz ludzi zawsze do domu </t>
  </si>
  <si>
    <t>Blogoslawienstwa!B8</t>
  </si>
  <si>
    <t>+100 szczęścia i produkcja materiałów×2. Obie premie24h×osiągnięty poziom; podatki/transport bez mnożnika.</t>
  </si>
  <si>
    <t xml:space="preserve">100 szczęścia i produkcja materiałów×2. Obie premie24h×osiągnięty poziom; podatki/transport bez mnożnika. Tu ma być nie + 100 tylko 100 wszyscy są na maksa zadowoleni </t>
  </si>
  <si>
    <t>ŹRÓDŁO • oryginalny wklejony tekst</t>
  </si>
  <si>
    <t>Treść użytkownika zachowana bez poprawiania literówek ani zmiany wartości. Późniejsze doprecyzowania są zapisane w Start i Decyzje i konflikty. Ten arkusz nie jest modelem ani deklaracją wdrożenia.</t>
  </si>
  <si>
    <t>Po co jest w grze</t>
  </si>
  <si>
    <t>Liczba ludzi — start / limit</t>
  </si>
  <si>
    <t>Koszty rozbudowy</t>
  </si>
  <si>
    <t>Czas rozbudowy</t>
  </si>
  <si>
    <t xml:space="preserve">Notyfikacja / Uwagi </t>
  </si>
  <si>
    <t>Uwagi 2</t>
  </si>
  <si>
    <t>Płatatne 
1 kasa
2 fb/instagram
3 reklama</t>
  </si>
  <si>
    <t>szacunek czasu rozbudowy l1-l2 (doable path)</t>
  </si>
  <si>
    <t>szacunek czasu rozbudowy l2-l3 (doable path)</t>
  </si>
  <si>
    <t>szacunek czasu rozbudowy l3-l4 (doable path)</t>
  </si>
  <si>
    <t xml:space="preserve">Wyznacza poziom gry i limity rozwoju, jest też skarbcem </t>
  </si>
  <si>
    <t>brak własnych pracowników</t>
  </si>
  <si>
    <t>+24 limitu mieszkańców, wyższy limit innych budynków, +1 budowa i kolejka, +200 pojemności każdego producenta</t>
  </si>
  <si>
    <t>500 × L każdego zasobu</t>
  </si>
  <si>
    <t>3T</t>
  </si>
  <si>
    <t>Gotowe</t>
  </si>
  <si>
    <t>zawsze notyfikacja o zakończonej budowie</t>
  </si>
  <si>
    <t>tbc</t>
  </si>
  <si>
    <t>Zapewnia mieszkania</t>
  </si>
  <si>
    <t>brak własnych pracowników ale brak miejsc przy podniesionym poziomie wpływa na szczęście zgodnie z algoprytmem (wpisz go tu)</t>
  </si>
  <si>
    <t>+24 miejsca; ogranicza karę za przeludnienie</t>
  </si>
  <si>
    <t>zawsze notyfikacja o zakończonej budowie, dodatkowo o przeludnieniu</t>
  </si>
  <si>
    <t>Produkuje zboże</t>
  </si>
  <si>
    <t>0/ limit</t>
  </si>
  <si>
    <t>Korzyść z własnego poziomu do ustalenia</t>
  </si>
  <si>
    <t>L × (72 drewna + 72 kamienia + 120 zboża)</t>
  </si>
  <si>
    <t>2T</t>
  </si>
  <si>
    <t xml:space="preserve">Produkcja działa; efekt rozbudowy wieksza możliwosć produkcji zboża bo mogę mieć wiecej pracowników </t>
  </si>
  <si>
    <t xml:space="preserve">zawsze notyfikacja o zakończonej budowie, ; pełny magazyn </t>
  </si>
  <si>
    <t xml:space="preserve">jak pełny magazyn to spadek szczęscia zgodnie z ustaleniem (napisz), srawdz także jaki jest czas "dojscia zejscia pracownika z gospdarki do domu </t>
  </si>
  <si>
    <t>2 zboża → 1 żywność</t>
  </si>
  <si>
    <t>L × (72 drewna + 72 kamienia + 120 żywności)</t>
  </si>
  <si>
    <t xml:space="preserve">Produkcja działa; efekt rozbudowy wieksza możliwosć produkcji  bo mogę mieć wiecej pracowników </t>
  </si>
  <si>
    <t>Produkują drewno</t>
  </si>
  <si>
    <t>L × (192 drewna + 72 kamienia)</t>
  </si>
  <si>
    <t>2 drewna → 1 deska</t>
  </si>
  <si>
    <t>L × (72 drewna + 72 kamienia + 120 desek)</t>
  </si>
  <si>
    <t>Produkuje kamień</t>
  </si>
  <si>
    <t>L × (72 drewna + 192 kamienia)</t>
  </si>
  <si>
    <t>Przechowuje i transportuje materiały</t>
  </si>
  <si>
    <t>Pojemność na rodzaj i łączna ×1,5</t>
  </si>
  <si>
    <t>Produkcja działa; efekt rozbudowy wieksza możliwosć produkcji  bo mogę mieć wiecej pracowników, na każdym lewelu zwiększa sie też o 10% pojemność tragaży. Zwykła  produkcję np drewno lub materioały do rozbudowy np farmy muszą na miejsce zanieść tragaże z magazynu, natomiast jedzenie ludzie pobierają w sposób automagiczny bez koniecznosci jakiejkolwiek akcji jeżeli tylko jest w magazynie, jeżeli w magazynie jest mniej niż 50 jedzenia tragaże nie mogą go wynieść bo to jest rezerwa na żywienie</t>
  </si>
  <si>
    <t xml:space="preserve">zawsze notyfikacja o zakończonej budowie, ; pełny magazyn. </t>
  </si>
  <si>
    <t>Jaka tu była pojemność ustalona przypomnij taką samą daj w przytani ale tam za towar który jest dłużej nić 24 godziny skasuj 10 monet</t>
  </si>
  <si>
    <t>Od poziomu 2 wymienia towary z marżą 10%</t>
  </si>
  <si>
    <t>0 / limit po odblokowaniu</t>
  </si>
  <si>
    <t>Pojemność ×1,5: 1000, 1500, 2250…</t>
  </si>
  <si>
    <t>Od poziomu 4 umożliwia handel za monety</t>
  </si>
  <si>
    <t>Korzyść kolejnych poziomów do ustalenia</t>
  </si>
  <si>
    <t>Handel działa; kupować I sprzedawać można wszystko dostając złoto lub płacąc złotem, załoga przystani ma ładować statki wiec potyrzebny jest czas na przyniesienie z magazynu (ludzie z magazybnu nie zaopatrują przystani) oraz identyczny czas na załadowanie statku, handować można tylko pełnymi setkami, ceny drewno kamien i zboże 40 sprzedaż 50 kupno (za 100) deski i żywnośći 70 i 80 ale przy każdym drugim zakupie (drugi ilość a nie wartość) i kolejnym w cuiągu ostatnuich 3 hj dodawaj 10% do cen</t>
  </si>
  <si>
    <t xml:space="preserve">zawsze notyfikacja o zakończonej budowie, notyfikacja o pełnym magazynie </t>
  </si>
  <si>
    <t>Premie szczęścia, podatków i błogosławieństwa</t>
  </si>
  <si>
    <t xml:space="preserve">brak ludzi </t>
  </si>
  <si>
    <t>+1 użycie błogosławieństwa; +10 × N szczęścia i podatki ×2 przez 10 h</t>
  </si>
  <si>
    <t>Tymczasowo N × (180 monet + 20 drewna + 60 kamienia + 10 desek)</t>
  </si>
  <si>
    <t>4T</t>
  </si>
  <si>
    <t>Premie gotowe; koszt do ustalenia</t>
  </si>
  <si>
    <t xml:space="preserve">zawsze notyfikacja o zakończonej budowie; </t>
  </si>
  <si>
    <t>premia (przypomij jaka); błogosławieństwo</t>
  </si>
  <si>
    <t>Wspiera szczęście i produkcję</t>
  </si>
  <si>
    <t>+100 szczęścia i produkcja ×2 przez 24 h × N</t>
  </si>
  <si>
    <t>500 × max(1, L) każdego zasobu</t>
  </si>
  <si>
    <t>6T</t>
  </si>
  <si>
    <t xml:space="preserve">zawsze notyfikacja o zakończonej budowie;; uruchomienie premii </t>
  </si>
  <si>
    <t>Błogosławieństwo: +50 każdego zasobu, +20 szczęścia na 1 h, każde kolejne możłiwe jest + 25% czas później czyli 0, 1 , 215, etc można dokupić albio płacąc albo przec challenge albo przez udostępnienie albo przez reklamę, dokupienuie daje pojedyńcze błofgosławieństwo, natychmiast, jak obejrzyz reklamę 60 sek to zmjniejsza sie czas oczekiwania o połowę, możesz obejrzeć 2 reklamy na 1h grania</t>
  </si>
  <si>
    <t xml:space="preserve">Do tego co napisaliśmy o człowiekach czy ustatliliśmy ilu przybywa jak jest szczęście a ilu umiera jak go nie ma </t>
  </si>
  <si>
    <t>POMYSŁY • nowe wpisy z repozytorium</t>
  </si>
  <si>
    <t>Pomysły z pliku docs/arkusze/pomysły, dodane podczas pracy nad arkuszem. Zachowujemy je jako pomysły, bez dopisywania mechanik, cen ani zasad.</t>
  </si>
  <si>
    <t>Oryginalny wpis</t>
  </si>
  <si>
    <t>Status / brakujące szczegóły</t>
  </si>
  <si>
    <t>shakomat na komórkę z kólką</t>
  </si>
  <si>
    <t>docs/arkusze/pomysły; commit 30b10ec</t>
  </si>
  <si>
    <t>Pomysł zapisany dosłownie. Znaczenie, działanie i powiązanie z grą do opisania.</t>
  </si>
  <si>
    <t>ekspedycje</t>
  </si>
  <si>
    <t>Pomysł bez zdefiniowanych zasad: uczestnicy, czas, koszty i nagrody do ustalenia.</t>
  </si>
  <si>
    <t>wyzwania do latarni</t>
  </si>
  <si>
    <t>Pomysł związany z latarnią. Treść wyzwań, warunki i nagrody do ustalenia.</t>
  </si>
  <si>
    <t xml:space="preserve">usunąć znaczki stop play I przewin w prawym górnym rogu </t>
  </si>
  <si>
    <t xml:space="preserve">w wersji 3 już rozpisane </t>
  </si>
  <si>
    <t xml:space="preserve">odejścia 1 dom, póxniej tam gdzie wiecej, gdy remis port, kamieniołom, tartak, drwal, farma, wiatrak, transport </t>
  </si>
  <si>
    <t xml:space="preserve"> patrz Premium. Doprecyzowane w kolejnej edycji </t>
  </si>
  <si>
    <t xml:space="preserve">Decyzja 50 x level </t>
  </si>
  <si>
    <t xml:space="preserve">podatek płaci ale jest mniej szczęsliwy </t>
  </si>
  <si>
    <t>2L×(72 drewna+72 kamienia+120 żywności)</t>
  </si>
  <si>
    <t>2L×(192 drewna+72 kamienia)</t>
  </si>
  <si>
    <t>2L×(72 drewna+72 kamienia+120 desek)</t>
  </si>
  <si>
    <t>2L×(72 drewna+192 kamienia)</t>
  </si>
  <si>
    <t xml:space="preserve">aktualizacja o każdej pełnej godzinie wg stanu zastanego </t>
  </si>
  <si>
    <t>tak, trzeba usunąć ikonkę stop, play przwin</t>
  </si>
  <si>
    <t xml:space="preserve">opisane w innym miejscu </t>
  </si>
  <si>
    <t>czas pobytu 4 h, ilosć pracowników jakich mogę wysłać 2 x poziom, mogę wtsłać tylko pracowników z domu, podnoszą poziom szczęścia tym którzy idą zwiedzać do 100% niezależnie od stanu wcześniej na 24 h, całości dają + 10 % na 6 , człowiek nie płaci wtedy podatku, je normalnie</t>
  </si>
  <si>
    <t xml:space="preserve">po ustaniu premi wracamy do stanu sprzed premii </t>
  </si>
  <si>
    <t xml:space="preserve">płatne błogosławieństwo kosztuje 100 x level, efekt daje taki sam, nie można mieć ich wiecej niż 1 na 4 h </t>
  </si>
  <si>
    <t xml:space="preserve">tu nie ma kwestii opróżnienia poniżej limitu. Lokalny magazyn pridukcji może być całkiem opóźniony kara jest tylko wtedy gdy magazyn okalny blokuje produkcje - dottczy tylko tych ludków co są w tym przedsiębiorstwie na czas przestoju, jak kliknę aby przeszli do domu, to po drodze ich licznik sie resetuje do 0, jak będę ich trzymał mimo braku odbiorów do magazynu głównego to ich szczęscie spada do -50 nie wiecej </t>
  </si>
  <si>
    <t xml:space="preserve">zatosuj karę I logikę jak linia niżej </t>
  </si>
  <si>
    <t xml:space="preserve">tak, zaczyna pracować I płacić podatek jak dociera do zakładu, </t>
  </si>
  <si>
    <t xml:space="preserve">wytłumaczone poniżej </t>
  </si>
  <si>
    <t>podatek płaci przez cały czas</t>
  </si>
  <si>
    <t xml:space="preserve">ludzi z transportu zabierasz na końcu wyjaśnione w innej komórce, dodatkowo jeżeli jedzenie jest poniżej minimum w magazynie a jest w młynie, to nie mogę zabrać wszystkich osób z transportu </t>
  </si>
  <si>
    <t xml:space="preserve">Eta jako suma czasu tarnsportu I budowy, ale jak np zmienie prio transportu to czas sie przeliczy na nowo </t>
  </si>
  <si>
    <t xml:space="preserve">czas rejsu 5 min zwawsze, momenty schodzą z konta w momencie tranzakcji </t>
  </si>
  <si>
    <t>zdefiniowane w innej komórce</t>
  </si>
  <si>
    <t>opisane w innej komórce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</si>
</sst>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quot; h&quot;"/>
  </numFmts>
  <fonts count="15" x14ac:knownFonts="1">
    <font>
      <sz val="11"/>
      <color theme="1"/>
      <name val="Calibri"/>
      <family val="2"/>
      <charset val="1"/>
    </font>
    <font>
      <b/>
      <sz val="18"/>
      <color rgb="FFF0CE80"/>
      <name val="Calibri"/>
      <charset val="1"/>
    </font>
    <font>
      <sz val="11"/>
      <color rgb="FF123140"/>
      <name val="Calibri"/>
      <charset val="1"/>
    </font>
    <font>
      <b/>
      <sz val="10"/>
      <color rgb="FFFFFFFF"/>
      <name val="Calibri"/>
      <charset val="1"/>
    </font>
    <font>
      <sz val="10"/>
      <color rgb="FF123140"/>
      <name val="Calibri"/>
      <charset val="1"/>
    </font>
    <font>
      <sz val="10"/>
      <name val="Arial"/>
      <family val="2"/>
    </font>
    <font>
      <sz val="11"/>
      <color rgb="FF135CAA"/>
      <name val="Calibri"/>
      <charset val="1"/>
    </font>
    <font>
      <b/>
      <sz val="18"/>
      <color rgb="FFF0CE80"/>
      <name val="Calibri"/>
      <family val="2"/>
      <charset val="1"/>
    </font>
    <font>
      <sz val="10"/>
      <color rgb="FF123140"/>
      <name val="Calibri"/>
      <family val="2"/>
      <charset val="1"/>
    </font>
    <font>
      <b/>
      <sz val="11"/>
      <color rgb="FFFFFFFF"/>
      <name val="Calibri"/>
      <family val="2"/>
      <charset val="1"/>
    </font>
    <font>
      <sz val="10"/>
      <color theme="1"/>
      <name val="Calibri"/>
      <family val="2"/>
      <charset val="1"/>
    </font>
    <font>
      <b/>
      <sz val="20"/>
      <color rgb="FFF0CE80"/>
      <name val="Calibri"/>
      <family val="2"/>
    </font>
    <font>
      <sz val="20"/>
      <color theme="1"/>
      <name val="Calibri"/>
      <family val="2"/>
    </font>
    <font>
      <sz val="20"/>
      <color rgb="FF123140"/>
      <name val="Calibri"/>
      <family val="2"/>
    </font>
    <font>
      <b/>
      <sz val="20"/>
      <color rgb="FFFFFFFF"/>
      <name val="Calibri"/>
      <family val="2"/>
    </font>
  </fonts>
  <fills count="9">
    <fill>
      <patternFill patternType="none"/>
    </fill>
    <fill>
      <patternFill patternType="gray125"/>
    </fill>
    <fill>
      <patternFill patternType="solid">
        <fgColor rgb="FF123140"/>
        <bgColor rgb="FF333333"/>
      </patternFill>
    </fill>
    <fill>
      <patternFill patternType="solid">
        <fgColor rgb="FFF0F6F8"/>
        <bgColor rgb="FFEAF2FF"/>
      </patternFill>
    </fill>
    <fill>
      <patternFill patternType="solid">
        <fgColor rgb="FF146D75"/>
        <bgColor rgb="FF008080"/>
      </patternFill>
    </fill>
    <fill>
      <patternFill patternType="solid">
        <fgColor rgb="FFFFFFFF"/>
        <bgColor rgb="FFF0F6F8"/>
      </patternFill>
    </fill>
    <fill>
      <patternFill patternType="solid">
        <fgColor rgb="FFE4F2E9"/>
        <bgColor rgb="FFEAF2FF"/>
      </patternFill>
    </fill>
    <fill>
      <patternFill patternType="solid">
        <fgColor rgb="FFEAF2FF"/>
        <bgColor rgb="FFF0F6F8"/>
      </patternFill>
    </fill>
    <fill>
      <patternFill patternType="solid">
        <fgColor rgb="FFFFF0CC"/>
        <bgColor rgb="FFF0F6F8"/>
      </patternFill>
    </fill>
  </fills>
  <borders count="3">
    <border>
      <left/>
      <right/>
      <top/>
      <bottom/>
      <diagonal/>
    </border>
    <border>
      <left style="thin">
        <color rgb="FFCCDAE0"/>
      </left>
      <right style="thin">
        <color rgb="FFCCDAE0"/>
      </right>
      <top style="thin">
        <color rgb="FFCCDAE0"/>
      </top>
      <bottom style="thin">
        <color rgb="FFCCDAE0"/>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29">
    <xf numFmtId="0" fontId="0" fillId="0" borderId="0" xfId="0"/>
    <xf numFmtId="0" fontId="9" fillId="4" borderId="2" xfId="0" applyFont="1" applyFill="1" applyBorder="1" applyAlignment="1">
      <alignment vertical="center" wrapText="1"/>
    </xf>
    <xf numFmtId="0" fontId="8" fillId="3" borderId="0" xfId="0" applyFont="1" applyFill="1" applyAlignment="1">
      <alignment vertical="top" wrapText="1"/>
    </xf>
    <xf numFmtId="0" fontId="7" fillId="2" borderId="0" xfId="0" applyFont="1" applyFill="1" applyAlignment="1">
      <alignment vertical="center"/>
    </xf>
    <xf numFmtId="0" fontId="1" fillId="2" borderId="0" xfId="0" applyFont="1" applyFill="1"/>
    <xf numFmtId="0" fontId="2" fillId="3" borderId="0" xfId="0" applyFont="1" applyFill="1" applyAlignment="1">
      <alignment vertical="top" wrapText="1"/>
    </xf>
    <xf numFmtId="0" fontId="1" fillId="2" borderId="0" xfId="0" applyFont="1" applyFill="1" applyAlignment="1">
      <alignment wrapText="1"/>
    </xf>
    <xf numFmtId="0" fontId="3" fillId="4" borderId="0" xfId="0" applyFont="1" applyFill="1" applyAlignment="1">
      <alignment vertical="center" wrapText="1"/>
    </xf>
    <xf numFmtId="0" fontId="4" fillId="3" borderId="1" xfId="0" applyFont="1" applyFill="1" applyBorder="1" applyAlignment="1">
      <alignment vertical="top" wrapText="1"/>
    </xf>
    <xf numFmtId="0" fontId="4" fillId="5" borderId="1" xfId="0" applyFont="1" applyFill="1" applyBorder="1" applyAlignment="1">
      <alignment vertical="top" wrapText="1"/>
    </xf>
    <xf numFmtId="0" fontId="4" fillId="6" borderId="1" xfId="0" applyFont="1" applyFill="1" applyBorder="1" applyAlignment="1">
      <alignment vertical="top" wrapText="1"/>
    </xf>
    <xf numFmtId="1" fontId="4" fillId="3" borderId="1" xfId="0" applyNumberFormat="1" applyFont="1" applyFill="1" applyBorder="1" applyAlignment="1">
      <alignment vertical="top" wrapText="1"/>
    </xf>
    <xf numFmtId="1" fontId="4" fillId="5" borderId="1" xfId="0" applyNumberFormat="1" applyFont="1" applyFill="1" applyBorder="1" applyAlignment="1">
      <alignment vertical="top" wrapText="1"/>
    </xf>
    <xf numFmtId="1" fontId="6" fillId="7" borderId="1" xfId="0" applyNumberFormat="1" applyFont="1" applyFill="1" applyBorder="1" applyAlignment="1">
      <alignment vertical="top" wrapText="1"/>
    </xf>
    <xf numFmtId="2" fontId="6" fillId="7" borderId="1" xfId="0" applyNumberFormat="1" applyFont="1" applyFill="1" applyBorder="1" applyAlignment="1">
      <alignment vertical="top" wrapText="1"/>
    </xf>
    <xf numFmtId="0" fontId="4" fillId="8" borderId="1" xfId="0" applyFont="1" applyFill="1" applyBorder="1" applyAlignment="1">
      <alignment vertical="top" wrapText="1"/>
    </xf>
    <xf numFmtId="0" fontId="9" fillId="4" borderId="2" xfId="0" applyFont="1" applyFill="1" applyBorder="1" applyAlignment="1">
      <alignment vertical="center" wrapText="1"/>
    </xf>
    <xf numFmtId="2" fontId="0" fillId="0" borderId="1" xfId="0" applyNumberFormat="1" applyBorder="1" applyAlignment="1">
      <alignment vertical="top"/>
    </xf>
    <xf numFmtId="164" fontId="0" fillId="0" borderId="1" xfId="0" applyNumberFormat="1" applyBorder="1" applyAlignment="1">
      <alignment vertical="top"/>
    </xf>
    <xf numFmtId="0" fontId="10" fillId="0" borderId="1" xfId="0" applyFont="1" applyBorder="1" applyAlignment="1">
      <alignment vertical="top" wrapText="1"/>
    </xf>
    <xf numFmtId="0" fontId="10" fillId="3" borderId="1" xfId="0" applyFont="1" applyFill="1" applyBorder="1" applyAlignment="1">
      <alignment vertical="top" wrapText="1"/>
    </xf>
    <xf numFmtId="0" fontId="11" fillId="2" borderId="0" xfId="0" applyFont="1" applyFill="1" applyAlignment="1">
      <alignment wrapText="1"/>
    </xf>
    <xf numFmtId="0" fontId="12" fillId="0" borderId="0" xfId="0" applyFont="1"/>
    <xf numFmtId="0" fontId="13" fillId="3" borderId="0" xfId="0" applyFont="1" applyFill="1" applyAlignment="1">
      <alignment vertical="top" wrapText="1"/>
    </xf>
    <xf numFmtId="0" fontId="14" fillId="4" borderId="0" xfId="0" applyFont="1" applyFill="1" applyAlignment="1">
      <alignment vertical="center" wrapText="1"/>
    </xf>
    <xf numFmtId="0" fontId="13" fillId="3" borderId="1" xfId="0" applyFont="1" applyFill="1" applyBorder="1" applyAlignment="1">
      <alignment vertical="top" wrapText="1"/>
    </xf>
    <xf numFmtId="0" fontId="13" fillId="5" borderId="1" xfId="0" applyFont="1" applyFill="1" applyBorder="1" applyAlignment="1">
      <alignment vertical="top" wrapText="1"/>
    </xf>
    <xf numFmtId="0" fontId="11" fillId="2" borderId="0" xfId="0" applyFont="1" applyFill="1"/>
    <xf numFmtId="0" fontId="13" fillId="6" borderId="1"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46D75"/>
      <rgbColor rgb="FFC0C0C0"/>
      <rgbColor rgb="FF808080"/>
      <rgbColor rgb="FF9999FF"/>
      <rgbColor rgb="FF993366"/>
      <rgbColor rgb="FFFFF0CC"/>
      <rgbColor rgb="FFE4F2E9"/>
      <rgbColor rgb="FF660066"/>
      <rgbColor rgb="FFFF8080"/>
      <rgbColor rgb="FF135CAA"/>
      <rgbColor rgb="FFCCDAE0"/>
      <rgbColor rgb="FF000080"/>
      <rgbColor rgb="FFFF00FF"/>
      <rgbColor rgb="FFFFFF00"/>
      <rgbColor rgb="FF00FFFF"/>
      <rgbColor rgb="FF800080"/>
      <rgbColor rgb="FF800000"/>
      <rgbColor rgb="FF008080"/>
      <rgbColor rgb="FF0000FF"/>
      <rgbColor rgb="FF00CCFF"/>
      <rgbColor rgb="FFEAF2FF"/>
      <rgbColor rgb="FFF0F6F8"/>
      <rgbColor rgb="FFFFFF99"/>
      <rgbColor rgb="FF99CCFF"/>
      <rgbColor rgb="FFFF99CC"/>
      <rgbColor rgb="FFCC99FF"/>
      <rgbColor rgb="FFF0CE80"/>
      <rgbColor rgb="FF3366FF"/>
      <rgbColor rgb="FF33CCCC"/>
      <rgbColor rgb="FF99CC00"/>
      <rgbColor rgb="FFFFCC00"/>
      <rgbColor rgb="FFFF9900"/>
      <rgbColor rgb="FFFF6600"/>
      <rgbColor rgb="FF666699"/>
      <rgbColor rgb="FF969696"/>
      <rgbColor rgb="FF123140"/>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file:///C:\Users\kfsc\final-input\HARBORLIGHT2-zasady.xlsx"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20"/>
  <sheetViews>
    <sheetView showGridLines="0" zoomScale="75" zoomScaleNormal="75" workbookViewId="0">
      <pane xSplit="1" ySplit="5" topLeftCell="B18" activePane="bottomRight" state="frozen"/>
      <selection pane="topRight" activeCell="B1" sqref="B1"/>
      <selection pane="bottomLeft" activeCell="A6" sqref="A6"/>
      <selection pane="bottomRight" activeCell="A20" sqref="A20"/>
    </sheetView>
  </sheetViews>
  <sheetFormatPr defaultColWidth="8.6640625" defaultRowHeight="25.8" x14ac:dyDescent="0.5"/>
  <cols>
    <col min="1" max="1" width="39" style="22" customWidth="1"/>
    <col min="2" max="2" width="145" style="22" customWidth="1"/>
    <col min="3" max="3" width="95" style="22" customWidth="1"/>
    <col min="4" max="16384" width="8.6640625" style="22"/>
  </cols>
  <sheetData>
    <row r="1" spans="1:4" ht="33.75" customHeight="1" x14ac:dyDescent="0.5">
      <c r="A1" s="21" t="s">
        <v>0</v>
      </c>
      <c r="B1" s="21"/>
      <c r="C1" s="21"/>
    </row>
    <row r="2" spans="1:4" ht="24.75" customHeight="1" x14ac:dyDescent="0.5">
      <c r="A2" s="23" t="s">
        <v>1</v>
      </c>
      <c r="B2" s="23"/>
      <c r="C2" s="23"/>
    </row>
    <row r="3" spans="1:4" ht="24.75" customHeight="1" x14ac:dyDescent="0.5">
      <c r="A3" s="23"/>
      <c r="B3" s="23"/>
      <c r="C3" s="23"/>
    </row>
    <row r="5" spans="1:4" ht="48" customHeight="1" x14ac:dyDescent="0.5">
      <c r="A5" s="24" t="s">
        <v>2</v>
      </c>
      <c r="B5" s="24" t="s">
        <v>3</v>
      </c>
      <c r="C5" s="24" t="s">
        <v>4</v>
      </c>
    </row>
    <row r="6" spans="1:4" ht="90" customHeight="1" x14ac:dyDescent="0.5">
      <c r="A6" s="25" t="s">
        <v>5</v>
      </c>
      <c r="B6" s="25" t="s">
        <v>6</v>
      </c>
      <c r="C6" s="25" t="s">
        <v>7</v>
      </c>
    </row>
    <row r="7" spans="1:4" ht="90" customHeight="1" x14ac:dyDescent="0.5">
      <c r="A7" s="26" t="s">
        <v>8</v>
      </c>
      <c r="B7" s="26" t="s">
        <v>9</v>
      </c>
      <c r="C7" s="26" t="s">
        <v>10</v>
      </c>
    </row>
    <row r="8" spans="1:4" ht="90" customHeight="1" x14ac:dyDescent="0.5">
      <c r="A8" s="25" t="s">
        <v>11</v>
      </c>
      <c r="B8" s="25" t="s">
        <v>12</v>
      </c>
      <c r="C8" s="25" t="s">
        <v>13</v>
      </c>
    </row>
    <row r="9" spans="1:4" ht="90" customHeight="1" x14ac:dyDescent="0.5">
      <c r="A9" s="26" t="s">
        <v>14</v>
      </c>
      <c r="B9" s="26" t="s">
        <v>15</v>
      </c>
      <c r="C9" s="26" t="s">
        <v>16</v>
      </c>
    </row>
    <row r="10" spans="1:4" ht="90" customHeight="1" x14ac:dyDescent="0.5">
      <c r="A10" s="25" t="s">
        <v>17</v>
      </c>
      <c r="B10" s="25" t="s">
        <v>18</v>
      </c>
      <c r="C10" s="25" t="s">
        <v>19</v>
      </c>
    </row>
    <row r="11" spans="1:4" ht="90" customHeight="1" x14ac:dyDescent="0.5">
      <c r="A11" s="26" t="s">
        <v>20</v>
      </c>
      <c r="B11" s="26" t="s">
        <v>21</v>
      </c>
      <c r="C11" s="26" t="s">
        <v>22</v>
      </c>
    </row>
    <row r="12" spans="1:4" ht="90" customHeight="1" x14ac:dyDescent="0.5">
      <c r="A12" s="25" t="s">
        <v>23</v>
      </c>
      <c r="B12" s="25" t="s">
        <v>24</v>
      </c>
      <c r="C12" s="25" t="s">
        <v>25</v>
      </c>
    </row>
    <row r="13" spans="1:4" ht="90" customHeight="1" x14ac:dyDescent="0.5">
      <c r="A13" s="26" t="s">
        <v>26</v>
      </c>
      <c r="B13" s="26" t="s">
        <v>27</v>
      </c>
      <c r="C13" s="26" t="s">
        <v>28</v>
      </c>
    </row>
    <row r="14" spans="1:4" ht="90" customHeight="1" x14ac:dyDescent="0.5">
      <c r="A14" s="25" t="s">
        <v>29</v>
      </c>
      <c r="B14" s="25" t="s">
        <v>30</v>
      </c>
      <c r="C14" s="25" t="s">
        <v>31</v>
      </c>
      <c r="D14" s="22" t="s">
        <v>1507</v>
      </c>
    </row>
    <row r="15" spans="1:4" ht="90" customHeight="1" x14ac:dyDescent="0.5">
      <c r="A15" s="26" t="s">
        <v>32</v>
      </c>
      <c r="B15" s="26" t="s">
        <v>33</v>
      </c>
      <c r="C15" s="26" t="s">
        <v>34</v>
      </c>
    </row>
    <row r="16" spans="1:4" ht="90" customHeight="1" x14ac:dyDescent="0.5">
      <c r="A16" s="25" t="s">
        <v>35</v>
      </c>
      <c r="B16" s="25" t="s">
        <v>36</v>
      </c>
      <c r="C16" s="25" t="s">
        <v>37</v>
      </c>
      <c r="D16" s="22" t="s">
        <v>1508</v>
      </c>
    </row>
    <row r="17" spans="1:4" ht="90" customHeight="1" x14ac:dyDescent="0.5">
      <c r="A17" s="26" t="s">
        <v>38</v>
      </c>
      <c r="B17" s="26" t="s">
        <v>39</v>
      </c>
      <c r="C17" s="26" t="s">
        <v>40</v>
      </c>
      <c r="D17" s="22" t="s">
        <v>1509</v>
      </c>
    </row>
    <row r="18" spans="1:4" ht="90" customHeight="1" x14ac:dyDescent="0.5">
      <c r="A18" s="25" t="s">
        <v>41</v>
      </c>
      <c r="B18" s="25" t="s">
        <v>42</v>
      </c>
      <c r="C18" s="25" t="s">
        <v>43</v>
      </c>
    </row>
    <row r="19" spans="1:4" ht="90" customHeight="1" x14ac:dyDescent="0.5">
      <c r="A19" s="26" t="s">
        <v>44</v>
      </c>
      <c r="B19" s="26" t="s">
        <v>45</v>
      </c>
      <c r="C19" s="26" t="s">
        <v>46</v>
      </c>
    </row>
    <row r="20" spans="1:4" ht="69.75" customHeight="1" x14ac:dyDescent="0.5">
      <c r="A20" s="26" t="s">
        <v>47</v>
      </c>
      <c r="B20" s="26" t="s">
        <v>48</v>
      </c>
      <c r="C20" s="26" t="s">
        <v>49</v>
      </c>
    </row>
  </sheetData>
  <autoFilter ref="A5:C20" xr:uid="{00000000-0009-0000-0000-000000000000}"/>
  <mergeCells count="2">
    <mergeCell ref="A1:C1"/>
    <mergeCell ref="A2:C3"/>
  </mergeCells>
  <hyperlinks>
    <hyperlink ref="A6" r:id="rId1" location="'Budynki'!A1" xr:uid="{00000000-0004-0000-0000-000000000000}"/>
  </hyperlinks>
  <pageMargins left="0.75" right="0.75" top="1" bottom="1" header="0.511811023622047" footer="0.5"/>
  <pageSetup paperSize="8" fitToHeight="0" orientation="landscape" horizontalDpi="300" verticalDpi="300" r:id="rId2"/>
  <headerFooter>
    <oddFooter>&amp;CHARBORLIGHT — projekt zasad, nie wdrożenie</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O18"/>
  <sheetViews>
    <sheetView showGridLines="0" zoomScale="75" zoomScaleNormal="75" workbookViewId="0">
      <pane xSplit="1" ySplit="5" topLeftCell="J8" activePane="bottomRight" state="frozen"/>
      <selection pane="topRight" activeCell="B1" sqref="B1"/>
      <selection pane="bottomLeft" activeCell="A6" sqref="A6"/>
      <selection pane="bottomRight" activeCell="K8" sqref="K8"/>
    </sheetView>
  </sheetViews>
  <sheetFormatPr defaultColWidth="8.6640625" defaultRowHeight="25.8" x14ac:dyDescent="0.5"/>
  <cols>
    <col min="1" max="1" width="21" style="22" customWidth="1"/>
    <col min="2" max="2" width="42" style="22" customWidth="1"/>
    <col min="3" max="3" width="44" style="22" customWidth="1"/>
    <col min="4" max="4" width="65" style="22" customWidth="1"/>
    <col min="5" max="5" width="47" style="22" customWidth="1"/>
    <col min="6" max="6" width="35" style="22" customWidth="1"/>
    <col min="7" max="7" width="38" style="22" customWidth="1"/>
    <col min="8" max="8" width="46" style="22" customWidth="1"/>
    <col min="9" max="9" width="90" style="22" customWidth="1"/>
    <col min="10" max="10" width="65" style="22" customWidth="1"/>
    <col min="11" max="11" width="90" style="22" customWidth="1"/>
    <col min="12" max="12" width="47" style="22" customWidth="1"/>
    <col min="13" max="15" width="39" style="22" customWidth="1"/>
    <col min="16" max="16" width="32.21875" style="22" customWidth="1"/>
    <col min="17" max="16384" width="8.6640625" style="22"/>
  </cols>
  <sheetData>
    <row r="1" spans="1:15" ht="33.75" customHeight="1" x14ac:dyDescent="0.5">
      <c r="A1" s="27" t="s">
        <v>50</v>
      </c>
      <c r="B1" s="27"/>
      <c r="C1" s="27"/>
      <c r="D1" s="27"/>
      <c r="E1" s="27"/>
      <c r="F1" s="27"/>
      <c r="G1" s="27"/>
      <c r="H1" s="27"/>
      <c r="I1" s="27"/>
      <c r="J1" s="27"/>
      <c r="K1" s="27"/>
      <c r="L1" s="27"/>
      <c r="M1" s="27"/>
      <c r="N1" s="27"/>
      <c r="O1" s="27"/>
    </row>
    <row r="2" spans="1:15" ht="24.75" customHeight="1" x14ac:dyDescent="0.5">
      <c r="A2" s="23" t="s">
        <v>51</v>
      </c>
      <c r="B2" s="23"/>
      <c r="C2" s="23"/>
      <c r="D2" s="23"/>
      <c r="E2" s="23"/>
      <c r="F2" s="23"/>
      <c r="G2" s="23"/>
      <c r="H2" s="23"/>
      <c r="I2" s="23"/>
      <c r="J2" s="23"/>
      <c r="K2" s="23"/>
      <c r="L2" s="23"/>
      <c r="M2" s="23"/>
      <c r="N2" s="23"/>
      <c r="O2" s="23"/>
    </row>
    <row r="3" spans="1:15" ht="24.75" customHeight="1" x14ac:dyDescent="0.5">
      <c r="A3" s="23"/>
      <c r="B3" s="23"/>
      <c r="C3" s="23"/>
      <c r="D3" s="23"/>
      <c r="E3" s="23"/>
      <c r="F3" s="23"/>
      <c r="G3" s="23"/>
      <c r="H3" s="23"/>
      <c r="I3" s="23"/>
      <c r="J3" s="23"/>
      <c r="K3" s="23"/>
      <c r="L3" s="23"/>
      <c r="M3" s="23"/>
      <c r="N3" s="23"/>
      <c r="O3" s="23"/>
    </row>
    <row r="5" spans="1:15" ht="48" customHeight="1" x14ac:dyDescent="0.5">
      <c r="A5" s="24" t="s">
        <v>52</v>
      </c>
      <c r="B5" s="24" t="s">
        <v>53</v>
      </c>
      <c r="C5" s="24" t="s">
        <v>54</v>
      </c>
      <c r="D5" s="24" t="s">
        <v>55</v>
      </c>
      <c r="E5" s="24" t="s">
        <v>56</v>
      </c>
      <c r="F5" s="24" t="s">
        <v>57</v>
      </c>
      <c r="G5" s="24" t="s">
        <v>58</v>
      </c>
      <c r="H5" s="24" t="s">
        <v>59</v>
      </c>
      <c r="I5" s="24" t="s">
        <v>60</v>
      </c>
      <c r="J5" s="24" t="s">
        <v>35</v>
      </c>
      <c r="K5" s="24" t="s">
        <v>61</v>
      </c>
      <c r="L5" s="24" t="s">
        <v>62</v>
      </c>
      <c r="M5" s="24" t="s">
        <v>63</v>
      </c>
      <c r="N5" s="24" t="s">
        <v>64</v>
      </c>
      <c r="O5" s="24" t="s">
        <v>65</v>
      </c>
    </row>
    <row r="6" spans="1:15" ht="244.5" customHeight="1" x14ac:dyDescent="0.5">
      <c r="A6" s="25" t="s">
        <v>66</v>
      </c>
      <c r="B6" s="25" t="s">
        <v>67</v>
      </c>
      <c r="C6" s="25" t="s">
        <v>68</v>
      </c>
      <c r="D6" s="25" t="s">
        <v>69</v>
      </c>
      <c r="E6" s="25" t="s">
        <v>70</v>
      </c>
      <c r="F6" s="25" t="s">
        <v>71</v>
      </c>
      <c r="G6" s="28" t="s">
        <v>72</v>
      </c>
      <c r="H6" s="25" t="s">
        <v>73</v>
      </c>
      <c r="I6" s="25" t="s">
        <v>74</v>
      </c>
      <c r="J6" s="25" t="s">
        <v>1510</v>
      </c>
      <c r="K6" s="25" t="s">
        <v>75</v>
      </c>
      <c r="L6" s="25" t="s">
        <v>76</v>
      </c>
      <c r="M6" s="25" t="str">
        <f>TEXT('Czas budowy'!Y6,"0")&amp;" min bazowo; T="&amp;TEXT('Czas budowy'!V6,"0")&amp;" min; budowa="&amp;TEXT('Czas budowy'!X6,"0")&amp;" min. Kolejka +10%: "&amp;TEXT('Czas budowy'!Y7,"0")&amp;" min (bez czekania)."</f>
        <v>80 min bazowo; T=40 min; budowa=40 min. Kolejka +10%: 90 min (bez czekania).</v>
      </c>
      <c r="N6" s="25" t="str">
        <f>TEXT('Czas budowy'!Y8,"0")&amp;" min bazowo; T="&amp;TEXT('Czas budowy'!V8,"0")&amp;" min; budowa="&amp;TEXT('Czas budowy'!X8,"0")&amp;" min. Kolejka +10%: "&amp;TEXT('Czas budowy'!Y9,"0")&amp;" min (bez czekania)."</f>
        <v>140 min bazowo; T=70 min; budowa=70 min. Kolejka +10%: 150 min (bez czekania).</v>
      </c>
      <c r="O6" s="25" t="str">
        <f>TEXT('Czas budowy'!Y10,"0")&amp;" min bazowo; T="&amp;TEXT('Czas budowy'!V10,"0")&amp;" min; budowa="&amp;TEXT('Czas budowy'!X10,"0")&amp;" min. Kolejka +10%: "&amp;TEXT('Czas budowy'!Y11,"0")&amp;" min (bez czekania)."</f>
        <v>180 min bazowo; T=90 min; budowa=90 min. Kolejka +10%: 200 min (bez czekania).</v>
      </c>
    </row>
    <row r="7" spans="1:15" ht="244.5" customHeight="1" x14ac:dyDescent="0.5">
      <c r="A7" s="26" t="s">
        <v>77</v>
      </c>
      <c r="B7" s="26" t="s">
        <v>78</v>
      </c>
      <c r="C7" s="26" t="s">
        <v>68</v>
      </c>
      <c r="D7" s="26" t="s">
        <v>79</v>
      </c>
      <c r="E7" s="26" t="s">
        <v>70</v>
      </c>
      <c r="F7" s="26" t="s">
        <v>71</v>
      </c>
      <c r="G7" s="28" t="s">
        <v>72</v>
      </c>
      <c r="H7" s="26" t="s">
        <v>80</v>
      </c>
      <c r="I7" s="26" t="s">
        <v>81</v>
      </c>
      <c r="J7" s="25" t="s">
        <v>1510</v>
      </c>
      <c r="K7" s="26" t="s">
        <v>82</v>
      </c>
      <c r="L7" s="26" t="s">
        <v>83</v>
      </c>
      <c r="M7" s="26" t="str">
        <f>TEXT('Czas budowy'!Y12,"0")&amp;" min bazowo; T="&amp;TEXT('Czas budowy'!V12,"0")&amp;" min; budowa="&amp;TEXT('Czas budowy'!X12,"0")&amp;" min. Kolejka +10%: "&amp;TEXT('Czas budowy'!Y13,"0")&amp;" min (bez czekania)."</f>
        <v>80 min bazowo; T=40 min; budowa=40 min. Kolejka +10%: 90 min (bez czekania).</v>
      </c>
      <c r="N7" s="26" t="str">
        <f>TEXT('Czas budowy'!Y14,"0")&amp;" min bazowo; T="&amp;TEXT('Czas budowy'!V14,"0")&amp;" min; budowa="&amp;TEXT('Czas budowy'!X14,"0")&amp;" min. Kolejka +10%: "&amp;TEXT('Czas budowy'!Y15,"0")&amp;" min (bez czekania)."</f>
        <v>140 min bazowo; T=70 min; budowa=70 min. Kolejka +10%: 150 min (bez czekania).</v>
      </c>
      <c r="O7" s="26" t="str">
        <f>TEXT('Czas budowy'!Y16,"0")&amp;" min bazowo; T="&amp;TEXT('Czas budowy'!V16,"0")&amp;" min; budowa="&amp;TEXT('Czas budowy'!X16,"0")&amp;" min. Kolejka +10%: "&amp;TEXT('Czas budowy'!Y17,"0")&amp;" min (bez czekania)."</f>
        <v>180 min bazowo; T=90 min; budowa=90 min. Kolejka +10%: 200 min (bez czekania).</v>
      </c>
    </row>
    <row r="8" spans="1:15" ht="244.5" customHeight="1" x14ac:dyDescent="0.5">
      <c r="A8" s="25" t="s">
        <v>84</v>
      </c>
      <c r="B8" s="25" t="s">
        <v>85</v>
      </c>
      <c r="C8" s="25" t="s">
        <v>86</v>
      </c>
      <c r="D8" s="25" t="s">
        <v>87</v>
      </c>
      <c r="E8" s="25" t="s">
        <v>88</v>
      </c>
      <c r="F8" s="25" t="s">
        <v>71</v>
      </c>
      <c r="G8" s="28" t="s">
        <v>72</v>
      </c>
      <c r="H8" s="25" t="s">
        <v>89</v>
      </c>
      <c r="I8" s="25" t="s">
        <v>90</v>
      </c>
      <c r="J8" s="25" t="s">
        <v>1510</v>
      </c>
      <c r="K8" s="25" t="s">
        <v>91</v>
      </c>
      <c r="L8" s="25" t="s">
        <v>92</v>
      </c>
      <c r="M8" s="25" t="str">
        <f>TEXT('Czas budowy'!Y18,"0")&amp;" min bazowo; T="&amp;TEXT('Czas budowy'!V18,"0")&amp;" min; budowa="&amp;TEXT('Czas budowy'!X18,"0")&amp;" min. Kolejka +10%: "&amp;TEXT('Czas budowy'!Y19,"0")&amp;" min (bez czekania)."</f>
        <v>10 min bazowo; T=5 min; budowa=5 min. Kolejka +10%: 20 min (bez czekania).</v>
      </c>
      <c r="N8" s="25" t="str">
        <f>TEXT('Czas budowy'!Y20,"0")&amp;" min bazowo; T="&amp;TEXT('Czas budowy'!V20,"0")&amp;" min; budowa="&amp;TEXT('Czas budowy'!X20,"0")&amp;" min. Kolejka +10%: "&amp;TEXT('Czas budowy'!Y21,"0")&amp;" min (bez czekania)."</f>
        <v>20 min bazowo; T=10 min; budowa=10 min. Kolejka +10%: 20 min (bez czekania).</v>
      </c>
      <c r="O8" s="25" t="str">
        <f>TEXT('Czas budowy'!Y22,"0")&amp;" min bazowo; T="&amp;TEXT('Czas budowy'!V22,"0")&amp;" min; budowa="&amp;TEXT('Czas budowy'!X22,"0")&amp;" min. Kolejka +10%: "&amp;TEXT('Czas budowy'!Y23,"0")&amp;" min (bez czekania)."</f>
        <v>20 min bazowo; T=10 min; budowa=10 min. Kolejka +10%: 30 min (bez czekania).</v>
      </c>
    </row>
    <row r="9" spans="1:15" ht="244.5" customHeight="1" x14ac:dyDescent="0.5">
      <c r="A9" s="26" t="s">
        <v>93</v>
      </c>
      <c r="B9" s="26" t="s">
        <v>94</v>
      </c>
      <c r="C9" s="26" t="s">
        <v>86</v>
      </c>
      <c r="D9" s="26" t="s">
        <v>87</v>
      </c>
      <c r="E9" s="26" t="s">
        <v>1513</v>
      </c>
      <c r="F9" s="26" t="s">
        <v>71</v>
      </c>
      <c r="G9" s="28" t="s">
        <v>72</v>
      </c>
      <c r="H9" s="26" t="s">
        <v>89</v>
      </c>
      <c r="I9" s="26" t="s">
        <v>90</v>
      </c>
      <c r="J9" s="25" t="s">
        <v>1510</v>
      </c>
      <c r="K9" s="26"/>
      <c r="L9" s="26" t="s">
        <v>95</v>
      </c>
      <c r="M9" s="26" t="str">
        <f>TEXT('Czas budowy'!Y24,"0")&amp;" min bazowo; T="&amp;TEXT('Czas budowy'!V24,"0")&amp;" min; budowa="&amp;TEXT('Czas budowy'!X24,"0")&amp;" min. Kolejka +10%: "&amp;TEXT('Czas budowy'!Y25,"0")&amp;" min (bez czekania)."</f>
        <v>10 min bazowo; T=5 min; budowa=5 min. Kolejka +10%: 20 min (bez czekania).</v>
      </c>
      <c r="N9" s="26" t="str">
        <f>TEXT('Czas budowy'!Y26,"0")&amp;" min bazowo; T="&amp;TEXT('Czas budowy'!V26,"0")&amp;" min; budowa="&amp;TEXT('Czas budowy'!X26,"0")&amp;" min. Kolejka +10%: "&amp;TEXT('Czas budowy'!Y27,"0")&amp;" min (bez czekania)."</f>
        <v>20 min bazowo; T=10 min; budowa=10 min. Kolejka +10%: 20 min (bez czekania).</v>
      </c>
      <c r="O9" s="26" t="str">
        <f>TEXT('Czas budowy'!Y28,"0")&amp;" min bazowo; T="&amp;TEXT('Czas budowy'!V28,"0")&amp;" min; budowa="&amp;TEXT('Czas budowy'!X28,"0")&amp;" min. Kolejka +10%: "&amp;TEXT('Czas budowy'!Y29,"0")&amp;" min (bez czekania)."</f>
        <v>20 min bazowo; T=10 min; budowa=10 min. Kolejka +10%: 30 min (bez czekania).</v>
      </c>
    </row>
    <row r="10" spans="1:15" ht="244.5" customHeight="1" x14ac:dyDescent="0.5">
      <c r="A10" s="25" t="s">
        <v>96</v>
      </c>
      <c r="B10" s="25" t="s">
        <v>97</v>
      </c>
      <c r="C10" s="25" t="s">
        <v>86</v>
      </c>
      <c r="D10" s="25" t="s">
        <v>87</v>
      </c>
      <c r="E10" s="25" t="s">
        <v>1514</v>
      </c>
      <c r="F10" s="25" t="s">
        <v>71</v>
      </c>
      <c r="G10" s="28" t="s">
        <v>72</v>
      </c>
      <c r="H10" s="25" t="s">
        <v>89</v>
      </c>
      <c r="I10" s="25" t="s">
        <v>90</v>
      </c>
      <c r="J10" s="25" t="s">
        <v>1510</v>
      </c>
      <c r="K10" s="25"/>
      <c r="L10" s="25" t="s">
        <v>98</v>
      </c>
      <c r="M10" s="25" t="str">
        <f>TEXT('Czas budowy'!Y30,"0")&amp;" min bazowo; T="&amp;TEXT('Czas budowy'!V30,"0")&amp;" min; budowa="&amp;TEXT('Czas budowy'!X30,"0")&amp;" min. Kolejka +10%: "&amp;TEXT('Czas budowy'!Y31,"0")&amp;" min (bez czekania)."</f>
        <v>10 min bazowo; T=5 min; budowa=5 min. Kolejka +10%: 10 min (bez czekania).</v>
      </c>
      <c r="N10" s="25" t="str">
        <f>TEXT('Czas budowy'!Y32,"0")&amp;" min bazowo; T="&amp;TEXT('Czas budowy'!V32,"0")&amp;" min; budowa="&amp;TEXT('Czas budowy'!X32,"0")&amp;" min. Kolejka +10%: "&amp;TEXT('Czas budowy'!Y33,"0")&amp;" min (bez czekania)."</f>
        <v>20 min bazowo; T=10 min; budowa=10 min. Kolejka +10%: 20 min (bez czekania).</v>
      </c>
      <c r="O10" s="25" t="str">
        <f>TEXT('Czas budowy'!Y34,"0")&amp;" min bazowo; T="&amp;TEXT('Czas budowy'!V34,"0")&amp;" min; budowa="&amp;TEXT('Czas budowy'!X34,"0")&amp;" min. Kolejka +10%: "&amp;TEXT('Czas budowy'!Y35,"0")&amp;" min (bez czekania)."</f>
        <v>20 min bazowo; T=10 min; budowa=10 min. Kolejka +10%: 30 min (bez czekania).</v>
      </c>
    </row>
    <row r="11" spans="1:15" ht="244.5" customHeight="1" x14ac:dyDescent="0.5">
      <c r="A11" s="26" t="s">
        <v>99</v>
      </c>
      <c r="B11" s="26" t="s">
        <v>100</v>
      </c>
      <c r="C11" s="26" t="s">
        <v>86</v>
      </c>
      <c r="D11" s="26" t="s">
        <v>87</v>
      </c>
      <c r="E11" s="26" t="s">
        <v>1515</v>
      </c>
      <c r="F11" s="26" t="s">
        <v>71</v>
      </c>
      <c r="G11" s="28" t="s">
        <v>72</v>
      </c>
      <c r="H11" s="26" t="s">
        <v>89</v>
      </c>
      <c r="I11" s="26" t="s">
        <v>90</v>
      </c>
      <c r="J11" s="25" t="s">
        <v>1510</v>
      </c>
      <c r="K11" s="26"/>
      <c r="L11" s="26" t="s">
        <v>101</v>
      </c>
      <c r="M11" s="26" t="str">
        <f>TEXT('Czas budowy'!Y36,"0")&amp;" min bazowo; T="&amp;TEXT('Czas budowy'!V36,"0")&amp;" min; budowa="&amp;TEXT('Czas budowy'!X36,"0")&amp;" min. Kolejka +10%: "&amp;TEXT('Czas budowy'!Y37,"0")&amp;" min (bez czekania)."</f>
        <v>10 min bazowo; T=5 min; budowa=5 min. Kolejka +10%: 20 min (bez czekania).</v>
      </c>
      <c r="N11" s="26" t="str">
        <f>TEXT('Czas budowy'!Y38,"0")&amp;" min bazowo; T="&amp;TEXT('Czas budowy'!V38,"0")&amp;" min; budowa="&amp;TEXT('Czas budowy'!X38,"0")&amp;" min. Kolejka +10%: "&amp;TEXT('Czas budowy'!Y39,"0")&amp;" min (bez czekania)."</f>
        <v>20 min bazowo; T=10 min; budowa=10 min. Kolejka +10%: 20 min (bez czekania).</v>
      </c>
      <c r="O11" s="26" t="str">
        <f>TEXT('Czas budowy'!Y40,"0")&amp;" min bazowo; T="&amp;TEXT('Czas budowy'!V40,"0")&amp;" min; budowa="&amp;TEXT('Czas budowy'!X40,"0")&amp;" min. Kolejka +10%: "&amp;TEXT('Czas budowy'!Y41,"0")&amp;" min (bez czekania)."</f>
        <v>20 min bazowo; T=10 min; budowa=10 min. Kolejka +10%: 30 min (bez czekania).</v>
      </c>
    </row>
    <row r="12" spans="1:15" ht="244.5" customHeight="1" x14ac:dyDescent="0.5">
      <c r="A12" s="25" t="s">
        <v>102</v>
      </c>
      <c r="B12" s="25" t="s">
        <v>103</v>
      </c>
      <c r="C12" s="25" t="s">
        <v>86</v>
      </c>
      <c r="D12" s="25" t="s">
        <v>87</v>
      </c>
      <c r="E12" s="25" t="s">
        <v>1516</v>
      </c>
      <c r="F12" s="25" t="s">
        <v>71</v>
      </c>
      <c r="G12" s="28" t="s">
        <v>72</v>
      </c>
      <c r="H12" s="25" t="s">
        <v>89</v>
      </c>
      <c r="I12" s="25" t="s">
        <v>90</v>
      </c>
      <c r="J12" s="25" t="s">
        <v>1510</v>
      </c>
      <c r="K12" s="25"/>
      <c r="L12" s="25" t="s">
        <v>104</v>
      </c>
      <c r="M12" s="25" t="str">
        <f>TEXT('Czas budowy'!Y42,"0")&amp;" min bazowo; T="&amp;TEXT('Czas budowy'!V42,"0")&amp;" min; budowa="&amp;TEXT('Czas budowy'!X42,"0")&amp;" min. Kolejka +10%: "&amp;TEXT('Czas budowy'!Y43,"0")&amp;" min (bez czekania)."</f>
        <v>10 min bazowo; T=5 min; budowa=5 min. Kolejka +10%: 10 min (bez czekania).</v>
      </c>
      <c r="N12" s="25" t="str">
        <f>TEXT('Czas budowy'!Y44,"0")&amp;" min bazowo; T="&amp;TEXT('Czas budowy'!V44,"0")&amp;" min; budowa="&amp;TEXT('Czas budowy'!X44,"0")&amp;" min. Kolejka +10%: "&amp;TEXT('Czas budowy'!Y45,"0")&amp;" min (bez czekania)."</f>
        <v>20 min bazowo; T=10 min; budowa=10 min. Kolejka +10%: 20 min (bez czekania).</v>
      </c>
      <c r="O12" s="25" t="str">
        <f>TEXT('Czas budowy'!Y46,"0")&amp;" min bazowo; T="&amp;TEXT('Czas budowy'!V46,"0")&amp;" min; budowa="&amp;TEXT('Czas budowy'!X46,"0")&amp;" min. Kolejka +10%: "&amp;TEXT('Czas budowy'!Y47,"0")&amp;" min (bez czekania)."</f>
        <v>20 min bazowo; T=10 min; budowa=10 min. Kolejka +10%: 30 min (bez czekania).</v>
      </c>
    </row>
    <row r="13" spans="1:15" ht="244.5" customHeight="1" x14ac:dyDescent="0.5">
      <c r="A13" s="26" t="s">
        <v>105</v>
      </c>
      <c r="B13" s="26" t="s">
        <v>106</v>
      </c>
      <c r="C13" s="26" t="s">
        <v>86</v>
      </c>
      <c r="D13" s="26" t="s">
        <v>107</v>
      </c>
      <c r="E13" s="26" t="s">
        <v>108</v>
      </c>
      <c r="F13" s="26" t="s">
        <v>71</v>
      </c>
      <c r="G13" s="28" t="s">
        <v>72</v>
      </c>
      <c r="H13" s="26" t="s">
        <v>89</v>
      </c>
      <c r="I13" s="26" t="s">
        <v>109</v>
      </c>
      <c r="J13" s="25" t="s">
        <v>1510</v>
      </c>
      <c r="K13" s="26" t="s">
        <v>110</v>
      </c>
      <c r="L13" s="26" t="s">
        <v>111</v>
      </c>
      <c r="M13" s="26" t="str">
        <f>TEXT('Czas budowy'!Y48,"0")&amp;" min bazowo; T="&amp;TEXT('Czas budowy'!V48,"0")&amp;" min; budowa="&amp;TEXT('Czas budowy'!X48,"0")&amp;" min. Kolejka +10%: "&amp;TEXT('Czas budowy'!Y49,"0")&amp;" min (bez czekania)."</f>
        <v>50 min bazowo; T=25 min; budowa=25 min. Kolejka +10%: 50 min (bez czekania).</v>
      </c>
      <c r="N13" s="26" t="str">
        <f>TEXT('Czas budowy'!Y50,"0")&amp;" min bazowo; T="&amp;TEXT('Czas budowy'!V50,"0")&amp;" min; budowa="&amp;TEXT('Czas budowy'!X50,"0")&amp;" min. Kolejka +10%: "&amp;TEXT('Czas budowy'!Y51,"0")&amp;" min (bez czekania)."</f>
        <v>90 min bazowo; T=45 min; budowa=45 min. Kolejka +10%: 90 min (bez czekania).</v>
      </c>
      <c r="O13" s="26" t="str">
        <f>TEXT('Czas budowy'!Y52,"0")&amp;" min bazowo; T="&amp;TEXT('Czas budowy'!V52,"0")&amp;" min; budowa="&amp;TEXT('Czas budowy'!X52,"0")&amp;" min. Kolejka +10%: "&amp;TEXT('Czas budowy'!Y53,"0")&amp;" min (bez czekania)."</f>
        <v>110 min bazowo; T=55 min; budowa=55 min. Kolejka +10%: 120 min (bez czekania).</v>
      </c>
    </row>
    <row r="14" spans="1:15" ht="244.5" customHeight="1" x14ac:dyDescent="0.5">
      <c r="A14" s="25" t="s">
        <v>112</v>
      </c>
      <c r="B14" s="25" t="s">
        <v>113</v>
      </c>
      <c r="C14" s="25" t="s">
        <v>86</v>
      </c>
      <c r="D14" s="25" t="s">
        <v>107</v>
      </c>
      <c r="E14" s="25" t="s">
        <v>108</v>
      </c>
      <c r="F14" s="25" t="s">
        <v>71</v>
      </c>
      <c r="G14" s="28" t="s">
        <v>72</v>
      </c>
      <c r="H14" s="25" t="s">
        <v>89</v>
      </c>
      <c r="I14" s="25" t="s">
        <v>114</v>
      </c>
      <c r="J14" s="25" t="s">
        <v>1510</v>
      </c>
      <c r="K14" s="25" t="s">
        <v>115</v>
      </c>
      <c r="L14" s="25" t="s">
        <v>116</v>
      </c>
      <c r="M14" s="25" t="str">
        <f>TEXT('Czas budowy'!Y54,"0")&amp;" min bazowo; T="&amp;TEXT('Czas budowy'!V54,"0")&amp;" min; budowa="&amp;TEXT('Czas budowy'!X54,"0")&amp;" min. Kolejka +10%: "&amp;TEXT('Czas budowy'!Y55,"0")&amp;" min (bez czekania)."</f>
        <v>50 min bazowo; T=25 min; budowa=25 min. Kolejka +10%: 50 min (bez czekania).</v>
      </c>
      <c r="N14" s="25" t="str">
        <f>TEXT('Czas budowy'!Y56,"0")&amp;" min bazowo; T="&amp;TEXT('Czas budowy'!V56,"0")&amp;" min; budowa="&amp;TEXT('Czas budowy'!X56,"0")&amp;" min. Kolejka +10%: "&amp;TEXT('Czas budowy'!Y57,"0")&amp;" min (bez czekania)."</f>
        <v>90 min bazowo; T=45 min; budowa=45 min. Kolejka +10%: 90 min (bez czekania).</v>
      </c>
      <c r="O14" s="25" t="str">
        <f>TEXT('Czas budowy'!Y58,"0")&amp;" min bazowo; T="&amp;TEXT('Czas budowy'!V58,"0")&amp;" min; budowa="&amp;TEXT('Czas budowy'!X58,"0")&amp;" min. Kolejka +10%: "&amp;TEXT('Czas budowy'!Y59,"0")&amp;" min (bez czekania)."</f>
        <v>110 min bazowo; T=55 min; budowa=55 min. Kolejka +10%: 120 min (bez czekania).</v>
      </c>
    </row>
    <row r="15" spans="1:15" ht="244.5" customHeight="1" x14ac:dyDescent="0.5">
      <c r="A15" s="26" t="s">
        <v>117</v>
      </c>
      <c r="B15" s="26" t="s">
        <v>118</v>
      </c>
      <c r="C15" s="26" t="s">
        <v>86</v>
      </c>
      <c r="D15" s="26" t="s">
        <v>107</v>
      </c>
      <c r="E15" s="26" t="s">
        <v>119</v>
      </c>
      <c r="F15" s="26" t="s">
        <v>71</v>
      </c>
      <c r="G15" s="28" t="s">
        <v>72</v>
      </c>
      <c r="H15" s="26" t="s">
        <v>89</v>
      </c>
      <c r="I15" s="26" t="s">
        <v>120</v>
      </c>
      <c r="J15" s="25" t="s">
        <v>1510</v>
      </c>
      <c r="K15" s="26" t="s">
        <v>121</v>
      </c>
      <c r="L15" s="26" t="s">
        <v>122</v>
      </c>
      <c r="M15" s="26" t="str">
        <f>TEXT('Czas budowy'!Y60,"0")&amp;" min bazowo; T="&amp;TEXT('Czas budowy'!V60,"0")&amp;" min; budowa="&amp;TEXT('Czas budowy'!X60,"0")&amp;" min. Kolejka +10%: "&amp;TEXT('Czas budowy'!Y61,"0")&amp;" min (bez czekania)."</f>
        <v>60 min bazowo; T=30 min; budowa=30 min. Kolejka +10%: 70 min (bez czekania).</v>
      </c>
      <c r="N15" s="26" t="str">
        <f>TEXT('Czas budowy'!Y62,"0")&amp;" min bazowo; T="&amp;TEXT('Czas budowy'!V62,"0")&amp;" min; budowa="&amp;TEXT('Czas budowy'!X62,"0")&amp;" min. Kolejka +10%: "&amp;TEXT('Czas budowy'!Y63,"0")&amp;" min (bez czekania)."</f>
        <v>110 min bazowo; T=55 min; budowa=55 min. Kolejka +10%: 120 min (bez czekania).</v>
      </c>
      <c r="O15" s="26" t="str">
        <f>TEXT('Czas budowy'!Y64,"0")&amp;" min bazowo; T="&amp;TEXT('Czas budowy'!V64,"0")&amp;" min; budowa="&amp;TEXT('Czas budowy'!X64,"0")&amp;" min. Kolejka +10%: "&amp;TEXT('Czas budowy'!Y65,"0")&amp;" min (bez czekania)."</f>
        <v>150 min bazowo; T=75 min; budowa=75 min. Kolejka +10%: 160 min (bez czekania).</v>
      </c>
    </row>
    <row r="16" spans="1:15" ht="244.5" customHeight="1" x14ac:dyDescent="0.5">
      <c r="A16" s="25" t="s">
        <v>123</v>
      </c>
      <c r="B16" s="25" t="s">
        <v>124</v>
      </c>
      <c r="C16" s="25" t="s">
        <v>125</v>
      </c>
      <c r="D16" s="25" t="s">
        <v>126</v>
      </c>
      <c r="E16" s="25" t="s">
        <v>127</v>
      </c>
      <c r="F16" s="25" t="s">
        <v>128</v>
      </c>
      <c r="G16" s="28" t="s">
        <v>72</v>
      </c>
      <c r="H16" s="25" t="s">
        <v>129</v>
      </c>
      <c r="I16" s="25" t="s">
        <v>130</v>
      </c>
      <c r="J16" s="25" t="s">
        <v>1510</v>
      </c>
      <c r="K16" s="25"/>
      <c r="L16" s="25" t="s">
        <v>131</v>
      </c>
      <c r="M16" s="25" t="str">
        <f>TEXT('Czas budowy'!Y66,"0")&amp;" min bazowo; T="&amp;TEXT('Czas budowy'!V66,"0")&amp;" min; budowa="&amp;TEXT('Czas budowy'!X66,"0")&amp;" min. Kolejka +10%: "&amp;TEXT('Czas budowy'!Y67,"0")&amp;" min (bez czekania)."</f>
        <v>20 min bazowo; T=5 min; budowa=15 min. Kolejka +10%: 20 min (bez czekania).</v>
      </c>
      <c r="N16" s="25" t="str">
        <f>TEXT('Czas budowy'!Y68,"0")&amp;" min bazowo; T="&amp;TEXT('Czas budowy'!V68,"0")&amp;" min; budowa="&amp;TEXT('Czas budowy'!X68,"0")&amp;" min. Kolejka +10%: "&amp;TEXT('Czas budowy'!Y69,"0")&amp;" min (bez czekania)."</f>
        <v>35 min bazowo; T=5 min; budowa=30 min. Kolejka +10%: 35 min (bez czekania).</v>
      </c>
      <c r="O16" s="25" t="str">
        <f>TEXT('Czas budowy'!Y70,"0")&amp;" min bazowo; T="&amp;TEXT('Czas budowy'!V70,"0")&amp;" min; budowa="&amp;TEXT('Czas budowy'!X70,"0")&amp;" min. Kolejka +10%: "&amp;TEXT('Czas budowy'!Y71,"0")&amp;" min (bez czekania)."</f>
        <v>100 min bazowo; T=10 min; budowa=90 min. Kolejka +10%: 100 min (bez czekania).</v>
      </c>
    </row>
    <row r="17" spans="1:15" ht="244.5" customHeight="1" x14ac:dyDescent="0.5">
      <c r="A17" s="26" t="s">
        <v>132</v>
      </c>
      <c r="B17" s="26" t="s">
        <v>133</v>
      </c>
      <c r="C17" s="26" t="s">
        <v>125</v>
      </c>
      <c r="D17" s="26" t="s">
        <v>134</v>
      </c>
      <c r="E17" s="26" t="s">
        <v>135</v>
      </c>
      <c r="F17" s="26" t="s">
        <v>136</v>
      </c>
      <c r="G17" s="28" t="s">
        <v>72</v>
      </c>
      <c r="H17" s="26" t="s">
        <v>137</v>
      </c>
      <c r="I17" s="26" t="s">
        <v>138</v>
      </c>
      <c r="J17" s="25" t="s">
        <v>1510</v>
      </c>
      <c r="K17" s="26" t="s">
        <v>139</v>
      </c>
      <c r="L17" s="26" t="s">
        <v>140</v>
      </c>
      <c r="M17" s="26" t="str">
        <f>TEXT('Czas budowy'!Y72,"0")&amp;" min bazowo; T="&amp;TEXT('Czas budowy'!V72,"0")&amp;" min; budowa="&amp;TEXT('Czas budowy'!X72,"0")&amp;" min. Kolejka +10%: "&amp;TEXT('Czas budowy'!Y73,"0")&amp;" min (bez czekania)."</f>
        <v>200 min bazowo; T=40 min; budowa=160 min. Kolejka +10%: 225 min (bez czekania).</v>
      </c>
      <c r="N17" s="26" t="str">
        <f>TEXT('Czas budowy'!Y74,"0")&amp;" min bazowo; T="&amp;TEXT('Czas budowy'!V74,"0")&amp;" min; budowa="&amp;TEXT('Czas budowy'!X74,"0")&amp;" min. Kolejka +10%: "&amp;TEXT('Czas budowy'!Y75,"0")&amp;" min (bez czekania)."</f>
        <v>350 min bazowo; T=70 min; budowa=280 min. Kolejka +10%: 375 min (bez czekania).</v>
      </c>
      <c r="O17" s="26" t="str">
        <f>TEXT('Czas budowy'!Y76,"0")&amp;" min bazowo; T="&amp;TEXT('Czas budowy'!V76,"0")&amp;" min; budowa="&amp;TEXT('Czas budowy'!X76,"0")&amp;" min. Kolejka +10%: "&amp;TEXT('Czas budowy'!Y77,"0")&amp;" min (bez czekania)."</f>
        <v>450 min bazowo; T=90 min; budowa=360 min. Kolejka +10%: 500 min (bez czekania).</v>
      </c>
    </row>
    <row r="18" spans="1:15" ht="229.5" customHeight="1" x14ac:dyDescent="0.5">
      <c r="A18" s="25" t="s">
        <v>141</v>
      </c>
      <c r="B18" s="25" t="s">
        <v>142</v>
      </c>
      <c r="C18" s="25" t="s">
        <v>143</v>
      </c>
      <c r="D18" s="25" t="s">
        <v>144</v>
      </c>
      <c r="E18" s="25" t="s">
        <v>145</v>
      </c>
      <c r="F18" s="25" t="s">
        <v>146</v>
      </c>
      <c r="G18" s="25" t="s">
        <v>147</v>
      </c>
      <c r="H18" s="25" t="s">
        <v>148</v>
      </c>
      <c r="I18" s="25" t="s">
        <v>149</v>
      </c>
      <c r="J18" s="25" t="s">
        <v>150</v>
      </c>
      <c r="K18" s="25" t="s">
        <v>151</v>
      </c>
      <c r="L18" s="25" t="s">
        <v>152</v>
      </c>
      <c r="M18" s="25" t="s">
        <v>153</v>
      </c>
      <c r="N18" s="25" t="s">
        <v>153</v>
      </c>
      <c r="O18" s="25" t="s">
        <v>153</v>
      </c>
    </row>
  </sheetData>
  <autoFilter ref="A5:O18" xr:uid="{00000000-0009-0000-0000-000001000000}"/>
  <mergeCells count="2">
    <mergeCell ref="A1:O1"/>
    <mergeCell ref="A2:O3"/>
  </mergeCells>
  <pageMargins left="0.75" right="0.75" top="1" bottom="1" header="0.511811023622047" footer="0.5"/>
  <pageSetup paperSize="8" fitToHeight="0" orientation="landscape" horizontalDpi="300" verticalDpi="300"/>
  <headerFooter>
    <oddFooter>&amp;CHARBORLIGHT — projekt zasad, nie wdrożenie</oddFooter>
  </headerFooter>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37"/>
  <sheetViews>
    <sheetView showGridLines="0" tabSelected="1" zoomScale="75" zoomScaleNormal="75" workbookViewId="0">
      <pane xSplit="1" ySplit="5" topLeftCell="D6" activePane="bottomRight" state="frozen"/>
      <selection pane="topRight" activeCell="B1" sqref="B1"/>
      <selection pane="bottomLeft" activeCell="A6" sqref="A6"/>
      <selection pane="bottomRight" activeCell="E6" sqref="E6"/>
    </sheetView>
  </sheetViews>
  <sheetFormatPr defaultColWidth="8.6640625" defaultRowHeight="25.8" x14ac:dyDescent="0.5"/>
  <cols>
    <col min="1" max="1" width="33" style="22" customWidth="1"/>
    <col min="2" max="2" width="87" style="22" customWidth="1"/>
    <col min="3" max="3" width="75" style="22" customWidth="1"/>
    <col min="4" max="4" width="115" style="22" customWidth="1"/>
    <col min="5" max="5" width="60" style="22" customWidth="1"/>
    <col min="6" max="16384" width="8.6640625" style="22"/>
  </cols>
  <sheetData>
    <row r="1" spans="1:8" ht="33.75" customHeight="1" x14ac:dyDescent="0.5">
      <c r="A1" s="27" t="s">
        <v>154</v>
      </c>
      <c r="B1" s="27"/>
      <c r="C1" s="27"/>
      <c r="D1" s="27"/>
      <c r="E1" s="27"/>
    </row>
    <row r="2" spans="1:8" ht="24.75" customHeight="1" x14ac:dyDescent="0.5">
      <c r="A2" s="23" t="s">
        <v>155</v>
      </c>
      <c r="B2" s="23"/>
      <c r="C2" s="23"/>
      <c r="D2" s="23"/>
      <c r="E2" s="23"/>
    </row>
    <row r="3" spans="1:8" ht="24.75" customHeight="1" x14ac:dyDescent="0.5">
      <c r="A3" s="23"/>
      <c r="B3" s="23"/>
      <c r="C3" s="23"/>
      <c r="D3" s="23"/>
      <c r="E3" s="23"/>
    </row>
    <row r="5" spans="1:8" ht="48" customHeight="1" x14ac:dyDescent="0.5">
      <c r="A5" s="24" t="s">
        <v>156</v>
      </c>
      <c r="B5" s="24" t="s">
        <v>157</v>
      </c>
      <c r="C5" s="24" t="s">
        <v>158</v>
      </c>
      <c r="D5" s="24" t="s">
        <v>159</v>
      </c>
      <c r="E5" s="24" t="s">
        <v>160</v>
      </c>
    </row>
    <row r="6" spans="1:8" ht="109.5" customHeight="1" x14ac:dyDescent="0.5">
      <c r="A6" s="25" t="s">
        <v>161</v>
      </c>
      <c r="B6" s="25" t="s">
        <v>162</v>
      </c>
      <c r="C6" s="25" t="s">
        <v>163</v>
      </c>
      <c r="D6" s="25" t="s">
        <v>164</v>
      </c>
      <c r="E6" s="25" t="s">
        <v>165</v>
      </c>
    </row>
    <row r="7" spans="1:8" ht="109.5" customHeight="1" x14ac:dyDescent="0.5">
      <c r="A7" s="26" t="s">
        <v>166</v>
      </c>
      <c r="B7" s="26" t="s">
        <v>167</v>
      </c>
      <c r="C7" s="26" t="s">
        <v>168</v>
      </c>
      <c r="D7" s="26" t="s">
        <v>169</v>
      </c>
      <c r="E7" s="26" t="s">
        <v>170</v>
      </c>
    </row>
    <row r="8" spans="1:8" ht="109.5" customHeight="1" x14ac:dyDescent="0.5">
      <c r="A8" s="25" t="s">
        <v>171</v>
      </c>
      <c r="B8" s="25" t="s">
        <v>172</v>
      </c>
      <c r="C8" s="25" t="s">
        <v>173</v>
      </c>
      <c r="D8" s="25" t="s">
        <v>174</v>
      </c>
      <c r="E8" s="25" t="s">
        <v>175</v>
      </c>
    </row>
    <row r="9" spans="1:8" ht="109.5" customHeight="1" x14ac:dyDescent="0.5">
      <c r="A9" s="26" t="s">
        <v>176</v>
      </c>
      <c r="B9" s="26" t="s">
        <v>177</v>
      </c>
      <c r="C9" s="26" t="s">
        <v>178</v>
      </c>
      <c r="D9" s="26" t="s">
        <v>179</v>
      </c>
      <c r="E9" s="26" t="s">
        <v>180</v>
      </c>
    </row>
    <row r="10" spans="1:8" ht="109.5" customHeight="1" x14ac:dyDescent="0.5">
      <c r="A10" s="25" t="s">
        <v>181</v>
      </c>
      <c r="B10" s="25" t="s">
        <v>182</v>
      </c>
      <c r="C10" s="25" t="s">
        <v>183</v>
      </c>
      <c r="D10" s="25" t="s">
        <v>184</v>
      </c>
      <c r="E10" s="25" t="s">
        <v>185</v>
      </c>
      <c r="H10" s="22" t="s">
        <v>1511</v>
      </c>
    </row>
    <row r="11" spans="1:8" ht="109.5" customHeight="1" x14ac:dyDescent="0.5">
      <c r="A11" s="26" t="s">
        <v>186</v>
      </c>
      <c r="B11" s="26" t="s">
        <v>187</v>
      </c>
      <c r="C11" s="26" t="s">
        <v>188</v>
      </c>
      <c r="D11" s="26" t="s">
        <v>189</v>
      </c>
      <c r="E11" s="26" t="s">
        <v>190</v>
      </c>
    </row>
    <row r="12" spans="1:8" ht="109.5" customHeight="1" x14ac:dyDescent="0.5">
      <c r="A12" s="25" t="s">
        <v>191</v>
      </c>
      <c r="B12" s="25" t="s">
        <v>192</v>
      </c>
      <c r="C12" s="25" t="s">
        <v>193</v>
      </c>
      <c r="D12" s="25" t="s">
        <v>194</v>
      </c>
      <c r="E12" s="25" t="s">
        <v>195</v>
      </c>
    </row>
    <row r="13" spans="1:8" ht="109.5" customHeight="1" x14ac:dyDescent="0.5">
      <c r="A13" s="26" t="s">
        <v>196</v>
      </c>
      <c r="B13" s="26" t="s">
        <v>197</v>
      </c>
      <c r="C13" s="26" t="s">
        <v>198</v>
      </c>
      <c r="D13" s="26" t="s">
        <v>199</v>
      </c>
      <c r="E13" s="26" t="s">
        <v>200</v>
      </c>
      <c r="G13" s="22" t="s">
        <v>1512</v>
      </c>
    </row>
    <row r="14" spans="1:8" ht="109.5" customHeight="1" x14ac:dyDescent="0.5">
      <c r="A14" s="25" t="s">
        <v>23</v>
      </c>
      <c r="B14" s="25" t="s">
        <v>201</v>
      </c>
      <c r="C14" s="25" t="s">
        <v>202</v>
      </c>
      <c r="D14" s="25" t="s">
        <v>203</v>
      </c>
      <c r="E14" s="25" t="s">
        <v>204</v>
      </c>
    </row>
    <row r="15" spans="1:8" ht="109.5" customHeight="1" x14ac:dyDescent="0.5">
      <c r="A15" s="26" t="s">
        <v>205</v>
      </c>
      <c r="B15" s="26" t="s">
        <v>206</v>
      </c>
      <c r="C15" s="26" t="s">
        <v>207</v>
      </c>
      <c r="D15" s="26" t="s">
        <v>208</v>
      </c>
      <c r="E15" s="26" t="s">
        <v>209</v>
      </c>
      <c r="G15" s="22" t="s">
        <v>1527</v>
      </c>
    </row>
    <row r="16" spans="1:8" ht="109.5" customHeight="1" x14ac:dyDescent="0.5">
      <c r="A16" s="25" t="s">
        <v>210</v>
      </c>
      <c r="B16" s="25" t="s">
        <v>211</v>
      </c>
      <c r="C16" s="25" t="s">
        <v>212</v>
      </c>
      <c r="D16" s="25" t="s">
        <v>213</v>
      </c>
      <c r="E16" s="25" t="s">
        <v>214</v>
      </c>
    </row>
    <row r="17" spans="1:7" ht="109.5" customHeight="1" x14ac:dyDescent="0.5">
      <c r="A17" s="26" t="s">
        <v>215</v>
      </c>
      <c r="B17" s="26" t="s">
        <v>216</v>
      </c>
      <c r="C17" s="26" t="s">
        <v>217</v>
      </c>
      <c r="D17" s="26" t="s">
        <v>218</v>
      </c>
      <c r="E17" s="26" t="s">
        <v>214</v>
      </c>
    </row>
    <row r="18" spans="1:7" ht="109.5" customHeight="1" x14ac:dyDescent="0.5">
      <c r="A18" s="25" t="s">
        <v>219</v>
      </c>
      <c r="B18" s="25" t="s">
        <v>220</v>
      </c>
      <c r="C18" s="25" t="s">
        <v>221</v>
      </c>
      <c r="D18" s="25" t="s">
        <v>222</v>
      </c>
      <c r="E18" s="25" t="s">
        <v>214</v>
      </c>
    </row>
    <row r="19" spans="1:7" ht="109.5" customHeight="1" x14ac:dyDescent="0.5">
      <c r="A19" s="26" t="s">
        <v>223</v>
      </c>
      <c r="B19" s="26" t="s">
        <v>224</v>
      </c>
      <c r="C19" s="26" t="s">
        <v>225</v>
      </c>
      <c r="D19" s="26" t="s">
        <v>226</v>
      </c>
      <c r="E19" s="26" t="s">
        <v>214</v>
      </c>
    </row>
    <row r="20" spans="1:7" ht="109.5" customHeight="1" x14ac:dyDescent="0.5">
      <c r="A20" s="25" t="s">
        <v>227</v>
      </c>
      <c r="B20" s="25" t="s">
        <v>228</v>
      </c>
      <c r="C20" s="25" t="s">
        <v>229</v>
      </c>
      <c r="D20" s="25" t="s">
        <v>230</v>
      </c>
      <c r="E20" s="25" t="s">
        <v>214</v>
      </c>
    </row>
    <row r="21" spans="1:7" ht="109.5" customHeight="1" x14ac:dyDescent="0.5">
      <c r="A21" s="26" t="s">
        <v>231</v>
      </c>
      <c r="B21" s="26" t="s">
        <v>232</v>
      </c>
      <c r="C21" s="26" t="s">
        <v>233</v>
      </c>
      <c r="D21" s="26" t="s">
        <v>234</v>
      </c>
      <c r="E21" s="26" t="s">
        <v>214</v>
      </c>
    </row>
    <row r="22" spans="1:7" ht="109.5" customHeight="1" x14ac:dyDescent="0.5">
      <c r="A22" s="25" t="s">
        <v>235</v>
      </c>
      <c r="B22" s="25" t="s">
        <v>236</v>
      </c>
      <c r="C22" s="25" t="s">
        <v>237</v>
      </c>
      <c r="D22" s="25" t="s">
        <v>238</v>
      </c>
      <c r="E22" s="25" t="s">
        <v>239</v>
      </c>
      <c r="G22" s="22" t="s">
        <v>1526</v>
      </c>
    </row>
    <row r="23" spans="1:7" ht="109.5" customHeight="1" x14ac:dyDescent="0.5">
      <c r="A23" s="26" t="s">
        <v>240</v>
      </c>
      <c r="B23" s="26" t="s">
        <v>241</v>
      </c>
      <c r="C23" s="26" t="s">
        <v>242</v>
      </c>
      <c r="D23" s="26" t="s">
        <v>243</v>
      </c>
      <c r="E23" s="26" t="s">
        <v>244</v>
      </c>
      <c r="G23" s="22" t="s">
        <v>1525</v>
      </c>
    </row>
    <row r="24" spans="1:7" ht="109.5" customHeight="1" x14ac:dyDescent="0.5">
      <c r="A24" s="25" t="s">
        <v>245</v>
      </c>
      <c r="B24" s="25" t="s">
        <v>246</v>
      </c>
      <c r="C24" s="25" t="s">
        <v>247</v>
      </c>
      <c r="D24" s="25" t="s">
        <v>248</v>
      </c>
      <c r="E24" s="25" t="s">
        <v>214</v>
      </c>
    </row>
    <row r="25" spans="1:7" ht="109.5" customHeight="1" x14ac:dyDescent="0.5">
      <c r="A25" s="26" t="s">
        <v>249</v>
      </c>
      <c r="B25" s="26" t="s">
        <v>250</v>
      </c>
      <c r="C25" s="26" t="s">
        <v>251</v>
      </c>
      <c r="D25" s="26" t="s">
        <v>252</v>
      </c>
      <c r="E25" s="26" t="s">
        <v>253</v>
      </c>
      <c r="G25" s="22" t="s">
        <v>1524</v>
      </c>
    </row>
    <row r="26" spans="1:7" ht="109.5" customHeight="1" x14ac:dyDescent="0.5">
      <c r="A26" s="25" t="s">
        <v>254</v>
      </c>
      <c r="B26" s="25" t="s">
        <v>255</v>
      </c>
      <c r="C26" s="25" t="s">
        <v>256</v>
      </c>
      <c r="D26" s="25" t="s">
        <v>257</v>
      </c>
      <c r="E26" s="25" t="s">
        <v>200</v>
      </c>
      <c r="G26" s="22" t="s">
        <v>1523</v>
      </c>
    </row>
    <row r="27" spans="1:7" ht="109.5" customHeight="1" x14ac:dyDescent="0.5">
      <c r="A27" s="26" t="s">
        <v>258</v>
      </c>
      <c r="B27" s="26" t="s">
        <v>259</v>
      </c>
      <c r="C27" s="26" t="s">
        <v>260</v>
      </c>
      <c r="D27" s="26" t="s">
        <v>261</v>
      </c>
      <c r="E27" s="26" t="s">
        <v>214</v>
      </c>
    </row>
    <row r="28" spans="1:7" ht="109.5" customHeight="1" x14ac:dyDescent="0.5">
      <c r="A28" s="25" t="s">
        <v>262</v>
      </c>
      <c r="B28" s="25" t="s">
        <v>263</v>
      </c>
      <c r="C28" s="25" t="s">
        <v>264</v>
      </c>
      <c r="D28" s="25" t="s">
        <v>265</v>
      </c>
      <c r="E28" s="25" t="s">
        <v>214</v>
      </c>
    </row>
    <row r="29" spans="1:7" ht="109.5" customHeight="1" x14ac:dyDescent="0.5">
      <c r="A29" s="26" t="s">
        <v>266</v>
      </c>
      <c r="B29" s="26" t="s">
        <v>267</v>
      </c>
      <c r="C29" s="26" t="s">
        <v>268</v>
      </c>
      <c r="D29" s="26" t="s">
        <v>269</v>
      </c>
      <c r="E29" s="26" t="s">
        <v>270</v>
      </c>
      <c r="G29" s="22" t="s">
        <v>1522</v>
      </c>
    </row>
    <row r="30" spans="1:7" ht="109.5" customHeight="1" x14ac:dyDescent="0.5">
      <c r="A30" s="25" t="s">
        <v>271</v>
      </c>
      <c r="B30" s="25" t="s">
        <v>272</v>
      </c>
      <c r="C30" s="25" t="s">
        <v>273</v>
      </c>
      <c r="D30" s="25" t="s">
        <v>274</v>
      </c>
      <c r="E30" s="25" t="s">
        <v>275</v>
      </c>
      <c r="G30" s="22" t="s">
        <v>1521</v>
      </c>
    </row>
    <row r="31" spans="1:7" ht="109.5" customHeight="1" x14ac:dyDescent="0.5">
      <c r="A31" s="26" t="s">
        <v>276</v>
      </c>
      <c r="B31" s="26" t="s">
        <v>277</v>
      </c>
      <c r="C31" s="26" t="s">
        <v>278</v>
      </c>
      <c r="D31" s="26" t="s">
        <v>279</v>
      </c>
      <c r="E31" s="26" t="s">
        <v>280</v>
      </c>
      <c r="G31" s="22" t="s">
        <v>1520</v>
      </c>
    </row>
    <row r="32" spans="1:7" ht="109.5" customHeight="1" x14ac:dyDescent="0.5">
      <c r="A32" s="25" t="s">
        <v>281</v>
      </c>
      <c r="B32" s="25" t="s">
        <v>282</v>
      </c>
      <c r="C32" s="25" t="s">
        <v>283</v>
      </c>
      <c r="D32" s="25" t="s">
        <v>284</v>
      </c>
      <c r="E32" s="25" t="s">
        <v>285</v>
      </c>
    </row>
    <row r="33" spans="1:7" ht="109.5" customHeight="1" x14ac:dyDescent="0.5">
      <c r="A33" s="26" t="s">
        <v>286</v>
      </c>
      <c r="B33" s="26" t="s">
        <v>287</v>
      </c>
      <c r="C33" s="26" t="s">
        <v>288</v>
      </c>
      <c r="D33" s="26" t="s">
        <v>289</v>
      </c>
      <c r="E33" s="26" t="s">
        <v>290</v>
      </c>
    </row>
    <row r="34" spans="1:7" ht="109.5" customHeight="1" x14ac:dyDescent="0.5">
      <c r="A34" s="25" t="s">
        <v>291</v>
      </c>
      <c r="B34" s="25" t="s">
        <v>292</v>
      </c>
      <c r="C34" s="25" t="s">
        <v>293</v>
      </c>
      <c r="D34" s="25" t="s">
        <v>294</v>
      </c>
      <c r="E34" s="25" t="s">
        <v>295</v>
      </c>
    </row>
    <row r="35" spans="1:7" ht="109.5" customHeight="1" x14ac:dyDescent="0.5">
      <c r="A35" s="26" t="s">
        <v>296</v>
      </c>
      <c r="B35" s="26" t="s">
        <v>297</v>
      </c>
      <c r="C35" s="26" t="s">
        <v>298</v>
      </c>
      <c r="D35" s="26" t="s">
        <v>299</v>
      </c>
      <c r="E35" s="26" t="s">
        <v>300</v>
      </c>
      <c r="G35" s="22" t="s">
        <v>1519</v>
      </c>
    </row>
    <row r="36" spans="1:7" ht="109.5" customHeight="1" x14ac:dyDescent="0.5">
      <c r="A36" s="25" t="s">
        <v>301</v>
      </c>
      <c r="B36" s="25" t="s">
        <v>302</v>
      </c>
      <c r="C36" s="25" t="s">
        <v>303</v>
      </c>
      <c r="D36" s="25" t="s">
        <v>304</v>
      </c>
      <c r="E36" s="25" t="s">
        <v>190</v>
      </c>
      <c r="G36" s="22" t="s">
        <v>1518</v>
      </c>
    </row>
    <row r="37" spans="1:7" ht="109.5" customHeight="1" x14ac:dyDescent="0.5">
      <c r="A37" s="26" t="s">
        <v>305</v>
      </c>
      <c r="B37" s="26" t="s">
        <v>306</v>
      </c>
      <c r="C37" s="26" t="s">
        <v>307</v>
      </c>
      <c r="D37" s="26" t="s">
        <v>308</v>
      </c>
      <c r="E37" s="26" t="s">
        <v>309</v>
      </c>
      <c r="G37" s="22" t="s">
        <v>1517</v>
      </c>
    </row>
  </sheetData>
  <autoFilter ref="A5:E37" xr:uid="{00000000-0009-0000-0000-000002000000}"/>
  <mergeCells count="2">
    <mergeCell ref="A1:E1"/>
    <mergeCell ref="A2:E3"/>
  </mergeCells>
  <pageMargins left="0.75" right="0.75" top="1" bottom="1" header="0.511811023622047" footer="0.5"/>
  <pageSetup paperSize="8" fitToHeight="0" orientation="landscape" horizontalDpi="300" verticalDpi="300"/>
  <headerFooter>
    <oddFooter>&amp;CHARBORLIGHT — projekt zasad, nie wdrożenie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15"/>
  <sheetViews>
    <sheetView showGridLines="0" zoomScale="75" zoomScaleNormal="75" workbookViewId="0">
      <pane xSplit="1" ySplit="5" topLeftCell="B12" activePane="bottomRight" state="frozen"/>
      <selection pane="topRight" activeCell="B1" sqref="B1"/>
      <selection pane="bottomLeft" activeCell="A6" sqref="A6"/>
      <selection pane="bottomRight" activeCell="D17" sqref="D17"/>
    </sheetView>
  </sheetViews>
  <sheetFormatPr defaultColWidth="8.6640625" defaultRowHeight="25.8" x14ac:dyDescent="0.5"/>
  <cols>
    <col min="1" max="1" width="24" style="22" customWidth="1"/>
    <col min="2" max="2" width="28" style="22" customWidth="1"/>
    <col min="3" max="3" width="35" style="22" customWidth="1"/>
    <col min="4" max="4" width="28" style="22" customWidth="1"/>
    <col min="5" max="5" width="37" style="22" customWidth="1"/>
    <col min="6" max="6" width="115" style="22" customWidth="1"/>
    <col min="7" max="16384" width="8.6640625" style="22"/>
  </cols>
  <sheetData>
    <row r="1" spans="1:6" ht="33.75" customHeight="1" x14ac:dyDescent="0.5">
      <c r="A1" s="27" t="s">
        <v>310</v>
      </c>
      <c r="B1" s="27"/>
      <c r="C1" s="27"/>
      <c r="D1" s="27"/>
      <c r="E1" s="27"/>
      <c r="F1" s="27"/>
    </row>
    <row r="2" spans="1:6" ht="24.75" customHeight="1" x14ac:dyDescent="0.5">
      <c r="A2" s="23" t="s">
        <v>311</v>
      </c>
      <c r="B2" s="23"/>
      <c r="C2" s="23"/>
      <c r="D2" s="23"/>
      <c r="E2" s="23"/>
      <c r="F2" s="23"/>
    </row>
    <row r="3" spans="1:6" ht="24.75" customHeight="1" x14ac:dyDescent="0.5">
      <c r="A3" s="23"/>
      <c r="B3" s="23"/>
      <c r="C3" s="23"/>
      <c r="D3" s="23"/>
      <c r="E3" s="23"/>
      <c r="F3" s="23"/>
    </row>
    <row r="5" spans="1:6" ht="48" customHeight="1" x14ac:dyDescent="0.5">
      <c r="A5" s="24" t="s">
        <v>312</v>
      </c>
      <c r="B5" s="24" t="s">
        <v>313</v>
      </c>
      <c r="C5" s="24" t="s">
        <v>314</v>
      </c>
      <c r="D5" s="24" t="s">
        <v>315</v>
      </c>
      <c r="E5" s="24" t="s">
        <v>316</v>
      </c>
      <c r="F5" s="24" t="s">
        <v>317</v>
      </c>
    </row>
    <row r="6" spans="1:6" ht="60" customHeight="1" x14ac:dyDescent="0.5">
      <c r="A6" s="25">
        <v>1</v>
      </c>
      <c r="B6" s="25">
        <f t="shared" ref="B6:B15" si="0">IF(A6=1,10,A6+10)</f>
        <v>10</v>
      </c>
      <c r="C6" s="25">
        <f t="shared" ref="C6:C15" si="1">B6/2</f>
        <v>5</v>
      </c>
      <c r="D6" s="25">
        <f>A6*Parametry!$C$8</f>
        <v>12</v>
      </c>
      <c r="E6" s="25">
        <f>ROUNDDOWN(Parametry!$C$9*Parametry!$C$10^(A6-1),0)</f>
        <v>60</v>
      </c>
      <c r="F6" s="25" t="s">
        <v>318</v>
      </c>
    </row>
    <row r="7" spans="1:6" ht="60" customHeight="1" x14ac:dyDescent="0.5">
      <c r="A7" s="26">
        <v>2</v>
      </c>
      <c r="B7" s="26">
        <f t="shared" si="0"/>
        <v>12</v>
      </c>
      <c r="C7" s="26">
        <f t="shared" si="1"/>
        <v>6</v>
      </c>
      <c r="D7" s="26">
        <f>A7*Parametry!$C$8</f>
        <v>24</v>
      </c>
      <c r="E7" s="26">
        <f>ROUNDDOWN(Parametry!$C$9*Parametry!$C$10^(A7-1),0)</f>
        <v>66</v>
      </c>
      <c r="F7" s="26" t="s">
        <v>318</v>
      </c>
    </row>
    <row r="8" spans="1:6" ht="60" customHeight="1" x14ac:dyDescent="0.5">
      <c r="A8" s="25">
        <v>3</v>
      </c>
      <c r="B8" s="25">
        <f t="shared" si="0"/>
        <v>13</v>
      </c>
      <c r="C8" s="25">
        <f t="shared" si="1"/>
        <v>6.5</v>
      </c>
      <c r="D8" s="25">
        <f>A8*Parametry!$C$8</f>
        <v>36</v>
      </c>
      <c r="E8" s="25">
        <f>ROUNDDOWN(Parametry!$C$9*Parametry!$C$10^(A8-1),0)</f>
        <v>72</v>
      </c>
      <c r="F8" s="25" t="s">
        <v>318</v>
      </c>
    </row>
    <row r="9" spans="1:6" ht="60" customHeight="1" x14ac:dyDescent="0.5">
      <c r="A9" s="26">
        <v>4</v>
      </c>
      <c r="B9" s="26">
        <f t="shared" si="0"/>
        <v>14</v>
      </c>
      <c r="C9" s="26">
        <f t="shared" si="1"/>
        <v>7</v>
      </c>
      <c r="D9" s="26">
        <f>A9*Parametry!$C$8</f>
        <v>48</v>
      </c>
      <c r="E9" s="26">
        <f>ROUNDDOWN(Parametry!$C$9*Parametry!$C$10^(A9-1),0)</f>
        <v>79</v>
      </c>
      <c r="F9" s="26" t="s">
        <v>318</v>
      </c>
    </row>
    <row r="10" spans="1:6" ht="60" customHeight="1" x14ac:dyDescent="0.5">
      <c r="A10" s="25">
        <v>5</v>
      </c>
      <c r="B10" s="25">
        <f t="shared" si="0"/>
        <v>15</v>
      </c>
      <c r="C10" s="25">
        <f t="shared" si="1"/>
        <v>7.5</v>
      </c>
      <c r="D10" s="25">
        <f>A10*Parametry!$C$8</f>
        <v>60</v>
      </c>
      <c r="E10" s="25">
        <f>ROUNDDOWN(Parametry!$C$9*Parametry!$C$10^(A10-1),0)</f>
        <v>87</v>
      </c>
      <c r="F10" s="25" t="s">
        <v>318</v>
      </c>
    </row>
    <row r="11" spans="1:6" ht="60" customHeight="1" x14ac:dyDescent="0.5">
      <c r="A11" s="26">
        <v>6</v>
      </c>
      <c r="B11" s="26">
        <f t="shared" si="0"/>
        <v>16</v>
      </c>
      <c r="C11" s="26">
        <f t="shared" si="1"/>
        <v>8</v>
      </c>
      <c r="D11" s="26">
        <f>A11*Parametry!$C$8</f>
        <v>72</v>
      </c>
      <c r="E11" s="26">
        <f>ROUNDDOWN(Parametry!$C$9*Parametry!$C$10^(A11-1),0)</f>
        <v>96</v>
      </c>
      <c r="F11" s="26" t="s">
        <v>318</v>
      </c>
    </row>
    <row r="12" spans="1:6" ht="60" customHeight="1" x14ac:dyDescent="0.5">
      <c r="A12" s="25">
        <v>7</v>
      </c>
      <c r="B12" s="25">
        <f t="shared" si="0"/>
        <v>17</v>
      </c>
      <c r="C12" s="25">
        <f t="shared" si="1"/>
        <v>8.5</v>
      </c>
      <c r="D12" s="25">
        <f>A12*Parametry!$C$8</f>
        <v>84</v>
      </c>
      <c r="E12" s="25">
        <f>ROUNDDOWN(Parametry!$C$9*Parametry!$C$10^(A12-1),0)</f>
        <v>106</v>
      </c>
      <c r="F12" s="25" t="s">
        <v>318</v>
      </c>
    </row>
    <row r="13" spans="1:6" ht="60" customHeight="1" x14ac:dyDescent="0.5">
      <c r="A13" s="26">
        <v>8</v>
      </c>
      <c r="B13" s="26">
        <f t="shared" si="0"/>
        <v>18</v>
      </c>
      <c r="C13" s="26">
        <f t="shared" si="1"/>
        <v>9</v>
      </c>
      <c r="D13" s="26">
        <f>A13*Parametry!$C$8</f>
        <v>96</v>
      </c>
      <c r="E13" s="26">
        <f>ROUNDDOWN(Parametry!$C$9*Parametry!$C$10^(A13-1),0)</f>
        <v>116</v>
      </c>
      <c r="F13" s="26" t="s">
        <v>318</v>
      </c>
    </row>
    <row r="14" spans="1:6" ht="60" customHeight="1" x14ac:dyDescent="0.5">
      <c r="A14" s="25">
        <v>9</v>
      </c>
      <c r="B14" s="25">
        <f t="shared" si="0"/>
        <v>19</v>
      </c>
      <c r="C14" s="25">
        <f t="shared" si="1"/>
        <v>9.5</v>
      </c>
      <c r="D14" s="25">
        <f>A14*Parametry!$C$8</f>
        <v>108</v>
      </c>
      <c r="E14" s="25">
        <f>ROUNDDOWN(Parametry!$C$9*Parametry!$C$10^(A14-1),0)</f>
        <v>128</v>
      </c>
      <c r="F14" s="25" t="s">
        <v>318</v>
      </c>
    </row>
    <row r="15" spans="1:6" ht="60" customHeight="1" x14ac:dyDescent="0.5">
      <c r="A15" s="26">
        <v>10</v>
      </c>
      <c r="B15" s="26">
        <f t="shared" si="0"/>
        <v>20</v>
      </c>
      <c r="C15" s="26">
        <f t="shared" si="1"/>
        <v>10</v>
      </c>
      <c r="D15" s="26">
        <f>A15*Parametry!$C$8</f>
        <v>120</v>
      </c>
      <c r="E15" s="26">
        <f>ROUNDDOWN(Parametry!$C$9*Parametry!$C$10^(A15-1),0)</f>
        <v>141</v>
      </c>
      <c r="F15" s="26" t="s">
        <v>318</v>
      </c>
    </row>
  </sheetData>
  <autoFilter ref="A5:F15" xr:uid="{00000000-0009-0000-0000-000003000000}"/>
  <mergeCells count="2">
    <mergeCell ref="A1:F1"/>
    <mergeCell ref="A2:F3"/>
  </mergeCells>
  <pageMargins left="0.75" right="0.75" top="1" bottom="1" header="0.511811023622047" footer="0.5"/>
  <pageSetup paperSize="8" fitToHeight="0" orientation="landscape" horizontalDpi="300" verticalDpi="300"/>
  <headerFooter>
    <oddFooter>&amp;CHARBORLIGHT — projekt zasad, nie wdrożenie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135"/>
  <sheetViews>
    <sheetView showGridLines="0" zoomScale="75" zoomScaleNormal="75" workbookViewId="0">
      <pane xSplit="1" ySplit="5" topLeftCell="E27" activePane="bottomRight" state="frozen"/>
      <selection pane="topRight" activeCell="B1" sqref="B1"/>
      <selection pane="bottomLeft" activeCell="A6" sqref="A6"/>
      <selection pane="bottomRight" activeCell="F6" sqref="F6"/>
    </sheetView>
  </sheetViews>
  <sheetFormatPr defaultColWidth="8.6640625" defaultRowHeight="25.8" x14ac:dyDescent="0.5"/>
  <cols>
    <col min="1" max="1" width="13" style="22" customWidth="1"/>
    <col min="2" max="2" width="29" style="22" customWidth="1"/>
    <col min="3" max="3" width="53" style="22" customWidth="1"/>
    <col min="4" max="4" width="48" style="22" customWidth="1"/>
    <col min="5" max="6" width="115" style="22" customWidth="1"/>
    <col min="7" max="16384" width="8.6640625" style="22"/>
  </cols>
  <sheetData>
    <row r="1" spans="1:6" ht="33.75" customHeight="1" x14ac:dyDescent="0.5">
      <c r="A1" s="27" t="s">
        <v>319</v>
      </c>
      <c r="B1" s="27"/>
      <c r="C1" s="27"/>
      <c r="D1" s="27"/>
      <c r="E1" s="27"/>
      <c r="F1" s="27"/>
    </row>
    <row r="2" spans="1:6" ht="24.75" customHeight="1" x14ac:dyDescent="0.5">
      <c r="A2" s="23" t="s">
        <v>320</v>
      </c>
      <c r="B2" s="23"/>
      <c r="C2" s="23"/>
      <c r="D2" s="23"/>
      <c r="E2" s="23"/>
      <c r="F2" s="23"/>
    </row>
    <row r="3" spans="1:6" ht="24.75" customHeight="1" x14ac:dyDescent="0.5">
      <c r="A3" s="23"/>
      <c r="B3" s="23"/>
      <c r="C3" s="23"/>
      <c r="D3" s="23"/>
      <c r="E3" s="23"/>
      <c r="F3" s="23"/>
    </row>
    <row r="5" spans="1:6" ht="48" customHeight="1" x14ac:dyDescent="0.5">
      <c r="A5" s="24" t="s">
        <v>321</v>
      </c>
      <c r="B5" s="24" t="s">
        <v>2</v>
      </c>
      <c r="C5" s="24" t="s">
        <v>322</v>
      </c>
      <c r="D5" s="24" t="s">
        <v>160</v>
      </c>
      <c r="E5" s="24" t="s">
        <v>157</v>
      </c>
      <c r="F5" s="24" t="s">
        <v>323</v>
      </c>
    </row>
    <row r="6" spans="1:6" ht="99.75" customHeight="1" x14ac:dyDescent="0.5">
      <c r="A6" s="25" t="s">
        <v>324</v>
      </c>
      <c r="B6" s="25" t="s">
        <v>325</v>
      </c>
      <c r="C6" s="25" t="s">
        <v>326</v>
      </c>
      <c r="D6" s="25" t="s">
        <v>327</v>
      </c>
      <c r="E6" s="25" t="s">
        <v>328</v>
      </c>
      <c r="F6" s="25" t="s">
        <v>329</v>
      </c>
    </row>
    <row r="7" spans="1:6" ht="99.75" customHeight="1" x14ac:dyDescent="0.5">
      <c r="A7" s="26" t="s">
        <v>330</v>
      </c>
      <c r="B7" s="26" t="s">
        <v>325</v>
      </c>
      <c r="C7" s="26" t="s">
        <v>331</v>
      </c>
      <c r="D7" s="26" t="s">
        <v>332</v>
      </c>
      <c r="E7" s="26" t="s">
        <v>333</v>
      </c>
      <c r="F7" s="26" t="s">
        <v>334</v>
      </c>
    </row>
    <row r="8" spans="1:6" ht="99.75" customHeight="1" x14ac:dyDescent="0.5">
      <c r="A8" s="25" t="s">
        <v>335</v>
      </c>
      <c r="B8" s="25" t="s">
        <v>325</v>
      </c>
      <c r="C8" s="25" t="s">
        <v>326</v>
      </c>
      <c r="D8" s="25" t="s">
        <v>327</v>
      </c>
      <c r="E8" s="25" t="s">
        <v>336</v>
      </c>
      <c r="F8" s="25" t="s">
        <v>337</v>
      </c>
    </row>
    <row r="9" spans="1:6" ht="99.75" customHeight="1" x14ac:dyDescent="0.5">
      <c r="A9" s="26" t="s">
        <v>338</v>
      </c>
      <c r="B9" s="26" t="s">
        <v>339</v>
      </c>
      <c r="C9" s="26" t="s">
        <v>66</v>
      </c>
      <c r="D9" s="26" t="s">
        <v>327</v>
      </c>
      <c r="E9" s="26" t="s">
        <v>340</v>
      </c>
      <c r="F9" s="26" t="s">
        <v>341</v>
      </c>
    </row>
    <row r="10" spans="1:6" ht="99.75" customHeight="1" x14ac:dyDescent="0.5">
      <c r="A10" s="25" t="s">
        <v>342</v>
      </c>
      <c r="B10" s="25" t="s">
        <v>339</v>
      </c>
      <c r="C10" s="25" t="s">
        <v>326</v>
      </c>
      <c r="D10" s="25" t="s">
        <v>327</v>
      </c>
      <c r="E10" s="25" t="s">
        <v>343</v>
      </c>
      <c r="F10" s="25" t="s">
        <v>344</v>
      </c>
    </row>
    <row r="11" spans="1:6" ht="99.75" customHeight="1" x14ac:dyDescent="0.5">
      <c r="A11" s="26" t="s">
        <v>345</v>
      </c>
      <c r="B11" s="26" t="s">
        <v>346</v>
      </c>
      <c r="C11" s="26" t="s">
        <v>66</v>
      </c>
      <c r="D11" s="26" t="s">
        <v>327</v>
      </c>
      <c r="E11" s="26" t="s">
        <v>347</v>
      </c>
      <c r="F11" s="26" t="s">
        <v>348</v>
      </c>
    </row>
    <row r="12" spans="1:6" ht="99.75" customHeight="1" x14ac:dyDescent="0.5">
      <c r="A12" s="25" t="s">
        <v>349</v>
      </c>
      <c r="B12" s="25" t="s">
        <v>350</v>
      </c>
      <c r="C12" s="25" t="s">
        <v>77</v>
      </c>
      <c r="D12" s="25" t="s">
        <v>327</v>
      </c>
      <c r="E12" s="25" t="s">
        <v>351</v>
      </c>
      <c r="F12" s="25" t="s">
        <v>352</v>
      </c>
    </row>
    <row r="13" spans="1:6" ht="99.75" customHeight="1" x14ac:dyDescent="0.5">
      <c r="A13" s="26" t="s">
        <v>353</v>
      </c>
      <c r="B13" s="26" t="s">
        <v>350</v>
      </c>
      <c r="C13" s="26" t="s">
        <v>354</v>
      </c>
      <c r="D13" s="26" t="s">
        <v>327</v>
      </c>
      <c r="E13" s="26" t="s">
        <v>355</v>
      </c>
      <c r="F13" s="26" t="s">
        <v>356</v>
      </c>
    </row>
    <row r="14" spans="1:6" ht="99.75" customHeight="1" x14ac:dyDescent="0.5">
      <c r="A14" s="25" t="s">
        <v>357</v>
      </c>
      <c r="B14" s="25" t="s">
        <v>350</v>
      </c>
      <c r="C14" s="25" t="s">
        <v>354</v>
      </c>
      <c r="D14" s="25" t="s">
        <v>327</v>
      </c>
      <c r="E14" s="25" t="s">
        <v>358</v>
      </c>
      <c r="F14" s="25" t="s">
        <v>359</v>
      </c>
    </row>
    <row r="15" spans="1:6" ht="99.75" customHeight="1" x14ac:dyDescent="0.5">
      <c r="A15" s="26" t="s">
        <v>360</v>
      </c>
      <c r="B15" s="26" t="s">
        <v>361</v>
      </c>
      <c r="C15" s="26" t="s">
        <v>362</v>
      </c>
      <c r="D15" s="26" t="s">
        <v>363</v>
      </c>
      <c r="E15" s="26" t="s">
        <v>364</v>
      </c>
      <c r="F15" s="26" t="s">
        <v>365</v>
      </c>
    </row>
    <row r="16" spans="1:6" ht="99.75" customHeight="1" x14ac:dyDescent="0.5">
      <c r="A16" s="25" t="s">
        <v>366</v>
      </c>
      <c r="B16" s="25" t="s">
        <v>361</v>
      </c>
      <c r="C16" s="25" t="s">
        <v>362</v>
      </c>
      <c r="D16" s="25" t="s">
        <v>367</v>
      </c>
      <c r="E16" s="25" t="s">
        <v>368</v>
      </c>
      <c r="F16" s="25" t="s">
        <v>369</v>
      </c>
    </row>
    <row r="17" spans="1:6" ht="99.75" customHeight="1" x14ac:dyDescent="0.5">
      <c r="A17" s="26" t="s">
        <v>370</v>
      </c>
      <c r="B17" s="26" t="s">
        <v>371</v>
      </c>
      <c r="C17" s="26" t="s">
        <v>331</v>
      </c>
      <c r="D17" s="26" t="s">
        <v>327</v>
      </c>
      <c r="E17" s="26" t="s">
        <v>372</v>
      </c>
      <c r="F17" s="26" t="s">
        <v>373</v>
      </c>
    </row>
    <row r="18" spans="1:6" ht="99.75" customHeight="1" x14ac:dyDescent="0.5">
      <c r="A18" s="25" t="s">
        <v>374</v>
      </c>
      <c r="B18" s="25" t="s">
        <v>375</v>
      </c>
      <c r="C18" s="25" t="s">
        <v>331</v>
      </c>
      <c r="D18" s="25" t="s">
        <v>327</v>
      </c>
      <c r="E18" s="25" t="s">
        <v>376</v>
      </c>
      <c r="F18" s="25" t="s">
        <v>377</v>
      </c>
    </row>
    <row r="19" spans="1:6" ht="99.75" customHeight="1" x14ac:dyDescent="0.5">
      <c r="A19" s="26" t="s">
        <v>378</v>
      </c>
      <c r="B19" s="26" t="s">
        <v>379</v>
      </c>
      <c r="C19" s="26" t="s">
        <v>331</v>
      </c>
      <c r="D19" s="26" t="s">
        <v>363</v>
      </c>
      <c r="E19" s="26" t="s">
        <v>380</v>
      </c>
      <c r="F19" s="26" t="s">
        <v>381</v>
      </c>
    </row>
    <row r="20" spans="1:6" ht="99.75" customHeight="1" x14ac:dyDescent="0.5">
      <c r="A20" s="25" t="s">
        <v>382</v>
      </c>
      <c r="B20" s="25" t="s">
        <v>383</v>
      </c>
      <c r="C20" s="25" t="s">
        <v>331</v>
      </c>
      <c r="D20" s="25" t="s">
        <v>367</v>
      </c>
      <c r="E20" s="25" t="s">
        <v>384</v>
      </c>
      <c r="F20" s="25" t="s">
        <v>385</v>
      </c>
    </row>
    <row r="21" spans="1:6" ht="99.75" customHeight="1" x14ac:dyDescent="0.5">
      <c r="A21" s="26" t="s">
        <v>386</v>
      </c>
      <c r="B21" s="26" t="s">
        <v>387</v>
      </c>
      <c r="C21" s="26" t="s">
        <v>388</v>
      </c>
      <c r="D21" s="26" t="s">
        <v>389</v>
      </c>
      <c r="E21" s="26" t="s">
        <v>390</v>
      </c>
      <c r="F21" s="26" t="s">
        <v>391</v>
      </c>
    </row>
    <row r="22" spans="1:6" ht="99.75" customHeight="1" x14ac:dyDescent="0.5">
      <c r="A22" s="25" t="s">
        <v>392</v>
      </c>
      <c r="B22" s="25" t="s">
        <v>387</v>
      </c>
      <c r="C22" s="25" t="s">
        <v>393</v>
      </c>
      <c r="D22" s="25" t="s">
        <v>327</v>
      </c>
      <c r="E22" s="25" t="s">
        <v>394</v>
      </c>
      <c r="F22" s="25" t="s">
        <v>395</v>
      </c>
    </row>
    <row r="23" spans="1:6" ht="99.75" customHeight="1" x14ac:dyDescent="0.5">
      <c r="A23" s="26" t="s">
        <v>396</v>
      </c>
      <c r="B23" s="26" t="s">
        <v>397</v>
      </c>
      <c r="C23" s="26" t="s">
        <v>84</v>
      </c>
      <c r="D23" s="26" t="s">
        <v>327</v>
      </c>
      <c r="E23" s="26" t="s">
        <v>398</v>
      </c>
      <c r="F23" s="26" t="s">
        <v>399</v>
      </c>
    </row>
    <row r="24" spans="1:6" ht="99.75" customHeight="1" x14ac:dyDescent="0.5">
      <c r="A24" s="25" t="s">
        <v>400</v>
      </c>
      <c r="B24" s="25" t="s">
        <v>196</v>
      </c>
      <c r="C24" s="25" t="s">
        <v>93</v>
      </c>
      <c r="D24" s="25" t="s">
        <v>327</v>
      </c>
      <c r="E24" s="25" t="s">
        <v>401</v>
      </c>
      <c r="F24" s="25" t="s">
        <v>402</v>
      </c>
    </row>
    <row r="25" spans="1:6" ht="99.75" customHeight="1" x14ac:dyDescent="0.5">
      <c r="A25" s="26" t="s">
        <v>403</v>
      </c>
      <c r="B25" s="26" t="s">
        <v>196</v>
      </c>
      <c r="C25" s="26" t="s">
        <v>99</v>
      </c>
      <c r="D25" s="26" t="s">
        <v>327</v>
      </c>
      <c r="E25" s="26" t="s">
        <v>404</v>
      </c>
      <c r="F25" s="26" t="s">
        <v>402</v>
      </c>
    </row>
    <row r="26" spans="1:6" ht="99.75" customHeight="1" x14ac:dyDescent="0.5">
      <c r="A26" s="25" t="s">
        <v>405</v>
      </c>
      <c r="B26" s="25" t="s">
        <v>397</v>
      </c>
      <c r="C26" s="25" t="s">
        <v>406</v>
      </c>
      <c r="D26" s="25" t="s">
        <v>327</v>
      </c>
      <c r="E26" s="25" t="s">
        <v>407</v>
      </c>
      <c r="F26" s="25" t="s">
        <v>408</v>
      </c>
    </row>
    <row r="27" spans="1:6" ht="99.75" customHeight="1" x14ac:dyDescent="0.5">
      <c r="A27" s="26" t="s">
        <v>409</v>
      </c>
      <c r="B27" s="26" t="s">
        <v>410</v>
      </c>
      <c r="C27" s="26" t="s">
        <v>388</v>
      </c>
      <c r="D27" s="26" t="s">
        <v>327</v>
      </c>
      <c r="E27" s="26" t="s">
        <v>411</v>
      </c>
      <c r="F27" s="26" t="s">
        <v>412</v>
      </c>
    </row>
    <row r="28" spans="1:6" ht="99.75" customHeight="1" x14ac:dyDescent="0.5">
      <c r="A28" s="25" t="s">
        <v>413</v>
      </c>
      <c r="B28" s="25" t="s">
        <v>414</v>
      </c>
      <c r="C28" s="25" t="s">
        <v>415</v>
      </c>
      <c r="D28" s="25" t="s">
        <v>327</v>
      </c>
      <c r="E28" s="25" t="s">
        <v>416</v>
      </c>
      <c r="F28" s="25" t="s">
        <v>417</v>
      </c>
    </row>
    <row r="29" spans="1:6" ht="99.75" customHeight="1" x14ac:dyDescent="0.5">
      <c r="A29" s="26" t="s">
        <v>418</v>
      </c>
      <c r="B29" s="26" t="s">
        <v>414</v>
      </c>
      <c r="C29" s="26" t="s">
        <v>415</v>
      </c>
      <c r="D29" s="26" t="s">
        <v>327</v>
      </c>
      <c r="E29" s="26" t="s">
        <v>419</v>
      </c>
      <c r="F29" s="26" t="s">
        <v>420</v>
      </c>
    </row>
    <row r="30" spans="1:6" ht="99.75" customHeight="1" x14ac:dyDescent="0.5">
      <c r="A30" s="25" t="s">
        <v>421</v>
      </c>
      <c r="B30" s="25" t="s">
        <v>59</v>
      </c>
      <c r="C30" s="25" t="s">
        <v>422</v>
      </c>
      <c r="D30" s="25" t="s">
        <v>423</v>
      </c>
      <c r="E30" s="25" t="s">
        <v>424</v>
      </c>
      <c r="F30" s="25" t="s">
        <v>425</v>
      </c>
    </row>
    <row r="31" spans="1:6" ht="99.75" customHeight="1" x14ac:dyDescent="0.5">
      <c r="A31" s="26" t="s">
        <v>426</v>
      </c>
      <c r="B31" s="26" t="s">
        <v>105</v>
      </c>
      <c r="C31" s="26" t="s">
        <v>105</v>
      </c>
      <c r="D31" s="26" t="s">
        <v>327</v>
      </c>
      <c r="E31" s="26" t="s">
        <v>427</v>
      </c>
      <c r="F31" s="26" t="s">
        <v>428</v>
      </c>
    </row>
    <row r="32" spans="1:6" ht="99.75" customHeight="1" x14ac:dyDescent="0.5">
      <c r="A32" s="25" t="s">
        <v>429</v>
      </c>
      <c r="B32" s="25" t="s">
        <v>105</v>
      </c>
      <c r="C32" s="25" t="s">
        <v>105</v>
      </c>
      <c r="D32" s="25" t="s">
        <v>327</v>
      </c>
      <c r="E32" s="25" t="s">
        <v>430</v>
      </c>
      <c r="F32" s="25" t="s">
        <v>431</v>
      </c>
    </row>
    <row r="33" spans="1:6" ht="99.75" customHeight="1" x14ac:dyDescent="0.5">
      <c r="A33" s="26" t="s">
        <v>432</v>
      </c>
      <c r="B33" s="26" t="s">
        <v>23</v>
      </c>
      <c r="C33" s="26" t="s">
        <v>105</v>
      </c>
      <c r="D33" s="26" t="s">
        <v>363</v>
      </c>
      <c r="E33" s="26" t="s">
        <v>433</v>
      </c>
      <c r="F33" s="26" t="s">
        <v>434</v>
      </c>
    </row>
    <row r="34" spans="1:6" ht="99.75" customHeight="1" x14ac:dyDescent="0.5">
      <c r="A34" s="25" t="s">
        <v>435</v>
      </c>
      <c r="B34" s="25" t="s">
        <v>23</v>
      </c>
      <c r="C34" s="25" t="s">
        <v>105</v>
      </c>
      <c r="D34" s="25" t="s">
        <v>436</v>
      </c>
      <c r="E34" s="25" t="s">
        <v>437</v>
      </c>
      <c r="F34" s="25" t="s">
        <v>438</v>
      </c>
    </row>
    <row r="35" spans="1:6" ht="99.75" customHeight="1" x14ac:dyDescent="0.5">
      <c r="A35" s="26" t="s">
        <v>439</v>
      </c>
      <c r="B35" s="26" t="s">
        <v>23</v>
      </c>
      <c r="C35" s="26" t="s">
        <v>440</v>
      </c>
      <c r="D35" s="26" t="s">
        <v>363</v>
      </c>
      <c r="E35" s="26" t="s">
        <v>441</v>
      </c>
      <c r="F35" s="26" t="s">
        <v>442</v>
      </c>
    </row>
    <row r="36" spans="1:6" ht="99.75" customHeight="1" x14ac:dyDescent="0.5">
      <c r="A36" s="25" t="s">
        <v>443</v>
      </c>
      <c r="B36" s="25" t="s">
        <v>176</v>
      </c>
      <c r="C36" s="25" t="s">
        <v>444</v>
      </c>
      <c r="D36" s="25" t="s">
        <v>327</v>
      </c>
      <c r="E36" s="25" t="s">
        <v>445</v>
      </c>
      <c r="F36" s="25" t="s">
        <v>446</v>
      </c>
    </row>
    <row r="37" spans="1:6" ht="99.75" customHeight="1" x14ac:dyDescent="0.5">
      <c r="A37" s="26" t="s">
        <v>447</v>
      </c>
      <c r="B37" s="26" t="s">
        <v>448</v>
      </c>
      <c r="C37" s="26" t="s">
        <v>449</v>
      </c>
      <c r="D37" s="26" t="s">
        <v>363</v>
      </c>
      <c r="E37" s="26" t="s">
        <v>450</v>
      </c>
      <c r="F37" s="26" t="s">
        <v>451</v>
      </c>
    </row>
    <row r="38" spans="1:6" ht="99.75" customHeight="1" x14ac:dyDescent="0.5">
      <c r="A38" s="25" t="s">
        <v>452</v>
      </c>
      <c r="B38" s="25" t="s">
        <v>448</v>
      </c>
      <c r="C38" s="25" t="s">
        <v>453</v>
      </c>
      <c r="D38" s="25" t="s">
        <v>454</v>
      </c>
      <c r="E38" s="25" t="s">
        <v>455</v>
      </c>
      <c r="F38" s="25" t="s">
        <v>456</v>
      </c>
    </row>
    <row r="39" spans="1:6" ht="99.75" customHeight="1" x14ac:dyDescent="0.5">
      <c r="A39" s="26" t="s">
        <v>457</v>
      </c>
      <c r="B39" s="26" t="s">
        <v>458</v>
      </c>
      <c r="C39" s="26" t="s">
        <v>331</v>
      </c>
      <c r="D39" s="26" t="s">
        <v>327</v>
      </c>
      <c r="E39" s="26" t="s">
        <v>459</v>
      </c>
      <c r="F39" s="26" t="s">
        <v>460</v>
      </c>
    </row>
    <row r="40" spans="1:6" ht="99.75" customHeight="1" x14ac:dyDescent="0.5">
      <c r="A40" s="25" t="s">
        <v>461</v>
      </c>
      <c r="B40" s="25" t="s">
        <v>458</v>
      </c>
      <c r="C40" s="25" t="s">
        <v>331</v>
      </c>
      <c r="D40" s="25" t="s">
        <v>462</v>
      </c>
      <c r="E40" s="25" t="s">
        <v>463</v>
      </c>
      <c r="F40" s="25" t="s">
        <v>464</v>
      </c>
    </row>
    <row r="41" spans="1:6" ht="99.75" customHeight="1" x14ac:dyDescent="0.5">
      <c r="A41" s="26" t="s">
        <v>465</v>
      </c>
      <c r="B41" s="26" t="s">
        <v>458</v>
      </c>
      <c r="C41" s="26" t="s">
        <v>331</v>
      </c>
      <c r="D41" s="26" t="s">
        <v>327</v>
      </c>
      <c r="E41" s="26" t="s">
        <v>466</v>
      </c>
      <c r="F41" s="26" t="s">
        <v>467</v>
      </c>
    </row>
    <row r="42" spans="1:6" ht="99.75" customHeight="1" x14ac:dyDescent="0.5">
      <c r="A42" s="25" t="s">
        <v>468</v>
      </c>
      <c r="B42" s="25" t="s">
        <v>458</v>
      </c>
      <c r="C42" s="25" t="s">
        <v>331</v>
      </c>
      <c r="D42" s="25" t="s">
        <v>327</v>
      </c>
      <c r="E42" s="25" t="s">
        <v>469</v>
      </c>
      <c r="F42" s="25" t="s">
        <v>470</v>
      </c>
    </row>
    <row r="43" spans="1:6" ht="99.75" customHeight="1" x14ac:dyDescent="0.5">
      <c r="A43" s="26" t="s">
        <v>471</v>
      </c>
      <c r="B43" s="26" t="s">
        <v>458</v>
      </c>
      <c r="C43" s="26" t="s">
        <v>331</v>
      </c>
      <c r="D43" s="26" t="s">
        <v>327</v>
      </c>
      <c r="E43" s="26" t="s">
        <v>472</v>
      </c>
      <c r="F43" s="26" t="s">
        <v>473</v>
      </c>
    </row>
    <row r="44" spans="1:6" ht="99.75" customHeight="1" x14ac:dyDescent="0.5">
      <c r="A44" s="25" t="s">
        <v>474</v>
      </c>
      <c r="B44" s="25" t="s">
        <v>458</v>
      </c>
      <c r="C44" s="25" t="s">
        <v>331</v>
      </c>
      <c r="D44" s="25" t="s">
        <v>327</v>
      </c>
      <c r="E44" s="25" t="s">
        <v>475</v>
      </c>
      <c r="F44" s="25" t="s">
        <v>476</v>
      </c>
    </row>
    <row r="45" spans="1:6" ht="99.75" customHeight="1" x14ac:dyDescent="0.5">
      <c r="A45" s="26" t="s">
        <v>477</v>
      </c>
      <c r="B45" s="26" t="s">
        <v>235</v>
      </c>
      <c r="C45" s="26" t="s">
        <v>331</v>
      </c>
      <c r="D45" s="26" t="s">
        <v>327</v>
      </c>
      <c r="E45" s="26" t="s">
        <v>478</v>
      </c>
      <c r="F45" s="26" t="s">
        <v>479</v>
      </c>
    </row>
    <row r="46" spans="1:6" ht="99.75" customHeight="1" x14ac:dyDescent="0.5">
      <c r="A46" s="25" t="s">
        <v>480</v>
      </c>
      <c r="B46" s="25" t="s">
        <v>481</v>
      </c>
      <c r="C46" s="25" t="s">
        <v>482</v>
      </c>
      <c r="D46" s="25" t="s">
        <v>327</v>
      </c>
      <c r="E46" s="25" t="s">
        <v>483</v>
      </c>
      <c r="F46" s="25" t="s">
        <v>484</v>
      </c>
    </row>
    <row r="47" spans="1:6" ht="99.75" customHeight="1" x14ac:dyDescent="0.5">
      <c r="A47" s="26" t="s">
        <v>485</v>
      </c>
      <c r="B47" s="26" t="s">
        <v>486</v>
      </c>
      <c r="C47" s="26" t="s">
        <v>487</v>
      </c>
      <c r="D47" s="26" t="s">
        <v>488</v>
      </c>
      <c r="E47" s="26" t="s">
        <v>489</v>
      </c>
      <c r="F47" s="26" t="s">
        <v>490</v>
      </c>
    </row>
    <row r="48" spans="1:6" ht="99.75" customHeight="1" x14ac:dyDescent="0.5">
      <c r="A48" s="25" t="s">
        <v>491</v>
      </c>
      <c r="B48" s="25" t="s">
        <v>486</v>
      </c>
      <c r="C48" s="25" t="s">
        <v>492</v>
      </c>
      <c r="D48" s="25" t="s">
        <v>327</v>
      </c>
      <c r="E48" s="25" t="s">
        <v>493</v>
      </c>
      <c r="F48" s="25" t="s">
        <v>494</v>
      </c>
    </row>
    <row r="49" spans="1:6" ht="99.75" customHeight="1" x14ac:dyDescent="0.5">
      <c r="A49" s="26" t="s">
        <v>495</v>
      </c>
      <c r="B49" s="26" t="s">
        <v>496</v>
      </c>
      <c r="C49" s="26" t="s">
        <v>331</v>
      </c>
      <c r="D49" s="26" t="s">
        <v>327</v>
      </c>
      <c r="E49" s="26" t="s">
        <v>497</v>
      </c>
      <c r="F49" s="26" t="s">
        <v>498</v>
      </c>
    </row>
    <row r="50" spans="1:6" ht="99.75" customHeight="1" x14ac:dyDescent="0.5">
      <c r="A50" s="25" t="s">
        <v>499</v>
      </c>
      <c r="B50" s="25" t="s">
        <v>500</v>
      </c>
      <c r="C50" s="25" t="s">
        <v>487</v>
      </c>
      <c r="D50" s="25" t="s">
        <v>327</v>
      </c>
      <c r="E50" s="25" t="s">
        <v>501</v>
      </c>
      <c r="F50" s="25" t="s">
        <v>502</v>
      </c>
    </row>
    <row r="51" spans="1:6" ht="99.75" customHeight="1" x14ac:dyDescent="0.5">
      <c r="A51" s="26" t="s">
        <v>503</v>
      </c>
      <c r="B51" s="26" t="s">
        <v>500</v>
      </c>
      <c r="C51" s="26" t="s">
        <v>331</v>
      </c>
      <c r="D51" s="26" t="s">
        <v>327</v>
      </c>
      <c r="E51" s="26" t="s">
        <v>504</v>
      </c>
      <c r="F51" s="26" t="s">
        <v>505</v>
      </c>
    </row>
    <row r="52" spans="1:6" ht="99.75" customHeight="1" x14ac:dyDescent="0.5">
      <c r="A52" s="25" t="s">
        <v>506</v>
      </c>
      <c r="B52" s="25" t="s">
        <v>500</v>
      </c>
      <c r="C52" s="25" t="s">
        <v>331</v>
      </c>
      <c r="D52" s="25" t="s">
        <v>327</v>
      </c>
      <c r="E52" s="25" t="s">
        <v>507</v>
      </c>
      <c r="F52" s="25" t="s">
        <v>508</v>
      </c>
    </row>
    <row r="53" spans="1:6" ht="99.75" customHeight="1" x14ac:dyDescent="0.5">
      <c r="A53" s="26" t="s">
        <v>509</v>
      </c>
      <c r="B53" s="26" t="s">
        <v>500</v>
      </c>
      <c r="C53" s="26" t="s">
        <v>487</v>
      </c>
      <c r="D53" s="26" t="s">
        <v>327</v>
      </c>
      <c r="E53" s="26" t="s">
        <v>510</v>
      </c>
      <c r="F53" s="26" t="s">
        <v>511</v>
      </c>
    </row>
    <row r="54" spans="1:6" ht="99.75" customHeight="1" x14ac:dyDescent="0.5">
      <c r="A54" s="25" t="s">
        <v>512</v>
      </c>
      <c r="B54" s="25" t="s">
        <v>513</v>
      </c>
      <c r="C54" s="25" t="s">
        <v>326</v>
      </c>
      <c r="D54" s="25" t="s">
        <v>389</v>
      </c>
      <c r="E54" s="25" t="s">
        <v>514</v>
      </c>
      <c r="F54" s="25" t="s">
        <v>515</v>
      </c>
    </row>
    <row r="55" spans="1:6" ht="99.75" customHeight="1" x14ac:dyDescent="0.5">
      <c r="A55" s="26" t="s">
        <v>516</v>
      </c>
      <c r="B55" s="26" t="s">
        <v>112</v>
      </c>
      <c r="C55" s="26" t="s">
        <v>112</v>
      </c>
      <c r="D55" s="26" t="s">
        <v>327</v>
      </c>
      <c r="E55" s="26" t="s">
        <v>517</v>
      </c>
      <c r="F55" s="26" t="s">
        <v>518</v>
      </c>
    </row>
    <row r="56" spans="1:6" ht="99.75" customHeight="1" x14ac:dyDescent="0.5">
      <c r="A56" s="25" t="s">
        <v>519</v>
      </c>
      <c r="B56" s="25" t="s">
        <v>112</v>
      </c>
      <c r="C56" s="25" t="s">
        <v>112</v>
      </c>
      <c r="D56" s="25" t="s">
        <v>327</v>
      </c>
      <c r="E56" s="25" t="s">
        <v>520</v>
      </c>
      <c r="F56" s="25" t="s">
        <v>521</v>
      </c>
    </row>
    <row r="57" spans="1:6" ht="99.75" customHeight="1" x14ac:dyDescent="0.5">
      <c r="A57" s="26" t="s">
        <v>522</v>
      </c>
      <c r="B57" s="26" t="s">
        <v>112</v>
      </c>
      <c r="C57" s="26" t="s">
        <v>112</v>
      </c>
      <c r="D57" s="26" t="s">
        <v>327</v>
      </c>
      <c r="E57" s="26" t="s">
        <v>523</v>
      </c>
      <c r="F57" s="26" t="s">
        <v>524</v>
      </c>
    </row>
    <row r="58" spans="1:6" ht="99.75" customHeight="1" x14ac:dyDescent="0.5">
      <c r="A58" s="25" t="s">
        <v>525</v>
      </c>
      <c r="B58" s="25" t="s">
        <v>112</v>
      </c>
      <c r="C58" s="25" t="s">
        <v>112</v>
      </c>
      <c r="D58" s="25" t="s">
        <v>327</v>
      </c>
      <c r="E58" s="25" t="s">
        <v>526</v>
      </c>
      <c r="F58" s="25" t="s">
        <v>527</v>
      </c>
    </row>
    <row r="59" spans="1:6" ht="99.75" customHeight="1" x14ac:dyDescent="0.5">
      <c r="A59" s="26" t="s">
        <v>528</v>
      </c>
      <c r="B59" s="26" t="s">
        <v>112</v>
      </c>
      <c r="C59" s="26" t="s">
        <v>529</v>
      </c>
      <c r="D59" s="26" t="s">
        <v>363</v>
      </c>
      <c r="E59" s="26" t="s">
        <v>530</v>
      </c>
      <c r="F59" s="26" t="s">
        <v>531</v>
      </c>
    </row>
    <row r="60" spans="1:6" ht="99.75" customHeight="1" x14ac:dyDescent="0.5">
      <c r="A60" s="25" t="s">
        <v>532</v>
      </c>
      <c r="B60" s="25" t="s">
        <v>112</v>
      </c>
      <c r="C60" s="25" t="s">
        <v>529</v>
      </c>
      <c r="D60" s="25" t="s">
        <v>363</v>
      </c>
      <c r="E60" s="25" t="s">
        <v>533</v>
      </c>
      <c r="F60" s="25" t="s">
        <v>534</v>
      </c>
    </row>
    <row r="61" spans="1:6" ht="99.75" customHeight="1" x14ac:dyDescent="0.5">
      <c r="A61" s="26" t="s">
        <v>535</v>
      </c>
      <c r="B61" s="26" t="s">
        <v>123</v>
      </c>
      <c r="C61" s="26" t="s">
        <v>123</v>
      </c>
      <c r="D61" s="26" t="s">
        <v>327</v>
      </c>
      <c r="E61" s="26" t="s">
        <v>536</v>
      </c>
      <c r="F61" s="26" t="s">
        <v>537</v>
      </c>
    </row>
    <row r="62" spans="1:6" ht="99.75" customHeight="1" x14ac:dyDescent="0.5">
      <c r="A62" s="25" t="s">
        <v>538</v>
      </c>
      <c r="B62" s="25" t="s">
        <v>539</v>
      </c>
      <c r="C62" s="25" t="s">
        <v>540</v>
      </c>
      <c r="D62" s="25" t="s">
        <v>541</v>
      </c>
      <c r="E62" s="25" t="s">
        <v>542</v>
      </c>
      <c r="F62" s="25" t="s">
        <v>543</v>
      </c>
    </row>
    <row r="63" spans="1:6" ht="99.75" customHeight="1" x14ac:dyDescent="0.5">
      <c r="A63" s="26" t="s">
        <v>544</v>
      </c>
      <c r="B63" s="26" t="s">
        <v>539</v>
      </c>
      <c r="C63" s="26" t="s">
        <v>545</v>
      </c>
      <c r="D63" s="26" t="s">
        <v>546</v>
      </c>
      <c r="E63" s="26" t="s">
        <v>547</v>
      </c>
      <c r="F63" s="26" t="s">
        <v>548</v>
      </c>
    </row>
    <row r="64" spans="1:6" ht="99.75" customHeight="1" x14ac:dyDescent="0.5">
      <c r="A64" s="25" t="s">
        <v>549</v>
      </c>
      <c r="B64" s="25" t="s">
        <v>550</v>
      </c>
      <c r="C64" s="25" t="s">
        <v>545</v>
      </c>
      <c r="D64" s="25" t="s">
        <v>546</v>
      </c>
      <c r="E64" s="25" t="s">
        <v>551</v>
      </c>
      <c r="F64" s="25" t="s">
        <v>552</v>
      </c>
    </row>
    <row r="65" spans="1:6" ht="99.75" customHeight="1" x14ac:dyDescent="0.5">
      <c r="A65" s="26" t="s">
        <v>553</v>
      </c>
      <c r="B65" s="26" t="s">
        <v>554</v>
      </c>
      <c r="C65" s="26" t="s">
        <v>362</v>
      </c>
      <c r="D65" s="26" t="s">
        <v>555</v>
      </c>
      <c r="E65" s="26" t="s">
        <v>556</v>
      </c>
      <c r="F65" s="26" t="s">
        <v>557</v>
      </c>
    </row>
    <row r="66" spans="1:6" ht="99.75" customHeight="1" x14ac:dyDescent="0.5">
      <c r="A66" s="25" t="s">
        <v>558</v>
      </c>
      <c r="B66" s="25" t="s">
        <v>559</v>
      </c>
      <c r="C66" s="25" t="s">
        <v>388</v>
      </c>
      <c r="D66" s="25" t="s">
        <v>327</v>
      </c>
      <c r="E66" s="25" t="s">
        <v>560</v>
      </c>
      <c r="F66" s="25" t="s">
        <v>561</v>
      </c>
    </row>
    <row r="67" spans="1:6" ht="99.75" customHeight="1" x14ac:dyDescent="0.5">
      <c r="A67" s="26" t="s">
        <v>562</v>
      </c>
      <c r="B67" s="26" t="s">
        <v>559</v>
      </c>
      <c r="C67" s="26" t="s">
        <v>406</v>
      </c>
      <c r="D67" s="26" t="s">
        <v>327</v>
      </c>
      <c r="E67" s="26" t="s">
        <v>563</v>
      </c>
      <c r="F67" s="26" t="s">
        <v>564</v>
      </c>
    </row>
    <row r="68" spans="1:6" ht="99.75" customHeight="1" x14ac:dyDescent="0.5">
      <c r="A68" s="25" t="s">
        <v>565</v>
      </c>
      <c r="B68" s="25" t="s">
        <v>20</v>
      </c>
      <c r="C68" s="25" t="s">
        <v>566</v>
      </c>
      <c r="D68" s="25" t="s">
        <v>363</v>
      </c>
      <c r="E68" s="25" t="s">
        <v>567</v>
      </c>
      <c r="F68" s="25" t="s">
        <v>568</v>
      </c>
    </row>
    <row r="69" spans="1:6" ht="99.75" customHeight="1" x14ac:dyDescent="0.5">
      <c r="A69" s="26" t="s">
        <v>569</v>
      </c>
      <c r="B69" s="26" t="s">
        <v>20</v>
      </c>
      <c r="C69" s="26" t="s">
        <v>123</v>
      </c>
      <c r="D69" s="26" t="s">
        <v>570</v>
      </c>
      <c r="E69" s="26" t="s">
        <v>571</v>
      </c>
      <c r="F69" s="26" t="s">
        <v>572</v>
      </c>
    </row>
    <row r="70" spans="1:6" ht="99.75" customHeight="1" x14ac:dyDescent="0.5">
      <c r="A70" s="25" t="s">
        <v>573</v>
      </c>
      <c r="B70" s="25" t="s">
        <v>20</v>
      </c>
      <c r="C70" s="25" t="s">
        <v>132</v>
      </c>
      <c r="D70" s="25" t="s">
        <v>327</v>
      </c>
      <c r="E70" s="25" t="s">
        <v>574</v>
      </c>
      <c r="F70" s="25" t="s">
        <v>575</v>
      </c>
    </row>
    <row r="71" spans="1:6" ht="99.75" customHeight="1" x14ac:dyDescent="0.5">
      <c r="A71" s="26" t="s">
        <v>576</v>
      </c>
      <c r="B71" s="26" t="s">
        <v>577</v>
      </c>
      <c r="C71" s="26" t="s">
        <v>326</v>
      </c>
      <c r="D71" s="26" t="s">
        <v>327</v>
      </c>
      <c r="E71" s="26" t="s">
        <v>578</v>
      </c>
      <c r="F71" s="26" t="s">
        <v>579</v>
      </c>
    </row>
    <row r="72" spans="1:6" ht="99.75" customHeight="1" x14ac:dyDescent="0.5">
      <c r="A72" s="25" t="s">
        <v>580</v>
      </c>
      <c r="B72" s="25" t="s">
        <v>581</v>
      </c>
      <c r="C72" s="25" t="s">
        <v>326</v>
      </c>
      <c r="D72" s="25" t="s">
        <v>327</v>
      </c>
      <c r="E72" s="25" t="s">
        <v>582</v>
      </c>
      <c r="F72" s="25" t="s">
        <v>583</v>
      </c>
    </row>
    <row r="73" spans="1:6" ht="99.75" customHeight="1" x14ac:dyDescent="0.5">
      <c r="A73" s="26" t="s">
        <v>584</v>
      </c>
      <c r="B73" s="26" t="s">
        <v>585</v>
      </c>
      <c r="C73" s="26" t="s">
        <v>326</v>
      </c>
      <c r="D73" s="26" t="s">
        <v>332</v>
      </c>
      <c r="E73" s="26" t="s">
        <v>586</v>
      </c>
      <c r="F73" s="26" t="s">
        <v>587</v>
      </c>
    </row>
    <row r="74" spans="1:6" ht="99.75" customHeight="1" x14ac:dyDescent="0.5">
      <c r="A74" s="25" t="s">
        <v>588</v>
      </c>
      <c r="B74" s="25" t="s">
        <v>585</v>
      </c>
      <c r="C74" s="25" t="s">
        <v>589</v>
      </c>
      <c r="D74" s="25" t="s">
        <v>363</v>
      </c>
      <c r="E74" s="25" t="s">
        <v>590</v>
      </c>
      <c r="F74" s="25" t="s">
        <v>591</v>
      </c>
    </row>
    <row r="75" spans="1:6" ht="99.75" customHeight="1" x14ac:dyDescent="0.5">
      <c r="A75" s="26" t="s">
        <v>592</v>
      </c>
      <c r="B75" s="26" t="s">
        <v>585</v>
      </c>
      <c r="C75" s="26" t="s">
        <v>422</v>
      </c>
      <c r="D75" s="26" t="s">
        <v>327</v>
      </c>
      <c r="E75" s="26" t="s">
        <v>593</v>
      </c>
      <c r="F75" s="26" t="s">
        <v>594</v>
      </c>
    </row>
    <row r="76" spans="1:6" ht="99.75" customHeight="1" x14ac:dyDescent="0.5">
      <c r="A76" s="25" t="s">
        <v>595</v>
      </c>
      <c r="B76" s="25" t="s">
        <v>585</v>
      </c>
      <c r="C76" s="25" t="s">
        <v>123</v>
      </c>
      <c r="D76" s="25" t="s">
        <v>389</v>
      </c>
      <c r="E76" s="25" t="s">
        <v>596</v>
      </c>
      <c r="F76" s="25" t="s">
        <v>597</v>
      </c>
    </row>
    <row r="77" spans="1:6" ht="99.75" customHeight="1" x14ac:dyDescent="0.5">
      <c r="A77" s="26" t="s">
        <v>598</v>
      </c>
      <c r="B77" s="26" t="s">
        <v>585</v>
      </c>
      <c r="C77" s="26" t="s">
        <v>132</v>
      </c>
      <c r="D77" s="26" t="s">
        <v>389</v>
      </c>
      <c r="E77" s="26" t="s">
        <v>599</v>
      </c>
      <c r="F77" s="26" t="s">
        <v>600</v>
      </c>
    </row>
    <row r="78" spans="1:6" ht="99.75" customHeight="1" x14ac:dyDescent="0.5">
      <c r="A78" s="25" t="s">
        <v>601</v>
      </c>
      <c r="B78" s="25" t="s">
        <v>602</v>
      </c>
      <c r="C78" s="25" t="s">
        <v>326</v>
      </c>
      <c r="D78" s="25" t="s">
        <v>327</v>
      </c>
      <c r="E78" s="25" t="s">
        <v>603</v>
      </c>
      <c r="F78" s="25" t="s">
        <v>604</v>
      </c>
    </row>
    <row r="79" spans="1:6" ht="99.75" customHeight="1" x14ac:dyDescent="0.5">
      <c r="A79" s="26" t="s">
        <v>605</v>
      </c>
      <c r="B79" s="26" t="s">
        <v>11</v>
      </c>
      <c r="C79" s="26" t="s">
        <v>606</v>
      </c>
      <c r="D79" s="26" t="s">
        <v>327</v>
      </c>
      <c r="E79" s="26" t="s">
        <v>607</v>
      </c>
      <c r="F79" s="26" t="s">
        <v>608</v>
      </c>
    </row>
    <row r="80" spans="1:6" ht="99.75" customHeight="1" x14ac:dyDescent="0.5">
      <c r="A80" s="25" t="s">
        <v>609</v>
      </c>
      <c r="B80" s="25" t="s">
        <v>11</v>
      </c>
      <c r="C80" s="25" t="s">
        <v>326</v>
      </c>
      <c r="D80" s="25" t="s">
        <v>327</v>
      </c>
      <c r="E80" s="25" t="s">
        <v>610</v>
      </c>
      <c r="F80" s="25" t="s">
        <v>611</v>
      </c>
    </row>
    <row r="81" spans="1:6" ht="99.75" customHeight="1" x14ac:dyDescent="0.5">
      <c r="A81" s="26" t="s">
        <v>612</v>
      </c>
      <c r="B81" s="26" t="s">
        <v>613</v>
      </c>
      <c r="C81" s="26" t="s">
        <v>326</v>
      </c>
      <c r="D81" s="26" t="s">
        <v>614</v>
      </c>
      <c r="E81" s="26" t="s">
        <v>615</v>
      </c>
      <c r="F81" s="26" t="s">
        <v>616</v>
      </c>
    </row>
    <row r="82" spans="1:6" ht="99.75" customHeight="1" x14ac:dyDescent="0.5">
      <c r="A82" s="25" t="s">
        <v>617</v>
      </c>
      <c r="B82" s="25" t="s">
        <v>613</v>
      </c>
      <c r="C82" s="25" t="s">
        <v>326</v>
      </c>
      <c r="D82" s="25" t="s">
        <v>618</v>
      </c>
      <c r="E82" s="25" t="s">
        <v>619</v>
      </c>
      <c r="F82" s="25" t="s">
        <v>620</v>
      </c>
    </row>
    <row r="83" spans="1:6" ht="99.75" customHeight="1" x14ac:dyDescent="0.5">
      <c r="A83" s="26" t="s">
        <v>621</v>
      </c>
      <c r="B83" s="26" t="s">
        <v>613</v>
      </c>
      <c r="C83" s="26" t="s">
        <v>326</v>
      </c>
      <c r="D83" s="26" t="s">
        <v>622</v>
      </c>
      <c r="E83" s="26" t="s">
        <v>623</v>
      </c>
      <c r="F83" s="26" t="s">
        <v>624</v>
      </c>
    </row>
    <row r="84" spans="1:6" ht="99.75" customHeight="1" x14ac:dyDescent="0.5">
      <c r="A84" s="25" t="s">
        <v>625</v>
      </c>
      <c r="B84" s="25" t="s">
        <v>132</v>
      </c>
      <c r="C84" s="25" t="s">
        <v>626</v>
      </c>
      <c r="D84" s="25" t="s">
        <v>363</v>
      </c>
      <c r="E84" s="25" t="s">
        <v>627</v>
      </c>
      <c r="F84" s="25" t="s">
        <v>628</v>
      </c>
    </row>
    <row r="85" spans="1:6" ht="99.75" customHeight="1" x14ac:dyDescent="0.5">
      <c r="A85" s="26" t="s">
        <v>629</v>
      </c>
      <c r="B85" s="26" t="s">
        <v>132</v>
      </c>
      <c r="C85" s="26" t="s">
        <v>132</v>
      </c>
      <c r="D85" s="26" t="s">
        <v>327</v>
      </c>
      <c r="E85" s="26" t="s">
        <v>630</v>
      </c>
      <c r="F85" s="26" t="s">
        <v>631</v>
      </c>
    </row>
    <row r="86" spans="1:6" ht="99.75" customHeight="1" x14ac:dyDescent="0.5">
      <c r="A86" s="25" t="s">
        <v>632</v>
      </c>
      <c r="B86" s="25" t="s">
        <v>117</v>
      </c>
      <c r="C86" s="25" t="s">
        <v>117</v>
      </c>
      <c r="D86" s="25" t="s">
        <v>309</v>
      </c>
      <c r="E86" s="25" t="s">
        <v>633</v>
      </c>
      <c r="F86" s="25" t="s">
        <v>634</v>
      </c>
    </row>
    <row r="87" spans="1:6" ht="99.75" customHeight="1" x14ac:dyDescent="0.5">
      <c r="A87" s="26" t="s">
        <v>635</v>
      </c>
      <c r="B87" s="26" t="s">
        <v>117</v>
      </c>
      <c r="C87" s="26" t="s">
        <v>117</v>
      </c>
      <c r="D87" s="26" t="s">
        <v>636</v>
      </c>
      <c r="E87" s="26" t="s">
        <v>637</v>
      </c>
      <c r="F87" s="26" t="s">
        <v>638</v>
      </c>
    </row>
    <row r="88" spans="1:6" ht="99.75" customHeight="1" x14ac:dyDescent="0.5">
      <c r="A88" s="25" t="s">
        <v>639</v>
      </c>
      <c r="B88" s="25" t="s">
        <v>117</v>
      </c>
      <c r="C88" s="25" t="s">
        <v>117</v>
      </c>
      <c r="D88" s="25" t="s">
        <v>640</v>
      </c>
      <c r="E88" s="25" t="s">
        <v>641</v>
      </c>
      <c r="F88" s="25" t="s">
        <v>642</v>
      </c>
    </row>
    <row r="89" spans="1:6" ht="99.75" customHeight="1" x14ac:dyDescent="0.5">
      <c r="A89" s="26" t="s">
        <v>643</v>
      </c>
      <c r="B89" s="26" t="s">
        <v>117</v>
      </c>
      <c r="C89" s="26" t="s">
        <v>117</v>
      </c>
      <c r="D89" s="26" t="s">
        <v>363</v>
      </c>
      <c r="E89" s="26" t="s">
        <v>644</v>
      </c>
      <c r="F89" s="26" t="s">
        <v>645</v>
      </c>
    </row>
    <row r="90" spans="1:6" ht="99.75" customHeight="1" x14ac:dyDescent="0.5">
      <c r="A90" s="25" t="s">
        <v>646</v>
      </c>
      <c r="B90" s="25" t="s">
        <v>117</v>
      </c>
      <c r="C90" s="25" t="s">
        <v>117</v>
      </c>
      <c r="D90" s="25" t="s">
        <v>309</v>
      </c>
      <c r="E90" s="25" t="s">
        <v>647</v>
      </c>
      <c r="F90" s="25" t="s">
        <v>648</v>
      </c>
    </row>
    <row r="91" spans="1:6" ht="99.75" customHeight="1" x14ac:dyDescent="0.5">
      <c r="A91" s="26" t="s">
        <v>649</v>
      </c>
      <c r="B91" s="26" t="s">
        <v>117</v>
      </c>
      <c r="C91" s="26" t="s">
        <v>117</v>
      </c>
      <c r="D91" s="26" t="s">
        <v>367</v>
      </c>
      <c r="E91" s="26" t="s">
        <v>650</v>
      </c>
      <c r="F91" s="26" t="s">
        <v>651</v>
      </c>
    </row>
    <row r="92" spans="1:6" ht="99.75" customHeight="1" x14ac:dyDescent="0.5">
      <c r="A92" s="25" t="s">
        <v>652</v>
      </c>
      <c r="B92" s="25" t="s">
        <v>117</v>
      </c>
      <c r="C92" s="25" t="s">
        <v>117</v>
      </c>
      <c r="D92" s="25" t="s">
        <v>653</v>
      </c>
      <c r="E92" s="25" t="s">
        <v>654</v>
      </c>
      <c r="F92" s="25" t="s">
        <v>655</v>
      </c>
    </row>
    <row r="93" spans="1:6" ht="99.75" customHeight="1" x14ac:dyDescent="0.5">
      <c r="A93" s="26" t="s">
        <v>656</v>
      </c>
      <c r="B93" s="26" t="s">
        <v>657</v>
      </c>
      <c r="C93" s="26" t="s">
        <v>326</v>
      </c>
      <c r="D93" s="26" t="s">
        <v>658</v>
      </c>
      <c r="E93" s="26" t="s">
        <v>659</v>
      </c>
      <c r="F93" s="26" t="s">
        <v>660</v>
      </c>
    </row>
    <row r="94" spans="1:6" ht="99.75" customHeight="1" x14ac:dyDescent="0.5">
      <c r="A94" s="25" t="s">
        <v>661</v>
      </c>
      <c r="B94" s="25" t="s">
        <v>657</v>
      </c>
      <c r="C94" s="25" t="s">
        <v>354</v>
      </c>
      <c r="D94" s="25" t="s">
        <v>309</v>
      </c>
      <c r="E94" s="25" t="s">
        <v>662</v>
      </c>
      <c r="F94" s="25" t="s">
        <v>663</v>
      </c>
    </row>
    <row r="95" spans="1:6" ht="99.75" customHeight="1" x14ac:dyDescent="0.5">
      <c r="A95" s="26" t="s">
        <v>664</v>
      </c>
      <c r="B95" s="26" t="s">
        <v>665</v>
      </c>
      <c r="C95" s="26" t="s">
        <v>666</v>
      </c>
      <c r="D95" s="26" t="s">
        <v>667</v>
      </c>
      <c r="E95" s="26" t="s">
        <v>668</v>
      </c>
      <c r="F95" s="26" t="s">
        <v>669</v>
      </c>
    </row>
    <row r="96" spans="1:6" ht="99.75" customHeight="1" x14ac:dyDescent="0.5">
      <c r="A96" s="25" t="s">
        <v>670</v>
      </c>
      <c r="B96" s="25" t="s">
        <v>671</v>
      </c>
      <c r="C96" s="25" t="s">
        <v>388</v>
      </c>
      <c r="D96" s="25" t="s">
        <v>672</v>
      </c>
      <c r="E96" s="25" t="s">
        <v>673</v>
      </c>
      <c r="F96" s="25" t="s">
        <v>674</v>
      </c>
    </row>
    <row r="97" spans="1:6" ht="99.75" customHeight="1" x14ac:dyDescent="0.5">
      <c r="A97" s="26" t="s">
        <v>675</v>
      </c>
      <c r="B97" s="26" t="s">
        <v>671</v>
      </c>
      <c r="C97" s="26" t="s">
        <v>326</v>
      </c>
      <c r="D97" s="26" t="s">
        <v>676</v>
      </c>
      <c r="E97" s="26" t="s">
        <v>677</v>
      </c>
      <c r="F97" s="26" t="s">
        <v>678</v>
      </c>
    </row>
    <row r="98" spans="1:6" ht="114.75" customHeight="1" x14ac:dyDescent="0.5">
      <c r="A98" s="25" t="s">
        <v>679</v>
      </c>
      <c r="B98" s="25" t="s">
        <v>680</v>
      </c>
      <c r="C98" s="25" t="s">
        <v>326</v>
      </c>
      <c r="D98" s="25" t="s">
        <v>681</v>
      </c>
      <c r="E98" s="25" t="s">
        <v>682</v>
      </c>
      <c r="F98" s="25" t="s">
        <v>683</v>
      </c>
    </row>
    <row r="99" spans="1:6" ht="114.75" customHeight="1" x14ac:dyDescent="0.5">
      <c r="A99" s="26" t="s">
        <v>684</v>
      </c>
      <c r="B99" s="26" t="s">
        <v>685</v>
      </c>
      <c r="C99" s="26" t="s">
        <v>686</v>
      </c>
      <c r="D99" s="26" t="s">
        <v>175</v>
      </c>
      <c r="E99" s="26" t="s">
        <v>687</v>
      </c>
      <c r="F99" s="26" t="s">
        <v>688</v>
      </c>
    </row>
    <row r="100" spans="1:6" ht="114.75" customHeight="1" x14ac:dyDescent="0.5">
      <c r="A100" s="25" t="s">
        <v>689</v>
      </c>
      <c r="B100" s="25" t="s">
        <v>77</v>
      </c>
      <c r="C100" s="25" t="s">
        <v>354</v>
      </c>
      <c r="D100" s="25" t="s">
        <v>309</v>
      </c>
      <c r="E100" s="25" t="s">
        <v>690</v>
      </c>
      <c r="F100" s="25" t="s">
        <v>691</v>
      </c>
    </row>
    <row r="101" spans="1:6" ht="114.75" customHeight="1" x14ac:dyDescent="0.5">
      <c r="A101" s="26" t="s">
        <v>692</v>
      </c>
      <c r="B101" s="26" t="s">
        <v>387</v>
      </c>
      <c r="C101" s="26" t="s">
        <v>388</v>
      </c>
      <c r="D101" s="26" t="s">
        <v>190</v>
      </c>
      <c r="E101" s="26" t="s">
        <v>693</v>
      </c>
      <c r="F101" s="26" t="s">
        <v>694</v>
      </c>
    </row>
    <row r="102" spans="1:6" ht="114.75" customHeight="1" x14ac:dyDescent="0.5">
      <c r="A102" s="25" t="s">
        <v>695</v>
      </c>
      <c r="B102" s="25" t="s">
        <v>696</v>
      </c>
      <c r="C102" s="25" t="s">
        <v>697</v>
      </c>
      <c r="D102" s="25" t="s">
        <v>698</v>
      </c>
      <c r="E102" s="25" t="s">
        <v>699</v>
      </c>
      <c r="F102" s="25" t="s">
        <v>700</v>
      </c>
    </row>
    <row r="103" spans="1:6" ht="114.75" customHeight="1" x14ac:dyDescent="0.5">
      <c r="A103" s="26" t="s">
        <v>701</v>
      </c>
      <c r="B103" s="26" t="s">
        <v>702</v>
      </c>
      <c r="C103" s="26" t="s">
        <v>331</v>
      </c>
      <c r="D103" s="26" t="s">
        <v>309</v>
      </c>
      <c r="E103" s="26" t="s">
        <v>703</v>
      </c>
      <c r="F103" s="26" t="s">
        <v>704</v>
      </c>
    </row>
    <row r="104" spans="1:6" ht="114.75" customHeight="1" x14ac:dyDescent="0.5">
      <c r="A104" s="25" t="s">
        <v>705</v>
      </c>
      <c r="B104" s="25" t="s">
        <v>23</v>
      </c>
      <c r="C104" s="25" t="s">
        <v>706</v>
      </c>
      <c r="D104" s="25" t="s">
        <v>190</v>
      </c>
      <c r="E104" s="25" t="s">
        <v>707</v>
      </c>
      <c r="F104" s="25" t="s">
        <v>708</v>
      </c>
    </row>
    <row r="105" spans="1:6" ht="114.75" customHeight="1" x14ac:dyDescent="0.5">
      <c r="A105" s="26" t="s">
        <v>709</v>
      </c>
      <c r="B105" s="26" t="s">
        <v>710</v>
      </c>
      <c r="C105" s="26" t="s">
        <v>706</v>
      </c>
      <c r="D105" s="26" t="s">
        <v>711</v>
      </c>
      <c r="E105" s="26" t="s">
        <v>712</v>
      </c>
      <c r="F105" s="26" t="s">
        <v>713</v>
      </c>
    </row>
    <row r="106" spans="1:6" ht="114.75" customHeight="1" x14ac:dyDescent="0.5">
      <c r="A106" s="25" t="s">
        <v>714</v>
      </c>
      <c r="B106" s="25" t="s">
        <v>715</v>
      </c>
      <c r="C106" s="25" t="s">
        <v>105</v>
      </c>
      <c r="D106" s="25" t="s">
        <v>309</v>
      </c>
      <c r="E106" s="25" t="s">
        <v>716</v>
      </c>
      <c r="F106" s="25" t="s">
        <v>717</v>
      </c>
    </row>
    <row r="107" spans="1:6" ht="114.75" customHeight="1" x14ac:dyDescent="0.5">
      <c r="A107" s="26" t="s">
        <v>718</v>
      </c>
      <c r="B107" s="26" t="s">
        <v>719</v>
      </c>
      <c r="C107" s="26" t="s">
        <v>105</v>
      </c>
      <c r="D107" s="26" t="s">
        <v>720</v>
      </c>
      <c r="E107" s="26" t="s">
        <v>721</v>
      </c>
      <c r="F107" s="26" t="s">
        <v>722</v>
      </c>
    </row>
    <row r="108" spans="1:6" ht="114.75" customHeight="1" x14ac:dyDescent="0.5">
      <c r="A108" s="25" t="s">
        <v>723</v>
      </c>
      <c r="B108" s="25" t="s">
        <v>448</v>
      </c>
      <c r="C108" s="25" t="s">
        <v>724</v>
      </c>
      <c r="D108" s="25" t="s">
        <v>725</v>
      </c>
      <c r="E108" s="25" t="s">
        <v>726</v>
      </c>
      <c r="F108" s="25" t="s">
        <v>727</v>
      </c>
    </row>
    <row r="109" spans="1:6" ht="114.75" customHeight="1" x14ac:dyDescent="0.5">
      <c r="A109" s="26" t="s">
        <v>728</v>
      </c>
      <c r="B109" s="26" t="s">
        <v>729</v>
      </c>
      <c r="C109" s="26" t="s">
        <v>105</v>
      </c>
      <c r="D109" s="26" t="s">
        <v>725</v>
      </c>
      <c r="E109" s="26" t="s">
        <v>730</v>
      </c>
      <c r="F109" s="26" t="s">
        <v>731</v>
      </c>
    </row>
    <row r="110" spans="1:6" ht="114.75" customHeight="1" x14ac:dyDescent="0.5">
      <c r="A110" s="25" t="s">
        <v>732</v>
      </c>
      <c r="B110" s="25" t="s">
        <v>729</v>
      </c>
      <c r="C110" s="25" t="s">
        <v>112</v>
      </c>
      <c r="D110" s="25" t="s">
        <v>725</v>
      </c>
      <c r="E110" s="25" t="s">
        <v>733</v>
      </c>
      <c r="F110" s="25" t="s">
        <v>734</v>
      </c>
    </row>
    <row r="111" spans="1:6" ht="114.75" customHeight="1" x14ac:dyDescent="0.5">
      <c r="A111" s="26" t="s">
        <v>735</v>
      </c>
      <c r="B111" s="26" t="s">
        <v>729</v>
      </c>
      <c r="C111" s="26" t="s">
        <v>117</v>
      </c>
      <c r="D111" s="26" t="s">
        <v>725</v>
      </c>
      <c r="E111" s="26" t="s">
        <v>736</v>
      </c>
      <c r="F111" s="26" t="s">
        <v>737</v>
      </c>
    </row>
    <row r="112" spans="1:6" ht="114.75" customHeight="1" x14ac:dyDescent="0.5">
      <c r="A112" s="25" t="s">
        <v>738</v>
      </c>
      <c r="B112" s="25" t="s">
        <v>11</v>
      </c>
      <c r="C112" s="25" t="s">
        <v>606</v>
      </c>
      <c r="D112" s="25" t="s">
        <v>309</v>
      </c>
      <c r="E112" s="25" t="s">
        <v>739</v>
      </c>
      <c r="F112" s="25" t="s">
        <v>740</v>
      </c>
    </row>
    <row r="113" spans="1:6" ht="114.75" customHeight="1" x14ac:dyDescent="0.5">
      <c r="A113" s="26" t="s">
        <v>741</v>
      </c>
      <c r="B113" s="26" t="s">
        <v>742</v>
      </c>
      <c r="C113" s="26" t="s">
        <v>66</v>
      </c>
      <c r="D113" s="26" t="s">
        <v>743</v>
      </c>
      <c r="E113" s="26" t="s">
        <v>744</v>
      </c>
      <c r="F113" s="26" t="s">
        <v>745</v>
      </c>
    </row>
    <row r="114" spans="1:6" ht="114.75" customHeight="1" x14ac:dyDescent="0.5">
      <c r="A114" s="25" t="s">
        <v>746</v>
      </c>
      <c r="B114" s="25" t="s">
        <v>747</v>
      </c>
      <c r="C114" s="25" t="s">
        <v>326</v>
      </c>
      <c r="D114" s="25" t="s">
        <v>309</v>
      </c>
      <c r="E114" s="25" t="s">
        <v>748</v>
      </c>
      <c r="F114" s="25" t="s">
        <v>749</v>
      </c>
    </row>
    <row r="115" spans="1:6" ht="114.75" customHeight="1" x14ac:dyDescent="0.5">
      <c r="A115" s="26" t="s">
        <v>750</v>
      </c>
      <c r="B115" s="26" t="s">
        <v>513</v>
      </c>
      <c r="C115" s="26" t="s">
        <v>589</v>
      </c>
      <c r="D115" s="26" t="s">
        <v>725</v>
      </c>
      <c r="E115" s="26" t="s">
        <v>751</v>
      </c>
      <c r="F115" s="26" t="s">
        <v>752</v>
      </c>
    </row>
    <row r="116" spans="1:6" ht="114.75" customHeight="1" x14ac:dyDescent="0.5">
      <c r="A116" s="25" t="s">
        <v>753</v>
      </c>
      <c r="B116" s="25" t="s">
        <v>513</v>
      </c>
      <c r="C116" s="25" t="s">
        <v>123</v>
      </c>
      <c r="D116" s="25" t="s">
        <v>190</v>
      </c>
      <c r="E116" s="25" t="s">
        <v>754</v>
      </c>
      <c r="F116" s="25" t="s">
        <v>755</v>
      </c>
    </row>
    <row r="117" spans="1:6" ht="114.75" customHeight="1" x14ac:dyDescent="0.5">
      <c r="A117" s="26" t="s">
        <v>756</v>
      </c>
      <c r="B117" s="26" t="s">
        <v>513</v>
      </c>
      <c r="C117" s="26" t="s">
        <v>132</v>
      </c>
      <c r="D117" s="26" t="s">
        <v>190</v>
      </c>
      <c r="E117" s="26" t="s">
        <v>757</v>
      </c>
      <c r="F117" s="26" t="s">
        <v>758</v>
      </c>
    </row>
    <row r="118" spans="1:6" ht="114.75" customHeight="1" x14ac:dyDescent="0.5">
      <c r="A118" s="25" t="s">
        <v>759</v>
      </c>
      <c r="B118" s="25" t="s">
        <v>301</v>
      </c>
      <c r="C118" s="25" t="s">
        <v>326</v>
      </c>
      <c r="D118" s="25" t="s">
        <v>190</v>
      </c>
      <c r="E118" s="25" t="s">
        <v>760</v>
      </c>
      <c r="F118" s="25" t="s">
        <v>761</v>
      </c>
    </row>
    <row r="119" spans="1:6" ht="114.75" customHeight="1" x14ac:dyDescent="0.5">
      <c r="A119" s="26" t="s">
        <v>762</v>
      </c>
      <c r="B119" s="26" t="s">
        <v>763</v>
      </c>
      <c r="C119" s="26" t="s">
        <v>326</v>
      </c>
      <c r="D119" s="26" t="s">
        <v>764</v>
      </c>
      <c r="E119" s="26" t="s">
        <v>765</v>
      </c>
      <c r="F119" s="26" t="s">
        <v>766</v>
      </c>
    </row>
    <row r="120" spans="1:6" ht="114.75" customHeight="1" x14ac:dyDescent="0.5">
      <c r="A120" s="25" t="s">
        <v>767</v>
      </c>
      <c r="B120" s="25" t="s">
        <v>112</v>
      </c>
      <c r="C120" s="25" t="s">
        <v>529</v>
      </c>
      <c r="D120" s="25" t="s">
        <v>725</v>
      </c>
      <c r="E120" s="25" t="s">
        <v>768</v>
      </c>
      <c r="F120" s="25" t="s">
        <v>769</v>
      </c>
    </row>
    <row r="121" spans="1:6" ht="114.75" customHeight="1" x14ac:dyDescent="0.5">
      <c r="A121" s="26" t="s">
        <v>770</v>
      </c>
      <c r="B121" s="26" t="s">
        <v>771</v>
      </c>
      <c r="C121" s="26" t="s">
        <v>112</v>
      </c>
      <c r="D121" s="26" t="s">
        <v>309</v>
      </c>
      <c r="E121" s="26" t="s">
        <v>772</v>
      </c>
      <c r="F121" s="26" t="s">
        <v>773</v>
      </c>
    </row>
    <row r="122" spans="1:6" ht="114.75" customHeight="1" x14ac:dyDescent="0.5">
      <c r="A122" s="25" t="s">
        <v>774</v>
      </c>
      <c r="B122" s="25" t="s">
        <v>775</v>
      </c>
      <c r="C122" s="25" t="s">
        <v>112</v>
      </c>
      <c r="D122" s="25" t="s">
        <v>776</v>
      </c>
      <c r="E122" s="25" t="s">
        <v>777</v>
      </c>
      <c r="F122" s="25" t="s">
        <v>778</v>
      </c>
    </row>
    <row r="123" spans="1:6" ht="114.75" customHeight="1" x14ac:dyDescent="0.5">
      <c r="A123" s="26" t="s">
        <v>779</v>
      </c>
      <c r="B123" s="26" t="s">
        <v>780</v>
      </c>
      <c r="C123" s="26" t="s">
        <v>117</v>
      </c>
      <c r="D123" s="26" t="s">
        <v>781</v>
      </c>
      <c r="E123" s="26" t="s">
        <v>782</v>
      </c>
      <c r="F123" s="26" t="s">
        <v>783</v>
      </c>
    </row>
    <row r="124" spans="1:6" ht="114.75" customHeight="1" x14ac:dyDescent="0.5">
      <c r="A124" s="25" t="s">
        <v>784</v>
      </c>
      <c r="B124" s="25" t="s">
        <v>785</v>
      </c>
      <c r="C124" s="25" t="s">
        <v>117</v>
      </c>
      <c r="D124" s="25" t="s">
        <v>309</v>
      </c>
      <c r="E124" s="25" t="s">
        <v>786</v>
      </c>
      <c r="F124" s="25" t="s">
        <v>787</v>
      </c>
    </row>
    <row r="125" spans="1:6" ht="114.75" customHeight="1" x14ac:dyDescent="0.5">
      <c r="A125" s="26" t="s">
        <v>788</v>
      </c>
      <c r="B125" s="26" t="s">
        <v>789</v>
      </c>
      <c r="C125" s="26" t="s">
        <v>117</v>
      </c>
      <c r="D125" s="26" t="s">
        <v>790</v>
      </c>
      <c r="E125" s="26" t="s">
        <v>791</v>
      </c>
      <c r="F125" s="26" t="s">
        <v>792</v>
      </c>
    </row>
    <row r="126" spans="1:6" ht="114.75" customHeight="1" x14ac:dyDescent="0.5">
      <c r="A126" s="25" t="s">
        <v>793</v>
      </c>
      <c r="B126" s="25" t="s">
        <v>794</v>
      </c>
      <c r="C126" s="25" t="s">
        <v>117</v>
      </c>
      <c r="D126" s="25" t="s">
        <v>795</v>
      </c>
      <c r="E126" s="25" t="s">
        <v>796</v>
      </c>
      <c r="F126" s="25" t="s">
        <v>797</v>
      </c>
    </row>
    <row r="127" spans="1:6" ht="114.75" customHeight="1" x14ac:dyDescent="0.5">
      <c r="A127" s="26" t="s">
        <v>798</v>
      </c>
      <c r="B127" s="26" t="s">
        <v>799</v>
      </c>
      <c r="C127" s="26" t="s">
        <v>117</v>
      </c>
      <c r="D127" s="26" t="s">
        <v>725</v>
      </c>
      <c r="E127" s="26" t="s">
        <v>800</v>
      </c>
      <c r="F127" s="26" t="s">
        <v>801</v>
      </c>
    </row>
    <row r="128" spans="1:6" ht="114.75" customHeight="1" x14ac:dyDescent="0.5">
      <c r="A128" s="25" t="s">
        <v>802</v>
      </c>
      <c r="B128" s="25" t="s">
        <v>803</v>
      </c>
      <c r="C128" s="25" t="s">
        <v>545</v>
      </c>
      <c r="D128" s="25" t="s">
        <v>781</v>
      </c>
      <c r="E128" s="25" t="s">
        <v>804</v>
      </c>
      <c r="F128" s="25" t="s">
        <v>805</v>
      </c>
    </row>
    <row r="129" spans="1:6" ht="114.75" customHeight="1" x14ac:dyDescent="0.5">
      <c r="A129" s="26" t="s">
        <v>806</v>
      </c>
      <c r="B129" s="26" t="s">
        <v>807</v>
      </c>
      <c r="C129" s="26" t="s">
        <v>626</v>
      </c>
      <c r="D129" s="26" t="s">
        <v>725</v>
      </c>
      <c r="E129" s="26" t="s">
        <v>808</v>
      </c>
      <c r="F129" s="26" t="s">
        <v>809</v>
      </c>
    </row>
    <row r="130" spans="1:6" ht="114.75" customHeight="1" x14ac:dyDescent="0.5">
      <c r="A130" s="25" t="s">
        <v>810</v>
      </c>
      <c r="B130" s="25" t="s">
        <v>305</v>
      </c>
      <c r="C130" s="25" t="s">
        <v>606</v>
      </c>
      <c r="D130" s="25" t="s">
        <v>309</v>
      </c>
      <c r="E130" s="25" t="s">
        <v>811</v>
      </c>
      <c r="F130" s="25" t="s">
        <v>812</v>
      </c>
    </row>
    <row r="131" spans="1:6" ht="114.75" customHeight="1" x14ac:dyDescent="0.5">
      <c r="A131" s="26" t="s">
        <v>813</v>
      </c>
      <c r="B131" s="26" t="s">
        <v>814</v>
      </c>
      <c r="C131" s="26" t="s">
        <v>354</v>
      </c>
      <c r="D131" s="26" t="s">
        <v>309</v>
      </c>
      <c r="E131" s="26" t="s">
        <v>815</v>
      </c>
      <c r="F131" s="26" t="s">
        <v>816</v>
      </c>
    </row>
    <row r="132" spans="1:6" ht="114.75" customHeight="1" x14ac:dyDescent="0.5">
      <c r="A132" s="25" t="s">
        <v>817</v>
      </c>
      <c r="B132" s="25" t="s">
        <v>818</v>
      </c>
      <c r="C132" s="25" t="s">
        <v>331</v>
      </c>
      <c r="D132" s="25" t="s">
        <v>781</v>
      </c>
      <c r="E132" s="25" t="s">
        <v>819</v>
      </c>
      <c r="F132" s="25" t="s">
        <v>820</v>
      </c>
    </row>
    <row r="133" spans="1:6" ht="114.75" customHeight="1" x14ac:dyDescent="0.5">
      <c r="A133" s="26" t="s">
        <v>821</v>
      </c>
      <c r="B133" s="26" t="s">
        <v>822</v>
      </c>
      <c r="C133" s="26" t="s">
        <v>823</v>
      </c>
      <c r="D133" s="26" t="s">
        <v>824</v>
      </c>
      <c r="E133" s="26" t="s">
        <v>825</v>
      </c>
      <c r="F133" s="26" t="s">
        <v>826</v>
      </c>
    </row>
    <row r="134" spans="1:6" ht="114.75" customHeight="1" x14ac:dyDescent="0.5">
      <c r="A134" s="25" t="s">
        <v>827</v>
      </c>
      <c r="B134" s="25" t="s">
        <v>35</v>
      </c>
      <c r="C134" s="25" t="s">
        <v>326</v>
      </c>
      <c r="D134" s="25" t="s">
        <v>828</v>
      </c>
      <c r="E134" s="25" t="s">
        <v>829</v>
      </c>
      <c r="F134" s="25" t="s">
        <v>830</v>
      </c>
    </row>
    <row r="135" spans="1:6" ht="114.75" customHeight="1" x14ac:dyDescent="0.5">
      <c r="A135" s="26" t="s">
        <v>831</v>
      </c>
      <c r="B135" s="26" t="s">
        <v>832</v>
      </c>
      <c r="C135" s="26" t="s">
        <v>833</v>
      </c>
      <c r="D135" s="26" t="s">
        <v>546</v>
      </c>
      <c r="E135" s="26" t="s">
        <v>834</v>
      </c>
      <c r="F135" s="26" t="s">
        <v>835</v>
      </c>
    </row>
  </sheetData>
  <autoFilter ref="A5:F135" xr:uid="{00000000-0009-0000-0000-000004000000}"/>
  <mergeCells count="2">
    <mergeCell ref="A1:F1"/>
    <mergeCell ref="A2:F3"/>
  </mergeCells>
  <pageMargins left="0.75" right="0.75" top="1" bottom="1" header="0.511811023622047" footer="0.5"/>
  <pageSetup paperSize="8" fitToHeight="0" orientation="landscape" horizontalDpi="300" verticalDpi="300"/>
  <headerFooter>
    <oddFooter>&amp;CHARBORLIGHT — projekt zasad, nie wdrożenie</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A79"/>
  <sheetViews>
    <sheetView showGridLines="0" zoomScale="75" zoomScaleNormal="75" workbookViewId="0">
      <pane xSplit="1" ySplit="5" topLeftCell="B24" activePane="bottomRight" state="frozen"/>
      <selection pane="topRight" activeCell="B1" sqref="B1"/>
      <selection pane="bottomLeft" activeCell="A6" sqref="A6"/>
      <selection pane="bottomRight" activeCell="A28" sqref="A28"/>
    </sheetView>
  </sheetViews>
  <sheetFormatPr defaultColWidth="8.6640625" defaultRowHeight="14.4" x14ac:dyDescent="0.3"/>
  <cols>
    <col min="1" max="1" width="21" customWidth="1"/>
    <col min="2" max="2" width="13" customWidth="1"/>
    <col min="3" max="3" width="23" customWidth="1"/>
    <col min="4" max="5" width="11" customWidth="1"/>
    <col min="6" max="6" width="18" customWidth="1"/>
    <col min="7" max="7" width="20" customWidth="1"/>
    <col min="8" max="8" width="22" customWidth="1"/>
    <col min="9" max="14" width="15" customWidth="1"/>
    <col min="15" max="19" width="18" customWidth="1"/>
    <col min="20" max="20" width="19" customWidth="1"/>
    <col min="21" max="21" width="14" customWidth="1"/>
    <col min="22" max="22" width="22" customWidth="1"/>
    <col min="23" max="23" width="18" customWidth="1"/>
    <col min="24" max="24" width="24" customWidth="1"/>
    <col min="25" max="25" width="22" customWidth="1"/>
    <col min="26" max="26" width="24" customWidth="1"/>
    <col min="27" max="27" width="115" customWidth="1"/>
  </cols>
  <sheetData>
    <row r="1" spans="1:27" ht="33.75" customHeight="1" x14ac:dyDescent="0.45">
      <c r="A1" s="4" t="s">
        <v>836</v>
      </c>
      <c r="B1" s="4"/>
      <c r="C1" s="4"/>
      <c r="D1" s="4"/>
      <c r="E1" s="4"/>
      <c r="F1" s="4"/>
      <c r="G1" s="4"/>
      <c r="H1" s="4"/>
      <c r="I1" s="4"/>
      <c r="J1" s="4"/>
      <c r="K1" s="4"/>
      <c r="L1" s="4"/>
      <c r="M1" s="4"/>
      <c r="N1" s="4"/>
      <c r="O1" s="4"/>
      <c r="P1" s="4"/>
      <c r="Q1" s="4"/>
      <c r="R1" s="4"/>
      <c r="S1" s="4"/>
      <c r="T1" s="4"/>
      <c r="U1" s="4"/>
      <c r="V1" s="4"/>
      <c r="W1" s="4"/>
      <c r="X1" s="4"/>
      <c r="Y1" s="4"/>
      <c r="Z1" s="4"/>
      <c r="AA1" s="4"/>
    </row>
    <row r="2" spans="1:27" ht="24.75" customHeight="1" x14ac:dyDescent="0.3">
      <c r="A2" s="5" t="s">
        <v>837</v>
      </c>
      <c r="B2" s="5"/>
      <c r="C2" s="5"/>
      <c r="D2" s="5"/>
      <c r="E2" s="5"/>
      <c r="F2" s="5"/>
      <c r="G2" s="5"/>
      <c r="H2" s="5"/>
      <c r="I2" s="5"/>
      <c r="J2" s="5"/>
      <c r="K2" s="5"/>
      <c r="L2" s="5"/>
      <c r="M2" s="5"/>
      <c r="N2" s="5"/>
      <c r="O2" s="5"/>
      <c r="P2" s="5"/>
      <c r="Q2" s="5"/>
      <c r="R2" s="5"/>
      <c r="S2" s="5"/>
      <c r="T2" s="5"/>
      <c r="U2" s="5"/>
      <c r="V2" s="5"/>
      <c r="W2" s="5"/>
      <c r="X2" s="5"/>
      <c r="Y2" s="5"/>
      <c r="Z2" s="5"/>
      <c r="AA2" s="5"/>
    </row>
    <row r="3" spans="1:27" ht="24.75" customHeight="1" x14ac:dyDescent="0.3">
      <c r="A3" s="5"/>
      <c r="B3" s="5"/>
      <c r="C3" s="5"/>
      <c r="D3" s="5"/>
      <c r="E3" s="5"/>
      <c r="F3" s="5"/>
      <c r="G3" s="5"/>
      <c r="H3" s="5"/>
      <c r="I3" s="5"/>
      <c r="J3" s="5"/>
      <c r="K3" s="5"/>
      <c r="L3" s="5"/>
      <c r="M3" s="5"/>
      <c r="N3" s="5"/>
      <c r="O3" s="5"/>
      <c r="P3" s="5"/>
      <c r="Q3" s="5"/>
      <c r="R3" s="5"/>
      <c r="S3" s="5"/>
      <c r="T3" s="5"/>
      <c r="U3" s="5"/>
      <c r="V3" s="5"/>
      <c r="W3" s="5"/>
      <c r="X3" s="5"/>
      <c r="Y3" s="5"/>
      <c r="Z3" s="5"/>
      <c r="AA3" s="5"/>
    </row>
    <row r="5" spans="1:27" ht="48" customHeight="1" x14ac:dyDescent="0.3">
      <c r="A5" s="7" t="s">
        <v>838</v>
      </c>
      <c r="B5" s="7" t="s">
        <v>839</v>
      </c>
      <c r="C5" s="7" t="s">
        <v>840</v>
      </c>
      <c r="D5" s="7" t="s">
        <v>841</v>
      </c>
      <c r="E5" s="7" t="s">
        <v>842</v>
      </c>
      <c r="F5" s="7" t="s">
        <v>843</v>
      </c>
      <c r="G5" s="7" t="s">
        <v>844</v>
      </c>
      <c r="H5" s="7" t="s">
        <v>845</v>
      </c>
      <c r="I5" s="7" t="s">
        <v>846</v>
      </c>
      <c r="J5" s="7" t="s">
        <v>847</v>
      </c>
      <c r="K5" s="7" t="s">
        <v>848</v>
      </c>
      <c r="L5" s="7" t="s">
        <v>849</v>
      </c>
      <c r="M5" s="7" t="s">
        <v>850</v>
      </c>
      <c r="N5" s="7" t="s">
        <v>851</v>
      </c>
      <c r="O5" s="7" t="s">
        <v>852</v>
      </c>
      <c r="P5" s="7" t="s">
        <v>853</v>
      </c>
      <c r="Q5" s="7" t="s">
        <v>854</v>
      </c>
      <c r="R5" s="7" t="s">
        <v>855</v>
      </c>
      <c r="S5" s="7" t="s">
        <v>856</v>
      </c>
      <c r="T5" s="7" t="s">
        <v>857</v>
      </c>
      <c r="U5" s="7" t="s">
        <v>858</v>
      </c>
      <c r="V5" s="7" t="s">
        <v>859</v>
      </c>
      <c r="W5" s="7" t="s">
        <v>860</v>
      </c>
      <c r="X5" s="7" t="s">
        <v>861</v>
      </c>
      <c r="Y5" s="7" t="s">
        <v>862</v>
      </c>
      <c r="Z5" s="7" t="s">
        <v>863</v>
      </c>
      <c r="AA5" s="7" t="s">
        <v>864</v>
      </c>
    </row>
    <row r="6" spans="1:27" ht="69.75" customHeight="1" x14ac:dyDescent="0.3">
      <c r="A6" s="8" t="s">
        <v>66</v>
      </c>
      <c r="B6" s="8" t="s">
        <v>865</v>
      </c>
      <c r="C6" s="8" t="s">
        <v>866</v>
      </c>
      <c r="D6" s="8">
        <v>1</v>
      </c>
      <c r="E6" s="8">
        <f t="shared" ref="E6:E37" si="0">D6+1</f>
        <v>2</v>
      </c>
      <c r="F6" s="8">
        <v>1</v>
      </c>
      <c r="G6" s="11">
        <f>Parametry!$C$12</f>
        <v>6</v>
      </c>
      <c r="H6" s="8">
        <f>ROUNDDOWN(Parametry!$C$9*Parametry!$C$10^(F6-1),0)</f>
        <v>60</v>
      </c>
      <c r="I6" s="8">
        <f>ROUNDUP((Parametry!$C$20*MAX(1,D6))*1,0)</f>
        <v>500</v>
      </c>
      <c r="J6" s="8">
        <f>ROUNDUP((Parametry!$C$20*MAX(1,D6))*1,0)</f>
        <v>500</v>
      </c>
      <c r="K6" s="8">
        <f>ROUNDUP((Parametry!$C$20*MAX(1,D6))*1,0)</f>
        <v>500</v>
      </c>
      <c r="L6" s="8">
        <f>ROUNDUP((Parametry!$C$20*MAX(1,D6))*1,0)</f>
        <v>500</v>
      </c>
      <c r="M6" s="8">
        <f>ROUNDUP((Parametry!$C$20*MAX(1,D6))*1,0)</f>
        <v>500</v>
      </c>
      <c r="N6" s="8">
        <f>ROUNDUP((Parametry!$C$20*MAX(1,D6))*1,0)</f>
        <v>500</v>
      </c>
      <c r="O6" s="8">
        <f t="shared" ref="O6:O37" si="1">ROUNDUP(J6/H6,0)</f>
        <v>9</v>
      </c>
      <c r="P6" s="8">
        <f t="shared" ref="P6:P37" si="2">ROUNDUP(K6/H6,0)</f>
        <v>9</v>
      </c>
      <c r="Q6" s="8">
        <f t="shared" ref="Q6:Q37" si="3">ROUNDUP(L6/H6,0)</f>
        <v>9</v>
      </c>
      <c r="R6" s="8">
        <f t="shared" ref="R6:R37" si="4">ROUNDUP(M6/H6,0)</f>
        <v>9</v>
      </c>
      <c r="S6" s="8">
        <f t="shared" ref="S6:S37" si="5">ROUNDUP(N6/H6,0)</f>
        <v>9</v>
      </c>
      <c r="T6" s="8">
        <f t="shared" ref="T6:T37" si="6">SUM(O6:S6)</f>
        <v>45</v>
      </c>
      <c r="U6" s="8">
        <f t="shared" ref="U6:U37" si="7">ROUNDUP(T6/G6,0)</f>
        <v>8</v>
      </c>
      <c r="V6" s="8">
        <f>U6*Parametry!$C$11</f>
        <v>40</v>
      </c>
      <c r="W6" s="8">
        <f>2</f>
        <v>2</v>
      </c>
      <c r="X6" s="8">
        <f t="shared" ref="X6:X37" si="8">V6*(W6-1)</f>
        <v>40</v>
      </c>
      <c r="Y6" s="8">
        <f t="shared" ref="Y6:Y37" si="9">V6*W6</f>
        <v>80</v>
      </c>
      <c r="Z6" s="8">
        <f t="shared" ref="Z6:Z37" si="10">SUM(J6:N6)</f>
        <v>2500</v>
      </c>
      <c r="AA6" s="8" t="s">
        <v>867</v>
      </c>
    </row>
    <row r="7" spans="1:27" ht="69.75" customHeight="1" x14ac:dyDescent="0.3">
      <c r="A7" s="9" t="s">
        <v>66</v>
      </c>
      <c r="B7" s="9" t="s">
        <v>865</v>
      </c>
      <c r="C7" s="9" t="s">
        <v>868</v>
      </c>
      <c r="D7" s="9">
        <v>1</v>
      </c>
      <c r="E7" s="9">
        <f t="shared" si="0"/>
        <v>2</v>
      </c>
      <c r="F7" s="9">
        <v>1</v>
      </c>
      <c r="G7" s="12">
        <f>Parametry!$C$12</f>
        <v>6</v>
      </c>
      <c r="H7" s="9">
        <f>ROUNDDOWN(Parametry!$C$9*Parametry!$C$10^(F7-1),0)</f>
        <v>60</v>
      </c>
      <c r="I7" s="9">
        <f>ROUNDUP((Parametry!$C$20*MAX(1,D7))*Parametry!$C$15,0)</f>
        <v>550</v>
      </c>
      <c r="J7" s="9">
        <f>ROUNDUP((Parametry!$C$20*MAX(1,D7))*Parametry!$C$15,0)</f>
        <v>550</v>
      </c>
      <c r="K7" s="9">
        <f>ROUNDUP((Parametry!$C$20*MAX(1,D7))*Parametry!$C$15,0)</f>
        <v>550</v>
      </c>
      <c r="L7" s="9">
        <f>ROUNDUP((Parametry!$C$20*MAX(1,D7))*Parametry!$C$15,0)</f>
        <v>550</v>
      </c>
      <c r="M7" s="9">
        <f>ROUNDUP((Parametry!$C$20*MAX(1,D7))*Parametry!$C$15,0)</f>
        <v>550</v>
      </c>
      <c r="N7" s="9">
        <f>ROUNDUP((Parametry!$C$20*MAX(1,D7))*Parametry!$C$15,0)</f>
        <v>550</v>
      </c>
      <c r="O7" s="9">
        <f t="shared" si="1"/>
        <v>10</v>
      </c>
      <c r="P7" s="9">
        <f t="shared" si="2"/>
        <v>10</v>
      </c>
      <c r="Q7" s="9">
        <f t="shared" si="3"/>
        <v>10</v>
      </c>
      <c r="R7" s="9">
        <f t="shared" si="4"/>
        <v>10</v>
      </c>
      <c r="S7" s="9">
        <f t="shared" si="5"/>
        <v>10</v>
      </c>
      <c r="T7" s="9">
        <f t="shared" si="6"/>
        <v>50</v>
      </c>
      <c r="U7" s="9">
        <f t="shared" si="7"/>
        <v>9</v>
      </c>
      <c r="V7" s="9">
        <f>U7*Parametry!$C$11</f>
        <v>45</v>
      </c>
      <c r="W7" s="9">
        <f>2</f>
        <v>2</v>
      </c>
      <c r="X7" s="9">
        <f t="shared" si="8"/>
        <v>45</v>
      </c>
      <c r="Y7" s="9">
        <f t="shared" si="9"/>
        <v>90</v>
      </c>
      <c r="Z7" s="9">
        <f t="shared" si="10"/>
        <v>2750</v>
      </c>
      <c r="AA7" s="9" t="s">
        <v>867</v>
      </c>
    </row>
    <row r="8" spans="1:27" ht="69.75" customHeight="1" x14ac:dyDescent="0.3">
      <c r="A8" s="8" t="s">
        <v>66</v>
      </c>
      <c r="B8" s="8" t="s">
        <v>869</v>
      </c>
      <c r="C8" s="8" t="s">
        <v>866</v>
      </c>
      <c r="D8" s="8">
        <v>2</v>
      </c>
      <c r="E8" s="8">
        <f t="shared" si="0"/>
        <v>3</v>
      </c>
      <c r="F8" s="8">
        <v>2</v>
      </c>
      <c r="G8" s="11">
        <f>Parametry!$C$12</f>
        <v>6</v>
      </c>
      <c r="H8" s="8">
        <f>ROUNDDOWN(Parametry!$C$9*Parametry!$C$10^(F8-1),0)</f>
        <v>66</v>
      </c>
      <c r="I8" s="8">
        <f>ROUNDUP((Parametry!$C$20*MAX(1,D8))*1,0)</f>
        <v>1000</v>
      </c>
      <c r="J8" s="8">
        <f>ROUNDUP((Parametry!$C$20*MAX(1,D8))*1,0)</f>
        <v>1000</v>
      </c>
      <c r="K8" s="8">
        <f>ROUNDUP((Parametry!$C$20*MAX(1,D8))*1,0)</f>
        <v>1000</v>
      </c>
      <c r="L8" s="8">
        <f>ROUNDUP((Parametry!$C$20*MAX(1,D8))*1,0)</f>
        <v>1000</v>
      </c>
      <c r="M8" s="8">
        <f>ROUNDUP((Parametry!$C$20*MAX(1,D8))*1,0)</f>
        <v>1000</v>
      </c>
      <c r="N8" s="8">
        <f>ROUNDUP((Parametry!$C$20*MAX(1,D8))*1,0)</f>
        <v>1000</v>
      </c>
      <c r="O8" s="8">
        <f t="shared" si="1"/>
        <v>16</v>
      </c>
      <c r="P8" s="8">
        <f t="shared" si="2"/>
        <v>16</v>
      </c>
      <c r="Q8" s="8">
        <f t="shared" si="3"/>
        <v>16</v>
      </c>
      <c r="R8" s="8">
        <f t="shared" si="4"/>
        <v>16</v>
      </c>
      <c r="S8" s="8">
        <f t="shared" si="5"/>
        <v>16</v>
      </c>
      <c r="T8" s="8">
        <f t="shared" si="6"/>
        <v>80</v>
      </c>
      <c r="U8" s="8">
        <f t="shared" si="7"/>
        <v>14</v>
      </c>
      <c r="V8" s="8">
        <f>U8*Parametry!$C$11</f>
        <v>70</v>
      </c>
      <c r="W8" s="8">
        <f>2</f>
        <v>2</v>
      </c>
      <c r="X8" s="8">
        <f t="shared" si="8"/>
        <v>70</v>
      </c>
      <c r="Y8" s="8">
        <f t="shared" si="9"/>
        <v>140</v>
      </c>
      <c r="Z8" s="8">
        <f t="shared" si="10"/>
        <v>5000</v>
      </c>
      <c r="AA8" s="8" t="s">
        <v>867</v>
      </c>
    </row>
    <row r="9" spans="1:27" ht="69.75" customHeight="1" x14ac:dyDescent="0.3">
      <c r="A9" s="9" t="s">
        <v>66</v>
      </c>
      <c r="B9" s="9" t="s">
        <v>869</v>
      </c>
      <c r="C9" s="9" t="s">
        <v>868</v>
      </c>
      <c r="D9" s="9">
        <v>2</v>
      </c>
      <c r="E9" s="9">
        <f t="shared" si="0"/>
        <v>3</v>
      </c>
      <c r="F9" s="9">
        <v>2</v>
      </c>
      <c r="G9" s="12">
        <f>Parametry!$C$12</f>
        <v>6</v>
      </c>
      <c r="H9" s="9">
        <f>ROUNDDOWN(Parametry!$C$9*Parametry!$C$10^(F9-1),0)</f>
        <v>66</v>
      </c>
      <c r="I9" s="9">
        <f>ROUNDUP((Parametry!$C$20*MAX(1,D9))*Parametry!$C$15,0)</f>
        <v>1100</v>
      </c>
      <c r="J9" s="9">
        <f>ROUNDUP((Parametry!$C$20*MAX(1,D9))*Parametry!$C$15,0)</f>
        <v>1100</v>
      </c>
      <c r="K9" s="9">
        <f>ROUNDUP((Parametry!$C$20*MAX(1,D9))*Parametry!$C$15,0)</f>
        <v>1100</v>
      </c>
      <c r="L9" s="9">
        <f>ROUNDUP((Parametry!$C$20*MAX(1,D9))*Parametry!$C$15,0)</f>
        <v>1100</v>
      </c>
      <c r="M9" s="9">
        <f>ROUNDUP((Parametry!$C$20*MAX(1,D9))*Parametry!$C$15,0)</f>
        <v>1100</v>
      </c>
      <c r="N9" s="9">
        <f>ROUNDUP((Parametry!$C$20*MAX(1,D9))*Parametry!$C$15,0)</f>
        <v>1100</v>
      </c>
      <c r="O9" s="9">
        <f t="shared" si="1"/>
        <v>17</v>
      </c>
      <c r="P9" s="9">
        <f t="shared" si="2"/>
        <v>17</v>
      </c>
      <c r="Q9" s="9">
        <f t="shared" si="3"/>
        <v>17</v>
      </c>
      <c r="R9" s="9">
        <f t="shared" si="4"/>
        <v>17</v>
      </c>
      <c r="S9" s="9">
        <f t="shared" si="5"/>
        <v>17</v>
      </c>
      <c r="T9" s="9">
        <f t="shared" si="6"/>
        <v>85</v>
      </c>
      <c r="U9" s="9">
        <f t="shared" si="7"/>
        <v>15</v>
      </c>
      <c r="V9" s="9">
        <f>U9*Parametry!$C$11</f>
        <v>75</v>
      </c>
      <c r="W9" s="9">
        <f>2</f>
        <v>2</v>
      </c>
      <c r="X9" s="9">
        <f t="shared" si="8"/>
        <v>75</v>
      </c>
      <c r="Y9" s="9">
        <f t="shared" si="9"/>
        <v>150</v>
      </c>
      <c r="Z9" s="9">
        <f t="shared" si="10"/>
        <v>5500</v>
      </c>
      <c r="AA9" s="9" t="s">
        <v>867</v>
      </c>
    </row>
    <row r="10" spans="1:27" ht="69.75" customHeight="1" x14ac:dyDescent="0.3">
      <c r="A10" s="8" t="s">
        <v>66</v>
      </c>
      <c r="B10" s="8" t="s">
        <v>870</v>
      </c>
      <c r="C10" s="8" t="s">
        <v>866</v>
      </c>
      <c r="D10" s="8">
        <v>3</v>
      </c>
      <c r="E10" s="8">
        <f t="shared" si="0"/>
        <v>4</v>
      </c>
      <c r="F10" s="8">
        <v>3</v>
      </c>
      <c r="G10" s="11">
        <f>Parametry!$C$12</f>
        <v>6</v>
      </c>
      <c r="H10" s="8">
        <f>ROUNDDOWN(Parametry!$C$9*Parametry!$C$10^(F10-1),0)</f>
        <v>72</v>
      </c>
      <c r="I10" s="8">
        <f>ROUNDUP((Parametry!$C$20*MAX(1,D10))*1,0)</f>
        <v>1500</v>
      </c>
      <c r="J10" s="8">
        <f>ROUNDUP((Parametry!$C$20*MAX(1,D10))*1,0)</f>
        <v>1500</v>
      </c>
      <c r="K10" s="8">
        <f>ROUNDUP((Parametry!$C$20*MAX(1,D10))*1,0)</f>
        <v>1500</v>
      </c>
      <c r="L10" s="8">
        <f>ROUNDUP((Parametry!$C$20*MAX(1,D10))*1,0)</f>
        <v>1500</v>
      </c>
      <c r="M10" s="8">
        <f>ROUNDUP((Parametry!$C$20*MAX(1,D10))*1,0)</f>
        <v>1500</v>
      </c>
      <c r="N10" s="8">
        <f>ROUNDUP((Parametry!$C$20*MAX(1,D10))*1,0)</f>
        <v>1500</v>
      </c>
      <c r="O10" s="8">
        <f t="shared" si="1"/>
        <v>21</v>
      </c>
      <c r="P10" s="8">
        <f t="shared" si="2"/>
        <v>21</v>
      </c>
      <c r="Q10" s="8">
        <f t="shared" si="3"/>
        <v>21</v>
      </c>
      <c r="R10" s="8">
        <f t="shared" si="4"/>
        <v>21</v>
      </c>
      <c r="S10" s="8">
        <f t="shared" si="5"/>
        <v>21</v>
      </c>
      <c r="T10" s="8">
        <f t="shared" si="6"/>
        <v>105</v>
      </c>
      <c r="U10" s="8">
        <f t="shared" si="7"/>
        <v>18</v>
      </c>
      <c r="V10" s="8">
        <f>U10*Parametry!$C$11</f>
        <v>90</v>
      </c>
      <c r="W10" s="8">
        <f>2</f>
        <v>2</v>
      </c>
      <c r="X10" s="8">
        <f t="shared" si="8"/>
        <v>90</v>
      </c>
      <c r="Y10" s="8">
        <f t="shared" si="9"/>
        <v>180</v>
      </c>
      <c r="Z10" s="8">
        <f t="shared" si="10"/>
        <v>7500</v>
      </c>
      <c r="AA10" s="8" t="s">
        <v>867</v>
      </c>
    </row>
    <row r="11" spans="1:27" ht="69.75" customHeight="1" x14ac:dyDescent="0.3">
      <c r="A11" s="9" t="s">
        <v>66</v>
      </c>
      <c r="B11" s="9" t="s">
        <v>870</v>
      </c>
      <c r="C11" s="9" t="s">
        <v>868</v>
      </c>
      <c r="D11" s="9">
        <v>3</v>
      </c>
      <c r="E11" s="9">
        <f t="shared" si="0"/>
        <v>4</v>
      </c>
      <c r="F11" s="9">
        <v>3</v>
      </c>
      <c r="G11" s="12">
        <f>Parametry!$C$12</f>
        <v>6</v>
      </c>
      <c r="H11" s="9">
        <f>ROUNDDOWN(Parametry!$C$9*Parametry!$C$10^(F11-1),0)</f>
        <v>72</v>
      </c>
      <c r="I11" s="9">
        <f>ROUNDUP((Parametry!$C$20*MAX(1,D11))*Parametry!$C$15,0)</f>
        <v>1650</v>
      </c>
      <c r="J11" s="9">
        <f>ROUNDUP((Parametry!$C$20*MAX(1,D11))*Parametry!$C$15,0)</f>
        <v>1650</v>
      </c>
      <c r="K11" s="9">
        <f>ROUNDUP((Parametry!$C$20*MAX(1,D11))*Parametry!$C$15,0)</f>
        <v>1650</v>
      </c>
      <c r="L11" s="9">
        <f>ROUNDUP((Parametry!$C$20*MAX(1,D11))*Parametry!$C$15,0)</f>
        <v>1650</v>
      </c>
      <c r="M11" s="9">
        <f>ROUNDUP((Parametry!$C$20*MAX(1,D11))*Parametry!$C$15,0)</f>
        <v>1650</v>
      </c>
      <c r="N11" s="9">
        <f>ROUNDUP((Parametry!$C$20*MAX(1,D11))*Parametry!$C$15,0)</f>
        <v>1650</v>
      </c>
      <c r="O11" s="9">
        <f t="shared" si="1"/>
        <v>23</v>
      </c>
      <c r="P11" s="9">
        <f t="shared" si="2"/>
        <v>23</v>
      </c>
      <c r="Q11" s="9">
        <f t="shared" si="3"/>
        <v>23</v>
      </c>
      <c r="R11" s="9">
        <f t="shared" si="4"/>
        <v>23</v>
      </c>
      <c r="S11" s="9">
        <f t="shared" si="5"/>
        <v>23</v>
      </c>
      <c r="T11" s="9">
        <f t="shared" si="6"/>
        <v>115</v>
      </c>
      <c r="U11" s="9">
        <f t="shared" si="7"/>
        <v>20</v>
      </c>
      <c r="V11" s="9">
        <f>U11*Parametry!$C$11</f>
        <v>100</v>
      </c>
      <c r="W11" s="9">
        <f>2</f>
        <v>2</v>
      </c>
      <c r="X11" s="9">
        <f t="shared" si="8"/>
        <v>100</v>
      </c>
      <c r="Y11" s="9">
        <f t="shared" si="9"/>
        <v>200</v>
      </c>
      <c r="Z11" s="9">
        <f t="shared" si="10"/>
        <v>8250</v>
      </c>
      <c r="AA11" s="9" t="s">
        <v>867</v>
      </c>
    </row>
    <row r="12" spans="1:27" ht="69.75" customHeight="1" x14ac:dyDescent="0.3">
      <c r="A12" s="8" t="s">
        <v>77</v>
      </c>
      <c r="B12" s="8" t="s">
        <v>865</v>
      </c>
      <c r="C12" s="8" t="s">
        <v>866</v>
      </c>
      <c r="D12" s="8">
        <v>1</v>
      </c>
      <c r="E12" s="8">
        <f t="shared" si="0"/>
        <v>2</v>
      </c>
      <c r="F12" s="8">
        <v>1</v>
      </c>
      <c r="G12" s="11">
        <f>Parametry!$C$12</f>
        <v>6</v>
      </c>
      <c r="H12" s="8">
        <f>ROUNDDOWN(Parametry!$C$9*Parametry!$C$10^(F12-1),0)</f>
        <v>60</v>
      </c>
      <c r="I12" s="8">
        <f>ROUNDUP((Parametry!$C$20*MAX(1,D12))*1,0)</f>
        <v>500</v>
      </c>
      <c r="J12" s="8">
        <f>ROUNDUP((Parametry!$C$20*MAX(1,D12))*1,0)</f>
        <v>500</v>
      </c>
      <c r="K12" s="8">
        <f>ROUNDUP((Parametry!$C$20*MAX(1,D12))*1,0)</f>
        <v>500</v>
      </c>
      <c r="L12" s="8">
        <f>ROUNDUP((Parametry!$C$20*MAX(1,D12))*1,0)</f>
        <v>500</v>
      </c>
      <c r="M12" s="8">
        <f>ROUNDUP((Parametry!$C$20*MAX(1,D12))*1,0)</f>
        <v>500</v>
      </c>
      <c r="N12" s="8">
        <f>ROUNDUP((Parametry!$C$20*MAX(1,D12))*1,0)</f>
        <v>500</v>
      </c>
      <c r="O12" s="8">
        <f t="shared" si="1"/>
        <v>9</v>
      </c>
      <c r="P12" s="8">
        <f t="shared" si="2"/>
        <v>9</v>
      </c>
      <c r="Q12" s="8">
        <f t="shared" si="3"/>
        <v>9</v>
      </c>
      <c r="R12" s="8">
        <f t="shared" si="4"/>
        <v>9</v>
      </c>
      <c r="S12" s="8">
        <f t="shared" si="5"/>
        <v>9</v>
      </c>
      <c r="T12" s="8">
        <f t="shared" si="6"/>
        <v>45</v>
      </c>
      <c r="U12" s="8">
        <f t="shared" si="7"/>
        <v>8</v>
      </c>
      <c r="V12" s="8">
        <f>U12*Parametry!$C$11</f>
        <v>40</v>
      </c>
      <c r="W12" s="8">
        <f>2</f>
        <v>2</v>
      </c>
      <c r="X12" s="8">
        <f t="shared" si="8"/>
        <v>40</v>
      </c>
      <c r="Y12" s="8">
        <f t="shared" si="9"/>
        <v>80</v>
      </c>
      <c r="Z12" s="8">
        <f t="shared" si="10"/>
        <v>2500</v>
      </c>
      <c r="AA12" s="8" t="s">
        <v>867</v>
      </c>
    </row>
    <row r="13" spans="1:27" ht="69.75" customHeight="1" x14ac:dyDescent="0.3">
      <c r="A13" s="9" t="s">
        <v>77</v>
      </c>
      <c r="B13" s="9" t="s">
        <v>865</v>
      </c>
      <c r="C13" s="9" t="s">
        <v>868</v>
      </c>
      <c r="D13" s="9">
        <v>1</v>
      </c>
      <c r="E13" s="9">
        <f t="shared" si="0"/>
        <v>2</v>
      </c>
      <c r="F13" s="9">
        <v>1</v>
      </c>
      <c r="G13" s="12">
        <f>Parametry!$C$12</f>
        <v>6</v>
      </c>
      <c r="H13" s="9">
        <f>ROUNDDOWN(Parametry!$C$9*Parametry!$C$10^(F13-1),0)</f>
        <v>60</v>
      </c>
      <c r="I13" s="9">
        <f>ROUNDUP((Parametry!$C$20*MAX(1,D13))*Parametry!$C$15,0)</f>
        <v>550</v>
      </c>
      <c r="J13" s="9">
        <f>ROUNDUP((Parametry!$C$20*MAX(1,D13))*Parametry!$C$15,0)</f>
        <v>550</v>
      </c>
      <c r="K13" s="9">
        <f>ROUNDUP((Parametry!$C$20*MAX(1,D13))*Parametry!$C$15,0)</f>
        <v>550</v>
      </c>
      <c r="L13" s="9">
        <f>ROUNDUP((Parametry!$C$20*MAX(1,D13))*Parametry!$C$15,0)</f>
        <v>550</v>
      </c>
      <c r="M13" s="9">
        <f>ROUNDUP((Parametry!$C$20*MAX(1,D13))*Parametry!$C$15,0)</f>
        <v>550</v>
      </c>
      <c r="N13" s="9">
        <f>ROUNDUP((Parametry!$C$20*MAX(1,D13))*Parametry!$C$15,0)</f>
        <v>550</v>
      </c>
      <c r="O13" s="9">
        <f t="shared" si="1"/>
        <v>10</v>
      </c>
      <c r="P13" s="9">
        <f t="shared" si="2"/>
        <v>10</v>
      </c>
      <c r="Q13" s="9">
        <f t="shared" si="3"/>
        <v>10</v>
      </c>
      <c r="R13" s="9">
        <f t="shared" si="4"/>
        <v>10</v>
      </c>
      <c r="S13" s="9">
        <f t="shared" si="5"/>
        <v>10</v>
      </c>
      <c r="T13" s="9">
        <f t="shared" si="6"/>
        <v>50</v>
      </c>
      <c r="U13" s="9">
        <f t="shared" si="7"/>
        <v>9</v>
      </c>
      <c r="V13" s="9">
        <f>U13*Parametry!$C$11</f>
        <v>45</v>
      </c>
      <c r="W13" s="9">
        <f>2</f>
        <v>2</v>
      </c>
      <c r="X13" s="9">
        <f t="shared" si="8"/>
        <v>45</v>
      </c>
      <c r="Y13" s="9">
        <f t="shared" si="9"/>
        <v>90</v>
      </c>
      <c r="Z13" s="9">
        <f t="shared" si="10"/>
        <v>2750</v>
      </c>
      <c r="AA13" s="9" t="s">
        <v>867</v>
      </c>
    </row>
    <row r="14" spans="1:27" ht="69.75" customHeight="1" x14ac:dyDescent="0.3">
      <c r="A14" s="8" t="s">
        <v>77</v>
      </c>
      <c r="B14" s="8" t="s">
        <v>869</v>
      </c>
      <c r="C14" s="8" t="s">
        <v>866</v>
      </c>
      <c r="D14" s="8">
        <v>2</v>
      </c>
      <c r="E14" s="8">
        <f t="shared" si="0"/>
        <v>3</v>
      </c>
      <c r="F14" s="8">
        <v>2</v>
      </c>
      <c r="G14" s="11">
        <f>Parametry!$C$12</f>
        <v>6</v>
      </c>
      <c r="H14" s="8">
        <f>ROUNDDOWN(Parametry!$C$9*Parametry!$C$10^(F14-1),0)</f>
        <v>66</v>
      </c>
      <c r="I14" s="8">
        <f>ROUNDUP((Parametry!$C$20*MAX(1,D14))*1,0)</f>
        <v>1000</v>
      </c>
      <c r="J14" s="8">
        <f>ROUNDUP((Parametry!$C$20*MAX(1,D14))*1,0)</f>
        <v>1000</v>
      </c>
      <c r="K14" s="8">
        <f>ROUNDUP((Parametry!$C$20*MAX(1,D14))*1,0)</f>
        <v>1000</v>
      </c>
      <c r="L14" s="8">
        <f>ROUNDUP((Parametry!$C$20*MAX(1,D14))*1,0)</f>
        <v>1000</v>
      </c>
      <c r="M14" s="8">
        <f>ROUNDUP((Parametry!$C$20*MAX(1,D14))*1,0)</f>
        <v>1000</v>
      </c>
      <c r="N14" s="8">
        <f>ROUNDUP((Parametry!$C$20*MAX(1,D14))*1,0)</f>
        <v>1000</v>
      </c>
      <c r="O14" s="8">
        <f t="shared" si="1"/>
        <v>16</v>
      </c>
      <c r="P14" s="8">
        <f t="shared" si="2"/>
        <v>16</v>
      </c>
      <c r="Q14" s="8">
        <f t="shared" si="3"/>
        <v>16</v>
      </c>
      <c r="R14" s="8">
        <f t="shared" si="4"/>
        <v>16</v>
      </c>
      <c r="S14" s="8">
        <f t="shared" si="5"/>
        <v>16</v>
      </c>
      <c r="T14" s="8">
        <f t="shared" si="6"/>
        <v>80</v>
      </c>
      <c r="U14" s="8">
        <f t="shared" si="7"/>
        <v>14</v>
      </c>
      <c r="V14" s="8">
        <f>U14*Parametry!$C$11</f>
        <v>70</v>
      </c>
      <c r="W14" s="8">
        <f>2</f>
        <v>2</v>
      </c>
      <c r="X14" s="8">
        <f t="shared" si="8"/>
        <v>70</v>
      </c>
      <c r="Y14" s="8">
        <f t="shared" si="9"/>
        <v>140</v>
      </c>
      <c r="Z14" s="8">
        <f t="shared" si="10"/>
        <v>5000</v>
      </c>
      <c r="AA14" s="8" t="s">
        <v>867</v>
      </c>
    </row>
    <row r="15" spans="1:27" ht="69.75" customHeight="1" x14ac:dyDescent="0.3">
      <c r="A15" s="9" t="s">
        <v>77</v>
      </c>
      <c r="B15" s="9" t="s">
        <v>869</v>
      </c>
      <c r="C15" s="9" t="s">
        <v>868</v>
      </c>
      <c r="D15" s="9">
        <v>2</v>
      </c>
      <c r="E15" s="9">
        <f t="shared" si="0"/>
        <v>3</v>
      </c>
      <c r="F15" s="9">
        <v>2</v>
      </c>
      <c r="G15" s="12">
        <f>Parametry!$C$12</f>
        <v>6</v>
      </c>
      <c r="H15" s="9">
        <f>ROUNDDOWN(Parametry!$C$9*Parametry!$C$10^(F15-1),0)</f>
        <v>66</v>
      </c>
      <c r="I15" s="9">
        <f>ROUNDUP((Parametry!$C$20*MAX(1,D15))*Parametry!$C$15,0)</f>
        <v>1100</v>
      </c>
      <c r="J15" s="9">
        <f>ROUNDUP((Parametry!$C$20*MAX(1,D15))*Parametry!$C$15,0)</f>
        <v>1100</v>
      </c>
      <c r="K15" s="9">
        <f>ROUNDUP((Parametry!$C$20*MAX(1,D15))*Parametry!$C$15,0)</f>
        <v>1100</v>
      </c>
      <c r="L15" s="9">
        <f>ROUNDUP((Parametry!$C$20*MAX(1,D15))*Parametry!$C$15,0)</f>
        <v>1100</v>
      </c>
      <c r="M15" s="9">
        <f>ROUNDUP((Parametry!$C$20*MAX(1,D15))*Parametry!$C$15,0)</f>
        <v>1100</v>
      </c>
      <c r="N15" s="9">
        <f>ROUNDUP((Parametry!$C$20*MAX(1,D15))*Parametry!$C$15,0)</f>
        <v>1100</v>
      </c>
      <c r="O15" s="9">
        <f t="shared" si="1"/>
        <v>17</v>
      </c>
      <c r="P15" s="9">
        <f t="shared" si="2"/>
        <v>17</v>
      </c>
      <c r="Q15" s="9">
        <f t="shared" si="3"/>
        <v>17</v>
      </c>
      <c r="R15" s="9">
        <f t="shared" si="4"/>
        <v>17</v>
      </c>
      <c r="S15" s="9">
        <f t="shared" si="5"/>
        <v>17</v>
      </c>
      <c r="T15" s="9">
        <f t="shared" si="6"/>
        <v>85</v>
      </c>
      <c r="U15" s="9">
        <f t="shared" si="7"/>
        <v>15</v>
      </c>
      <c r="V15" s="9">
        <f>U15*Parametry!$C$11</f>
        <v>75</v>
      </c>
      <c r="W15" s="9">
        <f>2</f>
        <v>2</v>
      </c>
      <c r="X15" s="9">
        <f t="shared" si="8"/>
        <v>75</v>
      </c>
      <c r="Y15" s="9">
        <f t="shared" si="9"/>
        <v>150</v>
      </c>
      <c r="Z15" s="9">
        <f t="shared" si="10"/>
        <v>5500</v>
      </c>
      <c r="AA15" s="9" t="s">
        <v>867</v>
      </c>
    </row>
    <row r="16" spans="1:27" ht="69.75" customHeight="1" x14ac:dyDescent="0.3">
      <c r="A16" s="8" t="s">
        <v>77</v>
      </c>
      <c r="B16" s="8" t="s">
        <v>870</v>
      </c>
      <c r="C16" s="8" t="s">
        <v>866</v>
      </c>
      <c r="D16" s="8">
        <v>3</v>
      </c>
      <c r="E16" s="8">
        <f t="shared" si="0"/>
        <v>4</v>
      </c>
      <c r="F16" s="8">
        <v>3</v>
      </c>
      <c r="G16" s="11">
        <f>Parametry!$C$12</f>
        <v>6</v>
      </c>
      <c r="H16" s="8">
        <f>ROUNDDOWN(Parametry!$C$9*Parametry!$C$10^(F16-1),0)</f>
        <v>72</v>
      </c>
      <c r="I16" s="8">
        <f>ROUNDUP((Parametry!$C$20*MAX(1,D16))*1,0)</f>
        <v>1500</v>
      </c>
      <c r="J16" s="8">
        <f>ROUNDUP((Parametry!$C$20*MAX(1,D16))*1,0)</f>
        <v>1500</v>
      </c>
      <c r="K16" s="8">
        <f>ROUNDUP((Parametry!$C$20*MAX(1,D16))*1,0)</f>
        <v>1500</v>
      </c>
      <c r="L16" s="8">
        <f>ROUNDUP((Parametry!$C$20*MAX(1,D16))*1,0)</f>
        <v>1500</v>
      </c>
      <c r="M16" s="8">
        <f>ROUNDUP((Parametry!$C$20*MAX(1,D16))*1,0)</f>
        <v>1500</v>
      </c>
      <c r="N16" s="8">
        <f>ROUNDUP((Parametry!$C$20*MAX(1,D16))*1,0)</f>
        <v>1500</v>
      </c>
      <c r="O16" s="8">
        <f t="shared" si="1"/>
        <v>21</v>
      </c>
      <c r="P16" s="8">
        <f t="shared" si="2"/>
        <v>21</v>
      </c>
      <c r="Q16" s="8">
        <f t="shared" si="3"/>
        <v>21</v>
      </c>
      <c r="R16" s="8">
        <f t="shared" si="4"/>
        <v>21</v>
      </c>
      <c r="S16" s="8">
        <f t="shared" si="5"/>
        <v>21</v>
      </c>
      <c r="T16" s="8">
        <f t="shared" si="6"/>
        <v>105</v>
      </c>
      <c r="U16" s="8">
        <f t="shared" si="7"/>
        <v>18</v>
      </c>
      <c r="V16" s="8">
        <f>U16*Parametry!$C$11</f>
        <v>90</v>
      </c>
      <c r="W16" s="8">
        <f>2</f>
        <v>2</v>
      </c>
      <c r="X16" s="8">
        <f t="shared" si="8"/>
        <v>90</v>
      </c>
      <c r="Y16" s="8">
        <f t="shared" si="9"/>
        <v>180</v>
      </c>
      <c r="Z16" s="8">
        <f t="shared" si="10"/>
        <v>7500</v>
      </c>
      <c r="AA16" s="8" t="s">
        <v>867</v>
      </c>
    </row>
    <row r="17" spans="1:27" ht="69.75" customHeight="1" x14ac:dyDescent="0.3">
      <c r="A17" s="9" t="s">
        <v>77</v>
      </c>
      <c r="B17" s="9" t="s">
        <v>870</v>
      </c>
      <c r="C17" s="9" t="s">
        <v>868</v>
      </c>
      <c r="D17" s="9">
        <v>3</v>
      </c>
      <c r="E17" s="9">
        <f t="shared" si="0"/>
        <v>4</v>
      </c>
      <c r="F17" s="9">
        <v>3</v>
      </c>
      <c r="G17" s="12">
        <f>Parametry!$C$12</f>
        <v>6</v>
      </c>
      <c r="H17" s="9">
        <f>ROUNDDOWN(Parametry!$C$9*Parametry!$C$10^(F17-1),0)</f>
        <v>72</v>
      </c>
      <c r="I17" s="9">
        <f>ROUNDUP((Parametry!$C$20*MAX(1,D17))*Parametry!$C$15,0)</f>
        <v>1650</v>
      </c>
      <c r="J17" s="9">
        <f>ROUNDUP((Parametry!$C$20*MAX(1,D17))*Parametry!$C$15,0)</f>
        <v>1650</v>
      </c>
      <c r="K17" s="9">
        <f>ROUNDUP((Parametry!$C$20*MAX(1,D17))*Parametry!$C$15,0)</f>
        <v>1650</v>
      </c>
      <c r="L17" s="9">
        <f>ROUNDUP((Parametry!$C$20*MAX(1,D17))*Parametry!$C$15,0)</f>
        <v>1650</v>
      </c>
      <c r="M17" s="9">
        <f>ROUNDUP((Parametry!$C$20*MAX(1,D17))*Parametry!$C$15,0)</f>
        <v>1650</v>
      </c>
      <c r="N17" s="9">
        <f>ROUNDUP((Parametry!$C$20*MAX(1,D17))*Parametry!$C$15,0)</f>
        <v>1650</v>
      </c>
      <c r="O17" s="9">
        <f t="shared" si="1"/>
        <v>23</v>
      </c>
      <c r="P17" s="9">
        <f t="shared" si="2"/>
        <v>23</v>
      </c>
      <c r="Q17" s="9">
        <f t="shared" si="3"/>
        <v>23</v>
      </c>
      <c r="R17" s="9">
        <f t="shared" si="4"/>
        <v>23</v>
      </c>
      <c r="S17" s="9">
        <f t="shared" si="5"/>
        <v>23</v>
      </c>
      <c r="T17" s="9">
        <f t="shared" si="6"/>
        <v>115</v>
      </c>
      <c r="U17" s="9">
        <f t="shared" si="7"/>
        <v>20</v>
      </c>
      <c r="V17" s="9">
        <f>U17*Parametry!$C$11</f>
        <v>100</v>
      </c>
      <c r="W17" s="9">
        <f>2</f>
        <v>2</v>
      </c>
      <c r="X17" s="9">
        <f t="shared" si="8"/>
        <v>100</v>
      </c>
      <c r="Y17" s="9">
        <f t="shared" si="9"/>
        <v>200</v>
      </c>
      <c r="Z17" s="9">
        <f t="shared" si="10"/>
        <v>8250</v>
      </c>
      <c r="AA17" s="9" t="s">
        <v>867</v>
      </c>
    </row>
    <row r="18" spans="1:27" ht="69.75" customHeight="1" x14ac:dyDescent="0.3">
      <c r="A18" s="8" t="s">
        <v>84</v>
      </c>
      <c r="B18" s="8" t="s">
        <v>865</v>
      </c>
      <c r="C18" s="8" t="s">
        <v>866</v>
      </c>
      <c r="D18" s="8">
        <v>1</v>
      </c>
      <c r="E18" s="8">
        <f t="shared" si="0"/>
        <v>2</v>
      </c>
      <c r="F18" s="8">
        <v>1</v>
      </c>
      <c r="G18" s="11">
        <f>Parametry!$C$12</f>
        <v>6</v>
      </c>
      <c r="H18" s="8">
        <f>ROUNDDOWN(Parametry!$C$9*Parametry!$C$10^(F18-1),0)</f>
        <v>60</v>
      </c>
      <c r="I18" s="8">
        <f>ROUNDUP((0)*1,0)</f>
        <v>0</v>
      </c>
      <c r="J18" s="8">
        <f>ROUNDUP((Parametry!$C$16*Parametry!$C$17*D18)*1,0)</f>
        <v>72</v>
      </c>
      <c r="K18" s="8">
        <f>ROUNDUP((Parametry!$C$16*Parametry!$C$18*D18)*1,0)</f>
        <v>72</v>
      </c>
      <c r="L18" s="8">
        <f>ROUNDUP((Parametry!$C$16*Parametry!$C$19*D18)*1,0)</f>
        <v>120</v>
      </c>
      <c r="M18" s="8">
        <f>ROUNDUP((0)*1,0)</f>
        <v>0</v>
      </c>
      <c r="N18" s="8">
        <f>ROUNDUP((0)*1,0)</f>
        <v>0</v>
      </c>
      <c r="O18" s="8">
        <f t="shared" si="1"/>
        <v>2</v>
      </c>
      <c r="P18" s="8">
        <f t="shared" si="2"/>
        <v>2</v>
      </c>
      <c r="Q18" s="8">
        <f t="shared" si="3"/>
        <v>2</v>
      </c>
      <c r="R18" s="8">
        <f t="shared" si="4"/>
        <v>0</v>
      </c>
      <c r="S18" s="8">
        <f t="shared" si="5"/>
        <v>0</v>
      </c>
      <c r="T18" s="8">
        <f t="shared" si="6"/>
        <v>6</v>
      </c>
      <c r="U18" s="8">
        <f t="shared" si="7"/>
        <v>1</v>
      </c>
      <c r="V18" s="8">
        <f>U18*Parametry!$C$11</f>
        <v>5</v>
      </c>
      <c r="W18" s="8">
        <f>2</f>
        <v>2</v>
      </c>
      <c r="X18" s="8">
        <f t="shared" si="8"/>
        <v>5</v>
      </c>
      <c r="Y18" s="8">
        <f t="shared" si="9"/>
        <v>10</v>
      </c>
      <c r="Z18" s="8">
        <f t="shared" si="10"/>
        <v>264</v>
      </c>
      <c r="AA18" s="8" t="s">
        <v>867</v>
      </c>
    </row>
    <row r="19" spans="1:27" ht="69.75" customHeight="1" x14ac:dyDescent="0.3">
      <c r="A19" s="9" t="s">
        <v>84</v>
      </c>
      <c r="B19" s="9" t="s">
        <v>865</v>
      </c>
      <c r="C19" s="9" t="s">
        <v>868</v>
      </c>
      <c r="D19" s="9">
        <v>1</v>
      </c>
      <c r="E19" s="9">
        <f t="shared" si="0"/>
        <v>2</v>
      </c>
      <c r="F19" s="9">
        <v>1</v>
      </c>
      <c r="G19" s="12">
        <f>Parametry!$C$12</f>
        <v>6</v>
      </c>
      <c r="H19" s="9">
        <f>ROUNDDOWN(Parametry!$C$9*Parametry!$C$10^(F19-1),0)</f>
        <v>60</v>
      </c>
      <c r="I19" s="9">
        <f>ROUNDUP((0)*Parametry!$C$15,0)</f>
        <v>0</v>
      </c>
      <c r="J19" s="9">
        <f>ROUNDUP((Parametry!$C$16*Parametry!$C$17*D19)*Parametry!$C$15,0)</f>
        <v>80</v>
      </c>
      <c r="K19" s="9">
        <f>ROUNDUP((Parametry!$C$16*Parametry!$C$18*D19)*Parametry!$C$15,0)</f>
        <v>80</v>
      </c>
      <c r="L19" s="9">
        <f>ROUNDUP((Parametry!$C$16*Parametry!$C$19*D19)*Parametry!$C$15,0)</f>
        <v>132</v>
      </c>
      <c r="M19" s="9">
        <f>ROUNDUP((0)*Parametry!$C$15,0)</f>
        <v>0</v>
      </c>
      <c r="N19" s="9">
        <f>ROUNDUP((0)*Parametry!$C$15,0)</f>
        <v>0</v>
      </c>
      <c r="O19" s="9">
        <f t="shared" si="1"/>
        <v>2</v>
      </c>
      <c r="P19" s="9">
        <f t="shared" si="2"/>
        <v>2</v>
      </c>
      <c r="Q19" s="9">
        <f t="shared" si="3"/>
        <v>3</v>
      </c>
      <c r="R19" s="9">
        <f t="shared" si="4"/>
        <v>0</v>
      </c>
      <c r="S19" s="9">
        <f t="shared" si="5"/>
        <v>0</v>
      </c>
      <c r="T19" s="9">
        <f t="shared" si="6"/>
        <v>7</v>
      </c>
      <c r="U19" s="9">
        <f t="shared" si="7"/>
        <v>2</v>
      </c>
      <c r="V19" s="9">
        <f>U19*Parametry!$C$11</f>
        <v>10</v>
      </c>
      <c r="W19" s="9">
        <f>2</f>
        <v>2</v>
      </c>
      <c r="X19" s="9">
        <f t="shared" si="8"/>
        <v>10</v>
      </c>
      <c r="Y19" s="9">
        <f t="shared" si="9"/>
        <v>20</v>
      </c>
      <c r="Z19" s="9">
        <f t="shared" si="10"/>
        <v>292</v>
      </c>
      <c r="AA19" s="9" t="s">
        <v>867</v>
      </c>
    </row>
    <row r="20" spans="1:27" ht="69.75" customHeight="1" x14ac:dyDescent="0.3">
      <c r="A20" s="8" t="s">
        <v>84</v>
      </c>
      <c r="B20" s="8" t="s">
        <v>869</v>
      </c>
      <c r="C20" s="8" t="s">
        <v>866</v>
      </c>
      <c r="D20" s="8">
        <v>2</v>
      </c>
      <c r="E20" s="8">
        <f t="shared" si="0"/>
        <v>3</v>
      </c>
      <c r="F20" s="8">
        <v>2</v>
      </c>
      <c r="G20" s="11">
        <f>Parametry!$C$12</f>
        <v>6</v>
      </c>
      <c r="H20" s="8">
        <f>ROUNDDOWN(Parametry!$C$9*Parametry!$C$10^(F20-1),0)</f>
        <v>66</v>
      </c>
      <c r="I20" s="8">
        <f>ROUNDUP((0)*1,0)</f>
        <v>0</v>
      </c>
      <c r="J20" s="8">
        <f>ROUNDUP((Parametry!$C$16*Parametry!$C$17*D20)*1,0)</f>
        <v>144</v>
      </c>
      <c r="K20" s="8">
        <f>ROUNDUP((Parametry!$C$16*Parametry!$C$18*D20)*1,0)</f>
        <v>144</v>
      </c>
      <c r="L20" s="8">
        <f>ROUNDUP((Parametry!$C$16*Parametry!$C$19*D20)*1,0)</f>
        <v>240</v>
      </c>
      <c r="M20" s="8">
        <f>ROUNDUP((0)*1,0)</f>
        <v>0</v>
      </c>
      <c r="N20" s="8">
        <f>ROUNDUP((0)*1,0)</f>
        <v>0</v>
      </c>
      <c r="O20" s="8">
        <f t="shared" si="1"/>
        <v>3</v>
      </c>
      <c r="P20" s="8">
        <f t="shared" si="2"/>
        <v>3</v>
      </c>
      <c r="Q20" s="8">
        <f t="shared" si="3"/>
        <v>4</v>
      </c>
      <c r="R20" s="8">
        <f t="shared" si="4"/>
        <v>0</v>
      </c>
      <c r="S20" s="8">
        <f t="shared" si="5"/>
        <v>0</v>
      </c>
      <c r="T20" s="8">
        <f t="shared" si="6"/>
        <v>10</v>
      </c>
      <c r="U20" s="8">
        <f t="shared" si="7"/>
        <v>2</v>
      </c>
      <c r="V20" s="8">
        <f>U20*Parametry!$C$11</f>
        <v>10</v>
      </c>
      <c r="W20" s="8">
        <f>2</f>
        <v>2</v>
      </c>
      <c r="X20" s="8">
        <f t="shared" si="8"/>
        <v>10</v>
      </c>
      <c r="Y20" s="8">
        <f t="shared" si="9"/>
        <v>20</v>
      </c>
      <c r="Z20" s="8">
        <f t="shared" si="10"/>
        <v>528</v>
      </c>
      <c r="AA20" s="8" t="s">
        <v>867</v>
      </c>
    </row>
    <row r="21" spans="1:27" ht="69.75" customHeight="1" x14ac:dyDescent="0.3">
      <c r="A21" s="9" t="s">
        <v>84</v>
      </c>
      <c r="B21" s="9" t="s">
        <v>869</v>
      </c>
      <c r="C21" s="9" t="s">
        <v>868</v>
      </c>
      <c r="D21" s="9">
        <v>2</v>
      </c>
      <c r="E21" s="9">
        <f t="shared" si="0"/>
        <v>3</v>
      </c>
      <c r="F21" s="9">
        <v>2</v>
      </c>
      <c r="G21" s="12">
        <f>Parametry!$C$12</f>
        <v>6</v>
      </c>
      <c r="H21" s="9">
        <f>ROUNDDOWN(Parametry!$C$9*Parametry!$C$10^(F21-1),0)</f>
        <v>66</v>
      </c>
      <c r="I21" s="9">
        <f>ROUNDUP((0)*Parametry!$C$15,0)</f>
        <v>0</v>
      </c>
      <c r="J21" s="9">
        <f>ROUNDUP((Parametry!$C$16*Parametry!$C$17*D21)*Parametry!$C$15,0)</f>
        <v>159</v>
      </c>
      <c r="K21" s="9">
        <f>ROUNDUP((Parametry!$C$16*Parametry!$C$18*D21)*Parametry!$C$15,0)</f>
        <v>159</v>
      </c>
      <c r="L21" s="9">
        <f>ROUNDUP((Parametry!$C$16*Parametry!$C$19*D21)*Parametry!$C$15,0)</f>
        <v>264</v>
      </c>
      <c r="M21" s="9">
        <f>ROUNDUP((0)*Parametry!$C$15,0)</f>
        <v>0</v>
      </c>
      <c r="N21" s="9">
        <f>ROUNDUP((0)*Parametry!$C$15,0)</f>
        <v>0</v>
      </c>
      <c r="O21" s="9">
        <f t="shared" si="1"/>
        <v>3</v>
      </c>
      <c r="P21" s="9">
        <f t="shared" si="2"/>
        <v>3</v>
      </c>
      <c r="Q21" s="9">
        <f t="shared" si="3"/>
        <v>4</v>
      </c>
      <c r="R21" s="9">
        <f t="shared" si="4"/>
        <v>0</v>
      </c>
      <c r="S21" s="9">
        <f t="shared" si="5"/>
        <v>0</v>
      </c>
      <c r="T21" s="9">
        <f t="shared" si="6"/>
        <v>10</v>
      </c>
      <c r="U21" s="9">
        <f t="shared" si="7"/>
        <v>2</v>
      </c>
      <c r="V21" s="9">
        <f>U21*Parametry!$C$11</f>
        <v>10</v>
      </c>
      <c r="W21" s="9">
        <f>2</f>
        <v>2</v>
      </c>
      <c r="X21" s="9">
        <f t="shared" si="8"/>
        <v>10</v>
      </c>
      <c r="Y21" s="9">
        <f t="shared" si="9"/>
        <v>20</v>
      </c>
      <c r="Z21" s="9">
        <f t="shared" si="10"/>
        <v>582</v>
      </c>
      <c r="AA21" s="9" t="s">
        <v>867</v>
      </c>
    </row>
    <row r="22" spans="1:27" ht="69.75" customHeight="1" x14ac:dyDescent="0.3">
      <c r="A22" s="8" t="s">
        <v>84</v>
      </c>
      <c r="B22" s="8" t="s">
        <v>870</v>
      </c>
      <c r="C22" s="8" t="s">
        <v>866</v>
      </c>
      <c r="D22" s="8">
        <v>3</v>
      </c>
      <c r="E22" s="8">
        <f t="shared" si="0"/>
        <v>4</v>
      </c>
      <c r="F22" s="8">
        <v>3</v>
      </c>
      <c r="G22" s="11">
        <f>Parametry!$C$12</f>
        <v>6</v>
      </c>
      <c r="H22" s="8">
        <f>ROUNDDOWN(Parametry!$C$9*Parametry!$C$10^(F22-1),0)</f>
        <v>72</v>
      </c>
      <c r="I22" s="8">
        <f>ROUNDUP((0)*1,0)</f>
        <v>0</v>
      </c>
      <c r="J22" s="8">
        <f>ROUNDUP((Parametry!$C$16*Parametry!$C$17*D22)*1,0)</f>
        <v>216</v>
      </c>
      <c r="K22" s="8">
        <f>ROUNDUP((Parametry!$C$16*Parametry!$C$18*D22)*1,0)</f>
        <v>216</v>
      </c>
      <c r="L22" s="8">
        <f>ROUNDUP((Parametry!$C$16*Parametry!$C$19*D22)*1,0)</f>
        <v>360</v>
      </c>
      <c r="M22" s="8">
        <f>ROUNDUP((0)*1,0)</f>
        <v>0</v>
      </c>
      <c r="N22" s="8">
        <f>ROUNDUP((0)*1,0)</f>
        <v>0</v>
      </c>
      <c r="O22" s="8">
        <f t="shared" si="1"/>
        <v>3</v>
      </c>
      <c r="P22" s="8">
        <f t="shared" si="2"/>
        <v>3</v>
      </c>
      <c r="Q22" s="8">
        <f t="shared" si="3"/>
        <v>5</v>
      </c>
      <c r="R22" s="8">
        <f t="shared" si="4"/>
        <v>0</v>
      </c>
      <c r="S22" s="8">
        <f t="shared" si="5"/>
        <v>0</v>
      </c>
      <c r="T22" s="8">
        <f t="shared" si="6"/>
        <v>11</v>
      </c>
      <c r="U22" s="8">
        <f t="shared" si="7"/>
        <v>2</v>
      </c>
      <c r="V22" s="8">
        <f>U22*Parametry!$C$11</f>
        <v>10</v>
      </c>
      <c r="W22" s="8">
        <f>2</f>
        <v>2</v>
      </c>
      <c r="X22" s="8">
        <f t="shared" si="8"/>
        <v>10</v>
      </c>
      <c r="Y22" s="8">
        <f t="shared" si="9"/>
        <v>20</v>
      </c>
      <c r="Z22" s="8">
        <f t="shared" si="10"/>
        <v>792</v>
      </c>
      <c r="AA22" s="8" t="s">
        <v>867</v>
      </c>
    </row>
    <row r="23" spans="1:27" ht="69.75" customHeight="1" x14ac:dyDescent="0.3">
      <c r="A23" s="9" t="s">
        <v>84</v>
      </c>
      <c r="B23" s="9" t="s">
        <v>870</v>
      </c>
      <c r="C23" s="9" t="s">
        <v>868</v>
      </c>
      <c r="D23" s="9">
        <v>3</v>
      </c>
      <c r="E23" s="9">
        <f t="shared" si="0"/>
        <v>4</v>
      </c>
      <c r="F23" s="9">
        <v>3</v>
      </c>
      <c r="G23" s="12">
        <f>Parametry!$C$12</f>
        <v>6</v>
      </c>
      <c r="H23" s="9">
        <f>ROUNDDOWN(Parametry!$C$9*Parametry!$C$10^(F23-1),0)</f>
        <v>72</v>
      </c>
      <c r="I23" s="9">
        <f>ROUNDUP((0)*Parametry!$C$15,0)</f>
        <v>0</v>
      </c>
      <c r="J23" s="9">
        <f>ROUNDUP((Parametry!$C$16*Parametry!$C$17*D23)*Parametry!$C$15,0)</f>
        <v>238</v>
      </c>
      <c r="K23" s="9">
        <f>ROUNDUP((Parametry!$C$16*Parametry!$C$18*D23)*Parametry!$C$15,0)</f>
        <v>238</v>
      </c>
      <c r="L23" s="9">
        <f>ROUNDUP((Parametry!$C$16*Parametry!$C$19*D23)*Parametry!$C$15,0)</f>
        <v>396</v>
      </c>
      <c r="M23" s="9">
        <f>ROUNDUP((0)*Parametry!$C$15,0)</f>
        <v>0</v>
      </c>
      <c r="N23" s="9">
        <f>ROUNDUP((0)*Parametry!$C$15,0)</f>
        <v>0</v>
      </c>
      <c r="O23" s="9">
        <f t="shared" si="1"/>
        <v>4</v>
      </c>
      <c r="P23" s="9">
        <f t="shared" si="2"/>
        <v>4</v>
      </c>
      <c r="Q23" s="9">
        <f t="shared" si="3"/>
        <v>6</v>
      </c>
      <c r="R23" s="9">
        <f t="shared" si="4"/>
        <v>0</v>
      </c>
      <c r="S23" s="9">
        <f t="shared" si="5"/>
        <v>0</v>
      </c>
      <c r="T23" s="9">
        <f t="shared" si="6"/>
        <v>14</v>
      </c>
      <c r="U23" s="9">
        <f t="shared" si="7"/>
        <v>3</v>
      </c>
      <c r="V23" s="9">
        <f>U23*Parametry!$C$11</f>
        <v>15</v>
      </c>
      <c r="W23" s="9">
        <f>2</f>
        <v>2</v>
      </c>
      <c r="X23" s="9">
        <f t="shared" si="8"/>
        <v>15</v>
      </c>
      <c r="Y23" s="9">
        <f t="shared" si="9"/>
        <v>30</v>
      </c>
      <c r="Z23" s="9">
        <f t="shared" si="10"/>
        <v>872</v>
      </c>
      <c r="AA23" s="9" t="s">
        <v>867</v>
      </c>
    </row>
    <row r="24" spans="1:27" ht="69.75" customHeight="1" x14ac:dyDescent="0.3">
      <c r="A24" s="8" t="s">
        <v>93</v>
      </c>
      <c r="B24" s="8" t="s">
        <v>865</v>
      </c>
      <c r="C24" s="8" t="s">
        <v>866</v>
      </c>
      <c r="D24" s="8">
        <v>1</v>
      </c>
      <c r="E24" s="8">
        <f t="shared" si="0"/>
        <v>2</v>
      </c>
      <c r="F24" s="8">
        <v>1</v>
      </c>
      <c r="G24" s="11">
        <f>Parametry!$C$12</f>
        <v>6</v>
      </c>
      <c r="H24" s="8">
        <f>ROUNDDOWN(Parametry!$C$9*Parametry!$C$10^(F24-1),0)</f>
        <v>60</v>
      </c>
      <c r="I24" s="8">
        <f>ROUNDUP((0)*1,0)</f>
        <v>0</v>
      </c>
      <c r="J24" s="8">
        <f>ROUNDUP((Parametry!$C$16*Parametry!$C$17*D24)*1,0)</f>
        <v>72</v>
      </c>
      <c r="K24" s="8">
        <f>ROUNDUP((Parametry!$C$16*Parametry!$C$18*D24)*1,0)</f>
        <v>72</v>
      </c>
      <c r="L24" s="8">
        <f>ROUNDUP((0)*1,0)</f>
        <v>0</v>
      </c>
      <c r="M24" s="8">
        <f>ROUNDUP((Parametry!$C$16*Parametry!$C$19*D24)*1,0)</f>
        <v>120</v>
      </c>
      <c r="N24" s="8">
        <f>ROUNDUP((0)*1,0)</f>
        <v>0</v>
      </c>
      <c r="O24" s="8">
        <f t="shared" si="1"/>
        <v>2</v>
      </c>
      <c r="P24" s="8">
        <f t="shared" si="2"/>
        <v>2</v>
      </c>
      <c r="Q24" s="8">
        <f t="shared" si="3"/>
        <v>0</v>
      </c>
      <c r="R24" s="8">
        <f t="shared" si="4"/>
        <v>2</v>
      </c>
      <c r="S24" s="8">
        <f t="shared" si="5"/>
        <v>0</v>
      </c>
      <c r="T24" s="8">
        <f t="shared" si="6"/>
        <v>6</v>
      </c>
      <c r="U24" s="8">
        <f t="shared" si="7"/>
        <v>1</v>
      </c>
      <c r="V24" s="8">
        <f>U24*Parametry!$C$11</f>
        <v>5</v>
      </c>
      <c r="W24" s="8">
        <f>2</f>
        <v>2</v>
      </c>
      <c r="X24" s="8">
        <f t="shared" si="8"/>
        <v>5</v>
      </c>
      <c r="Y24" s="8">
        <f t="shared" si="9"/>
        <v>10</v>
      </c>
      <c r="Z24" s="8">
        <f t="shared" si="10"/>
        <v>264</v>
      </c>
      <c r="AA24" s="8" t="s">
        <v>867</v>
      </c>
    </row>
    <row r="25" spans="1:27" ht="69.75" customHeight="1" x14ac:dyDescent="0.3">
      <c r="A25" s="9" t="s">
        <v>93</v>
      </c>
      <c r="B25" s="9" t="s">
        <v>865</v>
      </c>
      <c r="C25" s="9" t="s">
        <v>868</v>
      </c>
      <c r="D25" s="9">
        <v>1</v>
      </c>
      <c r="E25" s="9">
        <f t="shared" si="0"/>
        <v>2</v>
      </c>
      <c r="F25" s="9">
        <v>1</v>
      </c>
      <c r="G25" s="12">
        <f>Parametry!$C$12</f>
        <v>6</v>
      </c>
      <c r="H25" s="9">
        <f>ROUNDDOWN(Parametry!$C$9*Parametry!$C$10^(F25-1),0)</f>
        <v>60</v>
      </c>
      <c r="I25" s="9">
        <f>ROUNDUP((0)*Parametry!$C$15,0)</f>
        <v>0</v>
      </c>
      <c r="J25" s="9">
        <f>ROUNDUP((Parametry!$C$16*Parametry!$C$17*D25)*Parametry!$C$15,0)</f>
        <v>80</v>
      </c>
      <c r="K25" s="9">
        <f>ROUNDUP((Parametry!$C$16*Parametry!$C$18*D25)*Parametry!$C$15,0)</f>
        <v>80</v>
      </c>
      <c r="L25" s="9">
        <f>ROUNDUP((0)*Parametry!$C$15,0)</f>
        <v>0</v>
      </c>
      <c r="M25" s="9">
        <f>ROUNDUP((Parametry!$C$16*Parametry!$C$19*D25)*Parametry!$C$15,0)</f>
        <v>132</v>
      </c>
      <c r="N25" s="9">
        <f>ROUNDUP((0)*Parametry!$C$15,0)</f>
        <v>0</v>
      </c>
      <c r="O25" s="9">
        <f t="shared" si="1"/>
        <v>2</v>
      </c>
      <c r="P25" s="9">
        <f t="shared" si="2"/>
        <v>2</v>
      </c>
      <c r="Q25" s="9">
        <f t="shared" si="3"/>
        <v>0</v>
      </c>
      <c r="R25" s="9">
        <f t="shared" si="4"/>
        <v>3</v>
      </c>
      <c r="S25" s="9">
        <f t="shared" si="5"/>
        <v>0</v>
      </c>
      <c r="T25" s="9">
        <f t="shared" si="6"/>
        <v>7</v>
      </c>
      <c r="U25" s="9">
        <f t="shared" si="7"/>
        <v>2</v>
      </c>
      <c r="V25" s="9">
        <f>U25*Parametry!$C$11</f>
        <v>10</v>
      </c>
      <c r="W25" s="9">
        <f>2</f>
        <v>2</v>
      </c>
      <c r="X25" s="9">
        <f t="shared" si="8"/>
        <v>10</v>
      </c>
      <c r="Y25" s="9">
        <f t="shared" si="9"/>
        <v>20</v>
      </c>
      <c r="Z25" s="9">
        <f t="shared" si="10"/>
        <v>292</v>
      </c>
      <c r="AA25" s="9" t="s">
        <v>867</v>
      </c>
    </row>
    <row r="26" spans="1:27" ht="69.75" customHeight="1" x14ac:dyDescent="0.3">
      <c r="A26" s="8" t="s">
        <v>93</v>
      </c>
      <c r="B26" s="8" t="s">
        <v>869</v>
      </c>
      <c r="C26" s="8" t="s">
        <v>866</v>
      </c>
      <c r="D26" s="8">
        <v>2</v>
      </c>
      <c r="E26" s="8">
        <f t="shared" si="0"/>
        <v>3</v>
      </c>
      <c r="F26" s="8">
        <v>2</v>
      </c>
      <c r="G26" s="11">
        <f>Parametry!$C$12</f>
        <v>6</v>
      </c>
      <c r="H26" s="8">
        <f>ROUNDDOWN(Parametry!$C$9*Parametry!$C$10^(F26-1),0)</f>
        <v>66</v>
      </c>
      <c r="I26" s="8">
        <f>ROUNDUP((0)*1,0)</f>
        <v>0</v>
      </c>
      <c r="J26" s="8">
        <f>ROUNDUP((Parametry!$C$16*Parametry!$C$17*D26)*1,0)</f>
        <v>144</v>
      </c>
      <c r="K26" s="8">
        <f>ROUNDUP((Parametry!$C$16*Parametry!$C$18*D26)*1,0)</f>
        <v>144</v>
      </c>
      <c r="L26" s="8">
        <f>ROUNDUP((0)*1,0)</f>
        <v>0</v>
      </c>
      <c r="M26" s="8">
        <f>ROUNDUP((Parametry!$C$16*Parametry!$C$19*D26)*1,0)</f>
        <v>240</v>
      </c>
      <c r="N26" s="8">
        <f>ROUNDUP((0)*1,0)</f>
        <v>0</v>
      </c>
      <c r="O26" s="8">
        <f t="shared" si="1"/>
        <v>3</v>
      </c>
      <c r="P26" s="8">
        <f t="shared" si="2"/>
        <v>3</v>
      </c>
      <c r="Q26" s="8">
        <f t="shared" si="3"/>
        <v>0</v>
      </c>
      <c r="R26" s="8">
        <f t="shared" si="4"/>
        <v>4</v>
      </c>
      <c r="S26" s="8">
        <f t="shared" si="5"/>
        <v>0</v>
      </c>
      <c r="T26" s="8">
        <f t="shared" si="6"/>
        <v>10</v>
      </c>
      <c r="U26" s="8">
        <f t="shared" si="7"/>
        <v>2</v>
      </c>
      <c r="V26" s="8">
        <f>U26*Parametry!$C$11</f>
        <v>10</v>
      </c>
      <c r="W26" s="8">
        <f>2</f>
        <v>2</v>
      </c>
      <c r="X26" s="8">
        <f t="shared" si="8"/>
        <v>10</v>
      </c>
      <c r="Y26" s="8">
        <f t="shared" si="9"/>
        <v>20</v>
      </c>
      <c r="Z26" s="8">
        <f t="shared" si="10"/>
        <v>528</v>
      </c>
      <c r="AA26" s="8" t="s">
        <v>867</v>
      </c>
    </row>
    <row r="27" spans="1:27" ht="69.75" customHeight="1" x14ac:dyDescent="0.3">
      <c r="A27" s="9" t="s">
        <v>93</v>
      </c>
      <c r="B27" s="9" t="s">
        <v>869</v>
      </c>
      <c r="C27" s="9" t="s">
        <v>868</v>
      </c>
      <c r="D27" s="9">
        <v>2</v>
      </c>
      <c r="E27" s="9">
        <f t="shared" si="0"/>
        <v>3</v>
      </c>
      <c r="F27" s="9">
        <v>2</v>
      </c>
      <c r="G27" s="12">
        <f>Parametry!$C$12</f>
        <v>6</v>
      </c>
      <c r="H27" s="9">
        <f>ROUNDDOWN(Parametry!$C$9*Parametry!$C$10^(F27-1),0)</f>
        <v>66</v>
      </c>
      <c r="I27" s="9">
        <f>ROUNDUP((0)*Parametry!$C$15,0)</f>
        <v>0</v>
      </c>
      <c r="J27" s="9">
        <f>ROUNDUP((Parametry!$C$16*Parametry!$C$17*D27)*Parametry!$C$15,0)</f>
        <v>159</v>
      </c>
      <c r="K27" s="9">
        <f>ROUNDUP((Parametry!$C$16*Parametry!$C$18*D27)*Parametry!$C$15,0)</f>
        <v>159</v>
      </c>
      <c r="L27" s="9">
        <f>ROUNDUP((0)*Parametry!$C$15,0)</f>
        <v>0</v>
      </c>
      <c r="M27" s="9">
        <f>ROUNDUP((Parametry!$C$16*Parametry!$C$19*D27)*Parametry!$C$15,0)</f>
        <v>264</v>
      </c>
      <c r="N27" s="9">
        <f>ROUNDUP((0)*Parametry!$C$15,0)</f>
        <v>0</v>
      </c>
      <c r="O27" s="9">
        <f t="shared" si="1"/>
        <v>3</v>
      </c>
      <c r="P27" s="9">
        <f t="shared" si="2"/>
        <v>3</v>
      </c>
      <c r="Q27" s="9">
        <f t="shared" si="3"/>
        <v>0</v>
      </c>
      <c r="R27" s="9">
        <f t="shared" si="4"/>
        <v>4</v>
      </c>
      <c r="S27" s="9">
        <f t="shared" si="5"/>
        <v>0</v>
      </c>
      <c r="T27" s="9">
        <f t="shared" si="6"/>
        <v>10</v>
      </c>
      <c r="U27" s="9">
        <f t="shared" si="7"/>
        <v>2</v>
      </c>
      <c r="V27" s="9">
        <f>U27*Parametry!$C$11</f>
        <v>10</v>
      </c>
      <c r="W27" s="9">
        <f>2</f>
        <v>2</v>
      </c>
      <c r="X27" s="9">
        <f t="shared" si="8"/>
        <v>10</v>
      </c>
      <c r="Y27" s="9">
        <f t="shared" si="9"/>
        <v>20</v>
      </c>
      <c r="Z27" s="9">
        <f t="shared" si="10"/>
        <v>582</v>
      </c>
      <c r="AA27" s="9" t="s">
        <v>867</v>
      </c>
    </row>
    <row r="28" spans="1:27" ht="69.75" customHeight="1" x14ac:dyDescent="0.3">
      <c r="A28" s="8" t="s">
        <v>93</v>
      </c>
      <c r="B28" s="8" t="s">
        <v>870</v>
      </c>
      <c r="C28" s="8" t="s">
        <v>866</v>
      </c>
      <c r="D28" s="8">
        <v>3</v>
      </c>
      <c r="E28" s="8">
        <f t="shared" si="0"/>
        <v>4</v>
      </c>
      <c r="F28" s="8">
        <v>3</v>
      </c>
      <c r="G28" s="11">
        <f>Parametry!$C$12</f>
        <v>6</v>
      </c>
      <c r="H28" s="8">
        <f>ROUNDDOWN(Parametry!$C$9*Parametry!$C$10^(F28-1),0)</f>
        <v>72</v>
      </c>
      <c r="I28" s="8">
        <f>ROUNDUP((0)*1,0)</f>
        <v>0</v>
      </c>
      <c r="J28" s="8">
        <f>ROUNDUP((Parametry!$C$16*Parametry!$C$17*D28)*1,0)</f>
        <v>216</v>
      </c>
      <c r="K28" s="8">
        <f>ROUNDUP((Parametry!$C$16*Parametry!$C$18*D28)*1,0)</f>
        <v>216</v>
      </c>
      <c r="L28" s="8">
        <f>ROUNDUP((0)*1,0)</f>
        <v>0</v>
      </c>
      <c r="M28" s="8">
        <f>ROUNDUP((Parametry!$C$16*Parametry!$C$19*D28)*1,0)</f>
        <v>360</v>
      </c>
      <c r="N28" s="8">
        <f>ROUNDUP((0)*1,0)</f>
        <v>0</v>
      </c>
      <c r="O28" s="8">
        <f t="shared" si="1"/>
        <v>3</v>
      </c>
      <c r="P28" s="8">
        <f t="shared" si="2"/>
        <v>3</v>
      </c>
      <c r="Q28" s="8">
        <f t="shared" si="3"/>
        <v>0</v>
      </c>
      <c r="R28" s="8">
        <f t="shared" si="4"/>
        <v>5</v>
      </c>
      <c r="S28" s="8">
        <f t="shared" si="5"/>
        <v>0</v>
      </c>
      <c r="T28" s="8">
        <f t="shared" si="6"/>
        <v>11</v>
      </c>
      <c r="U28" s="8">
        <f t="shared" si="7"/>
        <v>2</v>
      </c>
      <c r="V28" s="8">
        <f>U28*Parametry!$C$11</f>
        <v>10</v>
      </c>
      <c r="W28" s="8">
        <f>2</f>
        <v>2</v>
      </c>
      <c r="X28" s="8">
        <f t="shared" si="8"/>
        <v>10</v>
      </c>
      <c r="Y28" s="8">
        <f t="shared" si="9"/>
        <v>20</v>
      </c>
      <c r="Z28" s="8">
        <f t="shared" si="10"/>
        <v>792</v>
      </c>
      <c r="AA28" s="8" t="s">
        <v>867</v>
      </c>
    </row>
    <row r="29" spans="1:27" ht="69.75" customHeight="1" x14ac:dyDescent="0.3">
      <c r="A29" s="9" t="s">
        <v>93</v>
      </c>
      <c r="B29" s="9" t="s">
        <v>870</v>
      </c>
      <c r="C29" s="9" t="s">
        <v>868</v>
      </c>
      <c r="D29" s="9">
        <v>3</v>
      </c>
      <c r="E29" s="9">
        <f t="shared" si="0"/>
        <v>4</v>
      </c>
      <c r="F29" s="9">
        <v>3</v>
      </c>
      <c r="G29" s="12">
        <f>Parametry!$C$12</f>
        <v>6</v>
      </c>
      <c r="H29" s="9">
        <f>ROUNDDOWN(Parametry!$C$9*Parametry!$C$10^(F29-1),0)</f>
        <v>72</v>
      </c>
      <c r="I29" s="9">
        <f>ROUNDUP((0)*Parametry!$C$15,0)</f>
        <v>0</v>
      </c>
      <c r="J29" s="9">
        <f>ROUNDUP((Parametry!$C$16*Parametry!$C$17*D29)*Parametry!$C$15,0)</f>
        <v>238</v>
      </c>
      <c r="K29" s="9">
        <f>ROUNDUP((Parametry!$C$16*Parametry!$C$18*D29)*Parametry!$C$15,0)</f>
        <v>238</v>
      </c>
      <c r="L29" s="9">
        <f>ROUNDUP((0)*Parametry!$C$15,0)</f>
        <v>0</v>
      </c>
      <c r="M29" s="9">
        <f>ROUNDUP((Parametry!$C$16*Parametry!$C$19*D29)*Parametry!$C$15,0)</f>
        <v>396</v>
      </c>
      <c r="N29" s="9">
        <f>ROUNDUP((0)*Parametry!$C$15,0)</f>
        <v>0</v>
      </c>
      <c r="O29" s="9">
        <f t="shared" si="1"/>
        <v>4</v>
      </c>
      <c r="P29" s="9">
        <f t="shared" si="2"/>
        <v>4</v>
      </c>
      <c r="Q29" s="9">
        <f t="shared" si="3"/>
        <v>0</v>
      </c>
      <c r="R29" s="9">
        <f t="shared" si="4"/>
        <v>6</v>
      </c>
      <c r="S29" s="9">
        <f t="shared" si="5"/>
        <v>0</v>
      </c>
      <c r="T29" s="9">
        <f t="shared" si="6"/>
        <v>14</v>
      </c>
      <c r="U29" s="9">
        <f t="shared" si="7"/>
        <v>3</v>
      </c>
      <c r="V29" s="9">
        <f>U29*Parametry!$C$11</f>
        <v>15</v>
      </c>
      <c r="W29" s="9">
        <f>2</f>
        <v>2</v>
      </c>
      <c r="X29" s="9">
        <f t="shared" si="8"/>
        <v>15</v>
      </c>
      <c r="Y29" s="9">
        <f t="shared" si="9"/>
        <v>30</v>
      </c>
      <c r="Z29" s="9">
        <f t="shared" si="10"/>
        <v>872</v>
      </c>
      <c r="AA29" s="9" t="s">
        <v>867</v>
      </c>
    </row>
    <row r="30" spans="1:27" ht="69.75" customHeight="1" x14ac:dyDescent="0.3">
      <c r="A30" s="8" t="s">
        <v>96</v>
      </c>
      <c r="B30" s="8" t="s">
        <v>865</v>
      </c>
      <c r="C30" s="8" t="s">
        <v>866</v>
      </c>
      <c r="D30" s="8">
        <v>1</v>
      </c>
      <c r="E30" s="8">
        <f t="shared" si="0"/>
        <v>2</v>
      </c>
      <c r="F30" s="8">
        <v>1</v>
      </c>
      <c r="G30" s="11">
        <f>Parametry!$C$12</f>
        <v>6</v>
      </c>
      <c r="H30" s="8">
        <f>ROUNDDOWN(Parametry!$C$9*Parametry!$C$10^(F30-1),0)</f>
        <v>60</v>
      </c>
      <c r="I30" s="8">
        <f>ROUNDUP((0)*1,0)</f>
        <v>0</v>
      </c>
      <c r="J30" s="8">
        <f>ROUNDUP((Parametry!$C$16*Parametry!$C$17*D30+Parametry!$C$16*Parametry!$C$19*D30)*1,0)</f>
        <v>192</v>
      </c>
      <c r="K30" s="8">
        <f>ROUNDUP((Parametry!$C$16*Parametry!$C$18*D30)*1,0)</f>
        <v>72</v>
      </c>
      <c r="L30" s="8">
        <f>ROUNDUP((0)*1,0)</f>
        <v>0</v>
      </c>
      <c r="M30" s="8">
        <f>ROUNDUP((0)*1,0)</f>
        <v>0</v>
      </c>
      <c r="N30" s="8">
        <f>ROUNDUP((0)*1,0)</f>
        <v>0</v>
      </c>
      <c r="O30" s="8">
        <f t="shared" si="1"/>
        <v>4</v>
      </c>
      <c r="P30" s="8">
        <f t="shared" si="2"/>
        <v>2</v>
      </c>
      <c r="Q30" s="8">
        <f t="shared" si="3"/>
        <v>0</v>
      </c>
      <c r="R30" s="8">
        <f t="shared" si="4"/>
        <v>0</v>
      </c>
      <c r="S30" s="8">
        <f t="shared" si="5"/>
        <v>0</v>
      </c>
      <c r="T30" s="8">
        <f t="shared" si="6"/>
        <v>6</v>
      </c>
      <c r="U30" s="8">
        <f t="shared" si="7"/>
        <v>1</v>
      </c>
      <c r="V30" s="8">
        <f>U30*Parametry!$C$11</f>
        <v>5</v>
      </c>
      <c r="W30" s="8">
        <f>2</f>
        <v>2</v>
      </c>
      <c r="X30" s="8">
        <f t="shared" si="8"/>
        <v>5</v>
      </c>
      <c r="Y30" s="8">
        <f t="shared" si="9"/>
        <v>10</v>
      </c>
      <c r="Z30" s="8">
        <f t="shared" si="10"/>
        <v>264</v>
      </c>
      <c r="AA30" s="8" t="s">
        <v>867</v>
      </c>
    </row>
    <row r="31" spans="1:27" ht="69.75" customHeight="1" x14ac:dyDescent="0.3">
      <c r="A31" s="9" t="s">
        <v>96</v>
      </c>
      <c r="B31" s="9" t="s">
        <v>865</v>
      </c>
      <c r="C31" s="9" t="s">
        <v>868</v>
      </c>
      <c r="D31" s="9">
        <v>1</v>
      </c>
      <c r="E31" s="9">
        <f t="shared" si="0"/>
        <v>2</v>
      </c>
      <c r="F31" s="9">
        <v>1</v>
      </c>
      <c r="G31" s="12">
        <f>Parametry!$C$12</f>
        <v>6</v>
      </c>
      <c r="H31" s="9">
        <f>ROUNDDOWN(Parametry!$C$9*Parametry!$C$10^(F31-1),0)</f>
        <v>60</v>
      </c>
      <c r="I31" s="9">
        <f>ROUNDUP((0)*Parametry!$C$15,0)</f>
        <v>0</v>
      </c>
      <c r="J31" s="9">
        <f>ROUNDUP((Parametry!$C$16*Parametry!$C$17*D31+Parametry!$C$16*Parametry!$C$19*D31)*Parametry!$C$15,0)</f>
        <v>212</v>
      </c>
      <c r="K31" s="9">
        <f>ROUNDUP((Parametry!$C$16*Parametry!$C$18*D31)*Parametry!$C$15,0)</f>
        <v>80</v>
      </c>
      <c r="L31" s="9">
        <f>ROUNDUP((0)*Parametry!$C$15,0)</f>
        <v>0</v>
      </c>
      <c r="M31" s="9">
        <f>ROUNDUP((0)*Parametry!$C$15,0)</f>
        <v>0</v>
      </c>
      <c r="N31" s="9">
        <f>ROUNDUP((0)*Parametry!$C$15,0)</f>
        <v>0</v>
      </c>
      <c r="O31" s="9">
        <f t="shared" si="1"/>
        <v>4</v>
      </c>
      <c r="P31" s="9">
        <f t="shared" si="2"/>
        <v>2</v>
      </c>
      <c r="Q31" s="9">
        <f t="shared" si="3"/>
        <v>0</v>
      </c>
      <c r="R31" s="9">
        <f t="shared" si="4"/>
        <v>0</v>
      </c>
      <c r="S31" s="9">
        <f t="shared" si="5"/>
        <v>0</v>
      </c>
      <c r="T31" s="9">
        <f t="shared" si="6"/>
        <v>6</v>
      </c>
      <c r="U31" s="9">
        <f t="shared" si="7"/>
        <v>1</v>
      </c>
      <c r="V31" s="9">
        <f>U31*Parametry!$C$11</f>
        <v>5</v>
      </c>
      <c r="W31" s="9">
        <f>2</f>
        <v>2</v>
      </c>
      <c r="X31" s="9">
        <f t="shared" si="8"/>
        <v>5</v>
      </c>
      <c r="Y31" s="9">
        <f t="shared" si="9"/>
        <v>10</v>
      </c>
      <c r="Z31" s="9">
        <f t="shared" si="10"/>
        <v>292</v>
      </c>
      <c r="AA31" s="9" t="s">
        <v>867</v>
      </c>
    </row>
    <row r="32" spans="1:27" ht="69.75" customHeight="1" x14ac:dyDescent="0.3">
      <c r="A32" s="8" t="s">
        <v>96</v>
      </c>
      <c r="B32" s="8" t="s">
        <v>869</v>
      </c>
      <c r="C32" s="8" t="s">
        <v>866</v>
      </c>
      <c r="D32" s="8">
        <v>2</v>
      </c>
      <c r="E32" s="8">
        <f t="shared" si="0"/>
        <v>3</v>
      </c>
      <c r="F32" s="8">
        <v>2</v>
      </c>
      <c r="G32" s="11">
        <f>Parametry!$C$12</f>
        <v>6</v>
      </c>
      <c r="H32" s="8">
        <f>ROUNDDOWN(Parametry!$C$9*Parametry!$C$10^(F32-1),0)</f>
        <v>66</v>
      </c>
      <c r="I32" s="8">
        <f>ROUNDUP((0)*1,0)</f>
        <v>0</v>
      </c>
      <c r="J32" s="8">
        <f>ROUNDUP((Parametry!$C$16*Parametry!$C$17*D32+Parametry!$C$16*Parametry!$C$19*D32)*1,0)</f>
        <v>384</v>
      </c>
      <c r="K32" s="8">
        <f>ROUNDUP((Parametry!$C$16*Parametry!$C$18*D32)*1,0)</f>
        <v>144</v>
      </c>
      <c r="L32" s="8">
        <f>ROUNDUP((0)*1,0)</f>
        <v>0</v>
      </c>
      <c r="M32" s="8">
        <f>ROUNDUP((0)*1,0)</f>
        <v>0</v>
      </c>
      <c r="N32" s="8">
        <f>ROUNDUP((0)*1,0)</f>
        <v>0</v>
      </c>
      <c r="O32" s="8">
        <f t="shared" si="1"/>
        <v>6</v>
      </c>
      <c r="P32" s="8">
        <f t="shared" si="2"/>
        <v>3</v>
      </c>
      <c r="Q32" s="8">
        <f t="shared" si="3"/>
        <v>0</v>
      </c>
      <c r="R32" s="8">
        <f t="shared" si="4"/>
        <v>0</v>
      </c>
      <c r="S32" s="8">
        <f t="shared" si="5"/>
        <v>0</v>
      </c>
      <c r="T32" s="8">
        <f t="shared" si="6"/>
        <v>9</v>
      </c>
      <c r="U32" s="8">
        <f t="shared" si="7"/>
        <v>2</v>
      </c>
      <c r="V32" s="8">
        <f>U32*Parametry!$C$11</f>
        <v>10</v>
      </c>
      <c r="W32" s="8">
        <f>2</f>
        <v>2</v>
      </c>
      <c r="X32" s="8">
        <f t="shared" si="8"/>
        <v>10</v>
      </c>
      <c r="Y32" s="8">
        <f t="shared" si="9"/>
        <v>20</v>
      </c>
      <c r="Z32" s="8">
        <f t="shared" si="10"/>
        <v>528</v>
      </c>
      <c r="AA32" s="8" t="s">
        <v>867</v>
      </c>
    </row>
    <row r="33" spans="1:27" ht="69.75" customHeight="1" x14ac:dyDescent="0.3">
      <c r="A33" s="9" t="s">
        <v>96</v>
      </c>
      <c r="B33" s="9" t="s">
        <v>869</v>
      </c>
      <c r="C33" s="9" t="s">
        <v>868</v>
      </c>
      <c r="D33" s="9">
        <v>2</v>
      </c>
      <c r="E33" s="9">
        <f t="shared" si="0"/>
        <v>3</v>
      </c>
      <c r="F33" s="9">
        <v>2</v>
      </c>
      <c r="G33" s="12">
        <f>Parametry!$C$12</f>
        <v>6</v>
      </c>
      <c r="H33" s="9">
        <f>ROUNDDOWN(Parametry!$C$9*Parametry!$C$10^(F33-1),0)</f>
        <v>66</v>
      </c>
      <c r="I33" s="9">
        <f>ROUNDUP((0)*Parametry!$C$15,0)</f>
        <v>0</v>
      </c>
      <c r="J33" s="9">
        <f>ROUNDUP((Parametry!$C$16*Parametry!$C$17*D33+Parametry!$C$16*Parametry!$C$19*D33)*Parametry!$C$15,0)</f>
        <v>423</v>
      </c>
      <c r="K33" s="9">
        <f>ROUNDUP((Parametry!$C$16*Parametry!$C$18*D33)*Parametry!$C$15,0)</f>
        <v>159</v>
      </c>
      <c r="L33" s="9">
        <f>ROUNDUP((0)*Parametry!$C$15,0)</f>
        <v>0</v>
      </c>
      <c r="M33" s="9">
        <f>ROUNDUP((0)*Parametry!$C$15,0)</f>
        <v>0</v>
      </c>
      <c r="N33" s="9">
        <f>ROUNDUP((0)*Parametry!$C$15,0)</f>
        <v>0</v>
      </c>
      <c r="O33" s="9">
        <f t="shared" si="1"/>
        <v>7</v>
      </c>
      <c r="P33" s="9">
        <f t="shared" si="2"/>
        <v>3</v>
      </c>
      <c r="Q33" s="9">
        <f t="shared" si="3"/>
        <v>0</v>
      </c>
      <c r="R33" s="9">
        <f t="shared" si="4"/>
        <v>0</v>
      </c>
      <c r="S33" s="9">
        <f t="shared" si="5"/>
        <v>0</v>
      </c>
      <c r="T33" s="9">
        <f t="shared" si="6"/>
        <v>10</v>
      </c>
      <c r="U33" s="9">
        <f t="shared" si="7"/>
        <v>2</v>
      </c>
      <c r="V33" s="9">
        <f>U33*Parametry!$C$11</f>
        <v>10</v>
      </c>
      <c r="W33" s="9">
        <f>2</f>
        <v>2</v>
      </c>
      <c r="X33" s="9">
        <f t="shared" si="8"/>
        <v>10</v>
      </c>
      <c r="Y33" s="9">
        <f t="shared" si="9"/>
        <v>20</v>
      </c>
      <c r="Z33" s="9">
        <f t="shared" si="10"/>
        <v>582</v>
      </c>
      <c r="AA33" s="9" t="s">
        <v>867</v>
      </c>
    </row>
    <row r="34" spans="1:27" ht="69.75" customHeight="1" x14ac:dyDescent="0.3">
      <c r="A34" s="8" t="s">
        <v>96</v>
      </c>
      <c r="B34" s="8" t="s">
        <v>870</v>
      </c>
      <c r="C34" s="8" t="s">
        <v>866</v>
      </c>
      <c r="D34" s="8">
        <v>3</v>
      </c>
      <c r="E34" s="8">
        <f t="shared" si="0"/>
        <v>4</v>
      </c>
      <c r="F34" s="8">
        <v>3</v>
      </c>
      <c r="G34" s="11">
        <f>Parametry!$C$12</f>
        <v>6</v>
      </c>
      <c r="H34" s="8">
        <f>ROUNDDOWN(Parametry!$C$9*Parametry!$C$10^(F34-1),0)</f>
        <v>72</v>
      </c>
      <c r="I34" s="8">
        <f>ROUNDUP((0)*1,0)</f>
        <v>0</v>
      </c>
      <c r="J34" s="8">
        <f>ROUNDUP((Parametry!$C$16*Parametry!$C$17*D34+Parametry!$C$16*Parametry!$C$19*D34)*1,0)</f>
        <v>576</v>
      </c>
      <c r="K34" s="8">
        <f>ROUNDUP((Parametry!$C$16*Parametry!$C$18*D34)*1,0)</f>
        <v>216</v>
      </c>
      <c r="L34" s="8">
        <f>ROUNDUP((0)*1,0)</f>
        <v>0</v>
      </c>
      <c r="M34" s="8">
        <f>ROUNDUP((0)*1,0)</f>
        <v>0</v>
      </c>
      <c r="N34" s="8">
        <f>ROUNDUP((0)*1,0)</f>
        <v>0</v>
      </c>
      <c r="O34" s="8">
        <f t="shared" si="1"/>
        <v>8</v>
      </c>
      <c r="P34" s="8">
        <f t="shared" si="2"/>
        <v>3</v>
      </c>
      <c r="Q34" s="8">
        <f t="shared" si="3"/>
        <v>0</v>
      </c>
      <c r="R34" s="8">
        <f t="shared" si="4"/>
        <v>0</v>
      </c>
      <c r="S34" s="8">
        <f t="shared" si="5"/>
        <v>0</v>
      </c>
      <c r="T34" s="8">
        <f t="shared" si="6"/>
        <v>11</v>
      </c>
      <c r="U34" s="8">
        <f t="shared" si="7"/>
        <v>2</v>
      </c>
      <c r="V34" s="8">
        <f>U34*Parametry!$C$11</f>
        <v>10</v>
      </c>
      <c r="W34" s="8">
        <f>2</f>
        <v>2</v>
      </c>
      <c r="X34" s="8">
        <f t="shared" si="8"/>
        <v>10</v>
      </c>
      <c r="Y34" s="8">
        <f t="shared" si="9"/>
        <v>20</v>
      </c>
      <c r="Z34" s="8">
        <f t="shared" si="10"/>
        <v>792</v>
      </c>
      <c r="AA34" s="8" t="s">
        <v>867</v>
      </c>
    </row>
    <row r="35" spans="1:27" ht="69.75" customHeight="1" x14ac:dyDescent="0.3">
      <c r="A35" s="9" t="s">
        <v>96</v>
      </c>
      <c r="B35" s="9" t="s">
        <v>870</v>
      </c>
      <c r="C35" s="9" t="s">
        <v>868</v>
      </c>
      <c r="D35" s="9">
        <v>3</v>
      </c>
      <c r="E35" s="9">
        <f t="shared" si="0"/>
        <v>4</v>
      </c>
      <c r="F35" s="9">
        <v>3</v>
      </c>
      <c r="G35" s="12">
        <f>Parametry!$C$12</f>
        <v>6</v>
      </c>
      <c r="H35" s="9">
        <f>ROUNDDOWN(Parametry!$C$9*Parametry!$C$10^(F35-1),0)</f>
        <v>72</v>
      </c>
      <c r="I35" s="9">
        <f>ROUNDUP((0)*Parametry!$C$15,0)</f>
        <v>0</v>
      </c>
      <c r="J35" s="9">
        <f>ROUNDUP((Parametry!$C$16*Parametry!$C$17*D35+Parametry!$C$16*Parametry!$C$19*D35)*Parametry!$C$15,0)</f>
        <v>634</v>
      </c>
      <c r="K35" s="9">
        <f>ROUNDUP((Parametry!$C$16*Parametry!$C$18*D35)*Parametry!$C$15,0)</f>
        <v>238</v>
      </c>
      <c r="L35" s="9">
        <f>ROUNDUP((0)*Parametry!$C$15,0)</f>
        <v>0</v>
      </c>
      <c r="M35" s="9">
        <f>ROUNDUP((0)*Parametry!$C$15,0)</f>
        <v>0</v>
      </c>
      <c r="N35" s="9">
        <f>ROUNDUP((0)*Parametry!$C$15,0)</f>
        <v>0</v>
      </c>
      <c r="O35" s="9">
        <f t="shared" si="1"/>
        <v>9</v>
      </c>
      <c r="P35" s="9">
        <f t="shared" si="2"/>
        <v>4</v>
      </c>
      <c r="Q35" s="9">
        <f t="shared" si="3"/>
        <v>0</v>
      </c>
      <c r="R35" s="9">
        <f t="shared" si="4"/>
        <v>0</v>
      </c>
      <c r="S35" s="9">
        <f t="shared" si="5"/>
        <v>0</v>
      </c>
      <c r="T35" s="9">
        <f t="shared" si="6"/>
        <v>13</v>
      </c>
      <c r="U35" s="9">
        <f t="shared" si="7"/>
        <v>3</v>
      </c>
      <c r="V35" s="9">
        <f>U35*Parametry!$C$11</f>
        <v>15</v>
      </c>
      <c r="W35" s="9">
        <f>2</f>
        <v>2</v>
      </c>
      <c r="X35" s="9">
        <f t="shared" si="8"/>
        <v>15</v>
      </c>
      <c r="Y35" s="9">
        <f t="shared" si="9"/>
        <v>30</v>
      </c>
      <c r="Z35" s="9">
        <f t="shared" si="10"/>
        <v>872</v>
      </c>
      <c r="AA35" s="9" t="s">
        <v>867</v>
      </c>
    </row>
    <row r="36" spans="1:27" ht="69.75" customHeight="1" x14ac:dyDescent="0.3">
      <c r="A36" s="8" t="s">
        <v>99</v>
      </c>
      <c r="B36" s="8" t="s">
        <v>865</v>
      </c>
      <c r="C36" s="8" t="s">
        <v>866</v>
      </c>
      <c r="D36" s="8">
        <v>1</v>
      </c>
      <c r="E36" s="8">
        <f t="shared" si="0"/>
        <v>2</v>
      </c>
      <c r="F36" s="8">
        <v>1</v>
      </c>
      <c r="G36" s="11">
        <f>Parametry!$C$12</f>
        <v>6</v>
      </c>
      <c r="H36" s="8">
        <f>ROUNDDOWN(Parametry!$C$9*Parametry!$C$10^(F36-1),0)</f>
        <v>60</v>
      </c>
      <c r="I36" s="8">
        <f>ROUNDUP((0)*1,0)</f>
        <v>0</v>
      </c>
      <c r="J36" s="8">
        <f>ROUNDUP((Parametry!$C$16*Parametry!$C$17*D36)*1,0)</f>
        <v>72</v>
      </c>
      <c r="K36" s="8">
        <f>ROUNDUP((Parametry!$C$16*Parametry!$C$18*D36)*1,0)</f>
        <v>72</v>
      </c>
      <c r="L36" s="8">
        <f>ROUNDUP((0)*1,0)</f>
        <v>0</v>
      </c>
      <c r="M36" s="8">
        <f>ROUNDUP((0)*1,0)</f>
        <v>0</v>
      </c>
      <c r="N36" s="8">
        <f>ROUNDUP((Parametry!$C$16*Parametry!$C$19*D36)*1,0)</f>
        <v>120</v>
      </c>
      <c r="O36" s="8">
        <f t="shared" si="1"/>
        <v>2</v>
      </c>
      <c r="P36" s="8">
        <f t="shared" si="2"/>
        <v>2</v>
      </c>
      <c r="Q36" s="8">
        <f t="shared" si="3"/>
        <v>0</v>
      </c>
      <c r="R36" s="8">
        <f t="shared" si="4"/>
        <v>0</v>
      </c>
      <c r="S36" s="8">
        <f t="shared" si="5"/>
        <v>2</v>
      </c>
      <c r="T36" s="8">
        <f t="shared" si="6"/>
        <v>6</v>
      </c>
      <c r="U36" s="8">
        <f t="shared" si="7"/>
        <v>1</v>
      </c>
      <c r="V36" s="8">
        <f>U36*Parametry!$C$11</f>
        <v>5</v>
      </c>
      <c r="W36" s="8">
        <f>2</f>
        <v>2</v>
      </c>
      <c r="X36" s="8">
        <f t="shared" si="8"/>
        <v>5</v>
      </c>
      <c r="Y36" s="8">
        <f t="shared" si="9"/>
        <v>10</v>
      </c>
      <c r="Z36" s="8">
        <f t="shared" si="10"/>
        <v>264</v>
      </c>
      <c r="AA36" s="8" t="s">
        <v>867</v>
      </c>
    </row>
    <row r="37" spans="1:27" ht="69.75" customHeight="1" x14ac:dyDescent="0.3">
      <c r="A37" s="9" t="s">
        <v>99</v>
      </c>
      <c r="B37" s="9" t="s">
        <v>865</v>
      </c>
      <c r="C37" s="9" t="s">
        <v>868</v>
      </c>
      <c r="D37" s="9">
        <v>1</v>
      </c>
      <c r="E37" s="9">
        <f t="shared" si="0"/>
        <v>2</v>
      </c>
      <c r="F37" s="9">
        <v>1</v>
      </c>
      <c r="G37" s="12">
        <f>Parametry!$C$12</f>
        <v>6</v>
      </c>
      <c r="H37" s="9">
        <f>ROUNDDOWN(Parametry!$C$9*Parametry!$C$10^(F37-1),0)</f>
        <v>60</v>
      </c>
      <c r="I37" s="9">
        <f>ROUNDUP((0)*Parametry!$C$15,0)</f>
        <v>0</v>
      </c>
      <c r="J37" s="9">
        <f>ROUNDUP((Parametry!$C$16*Parametry!$C$17*D37)*Parametry!$C$15,0)</f>
        <v>80</v>
      </c>
      <c r="K37" s="9">
        <f>ROUNDUP((Parametry!$C$16*Parametry!$C$18*D37)*Parametry!$C$15,0)</f>
        <v>80</v>
      </c>
      <c r="L37" s="9">
        <f>ROUNDUP((0)*Parametry!$C$15,0)</f>
        <v>0</v>
      </c>
      <c r="M37" s="9">
        <f>ROUNDUP((0)*Parametry!$C$15,0)</f>
        <v>0</v>
      </c>
      <c r="N37" s="9">
        <f>ROUNDUP((Parametry!$C$16*Parametry!$C$19*D37)*Parametry!$C$15,0)</f>
        <v>132</v>
      </c>
      <c r="O37" s="9">
        <f t="shared" si="1"/>
        <v>2</v>
      </c>
      <c r="P37" s="9">
        <f t="shared" si="2"/>
        <v>2</v>
      </c>
      <c r="Q37" s="9">
        <f t="shared" si="3"/>
        <v>0</v>
      </c>
      <c r="R37" s="9">
        <f t="shared" si="4"/>
        <v>0</v>
      </c>
      <c r="S37" s="9">
        <f t="shared" si="5"/>
        <v>3</v>
      </c>
      <c r="T37" s="9">
        <f t="shared" si="6"/>
        <v>7</v>
      </c>
      <c r="U37" s="9">
        <f t="shared" si="7"/>
        <v>2</v>
      </c>
      <c r="V37" s="9">
        <f>U37*Parametry!$C$11</f>
        <v>10</v>
      </c>
      <c r="W37" s="9">
        <f>2</f>
        <v>2</v>
      </c>
      <c r="X37" s="9">
        <f t="shared" si="8"/>
        <v>10</v>
      </c>
      <c r="Y37" s="9">
        <f t="shared" si="9"/>
        <v>20</v>
      </c>
      <c r="Z37" s="9">
        <f t="shared" si="10"/>
        <v>292</v>
      </c>
      <c r="AA37" s="9" t="s">
        <v>867</v>
      </c>
    </row>
    <row r="38" spans="1:27" ht="69.75" customHeight="1" x14ac:dyDescent="0.3">
      <c r="A38" s="8" t="s">
        <v>99</v>
      </c>
      <c r="B38" s="8" t="s">
        <v>869</v>
      </c>
      <c r="C38" s="8" t="s">
        <v>866</v>
      </c>
      <c r="D38" s="8">
        <v>2</v>
      </c>
      <c r="E38" s="8">
        <f t="shared" ref="E38:E69" si="11">D38+1</f>
        <v>3</v>
      </c>
      <c r="F38" s="8">
        <v>2</v>
      </c>
      <c r="G38" s="11">
        <f>Parametry!$C$12</f>
        <v>6</v>
      </c>
      <c r="H38" s="8">
        <f>ROUNDDOWN(Parametry!$C$9*Parametry!$C$10^(F38-1),0)</f>
        <v>66</v>
      </c>
      <c r="I38" s="8">
        <f>ROUNDUP((0)*1,0)</f>
        <v>0</v>
      </c>
      <c r="J38" s="8">
        <f>ROUNDUP((Parametry!$C$16*Parametry!$C$17*D38)*1,0)</f>
        <v>144</v>
      </c>
      <c r="K38" s="8">
        <f>ROUNDUP((Parametry!$C$16*Parametry!$C$18*D38)*1,0)</f>
        <v>144</v>
      </c>
      <c r="L38" s="8">
        <f>ROUNDUP((0)*1,0)</f>
        <v>0</v>
      </c>
      <c r="M38" s="8">
        <f>ROUNDUP((0)*1,0)</f>
        <v>0</v>
      </c>
      <c r="N38" s="8">
        <f>ROUNDUP((Parametry!$C$16*Parametry!$C$19*D38)*1,0)</f>
        <v>240</v>
      </c>
      <c r="O38" s="8">
        <f t="shared" ref="O38:O69" si="12">ROUNDUP(J38/H38,0)</f>
        <v>3</v>
      </c>
      <c r="P38" s="8">
        <f t="shared" ref="P38:P69" si="13">ROUNDUP(K38/H38,0)</f>
        <v>3</v>
      </c>
      <c r="Q38" s="8">
        <f t="shared" ref="Q38:Q69" si="14">ROUNDUP(L38/H38,0)</f>
        <v>0</v>
      </c>
      <c r="R38" s="8">
        <f t="shared" ref="R38:R69" si="15">ROUNDUP(M38/H38,0)</f>
        <v>0</v>
      </c>
      <c r="S38" s="8">
        <f t="shared" ref="S38:S69" si="16">ROUNDUP(N38/H38,0)</f>
        <v>4</v>
      </c>
      <c r="T38" s="8">
        <f t="shared" ref="T38:T69" si="17">SUM(O38:S38)</f>
        <v>10</v>
      </c>
      <c r="U38" s="8">
        <f t="shared" ref="U38:U69" si="18">ROUNDUP(T38/G38,0)</f>
        <v>2</v>
      </c>
      <c r="V38" s="8">
        <f>U38*Parametry!$C$11</f>
        <v>10</v>
      </c>
      <c r="W38" s="8">
        <f>2</f>
        <v>2</v>
      </c>
      <c r="X38" s="8">
        <f t="shared" ref="X38:X69" si="19">V38*(W38-1)</f>
        <v>10</v>
      </c>
      <c r="Y38" s="8">
        <f t="shared" ref="Y38:Y69" si="20">V38*W38</f>
        <v>20</v>
      </c>
      <c r="Z38" s="8">
        <f t="shared" ref="Z38:Z69" si="21">SUM(J38:N38)</f>
        <v>528</v>
      </c>
      <c r="AA38" s="8" t="s">
        <v>867</v>
      </c>
    </row>
    <row r="39" spans="1:27" ht="69.75" customHeight="1" x14ac:dyDescent="0.3">
      <c r="A39" s="9" t="s">
        <v>99</v>
      </c>
      <c r="B39" s="9" t="s">
        <v>869</v>
      </c>
      <c r="C39" s="9" t="s">
        <v>868</v>
      </c>
      <c r="D39" s="9">
        <v>2</v>
      </c>
      <c r="E39" s="9">
        <f t="shared" si="11"/>
        <v>3</v>
      </c>
      <c r="F39" s="9">
        <v>2</v>
      </c>
      <c r="G39" s="12">
        <f>Parametry!$C$12</f>
        <v>6</v>
      </c>
      <c r="H39" s="9">
        <f>ROUNDDOWN(Parametry!$C$9*Parametry!$C$10^(F39-1),0)</f>
        <v>66</v>
      </c>
      <c r="I39" s="9">
        <f>ROUNDUP((0)*Parametry!$C$15,0)</f>
        <v>0</v>
      </c>
      <c r="J39" s="9">
        <f>ROUNDUP((Parametry!$C$16*Parametry!$C$17*D39)*Parametry!$C$15,0)</f>
        <v>159</v>
      </c>
      <c r="K39" s="9">
        <f>ROUNDUP((Parametry!$C$16*Parametry!$C$18*D39)*Parametry!$C$15,0)</f>
        <v>159</v>
      </c>
      <c r="L39" s="9">
        <f>ROUNDUP((0)*Parametry!$C$15,0)</f>
        <v>0</v>
      </c>
      <c r="M39" s="9">
        <f>ROUNDUP((0)*Parametry!$C$15,0)</f>
        <v>0</v>
      </c>
      <c r="N39" s="9">
        <f>ROUNDUP((Parametry!$C$16*Parametry!$C$19*D39)*Parametry!$C$15,0)</f>
        <v>264</v>
      </c>
      <c r="O39" s="9">
        <f t="shared" si="12"/>
        <v>3</v>
      </c>
      <c r="P39" s="9">
        <f t="shared" si="13"/>
        <v>3</v>
      </c>
      <c r="Q39" s="9">
        <f t="shared" si="14"/>
        <v>0</v>
      </c>
      <c r="R39" s="9">
        <f t="shared" si="15"/>
        <v>0</v>
      </c>
      <c r="S39" s="9">
        <f t="shared" si="16"/>
        <v>4</v>
      </c>
      <c r="T39" s="9">
        <f t="shared" si="17"/>
        <v>10</v>
      </c>
      <c r="U39" s="9">
        <f t="shared" si="18"/>
        <v>2</v>
      </c>
      <c r="V39" s="9">
        <f>U39*Parametry!$C$11</f>
        <v>10</v>
      </c>
      <c r="W39" s="9">
        <f>2</f>
        <v>2</v>
      </c>
      <c r="X39" s="9">
        <f t="shared" si="19"/>
        <v>10</v>
      </c>
      <c r="Y39" s="9">
        <f t="shared" si="20"/>
        <v>20</v>
      </c>
      <c r="Z39" s="9">
        <f t="shared" si="21"/>
        <v>582</v>
      </c>
      <c r="AA39" s="9" t="s">
        <v>867</v>
      </c>
    </row>
    <row r="40" spans="1:27" ht="69.75" customHeight="1" x14ac:dyDescent="0.3">
      <c r="A40" s="8" t="s">
        <v>99</v>
      </c>
      <c r="B40" s="8" t="s">
        <v>870</v>
      </c>
      <c r="C40" s="8" t="s">
        <v>866</v>
      </c>
      <c r="D40" s="8">
        <v>3</v>
      </c>
      <c r="E40" s="8">
        <f t="shared" si="11"/>
        <v>4</v>
      </c>
      <c r="F40" s="8">
        <v>3</v>
      </c>
      <c r="G40" s="11">
        <f>Parametry!$C$12</f>
        <v>6</v>
      </c>
      <c r="H40" s="8">
        <f>ROUNDDOWN(Parametry!$C$9*Parametry!$C$10^(F40-1),0)</f>
        <v>72</v>
      </c>
      <c r="I40" s="8">
        <f>ROUNDUP((0)*1,0)</f>
        <v>0</v>
      </c>
      <c r="J40" s="8">
        <f>ROUNDUP((Parametry!$C$16*Parametry!$C$17*D40)*1,0)</f>
        <v>216</v>
      </c>
      <c r="K40" s="8">
        <f>ROUNDUP((Parametry!$C$16*Parametry!$C$18*D40)*1,0)</f>
        <v>216</v>
      </c>
      <c r="L40" s="8">
        <f>ROUNDUP((0)*1,0)</f>
        <v>0</v>
      </c>
      <c r="M40" s="8">
        <f>ROUNDUP((0)*1,0)</f>
        <v>0</v>
      </c>
      <c r="N40" s="8">
        <f>ROUNDUP((Parametry!$C$16*Parametry!$C$19*D40)*1,0)</f>
        <v>360</v>
      </c>
      <c r="O40" s="8">
        <f t="shared" si="12"/>
        <v>3</v>
      </c>
      <c r="P40" s="8">
        <f t="shared" si="13"/>
        <v>3</v>
      </c>
      <c r="Q40" s="8">
        <f t="shared" si="14"/>
        <v>0</v>
      </c>
      <c r="R40" s="8">
        <f t="shared" si="15"/>
        <v>0</v>
      </c>
      <c r="S40" s="8">
        <f t="shared" si="16"/>
        <v>5</v>
      </c>
      <c r="T40" s="8">
        <f t="shared" si="17"/>
        <v>11</v>
      </c>
      <c r="U40" s="8">
        <f t="shared" si="18"/>
        <v>2</v>
      </c>
      <c r="V40" s="8">
        <f>U40*Parametry!$C$11</f>
        <v>10</v>
      </c>
      <c r="W40" s="8">
        <f>2</f>
        <v>2</v>
      </c>
      <c r="X40" s="8">
        <f t="shared" si="19"/>
        <v>10</v>
      </c>
      <c r="Y40" s="8">
        <f t="shared" si="20"/>
        <v>20</v>
      </c>
      <c r="Z40" s="8">
        <f t="shared" si="21"/>
        <v>792</v>
      </c>
      <c r="AA40" s="8" t="s">
        <v>867</v>
      </c>
    </row>
    <row r="41" spans="1:27" ht="69.75" customHeight="1" x14ac:dyDescent="0.3">
      <c r="A41" s="9" t="s">
        <v>99</v>
      </c>
      <c r="B41" s="9" t="s">
        <v>870</v>
      </c>
      <c r="C41" s="9" t="s">
        <v>868</v>
      </c>
      <c r="D41" s="9">
        <v>3</v>
      </c>
      <c r="E41" s="9">
        <f t="shared" si="11"/>
        <v>4</v>
      </c>
      <c r="F41" s="9">
        <v>3</v>
      </c>
      <c r="G41" s="12">
        <f>Parametry!$C$12</f>
        <v>6</v>
      </c>
      <c r="H41" s="9">
        <f>ROUNDDOWN(Parametry!$C$9*Parametry!$C$10^(F41-1),0)</f>
        <v>72</v>
      </c>
      <c r="I41" s="9">
        <f>ROUNDUP((0)*Parametry!$C$15,0)</f>
        <v>0</v>
      </c>
      <c r="J41" s="9">
        <f>ROUNDUP((Parametry!$C$16*Parametry!$C$17*D41)*Parametry!$C$15,0)</f>
        <v>238</v>
      </c>
      <c r="K41" s="9">
        <f>ROUNDUP((Parametry!$C$16*Parametry!$C$18*D41)*Parametry!$C$15,0)</f>
        <v>238</v>
      </c>
      <c r="L41" s="9">
        <f>ROUNDUP((0)*Parametry!$C$15,0)</f>
        <v>0</v>
      </c>
      <c r="M41" s="9">
        <f>ROUNDUP((0)*Parametry!$C$15,0)</f>
        <v>0</v>
      </c>
      <c r="N41" s="9">
        <f>ROUNDUP((Parametry!$C$16*Parametry!$C$19*D41)*Parametry!$C$15,0)</f>
        <v>396</v>
      </c>
      <c r="O41" s="9">
        <f t="shared" si="12"/>
        <v>4</v>
      </c>
      <c r="P41" s="9">
        <f t="shared" si="13"/>
        <v>4</v>
      </c>
      <c r="Q41" s="9">
        <f t="shared" si="14"/>
        <v>0</v>
      </c>
      <c r="R41" s="9">
        <f t="shared" si="15"/>
        <v>0</v>
      </c>
      <c r="S41" s="9">
        <f t="shared" si="16"/>
        <v>6</v>
      </c>
      <c r="T41" s="9">
        <f t="shared" si="17"/>
        <v>14</v>
      </c>
      <c r="U41" s="9">
        <f t="shared" si="18"/>
        <v>3</v>
      </c>
      <c r="V41" s="9">
        <f>U41*Parametry!$C$11</f>
        <v>15</v>
      </c>
      <c r="W41" s="9">
        <f>2</f>
        <v>2</v>
      </c>
      <c r="X41" s="9">
        <f t="shared" si="19"/>
        <v>15</v>
      </c>
      <c r="Y41" s="9">
        <f t="shared" si="20"/>
        <v>30</v>
      </c>
      <c r="Z41" s="9">
        <f t="shared" si="21"/>
        <v>872</v>
      </c>
      <c r="AA41" s="9" t="s">
        <v>867</v>
      </c>
    </row>
    <row r="42" spans="1:27" ht="69.75" customHeight="1" x14ac:dyDescent="0.3">
      <c r="A42" s="8" t="s">
        <v>102</v>
      </c>
      <c r="B42" s="8" t="s">
        <v>865</v>
      </c>
      <c r="C42" s="8" t="s">
        <v>866</v>
      </c>
      <c r="D42" s="8">
        <v>1</v>
      </c>
      <c r="E42" s="8">
        <f t="shared" si="11"/>
        <v>2</v>
      </c>
      <c r="F42" s="8">
        <v>1</v>
      </c>
      <c r="G42" s="11">
        <f>Parametry!$C$12</f>
        <v>6</v>
      </c>
      <c r="H42" s="8">
        <f>ROUNDDOWN(Parametry!$C$9*Parametry!$C$10^(F42-1),0)</f>
        <v>60</v>
      </c>
      <c r="I42" s="8">
        <f>ROUNDUP((0)*1,0)</f>
        <v>0</v>
      </c>
      <c r="J42" s="8">
        <f>ROUNDUP((Parametry!$C$16*Parametry!$C$17*D42)*1,0)</f>
        <v>72</v>
      </c>
      <c r="K42" s="8">
        <f>ROUNDUP((Parametry!$C$16*Parametry!$C$18*D42+Parametry!$C$16*Parametry!$C$19*D42)*1,0)</f>
        <v>192</v>
      </c>
      <c r="L42" s="8">
        <f>ROUNDUP((0)*1,0)</f>
        <v>0</v>
      </c>
      <c r="M42" s="8">
        <f>ROUNDUP((0)*1,0)</f>
        <v>0</v>
      </c>
      <c r="N42" s="8">
        <f>ROUNDUP((0)*1,0)</f>
        <v>0</v>
      </c>
      <c r="O42" s="8">
        <f t="shared" si="12"/>
        <v>2</v>
      </c>
      <c r="P42" s="8">
        <f t="shared" si="13"/>
        <v>4</v>
      </c>
      <c r="Q42" s="8">
        <f t="shared" si="14"/>
        <v>0</v>
      </c>
      <c r="R42" s="8">
        <f t="shared" si="15"/>
        <v>0</v>
      </c>
      <c r="S42" s="8">
        <f t="shared" si="16"/>
        <v>0</v>
      </c>
      <c r="T42" s="8">
        <f t="shared" si="17"/>
        <v>6</v>
      </c>
      <c r="U42" s="8">
        <f t="shared" si="18"/>
        <v>1</v>
      </c>
      <c r="V42" s="8">
        <f>U42*Parametry!$C$11</f>
        <v>5</v>
      </c>
      <c r="W42" s="8">
        <f>2</f>
        <v>2</v>
      </c>
      <c r="X42" s="8">
        <f t="shared" si="19"/>
        <v>5</v>
      </c>
      <c r="Y42" s="8">
        <f t="shared" si="20"/>
        <v>10</v>
      </c>
      <c r="Z42" s="8">
        <f t="shared" si="21"/>
        <v>264</v>
      </c>
      <c r="AA42" s="8" t="s">
        <v>867</v>
      </c>
    </row>
    <row r="43" spans="1:27" ht="69.75" customHeight="1" x14ac:dyDescent="0.3">
      <c r="A43" s="9" t="s">
        <v>102</v>
      </c>
      <c r="B43" s="9" t="s">
        <v>865</v>
      </c>
      <c r="C43" s="9" t="s">
        <v>868</v>
      </c>
      <c r="D43" s="9">
        <v>1</v>
      </c>
      <c r="E43" s="9">
        <f t="shared" si="11"/>
        <v>2</v>
      </c>
      <c r="F43" s="9">
        <v>1</v>
      </c>
      <c r="G43" s="12">
        <f>Parametry!$C$12</f>
        <v>6</v>
      </c>
      <c r="H43" s="9">
        <f>ROUNDDOWN(Parametry!$C$9*Parametry!$C$10^(F43-1),0)</f>
        <v>60</v>
      </c>
      <c r="I43" s="9">
        <f>ROUNDUP((0)*Parametry!$C$15,0)</f>
        <v>0</v>
      </c>
      <c r="J43" s="9">
        <f>ROUNDUP((Parametry!$C$16*Parametry!$C$17*D43)*Parametry!$C$15,0)</f>
        <v>80</v>
      </c>
      <c r="K43" s="9">
        <f>ROUNDUP((Parametry!$C$16*Parametry!$C$18*D43+Parametry!$C$16*Parametry!$C$19*D43)*Parametry!$C$15,0)</f>
        <v>212</v>
      </c>
      <c r="L43" s="9">
        <f>ROUNDUP((0)*Parametry!$C$15,0)</f>
        <v>0</v>
      </c>
      <c r="M43" s="9">
        <f>ROUNDUP((0)*Parametry!$C$15,0)</f>
        <v>0</v>
      </c>
      <c r="N43" s="9">
        <f>ROUNDUP((0)*Parametry!$C$15,0)</f>
        <v>0</v>
      </c>
      <c r="O43" s="9">
        <f t="shared" si="12"/>
        <v>2</v>
      </c>
      <c r="P43" s="9">
        <f t="shared" si="13"/>
        <v>4</v>
      </c>
      <c r="Q43" s="9">
        <f t="shared" si="14"/>
        <v>0</v>
      </c>
      <c r="R43" s="9">
        <f t="shared" si="15"/>
        <v>0</v>
      </c>
      <c r="S43" s="9">
        <f t="shared" si="16"/>
        <v>0</v>
      </c>
      <c r="T43" s="9">
        <f t="shared" si="17"/>
        <v>6</v>
      </c>
      <c r="U43" s="9">
        <f t="shared" si="18"/>
        <v>1</v>
      </c>
      <c r="V43" s="9">
        <f>U43*Parametry!$C$11</f>
        <v>5</v>
      </c>
      <c r="W43" s="9">
        <f>2</f>
        <v>2</v>
      </c>
      <c r="X43" s="9">
        <f t="shared" si="19"/>
        <v>5</v>
      </c>
      <c r="Y43" s="9">
        <f t="shared" si="20"/>
        <v>10</v>
      </c>
      <c r="Z43" s="9">
        <f t="shared" si="21"/>
        <v>292</v>
      </c>
      <c r="AA43" s="9" t="s">
        <v>867</v>
      </c>
    </row>
    <row r="44" spans="1:27" ht="69.75" customHeight="1" x14ac:dyDescent="0.3">
      <c r="A44" s="8" t="s">
        <v>102</v>
      </c>
      <c r="B44" s="8" t="s">
        <v>869</v>
      </c>
      <c r="C44" s="8" t="s">
        <v>866</v>
      </c>
      <c r="D44" s="8">
        <v>2</v>
      </c>
      <c r="E44" s="8">
        <f t="shared" si="11"/>
        <v>3</v>
      </c>
      <c r="F44" s="8">
        <v>2</v>
      </c>
      <c r="G44" s="11">
        <f>Parametry!$C$12</f>
        <v>6</v>
      </c>
      <c r="H44" s="8">
        <f>ROUNDDOWN(Parametry!$C$9*Parametry!$C$10^(F44-1),0)</f>
        <v>66</v>
      </c>
      <c r="I44" s="8">
        <f>ROUNDUP((0)*1,0)</f>
        <v>0</v>
      </c>
      <c r="J44" s="8">
        <f>ROUNDUP((Parametry!$C$16*Parametry!$C$17*D44)*1,0)</f>
        <v>144</v>
      </c>
      <c r="K44" s="8">
        <f>ROUNDUP((Parametry!$C$16*Parametry!$C$18*D44+Parametry!$C$16*Parametry!$C$19*D44)*1,0)</f>
        <v>384</v>
      </c>
      <c r="L44" s="8">
        <f>ROUNDUP((0)*1,0)</f>
        <v>0</v>
      </c>
      <c r="M44" s="8">
        <f>ROUNDUP((0)*1,0)</f>
        <v>0</v>
      </c>
      <c r="N44" s="8">
        <f>ROUNDUP((0)*1,0)</f>
        <v>0</v>
      </c>
      <c r="O44" s="8">
        <f t="shared" si="12"/>
        <v>3</v>
      </c>
      <c r="P44" s="8">
        <f t="shared" si="13"/>
        <v>6</v>
      </c>
      <c r="Q44" s="8">
        <f t="shared" si="14"/>
        <v>0</v>
      </c>
      <c r="R44" s="8">
        <f t="shared" si="15"/>
        <v>0</v>
      </c>
      <c r="S44" s="8">
        <f t="shared" si="16"/>
        <v>0</v>
      </c>
      <c r="T44" s="8">
        <f t="shared" si="17"/>
        <v>9</v>
      </c>
      <c r="U44" s="8">
        <f t="shared" si="18"/>
        <v>2</v>
      </c>
      <c r="V44" s="8">
        <f>U44*Parametry!$C$11</f>
        <v>10</v>
      </c>
      <c r="W44" s="8">
        <f>2</f>
        <v>2</v>
      </c>
      <c r="X44" s="8">
        <f t="shared" si="19"/>
        <v>10</v>
      </c>
      <c r="Y44" s="8">
        <f t="shared" si="20"/>
        <v>20</v>
      </c>
      <c r="Z44" s="8">
        <f t="shared" si="21"/>
        <v>528</v>
      </c>
      <c r="AA44" s="8" t="s">
        <v>867</v>
      </c>
    </row>
    <row r="45" spans="1:27" ht="69.75" customHeight="1" x14ac:dyDescent="0.3">
      <c r="A45" s="9" t="s">
        <v>102</v>
      </c>
      <c r="B45" s="9" t="s">
        <v>869</v>
      </c>
      <c r="C45" s="9" t="s">
        <v>868</v>
      </c>
      <c r="D45" s="9">
        <v>2</v>
      </c>
      <c r="E45" s="9">
        <f t="shared" si="11"/>
        <v>3</v>
      </c>
      <c r="F45" s="9">
        <v>2</v>
      </c>
      <c r="G45" s="12">
        <f>Parametry!$C$12</f>
        <v>6</v>
      </c>
      <c r="H45" s="9">
        <f>ROUNDDOWN(Parametry!$C$9*Parametry!$C$10^(F45-1),0)</f>
        <v>66</v>
      </c>
      <c r="I45" s="9">
        <f>ROUNDUP((0)*Parametry!$C$15,0)</f>
        <v>0</v>
      </c>
      <c r="J45" s="9">
        <f>ROUNDUP((Parametry!$C$16*Parametry!$C$17*D45)*Parametry!$C$15,0)</f>
        <v>159</v>
      </c>
      <c r="K45" s="9">
        <f>ROUNDUP((Parametry!$C$16*Parametry!$C$18*D45+Parametry!$C$16*Parametry!$C$19*D45)*Parametry!$C$15,0)</f>
        <v>423</v>
      </c>
      <c r="L45" s="9">
        <f>ROUNDUP((0)*Parametry!$C$15,0)</f>
        <v>0</v>
      </c>
      <c r="M45" s="9">
        <f>ROUNDUP((0)*Parametry!$C$15,0)</f>
        <v>0</v>
      </c>
      <c r="N45" s="9">
        <f>ROUNDUP((0)*Parametry!$C$15,0)</f>
        <v>0</v>
      </c>
      <c r="O45" s="9">
        <f t="shared" si="12"/>
        <v>3</v>
      </c>
      <c r="P45" s="9">
        <f t="shared" si="13"/>
        <v>7</v>
      </c>
      <c r="Q45" s="9">
        <f t="shared" si="14"/>
        <v>0</v>
      </c>
      <c r="R45" s="9">
        <f t="shared" si="15"/>
        <v>0</v>
      </c>
      <c r="S45" s="9">
        <f t="shared" si="16"/>
        <v>0</v>
      </c>
      <c r="T45" s="9">
        <f t="shared" si="17"/>
        <v>10</v>
      </c>
      <c r="U45" s="9">
        <f t="shared" si="18"/>
        <v>2</v>
      </c>
      <c r="V45" s="9">
        <f>U45*Parametry!$C$11</f>
        <v>10</v>
      </c>
      <c r="W45" s="9">
        <f>2</f>
        <v>2</v>
      </c>
      <c r="X45" s="9">
        <f t="shared" si="19"/>
        <v>10</v>
      </c>
      <c r="Y45" s="9">
        <f t="shared" si="20"/>
        <v>20</v>
      </c>
      <c r="Z45" s="9">
        <f t="shared" si="21"/>
        <v>582</v>
      </c>
      <c r="AA45" s="9" t="s">
        <v>867</v>
      </c>
    </row>
    <row r="46" spans="1:27" ht="69.75" customHeight="1" x14ac:dyDescent="0.3">
      <c r="A46" s="8" t="s">
        <v>102</v>
      </c>
      <c r="B46" s="8" t="s">
        <v>870</v>
      </c>
      <c r="C46" s="8" t="s">
        <v>866</v>
      </c>
      <c r="D46" s="8">
        <v>3</v>
      </c>
      <c r="E46" s="8">
        <f t="shared" si="11"/>
        <v>4</v>
      </c>
      <c r="F46" s="8">
        <v>3</v>
      </c>
      <c r="G46" s="11">
        <f>Parametry!$C$12</f>
        <v>6</v>
      </c>
      <c r="H46" s="8">
        <f>ROUNDDOWN(Parametry!$C$9*Parametry!$C$10^(F46-1),0)</f>
        <v>72</v>
      </c>
      <c r="I46" s="8">
        <f>ROUNDUP((0)*1,0)</f>
        <v>0</v>
      </c>
      <c r="J46" s="8">
        <f>ROUNDUP((Parametry!$C$16*Parametry!$C$17*D46)*1,0)</f>
        <v>216</v>
      </c>
      <c r="K46" s="8">
        <f>ROUNDUP((Parametry!$C$16*Parametry!$C$18*D46+Parametry!$C$16*Parametry!$C$19*D46)*1,0)</f>
        <v>576</v>
      </c>
      <c r="L46" s="8">
        <f>ROUNDUP((0)*1,0)</f>
        <v>0</v>
      </c>
      <c r="M46" s="8">
        <f>ROUNDUP((0)*1,0)</f>
        <v>0</v>
      </c>
      <c r="N46" s="8">
        <f>ROUNDUP((0)*1,0)</f>
        <v>0</v>
      </c>
      <c r="O46" s="8">
        <f t="shared" si="12"/>
        <v>3</v>
      </c>
      <c r="P46" s="8">
        <f t="shared" si="13"/>
        <v>8</v>
      </c>
      <c r="Q46" s="8">
        <f t="shared" si="14"/>
        <v>0</v>
      </c>
      <c r="R46" s="8">
        <f t="shared" si="15"/>
        <v>0</v>
      </c>
      <c r="S46" s="8">
        <f t="shared" si="16"/>
        <v>0</v>
      </c>
      <c r="T46" s="8">
        <f t="shared" si="17"/>
        <v>11</v>
      </c>
      <c r="U46" s="8">
        <f t="shared" si="18"/>
        <v>2</v>
      </c>
      <c r="V46" s="8">
        <f>U46*Parametry!$C$11</f>
        <v>10</v>
      </c>
      <c r="W46" s="8">
        <f>2</f>
        <v>2</v>
      </c>
      <c r="X46" s="8">
        <f t="shared" si="19"/>
        <v>10</v>
      </c>
      <c r="Y46" s="8">
        <f t="shared" si="20"/>
        <v>20</v>
      </c>
      <c r="Z46" s="8">
        <f t="shared" si="21"/>
        <v>792</v>
      </c>
      <c r="AA46" s="8" t="s">
        <v>867</v>
      </c>
    </row>
    <row r="47" spans="1:27" ht="69.75" customHeight="1" x14ac:dyDescent="0.3">
      <c r="A47" s="9" t="s">
        <v>102</v>
      </c>
      <c r="B47" s="9" t="s">
        <v>870</v>
      </c>
      <c r="C47" s="9" t="s">
        <v>868</v>
      </c>
      <c r="D47" s="9">
        <v>3</v>
      </c>
      <c r="E47" s="9">
        <f t="shared" si="11"/>
        <v>4</v>
      </c>
      <c r="F47" s="9">
        <v>3</v>
      </c>
      <c r="G47" s="12">
        <f>Parametry!$C$12</f>
        <v>6</v>
      </c>
      <c r="H47" s="9">
        <f>ROUNDDOWN(Parametry!$C$9*Parametry!$C$10^(F47-1),0)</f>
        <v>72</v>
      </c>
      <c r="I47" s="9">
        <f>ROUNDUP((0)*Parametry!$C$15,0)</f>
        <v>0</v>
      </c>
      <c r="J47" s="9">
        <f>ROUNDUP((Parametry!$C$16*Parametry!$C$17*D47)*Parametry!$C$15,0)</f>
        <v>238</v>
      </c>
      <c r="K47" s="9">
        <f>ROUNDUP((Parametry!$C$16*Parametry!$C$18*D47+Parametry!$C$16*Parametry!$C$19*D47)*Parametry!$C$15,0)</f>
        <v>634</v>
      </c>
      <c r="L47" s="9">
        <f>ROUNDUP((0)*Parametry!$C$15,0)</f>
        <v>0</v>
      </c>
      <c r="M47" s="9">
        <f>ROUNDUP((0)*Parametry!$C$15,0)</f>
        <v>0</v>
      </c>
      <c r="N47" s="9">
        <f>ROUNDUP((0)*Parametry!$C$15,0)</f>
        <v>0</v>
      </c>
      <c r="O47" s="9">
        <f t="shared" si="12"/>
        <v>4</v>
      </c>
      <c r="P47" s="9">
        <f t="shared" si="13"/>
        <v>9</v>
      </c>
      <c r="Q47" s="9">
        <f t="shared" si="14"/>
        <v>0</v>
      </c>
      <c r="R47" s="9">
        <f t="shared" si="15"/>
        <v>0</v>
      </c>
      <c r="S47" s="9">
        <f t="shared" si="16"/>
        <v>0</v>
      </c>
      <c r="T47" s="9">
        <f t="shared" si="17"/>
        <v>13</v>
      </c>
      <c r="U47" s="9">
        <f t="shared" si="18"/>
        <v>3</v>
      </c>
      <c r="V47" s="9">
        <f>U47*Parametry!$C$11</f>
        <v>15</v>
      </c>
      <c r="W47" s="9">
        <f>2</f>
        <v>2</v>
      </c>
      <c r="X47" s="9">
        <f t="shared" si="19"/>
        <v>15</v>
      </c>
      <c r="Y47" s="9">
        <f t="shared" si="20"/>
        <v>30</v>
      </c>
      <c r="Z47" s="9">
        <f t="shared" si="21"/>
        <v>872</v>
      </c>
      <c r="AA47" s="9" t="s">
        <v>867</v>
      </c>
    </row>
    <row r="48" spans="1:27" ht="69.75" customHeight="1" x14ac:dyDescent="0.3">
      <c r="A48" s="8" t="s">
        <v>105</v>
      </c>
      <c r="B48" s="8" t="s">
        <v>865</v>
      </c>
      <c r="C48" s="8" t="s">
        <v>866</v>
      </c>
      <c r="D48" s="8">
        <v>1</v>
      </c>
      <c r="E48" s="8">
        <f t="shared" si="11"/>
        <v>2</v>
      </c>
      <c r="F48" s="8">
        <v>1</v>
      </c>
      <c r="G48" s="11">
        <f>Parametry!$C$12</f>
        <v>6</v>
      </c>
      <c r="H48" s="8">
        <f>ROUNDDOWN(Parametry!$C$9*Parametry!$C$10^(F48-1),0)</f>
        <v>60</v>
      </c>
      <c r="I48" s="8">
        <f>ROUNDUP((Parametry!$C$21*MAX(1,D48))*1,0)</f>
        <v>300</v>
      </c>
      <c r="J48" s="8">
        <f>ROUNDUP((Parametry!$C$21*MAX(1,D48))*1,0)</f>
        <v>300</v>
      </c>
      <c r="K48" s="8">
        <f>ROUNDUP((Parametry!$C$21*MAX(1,D48))*1,0)</f>
        <v>300</v>
      </c>
      <c r="L48" s="8">
        <f>ROUNDUP((Parametry!$C$21*MAX(1,D48))*1,0)</f>
        <v>300</v>
      </c>
      <c r="M48" s="8">
        <f>ROUNDUP((Parametry!$C$21*MAX(1,D48))*1,0)</f>
        <v>300</v>
      </c>
      <c r="N48" s="8">
        <f>ROUNDUP((Parametry!$C$21*MAX(1,D48))*1,0)</f>
        <v>300</v>
      </c>
      <c r="O48" s="8">
        <f t="shared" si="12"/>
        <v>5</v>
      </c>
      <c r="P48" s="8">
        <f t="shared" si="13"/>
        <v>5</v>
      </c>
      <c r="Q48" s="8">
        <f t="shared" si="14"/>
        <v>5</v>
      </c>
      <c r="R48" s="8">
        <f t="shared" si="15"/>
        <v>5</v>
      </c>
      <c r="S48" s="8">
        <f t="shared" si="16"/>
        <v>5</v>
      </c>
      <c r="T48" s="8">
        <f t="shared" si="17"/>
        <v>25</v>
      </c>
      <c r="U48" s="8">
        <f t="shared" si="18"/>
        <v>5</v>
      </c>
      <c r="V48" s="8">
        <f>U48*Parametry!$C$11</f>
        <v>25</v>
      </c>
      <c r="W48" s="8">
        <f>2</f>
        <v>2</v>
      </c>
      <c r="X48" s="8">
        <f t="shared" si="19"/>
        <v>25</v>
      </c>
      <c r="Y48" s="8">
        <f t="shared" si="20"/>
        <v>50</v>
      </c>
      <c r="Z48" s="8">
        <f t="shared" si="21"/>
        <v>1500</v>
      </c>
      <c r="AA48" s="8" t="s">
        <v>867</v>
      </c>
    </row>
    <row r="49" spans="1:27" ht="69.75" customHeight="1" x14ac:dyDescent="0.3">
      <c r="A49" s="9" t="s">
        <v>105</v>
      </c>
      <c r="B49" s="9" t="s">
        <v>865</v>
      </c>
      <c r="C49" s="9" t="s">
        <v>868</v>
      </c>
      <c r="D49" s="9">
        <v>1</v>
      </c>
      <c r="E49" s="9">
        <f t="shared" si="11"/>
        <v>2</v>
      </c>
      <c r="F49" s="9">
        <v>1</v>
      </c>
      <c r="G49" s="12">
        <f>Parametry!$C$12</f>
        <v>6</v>
      </c>
      <c r="H49" s="9">
        <f>ROUNDDOWN(Parametry!$C$9*Parametry!$C$10^(F49-1),0)</f>
        <v>60</v>
      </c>
      <c r="I49" s="9">
        <f>ROUNDUP((Parametry!$C$21*MAX(1,D49))*Parametry!$C$15,0)</f>
        <v>330</v>
      </c>
      <c r="J49" s="9">
        <f>ROUNDUP((Parametry!$C$21*MAX(1,D49))*Parametry!$C$15,0)</f>
        <v>330</v>
      </c>
      <c r="K49" s="9">
        <f>ROUNDUP((Parametry!$C$21*MAX(1,D49))*Parametry!$C$15,0)</f>
        <v>330</v>
      </c>
      <c r="L49" s="9">
        <f>ROUNDUP((Parametry!$C$21*MAX(1,D49))*Parametry!$C$15,0)</f>
        <v>330</v>
      </c>
      <c r="M49" s="9">
        <f>ROUNDUP((Parametry!$C$21*MAX(1,D49))*Parametry!$C$15,0)</f>
        <v>330</v>
      </c>
      <c r="N49" s="9">
        <f>ROUNDUP((Parametry!$C$21*MAX(1,D49))*Parametry!$C$15,0)</f>
        <v>330</v>
      </c>
      <c r="O49" s="9">
        <f t="shared" si="12"/>
        <v>6</v>
      </c>
      <c r="P49" s="9">
        <f t="shared" si="13"/>
        <v>6</v>
      </c>
      <c r="Q49" s="9">
        <f t="shared" si="14"/>
        <v>6</v>
      </c>
      <c r="R49" s="9">
        <f t="shared" si="15"/>
        <v>6</v>
      </c>
      <c r="S49" s="9">
        <f t="shared" si="16"/>
        <v>6</v>
      </c>
      <c r="T49" s="9">
        <f t="shared" si="17"/>
        <v>30</v>
      </c>
      <c r="U49" s="9">
        <f t="shared" si="18"/>
        <v>5</v>
      </c>
      <c r="V49" s="9">
        <f>U49*Parametry!$C$11</f>
        <v>25</v>
      </c>
      <c r="W49" s="9">
        <f>2</f>
        <v>2</v>
      </c>
      <c r="X49" s="9">
        <f t="shared" si="19"/>
        <v>25</v>
      </c>
      <c r="Y49" s="9">
        <f t="shared" si="20"/>
        <v>50</v>
      </c>
      <c r="Z49" s="9">
        <f t="shared" si="21"/>
        <v>1650</v>
      </c>
      <c r="AA49" s="9" t="s">
        <v>867</v>
      </c>
    </row>
    <row r="50" spans="1:27" ht="69.75" customHeight="1" x14ac:dyDescent="0.3">
      <c r="A50" s="8" t="s">
        <v>105</v>
      </c>
      <c r="B50" s="8" t="s">
        <v>869</v>
      </c>
      <c r="C50" s="8" t="s">
        <v>866</v>
      </c>
      <c r="D50" s="8">
        <v>2</v>
      </c>
      <c r="E50" s="8">
        <f t="shared" si="11"/>
        <v>3</v>
      </c>
      <c r="F50" s="8">
        <v>2</v>
      </c>
      <c r="G50" s="11">
        <f>Parametry!$C$12</f>
        <v>6</v>
      </c>
      <c r="H50" s="8">
        <f>ROUNDDOWN(Parametry!$C$9*Parametry!$C$10^(F50-1),0)</f>
        <v>66</v>
      </c>
      <c r="I50" s="8">
        <f>ROUNDUP((Parametry!$C$21*MAX(1,D50))*1,0)</f>
        <v>600</v>
      </c>
      <c r="J50" s="8">
        <f>ROUNDUP((Parametry!$C$21*MAX(1,D50))*1,0)</f>
        <v>600</v>
      </c>
      <c r="K50" s="8">
        <f>ROUNDUP((Parametry!$C$21*MAX(1,D50))*1,0)</f>
        <v>600</v>
      </c>
      <c r="L50" s="8">
        <f>ROUNDUP((Parametry!$C$21*MAX(1,D50))*1,0)</f>
        <v>600</v>
      </c>
      <c r="M50" s="8">
        <f>ROUNDUP((Parametry!$C$21*MAX(1,D50))*1,0)</f>
        <v>600</v>
      </c>
      <c r="N50" s="8">
        <f>ROUNDUP((Parametry!$C$21*MAX(1,D50))*1,0)</f>
        <v>600</v>
      </c>
      <c r="O50" s="8">
        <f t="shared" si="12"/>
        <v>10</v>
      </c>
      <c r="P50" s="8">
        <f t="shared" si="13"/>
        <v>10</v>
      </c>
      <c r="Q50" s="8">
        <f t="shared" si="14"/>
        <v>10</v>
      </c>
      <c r="R50" s="8">
        <f t="shared" si="15"/>
        <v>10</v>
      </c>
      <c r="S50" s="8">
        <f t="shared" si="16"/>
        <v>10</v>
      </c>
      <c r="T50" s="8">
        <f t="shared" si="17"/>
        <v>50</v>
      </c>
      <c r="U50" s="8">
        <f t="shared" si="18"/>
        <v>9</v>
      </c>
      <c r="V50" s="8">
        <f>U50*Parametry!$C$11</f>
        <v>45</v>
      </c>
      <c r="W50" s="8">
        <f>2</f>
        <v>2</v>
      </c>
      <c r="X50" s="8">
        <f t="shared" si="19"/>
        <v>45</v>
      </c>
      <c r="Y50" s="8">
        <f t="shared" si="20"/>
        <v>90</v>
      </c>
      <c r="Z50" s="8">
        <f t="shared" si="21"/>
        <v>3000</v>
      </c>
      <c r="AA50" s="8" t="s">
        <v>867</v>
      </c>
    </row>
    <row r="51" spans="1:27" ht="69.75" customHeight="1" x14ac:dyDescent="0.3">
      <c r="A51" s="9" t="s">
        <v>105</v>
      </c>
      <c r="B51" s="9" t="s">
        <v>869</v>
      </c>
      <c r="C51" s="9" t="s">
        <v>868</v>
      </c>
      <c r="D51" s="9">
        <v>2</v>
      </c>
      <c r="E51" s="9">
        <f t="shared" si="11"/>
        <v>3</v>
      </c>
      <c r="F51" s="9">
        <v>2</v>
      </c>
      <c r="G51" s="12">
        <f>Parametry!$C$12</f>
        <v>6</v>
      </c>
      <c r="H51" s="9">
        <f>ROUNDDOWN(Parametry!$C$9*Parametry!$C$10^(F51-1),0)</f>
        <v>66</v>
      </c>
      <c r="I51" s="9">
        <f>ROUNDUP((Parametry!$C$21*MAX(1,D51))*Parametry!$C$15,0)</f>
        <v>660</v>
      </c>
      <c r="J51" s="9">
        <f>ROUNDUP((Parametry!$C$21*MAX(1,D51))*Parametry!$C$15,0)</f>
        <v>660</v>
      </c>
      <c r="K51" s="9">
        <f>ROUNDUP((Parametry!$C$21*MAX(1,D51))*Parametry!$C$15,0)</f>
        <v>660</v>
      </c>
      <c r="L51" s="9">
        <f>ROUNDUP((Parametry!$C$21*MAX(1,D51))*Parametry!$C$15,0)</f>
        <v>660</v>
      </c>
      <c r="M51" s="9">
        <f>ROUNDUP((Parametry!$C$21*MAX(1,D51))*Parametry!$C$15,0)</f>
        <v>660</v>
      </c>
      <c r="N51" s="9">
        <f>ROUNDUP((Parametry!$C$21*MAX(1,D51))*Parametry!$C$15,0)</f>
        <v>660</v>
      </c>
      <c r="O51" s="9">
        <f t="shared" si="12"/>
        <v>10</v>
      </c>
      <c r="P51" s="9">
        <f t="shared" si="13"/>
        <v>10</v>
      </c>
      <c r="Q51" s="9">
        <f t="shared" si="14"/>
        <v>10</v>
      </c>
      <c r="R51" s="9">
        <f t="shared" si="15"/>
        <v>10</v>
      </c>
      <c r="S51" s="9">
        <f t="shared" si="16"/>
        <v>10</v>
      </c>
      <c r="T51" s="9">
        <f t="shared" si="17"/>
        <v>50</v>
      </c>
      <c r="U51" s="9">
        <f t="shared" si="18"/>
        <v>9</v>
      </c>
      <c r="V51" s="9">
        <f>U51*Parametry!$C$11</f>
        <v>45</v>
      </c>
      <c r="W51" s="9">
        <f>2</f>
        <v>2</v>
      </c>
      <c r="X51" s="9">
        <f t="shared" si="19"/>
        <v>45</v>
      </c>
      <c r="Y51" s="9">
        <f t="shared" si="20"/>
        <v>90</v>
      </c>
      <c r="Z51" s="9">
        <f t="shared" si="21"/>
        <v>3300</v>
      </c>
      <c r="AA51" s="9" t="s">
        <v>867</v>
      </c>
    </row>
    <row r="52" spans="1:27" ht="69.75" customHeight="1" x14ac:dyDescent="0.3">
      <c r="A52" s="8" t="s">
        <v>105</v>
      </c>
      <c r="B52" s="8" t="s">
        <v>870</v>
      </c>
      <c r="C52" s="8" t="s">
        <v>866</v>
      </c>
      <c r="D52" s="8">
        <v>3</v>
      </c>
      <c r="E52" s="8">
        <f t="shared" si="11"/>
        <v>4</v>
      </c>
      <c r="F52" s="8">
        <v>3</v>
      </c>
      <c r="G52" s="11">
        <f>Parametry!$C$12</f>
        <v>6</v>
      </c>
      <c r="H52" s="8">
        <f>ROUNDDOWN(Parametry!$C$9*Parametry!$C$10^(F52-1),0)</f>
        <v>72</v>
      </c>
      <c r="I52" s="8">
        <f>ROUNDUP((Parametry!$C$21*MAX(1,D52))*1,0)</f>
        <v>900</v>
      </c>
      <c r="J52" s="8">
        <f>ROUNDUP((Parametry!$C$21*MAX(1,D52))*1,0)</f>
        <v>900</v>
      </c>
      <c r="K52" s="8">
        <f>ROUNDUP((Parametry!$C$21*MAX(1,D52))*1,0)</f>
        <v>900</v>
      </c>
      <c r="L52" s="8">
        <f>ROUNDUP((Parametry!$C$21*MAX(1,D52))*1,0)</f>
        <v>900</v>
      </c>
      <c r="M52" s="8">
        <f>ROUNDUP((Parametry!$C$21*MAX(1,D52))*1,0)</f>
        <v>900</v>
      </c>
      <c r="N52" s="8">
        <f>ROUNDUP((Parametry!$C$21*MAX(1,D52))*1,0)</f>
        <v>900</v>
      </c>
      <c r="O52" s="8">
        <f t="shared" si="12"/>
        <v>13</v>
      </c>
      <c r="P52" s="8">
        <f t="shared" si="13"/>
        <v>13</v>
      </c>
      <c r="Q52" s="8">
        <f t="shared" si="14"/>
        <v>13</v>
      </c>
      <c r="R52" s="8">
        <f t="shared" si="15"/>
        <v>13</v>
      </c>
      <c r="S52" s="8">
        <f t="shared" si="16"/>
        <v>13</v>
      </c>
      <c r="T52" s="8">
        <f t="shared" si="17"/>
        <v>65</v>
      </c>
      <c r="U52" s="8">
        <f t="shared" si="18"/>
        <v>11</v>
      </c>
      <c r="V52" s="8">
        <f>U52*Parametry!$C$11</f>
        <v>55</v>
      </c>
      <c r="W52" s="8">
        <f>2</f>
        <v>2</v>
      </c>
      <c r="X52" s="8">
        <f t="shared" si="19"/>
        <v>55</v>
      </c>
      <c r="Y52" s="8">
        <f t="shared" si="20"/>
        <v>110</v>
      </c>
      <c r="Z52" s="8">
        <f t="shared" si="21"/>
        <v>4500</v>
      </c>
      <c r="AA52" s="8" t="s">
        <v>867</v>
      </c>
    </row>
    <row r="53" spans="1:27" ht="69.75" customHeight="1" x14ac:dyDescent="0.3">
      <c r="A53" s="9" t="s">
        <v>105</v>
      </c>
      <c r="B53" s="9" t="s">
        <v>870</v>
      </c>
      <c r="C53" s="9" t="s">
        <v>868</v>
      </c>
      <c r="D53" s="9">
        <v>3</v>
      </c>
      <c r="E53" s="9">
        <f t="shared" si="11"/>
        <v>4</v>
      </c>
      <c r="F53" s="9">
        <v>3</v>
      </c>
      <c r="G53" s="12">
        <f>Parametry!$C$12</f>
        <v>6</v>
      </c>
      <c r="H53" s="9">
        <f>ROUNDDOWN(Parametry!$C$9*Parametry!$C$10^(F53-1),0)</f>
        <v>72</v>
      </c>
      <c r="I53" s="9">
        <f>ROUNDUP((Parametry!$C$21*MAX(1,D53))*Parametry!$C$15,0)</f>
        <v>990</v>
      </c>
      <c r="J53" s="9">
        <f>ROUNDUP((Parametry!$C$21*MAX(1,D53))*Parametry!$C$15,0)</f>
        <v>990</v>
      </c>
      <c r="K53" s="9">
        <f>ROUNDUP((Parametry!$C$21*MAX(1,D53))*Parametry!$C$15,0)</f>
        <v>990</v>
      </c>
      <c r="L53" s="9">
        <f>ROUNDUP((Parametry!$C$21*MAX(1,D53))*Parametry!$C$15,0)</f>
        <v>990</v>
      </c>
      <c r="M53" s="9">
        <f>ROUNDUP((Parametry!$C$21*MAX(1,D53))*Parametry!$C$15,0)</f>
        <v>990</v>
      </c>
      <c r="N53" s="9">
        <f>ROUNDUP((Parametry!$C$21*MAX(1,D53))*Parametry!$C$15,0)</f>
        <v>990</v>
      </c>
      <c r="O53" s="9">
        <f t="shared" si="12"/>
        <v>14</v>
      </c>
      <c r="P53" s="9">
        <f t="shared" si="13"/>
        <v>14</v>
      </c>
      <c r="Q53" s="9">
        <f t="shared" si="14"/>
        <v>14</v>
      </c>
      <c r="R53" s="9">
        <f t="shared" si="15"/>
        <v>14</v>
      </c>
      <c r="S53" s="9">
        <f t="shared" si="16"/>
        <v>14</v>
      </c>
      <c r="T53" s="9">
        <f t="shared" si="17"/>
        <v>70</v>
      </c>
      <c r="U53" s="9">
        <f t="shared" si="18"/>
        <v>12</v>
      </c>
      <c r="V53" s="9">
        <f>U53*Parametry!$C$11</f>
        <v>60</v>
      </c>
      <c r="W53" s="9">
        <f>2</f>
        <v>2</v>
      </c>
      <c r="X53" s="9">
        <f t="shared" si="19"/>
        <v>60</v>
      </c>
      <c r="Y53" s="9">
        <f t="shared" si="20"/>
        <v>120</v>
      </c>
      <c r="Z53" s="9">
        <f t="shared" si="21"/>
        <v>4950</v>
      </c>
      <c r="AA53" s="9" t="s">
        <v>867</v>
      </c>
    </row>
    <row r="54" spans="1:27" ht="69.75" customHeight="1" x14ac:dyDescent="0.3">
      <c r="A54" s="8" t="s">
        <v>112</v>
      </c>
      <c r="B54" s="8" t="s">
        <v>865</v>
      </c>
      <c r="C54" s="8" t="s">
        <v>866</v>
      </c>
      <c r="D54" s="8">
        <v>1</v>
      </c>
      <c r="E54" s="8">
        <f t="shared" si="11"/>
        <v>2</v>
      </c>
      <c r="F54" s="8">
        <v>1</v>
      </c>
      <c r="G54" s="11">
        <f>Parametry!$C$12</f>
        <v>6</v>
      </c>
      <c r="H54" s="8">
        <f>ROUNDDOWN(Parametry!$C$9*Parametry!$C$10^(F54-1),0)</f>
        <v>60</v>
      </c>
      <c r="I54" s="8">
        <f>ROUNDUP((Parametry!$C$21*MAX(1,D54))*1,0)</f>
        <v>300</v>
      </c>
      <c r="J54" s="8">
        <f>ROUNDUP((Parametry!$C$21*MAX(1,D54))*1,0)</f>
        <v>300</v>
      </c>
      <c r="K54" s="8">
        <f>ROUNDUP((Parametry!$C$21*MAX(1,D54))*1,0)</f>
        <v>300</v>
      </c>
      <c r="L54" s="8">
        <f>ROUNDUP((Parametry!$C$21*MAX(1,D54))*1,0)</f>
        <v>300</v>
      </c>
      <c r="M54" s="8">
        <f>ROUNDUP((Parametry!$C$21*MAX(1,D54))*1,0)</f>
        <v>300</v>
      </c>
      <c r="N54" s="8">
        <f>ROUNDUP((Parametry!$C$21*MAX(1,D54))*1,0)</f>
        <v>300</v>
      </c>
      <c r="O54" s="8">
        <f t="shared" si="12"/>
        <v>5</v>
      </c>
      <c r="P54" s="8">
        <f t="shared" si="13"/>
        <v>5</v>
      </c>
      <c r="Q54" s="8">
        <f t="shared" si="14"/>
        <v>5</v>
      </c>
      <c r="R54" s="8">
        <f t="shared" si="15"/>
        <v>5</v>
      </c>
      <c r="S54" s="8">
        <f t="shared" si="16"/>
        <v>5</v>
      </c>
      <c r="T54" s="8">
        <f t="shared" si="17"/>
        <v>25</v>
      </c>
      <c r="U54" s="8">
        <f t="shared" si="18"/>
        <v>5</v>
      </c>
      <c r="V54" s="8">
        <f>U54*Parametry!$C$11</f>
        <v>25</v>
      </c>
      <c r="W54" s="8">
        <f>2</f>
        <v>2</v>
      </c>
      <c r="X54" s="8">
        <f t="shared" si="19"/>
        <v>25</v>
      </c>
      <c r="Y54" s="8">
        <f t="shared" si="20"/>
        <v>50</v>
      </c>
      <c r="Z54" s="8">
        <f t="shared" si="21"/>
        <v>1500</v>
      </c>
      <c r="AA54" s="8" t="s">
        <v>867</v>
      </c>
    </row>
    <row r="55" spans="1:27" ht="69.75" customHeight="1" x14ac:dyDescent="0.3">
      <c r="A55" s="9" t="s">
        <v>112</v>
      </c>
      <c r="B55" s="9" t="s">
        <v>865</v>
      </c>
      <c r="C55" s="9" t="s">
        <v>868</v>
      </c>
      <c r="D55" s="9">
        <v>1</v>
      </c>
      <c r="E55" s="9">
        <f t="shared" si="11"/>
        <v>2</v>
      </c>
      <c r="F55" s="9">
        <v>1</v>
      </c>
      <c r="G55" s="12">
        <f>Parametry!$C$12</f>
        <v>6</v>
      </c>
      <c r="H55" s="9">
        <f>ROUNDDOWN(Parametry!$C$9*Parametry!$C$10^(F55-1),0)</f>
        <v>60</v>
      </c>
      <c r="I55" s="9">
        <f>ROUNDUP((Parametry!$C$21*MAX(1,D55))*Parametry!$C$15,0)</f>
        <v>330</v>
      </c>
      <c r="J55" s="9">
        <f>ROUNDUP((Parametry!$C$21*MAX(1,D55))*Parametry!$C$15,0)</f>
        <v>330</v>
      </c>
      <c r="K55" s="9">
        <f>ROUNDUP((Parametry!$C$21*MAX(1,D55))*Parametry!$C$15,0)</f>
        <v>330</v>
      </c>
      <c r="L55" s="9">
        <f>ROUNDUP((Parametry!$C$21*MAX(1,D55))*Parametry!$C$15,0)</f>
        <v>330</v>
      </c>
      <c r="M55" s="9">
        <f>ROUNDUP((Parametry!$C$21*MAX(1,D55))*Parametry!$C$15,0)</f>
        <v>330</v>
      </c>
      <c r="N55" s="9">
        <f>ROUNDUP((Parametry!$C$21*MAX(1,D55))*Parametry!$C$15,0)</f>
        <v>330</v>
      </c>
      <c r="O55" s="9">
        <f t="shared" si="12"/>
        <v>6</v>
      </c>
      <c r="P55" s="9">
        <f t="shared" si="13"/>
        <v>6</v>
      </c>
      <c r="Q55" s="9">
        <f t="shared" si="14"/>
        <v>6</v>
      </c>
      <c r="R55" s="9">
        <f t="shared" si="15"/>
        <v>6</v>
      </c>
      <c r="S55" s="9">
        <f t="shared" si="16"/>
        <v>6</v>
      </c>
      <c r="T55" s="9">
        <f t="shared" si="17"/>
        <v>30</v>
      </c>
      <c r="U55" s="9">
        <f t="shared" si="18"/>
        <v>5</v>
      </c>
      <c r="V55" s="9">
        <f>U55*Parametry!$C$11</f>
        <v>25</v>
      </c>
      <c r="W55" s="9">
        <f>2</f>
        <v>2</v>
      </c>
      <c r="X55" s="9">
        <f t="shared" si="19"/>
        <v>25</v>
      </c>
      <c r="Y55" s="9">
        <f t="shared" si="20"/>
        <v>50</v>
      </c>
      <c r="Z55" s="9">
        <f t="shared" si="21"/>
        <v>1650</v>
      </c>
      <c r="AA55" s="9" t="s">
        <v>867</v>
      </c>
    </row>
    <row r="56" spans="1:27" ht="69.75" customHeight="1" x14ac:dyDescent="0.3">
      <c r="A56" s="8" t="s">
        <v>112</v>
      </c>
      <c r="B56" s="8" t="s">
        <v>869</v>
      </c>
      <c r="C56" s="8" t="s">
        <v>866</v>
      </c>
      <c r="D56" s="8">
        <v>2</v>
      </c>
      <c r="E56" s="8">
        <f t="shared" si="11"/>
        <v>3</v>
      </c>
      <c r="F56" s="8">
        <v>2</v>
      </c>
      <c r="G56" s="11">
        <f>Parametry!$C$12</f>
        <v>6</v>
      </c>
      <c r="H56" s="8">
        <f>ROUNDDOWN(Parametry!$C$9*Parametry!$C$10^(F56-1),0)</f>
        <v>66</v>
      </c>
      <c r="I56" s="8">
        <f>ROUNDUP((Parametry!$C$21*MAX(1,D56))*1,0)</f>
        <v>600</v>
      </c>
      <c r="J56" s="8">
        <f>ROUNDUP((Parametry!$C$21*MAX(1,D56))*1,0)</f>
        <v>600</v>
      </c>
      <c r="K56" s="8">
        <f>ROUNDUP((Parametry!$C$21*MAX(1,D56))*1,0)</f>
        <v>600</v>
      </c>
      <c r="L56" s="8">
        <f>ROUNDUP((Parametry!$C$21*MAX(1,D56))*1,0)</f>
        <v>600</v>
      </c>
      <c r="M56" s="8">
        <f>ROUNDUP((Parametry!$C$21*MAX(1,D56))*1,0)</f>
        <v>600</v>
      </c>
      <c r="N56" s="8">
        <f>ROUNDUP((Parametry!$C$21*MAX(1,D56))*1,0)</f>
        <v>600</v>
      </c>
      <c r="O56" s="8">
        <f t="shared" si="12"/>
        <v>10</v>
      </c>
      <c r="P56" s="8">
        <f t="shared" si="13"/>
        <v>10</v>
      </c>
      <c r="Q56" s="8">
        <f t="shared" si="14"/>
        <v>10</v>
      </c>
      <c r="R56" s="8">
        <f t="shared" si="15"/>
        <v>10</v>
      </c>
      <c r="S56" s="8">
        <f t="shared" si="16"/>
        <v>10</v>
      </c>
      <c r="T56" s="8">
        <f t="shared" si="17"/>
        <v>50</v>
      </c>
      <c r="U56" s="8">
        <f t="shared" si="18"/>
        <v>9</v>
      </c>
      <c r="V56" s="8">
        <f>U56*Parametry!$C$11</f>
        <v>45</v>
      </c>
      <c r="W56" s="8">
        <f>2</f>
        <v>2</v>
      </c>
      <c r="X56" s="8">
        <f t="shared" si="19"/>
        <v>45</v>
      </c>
      <c r="Y56" s="8">
        <f t="shared" si="20"/>
        <v>90</v>
      </c>
      <c r="Z56" s="8">
        <f t="shared" si="21"/>
        <v>3000</v>
      </c>
      <c r="AA56" s="8" t="s">
        <v>867</v>
      </c>
    </row>
    <row r="57" spans="1:27" ht="69.75" customHeight="1" x14ac:dyDescent="0.3">
      <c r="A57" s="9" t="s">
        <v>112</v>
      </c>
      <c r="B57" s="9" t="s">
        <v>869</v>
      </c>
      <c r="C57" s="9" t="s">
        <v>868</v>
      </c>
      <c r="D57" s="9">
        <v>2</v>
      </c>
      <c r="E57" s="9">
        <f t="shared" si="11"/>
        <v>3</v>
      </c>
      <c r="F57" s="9">
        <v>2</v>
      </c>
      <c r="G57" s="12">
        <f>Parametry!$C$12</f>
        <v>6</v>
      </c>
      <c r="H57" s="9">
        <f>ROUNDDOWN(Parametry!$C$9*Parametry!$C$10^(F57-1),0)</f>
        <v>66</v>
      </c>
      <c r="I57" s="9">
        <f>ROUNDUP((Parametry!$C$21*MAX(1,D57))*Parametry!$C$15,0)</f>
        <v>660</v>
      </c>
      <c r="J57" s="9">
        <f>ROUNDUP((Parametry!$C$21*MAX(1,D57))*Parametry!$C$15,0)</f>
        <v>660</v>
      </c>
      <c r="K57" s="9">
        <f>ROUNDUP((Parametry!$C$21*MAX(1,D57))*Parametry!$C$15,0)</f>
        <v>660</v>
      </c>
      <c r="L57" s="9">
        <f>ROUNDUP((Parametry!$C$21*MAX(1,D57))*Parametry!$C$15,0)</f>
        <v>660</v>
      </c>
      <c r="M57" s="9">
        <f>ROUNDUP((Parametry!$C$21*MAX(1,D57))*Parametry!$C$15,0)</f>
        <v>660</v>
      </c>
      <c r="N57" s="9">
        <f>ROUNDUP((Parametry!$C$21*MAX(1,D57))*Parametry!$C$15,0)</f>
        <v>660</v>
      </c>
      <c r="O57" s="9">
        <f t="shared" si="12"/>
        <v>10</v>
      </c>
      <c r="P57" s="9">
        <f t="shared" si="13"/>
        <v>10</v>
      </c>
      <c r="Q57" s="9">
        <f t="shared" si="14"/>
        <v>10</v>
      </c>
      <c r="R57" s="9">
        <f t="shared" si="15"/>
        <v>10</v>
      </c>
      <c r="S57" s="9">
        <f t="shared" si="16"/>
        <v>10</v>
      </c>
      <c r="T57" s="9">
        <f t="shared" si="17"/>
        <v>50</v>
      </c>
      <c r="U57" s="9">
        <f t="shared" si="18"/>
        <v>9</v>
      </c>
      <c r="V57" s="9">
        <f>U57*Parametry!$C$11</f>
        <v>45</v>
      </c>
      <c r="W57" s="9">
        <f>2</f>
        <v>2</v>
      </c>
      <c r="X57" s="9">
        <f t="shared" si="19"/>
        <v>45</v>
      </c>
      <c r="Y57" s="9">
        <f t="shared" si="20"/>
        <v>90</v>
      </c>
      <c r="Z57" s="9">
        <f t="shared" si="21"/>
        <v>3300</v>
      </c>
      <c r="AA57" s="9" t="s">
        <v>867</v>
      </c>
    </row>
    <row r="58" spans="1:27" ht="69.75" customHeight="1" x14ac:dyDescent="0.3">
      <c r="A58" s="8" t="s">
        <v>112</v>
      </c>
      <c r="B58" s="8" t="s">
        <v>870</v>
      </c>
      <c r="C58" s="8" t="s">
        <v>866</v>
      </c>
      <c r="D58" s="8">
        <v>3</v>
      </c>
      <c r="E58" s="8">
        <f t="shared" si="11"/>
        <v>4</v>
      </c>
      <c r="F58" s="8">
        <v>3</v>
      </c>
      <c r="G58" s="11">
        <f>Parametry!$C$12</f>
        <v>6</v>
      </c>
      <c r="H58" s="8">
        <f>ROUNDDOWN(Parametry!$C$9*Parametry!$C$10^(F58-1),0)</f>
        <v>72</v>
      </c>
      <c r="I58" s="8">
        <f>ROUNDUP((Parametry!$C$21*MAX(1,D58))*1,0)</f>
        <v>900</v>
      </c>
      <c r="J58" s="8">
        <f>ROUNDUP((Parametry!$C$21*MAX(1,D58))*1,0)</f>
        <v>900</v>
      </c>
      <c r="K58" s="8">
        <f>ROUNDUP((Parametry!$C$21*MAX(1,D58))*1,0)</f>
        <v>900</v>
      </c>
      <c r="L58" s="8">
        <f>ROUNDUP((Parametry!$C$21*MAX(1,D58))*1,0)</f>
        <v>900</v>
      </c>
      <c r="M58" s="8">
        <f>ROUNDUP((Parametry!$C$21*MAX(1,D58))*1,0)</f>
        <v>900</v>
      </c>
      <c r="N58" s="8">
        <f>ROUNDUP((Parametry!$C$21*MAX(1,D58))*1,0)</f>
        <v>900</v>
      </c>
      <c r="O58" s="8">
        <f t="shared" si="12"/>
        <v>13</v>
      </c>
      <c r="P58" s="8">
        <f t="shared" si="13"/>
        <v>13</v>
      </c>
      <c r="Q58" s="8">
        <f t="shared" si="14"/>
        <v>13</v>
      </c>
      <c r="R58" s="8">
        <f t="shared" si="15"/>
        <v>13</v>
      </c>
      <c r="S58" s="8">
        <f t="shared" si="16"/>
        <v>13</v>
      </c>
      <c r="T58" s="8">
        <f t="shared" si="17"/>
        <v>65</v>
      </c>
      <c r="U58" s="8">
        <f t="shared" si="18"/>
        <v>11</v>
      </c>
      <c r="V58" s="8">
        <f>U58*Parametry!$C$11</f>
        <v>55</v>
      </c>
      <c r="W58" s="8">
        <f>2</f>
        <v>2</v>
      </c>
      <c r="X58" s="8">
        <f t="shared" si="19"/>
        <v>55</v>
      </c>
      <c r="Y58" s="8">
        <f t="shared" si="20"/>
        <v>110</v>
      </c>
      <c r="Z58" s="8">
        <f t="shared" si="21"/>
        <v>4500</v>
      </c>
      <c r="AA58" s="8" t="s">
        <v>867</v>
      </c>
    </row>
    <row r="59" spans="1:27" ht="69.75" customHeight="1" x14ac:dyDescent="0.3">
      <c r="A59" s="9" t="s">
        <v>112</v>
      </c>
      <c r="B59" s="9" t="s">
        <v>870</v>
      </c>
      <c r="C59" s="9" t="s">
        <v>868</v>
      </c>
      <c r="D59" s="9">
        <v>3</v>
      </c>
      <c r="E59" s="9">
        <f t="shared" si="11"/>
        <v>4</v>
      </c>
      <c r="F59" s="9">
        <v>3</v>
      </c>
      <c r="G59" s="12">
        <f>Parametry!$C$12</f>
        <v>6</v>
      </c>
      <c r="H59" s="9">
        <f>ROUNDDOWN(Parametry!$C$9*Parametry!$C$10^(F59-1),0)</f>
        <v>72</v>
      </c>
      <c r="I59" s="9">
        <f>ROUNDUP((Parametry!$C$21*MAX(1,D59))*Parametry!$C$15,0)</f>
        <v>990</v>
      </c>
      <c r="J59" s="9">
        <f>ROUNDUP((Parametry!$C$21*MAX(1,D59))*Parametry!$C$15,0)</f>
        <v>990</v>
      </c>
      <c r="K59" s="9">
        <f>ROUNDUP((Parametry!$C$21*MAX(1,D59))*Parametry!$C$15,0)</f>
        <v>990</v>
      </c>
      <c r="L59" s="9">
        <f>ROUNDUP((Parametry!$C$21*MAX(1,D59))*Parametry!$C$15,0)</f>
        <v>990</v>
      </c>
      <c r="M59" s="9">
        <f>ROUNDUP((Parametry!$C$21*MAX(1,D59))*Parametry!$C$15,0)</f>
        <v>990</v>
      </c>
      <c r="N59" s="9">
        <f>ROUNDUP((Parametry!$C$21*MAX(1,D59))*Parametry!$C$15,0)</f>
        <v>990</v>
      </c>
      <c r="O59" s="9">
        <f t="shared" si="12"/>
        <v>14</v>
      </c>
      <c r="P59" s="9">
        <f t="shared" si="13"/>
        <v>14</v>
      </c>
      <c r="Q59" s="9">
        <f t="shared" si="14"/>
        <v>14</v>
      </c>
      <c r="R59" s="9">
        <f t="shared" si="15"/>
        <v>14</v>
      </c>
      <c r="S59" s="9">
        <f t="shared" si="16"/>
        <v>14</v>
      </c>
      <c r="T59" s="9">
        <f t="shared" si="17"/>
        <v>70</v>
      </c>
      <c r="U59" s="9">
        <f t="shared" si="18"/>
        <v>12</v>
      </c>
      <c r="V59" s="9">
        <f>U59*Parametry!$C$11</f>
        <v>60</v>
      </c>
      <c r="W59" s="9">
        <f>2</f>
        <v>2</v>
      </c>
      <c r="X59" s="9">
        <f t="shared" si="19"/>
        <v>60</v>
      </c>
      <c r="Y59" s="9">
        <f t="shared" si="20"/>
        <v>120</v>
      </c>
      <c r="Z59" s="9">
        <f t="shared" si="21"/>
        <v>4950</v>
      </c>
      <c r="AA59" s="9" t="s">
        <v>867</v>
      </c>
    </row>
    <row r="60" spans="1:27" ht="69.75" customHeight="1" x14ac:dyDescent="0.3">
      <c r="A60" s="8" t="s">
        <v>117</v>
      </c>
      <c r="B60" s="8" t="s">
        <v>865</v>
      </c>
      <c r="C60" s="8" t="s">
        <v>866</v>
      </c>
      <c r="D60" s="8">
        <v>1</v>
      </c>
      <c r="E60" s="8">
        <f t="shared" si="11"/>
        <v>2</v>
      </c>
      <c r="F60" s="8">
        <v>1</v>
      </c>
      <c r="G60" s="11">
        <f>Parametry!$C$12</f>
        <v>6</v>
      </c>
      <c r="H60" s="8">
        <f>ROUNDDOWN(Parametry!$C$9*Parametry!$C$10^(F60-1),0)</f>
        <v>60</v>
      </c>
      <c r="I60" s="8">
        <f>ROUNDUP((Parametry!$C$22*MAX(1,D60))*1,0)</f>
        <v>400</v>
      </c>
      <c r="J60" s="8">
        <f>ROUNDUP((Parametry!$C$22*MAX(1,D60))*1,0)</f>
        <v>400</v>
      </c>
      <c r="K60" s="8">
        <f>ROUNDUP((Parametry!$C$22*MAX(1,D60))*1,0)</f>
        <v>400</v>
      </c>
      <c r="L60" s="8">
        <f>ROUNDUP((Parametry!$C$22*MAX(1,D60))*1,0)</f>
        <v>400</v>
      </c>
      <c r="M60" s="8">
        <f>ROUNDUP((Parametry!$C$22*MAX(1,D60))*1,0)</f>
        <v>400</v>
      </c>
      <c r="N60" s="8">
        <f>ROUNDUP((Parametry!$C$22*MAX(1,D60))*1,0)</f>
        <v>400</v>
      </c>
      <c r="O60" s="8">
        <f t="shared" si="12"/>
        <v>7</v>
      </c>
      <c r="P60" s="8">
        <f t="shared" si="13"/>
        <v>7</v>
      </c>
      <c r="Q60" s="8">
        <f t="shared" si="14"/>
        <v>7</v>
      </c>
      <c r="R60" s="8">
        <f t="shared" si="15"/>
        <v>7</v>
      </c>
      <c r="S60" s="8">
        <f t="shared" si="16"/>
        <v>7</v>
      </c>
      <c r="T60" s="8">
        <f t="shared" si="17"/>
        <v>35</v>
      </c>
      <c r="U60" s="8">
        <f t="shared" si="18"/>
        <v>6</v>
      </c>
      <c r="V60" s="8">
        <f>U60*Parametry!$C$11</f>
        <v>30</v>
      </c>
      <c r="W60" s="8">
        <f>2</f>
        <v>2</v>
      </c>
      <c r="X60" s="8">
        <f t="shared" si="19"/>
        <v>30</v>
      </c>
      <c r="Y60" s="8">
        <f t="shared" si="20"/>
        <v>60</v>
      </c>
      <c r="Z60" s="8">
        <f t="shared" si="21"/>
        <v>2000</v>
      </c>
      <c r="AA60" s="8" t="s">
        <v>867</v>
      </c>
    </row>
    <row r="61" spans="1:27" ht="69.75" customHeight="1" x14ac:dyDescent="0.3">
      <c r="A61" s="9" t="s">
        <v>117</v>
      </c>
      <c r="B61" s="9" t="s">
        <v>865</v>
      </c>
      <c r="C61" s="9" t="s">
        <v>868</v>
      </c>
      <c r="D61" s="9">
        <v>1</v>
      </c>
      <c r="E61" s="9">
        <f t="shared" si="11"/>
        <v>2</v>
      </c>
      <c r="F61" s="9">
        <v>1</v>
      </c>
      <c r="G61" s="12">
        <f>Parametry!$C$12</f>
        <v>6</v>
      </c>
      <c r="H61" s="9">
        <f>ROUNDDOWN(Parametry!$C$9*Parametry!$C$10^(F61-1),0)</f>
        <v>60</v>
      </c>
      <c r="I61" s="9">
        <f>ROUNDUP((Parametry!$C$22*MAX(1,D61))*Parametry!$C$15,0)</f>
        <v>440</v>
      </c>
      <c r="J61" s="9">
        <f>ROUNDUP((Parametry!$C$22*MAX(1,D61))*Parametry!$C$15,0)</f>
        <v>440</v>
      </c>
      <c r="K61" s="9">
        <f>ROUNDUP((Parametry!$C$22*MAX(1,D61))*Parametry!$C$15,0)</f>
        <v>440</v>
      </c>
      <c r="L61" s="9">
        <f>ROUNDUP((Parametry!$C$22*MAX(1,D61))*Parametry!$C$15,0)</f>
        <v>440</v>
      </c>
      <c r="M61" s="9">
        <f>ROUNDUP((Parametry!$C$22*MAX(1,D61))*Parametry!$C$15,0)</f>
        <v>440</v>
      </c>
      <c r="N61" s="9">
        <f>ROUNDUP((Parametry!$C$22*MAX(1,D61))*Parametry!$C$15,0)</f>
        <v>440</v>
      </c>
      <c r="O61" s="9">
        <f t="shared" si="12"/>
        <v>8</v>
      </c>
      <c r="P61" s="9">
        <f t="shared" si="13"/>
        <v>8</v>
      </c>
      <c r="Q61" s="9">
        <f t="shared" si="14"/>
        <v>8</v>
      </c>
      <c r="R61" s="9">
        <f t="shared" si="15"/>
        <v>8</v>
      </c>
      <c r="S61" s="9">
        <f t="shared" si="16"/>
        <v>8</v>
      </c>
      <c r="T61" s="9">
        <f t="shared" si="17"/>
        <v>40</v>
      </c>
      <c r="U61" s="9">
        <f t="shared" si="18"/>
        <v>7</v>
      </c>
      <c r="V61" s="9">
        <f>U61*Parametry!$C$11</f>
        <v>35</v>
      </c>
      <c r="W61" s="9">
        <f>2</f>
        <v>2</v>
      </c>
      <c r="X61" s="9">
        <f t="shared" si="19"/>
        <v>35</v>
      </c>
      <c r="Y61" s="9">
        <f t="shared" si="20"/>
        <v>70</v>
      </c>
      <c r="Z61" s="9">
        <f t="shared" si="21"/>
        <v>2200</v>
      </c>
      <c r="AA61" s="9" t="s">
        <v>867</v>
      </c>
    </row>
    <row r="62" spans="1:27" ht="69.75" customHeight="1" x14ac:dyDescent="0.3">
      <c r="A62" s="8" t="s">
        <v>117</v>
      </c>
      <c r="B62" s="8" t="s">
        <v>869</v>
      </c>
      <c r="C62" s="8" t="s">
        <v>866</v>
      </c>
      <c r="D62" s="8">
        <v>2</v>
      </c>
      <c r="E62" s="8">
        <f t="shared" si="11"/>
        <v>3</v>
      </c>
      <c r="F62" s="8">
        <v>2</v>
      </c>
      <c r="G62" s="11">
        <f>Parametry!$C$12</f>
        <v>6</v>
      </c>
      <c r="H62" s="8">
        <f>ROUNDDOWN(Parametry!$C$9*Parametry!$C$10^(F62-1),0)</f>
        <v>66</v>
      </c>
      <c r="I62" s="8">
        <f>ROUNDUP((Parametry!$C$22*MAX(1,D62))*1,0)</f>
        <v>800</v>
      </c>
      <c r="J62" s="8">
        <f>ROUNDUP((Parametry!$C$22*MAX(1,D62))*1,0)</f>
        <v>800</v>
      </c>
      <c r="K62" s="8">
        <f>ROUNDUP((Parametry!$C$22*MAX(1,D62))*1,0)</f>
        <v>800</v>
      </c>
      <c r="L62" s="8">
        <f>ROUNDUP((Parametry!$C$22*MAX(1,D62))*1,0)</f>
        <v>800</v>
      </c>
      <c r="M62" s="8">
        <f>ROUNDUP((Parametry!$C$22*MAX(1,D62))*1,0)</f>
        <v>800</v>
      </c>
      <c r="N62" s="8">
        <f>ROUNDUP((Parametry!$C$22*MAX(1,D62))*1,0)</f>
        <v>800</v>
      </c>
      <c r="O62" s="8">
        <f t="shared" si="12"/>
        <v>13</v>
      </c>
      <c r="P62" s="8">
        <f t="shared" si="13"/>
        <v>13</v>
      </c>
      <c r="Q62" s="8">
        <f t="shared" si="14"/>
        <v>13</v>
      </c>
      <c r="R62" s="8">
        <f t="shared" si="15"/>
        <v>13</v>
      </c>
      <c r="S62" s="8">
        <f t="shared" si="16"/>
        <v>13</v>
      </c>
      <c r="T62" s="8">
        <f t="shared" si="17"/>
        <v>65</v>
      </c>
      <c r="U62" s="8">
        <f t="shared" si="18"/>
        <v>11</v>
      </c>
      <c r="V62" s="8">
        <f>U62*Parametry!$C$11</f>
        <v>55</v>
      </c>
      <c r="W62" s="8">
        <f>2</f>
        <v>2</v>
      </c>
      <c r="X62" s="8">
        <f t="shared" si="19"/>
        <v>55</v>
      </c>
      <c r="Y62" s="8">
        <f t="shared" si="20"/>
        <v>110</v>
      </c>
      <c r="Z62" s="8">
        <f t="shared" si="21"/>
        <v>4000</v>
      </c>
      <c r="AA62" s="8" t="s">
        <v>867</v>
      </c>
    </row>
    <row r="63" spans="1:27" ht="69.75" customHeight="1" x14ac:dyDescent="0.3">
      <c r="A63" s="9" t="s">
        <v>117</v>
      </c>
      <c r="B63" s="9" t="s">
        <v>869</v>
      </c>
      <c r="C63" s="9" t="s">
        <v>868</v>
      </c>
      <c r="D63" s="9">
        <v>2</v>
      </c>
      <c r="E63" s="9">
        <f t="shared" si="11"/>
        <v>3</v>
      </c>
      <c r="F63" s="9">
        <v>2</v>
      </c>
      <c r="G63" s="12">
        <f>Parametry!$C$12</f>
        <v>6</v>
      </c>
      <c r="H63" s="9">
        <f>ROUNDDOWN(Parametry!$C$9*Parametry!$C$10^(F63-1),0)</f>
        <v>66</v>
      </c>
      <c r="I63" s="9">
        <f>ROUNDUP((Parametry!$C$22*MAX(1,D63))*Parametry!$C$15,0)</f>
        <v>880</v>
      </c>
      <c r="J63" s="9">
        <f>ROUNDUP((Parametry!$C$22*MAX(1,D63))*Parametry!$C$15,0)</f>
        <v>880</v>
      </c>
      <c r="K63" s="9">
        <f>ROUNDUP((Parametry!$C$22*MAX(1,D63))*Parametry!$C$15,0)</f>
        <v>880</v>
      </c>
      <c r="L63" s="9">
        <f>ROUNDUP((Parametry!$C$22*MAX(1,D63))*Parametry!$C$15,0)</f>
        <v>880</v>
      </c>
      <c r="M63" s="9">
        <f>ROUNDUP((Parametry!$C$22*MAX(1,D63))*Parametry!$C$15,0)</f>
        <v>880</v>
      </c>
      <c r="N63" s="9">
        <f>ROUNDUP((Parametry!$C$22*MAX(1,D63))*Parametry!$C$15,0)</f>
        <v>880</v>
      </c>
      <c r="O63" s="9">
        <f t="shared" si="12"/>
        <v>14</v>
      </c>
      <c r="P63" s="9">
        <f t="shared" si="13"/>
        <v>14</v>
      </c>
      <c r="Q63" s="9">
        <f t="shared" si="14"/>
        <v>14</v>
      </c>
      <c r="R63" s="9">
        <f t="shared" si="15"/>
        <v>14</v>
      </c>
      <c r="S63" s="9">
        <f t="shared" si="16"/>
        <v>14</v>
      </c>
      <c r="T63" s="9">
        <f t="shared" si="17"/>
        <v>70</v>
      </c>
      <c r="U63" s="9">
        <f t="shared" si="18"/>
        <v>12</v>
      </c>
      <c r="V63" s="9">
        <f>U63*Parametry!$C$11</f>
        <v>60</v>
      </c>
      <c r="W63" s="9">
        <f>2</f>
        <v>2</v>
      </c>
      <c r="X63" s="9">
        <f t="shared" si="19"/>
        <v>60</v>
      </c>
      <c r="Y63" s="9">
        <f t="shared" si="20"/>
        <v>120</v>
      </c>
      <c r="Z63" s="9">
        <f t="shared" si="21"/>
        <v>4400</v>
      </c>
      <c r="AA63" s="9" t="s">
        <v>867</v>
      </c>
    </row>
    <row r="64" spans="1:27" ht="69.75" customHeight="1" x14ac:dyDescent="0.3">
      <c r="A64" s="8" t="s">
        <v>117</v>
      </c>
      <c r="B64" s="8" t="s">
        <v>870</v>
      </c>
      <c r="C64" s="8" t="s">
        <v>866</v>
      </c>
      <c r="D64" s="8">
        <v>3</v>
      </c>
      <c r="E64" s="8">
        <f t="shared" si="11"/>
        <v>4</v>
      </c>
      <c r="F64" s="8">
        <v>3</v>
      </c>
      <c r="G64" s="11">
        <f>Parametry!$C$12</f>
        <v>6</v>
      </c>
      <c r="H64" s="8">
        <f>ROUNDDOWN(Parametry!$C$9*Parametry!$C$10^(F64-1),0)</f>
        <v>72</v>
      </c>
      <c r="I64" s="8">
        <f>ROUNDUP((Parametry!$C$22*MAX(1,D64))*1,0)</f>
        <v>1200</v>
      </c>
      <c r="J64" s="8">
        <f>ROUNDUP((Parametry!$C$22*MAX(1,D64))*1,0)</f>
        <v>1200</v>
      </c>
      <c r="K64" s="8">
        <f>ROUNDUP((Parametry!$C$22*MAX(1,D64))*1,0)</f>
        <v>1200</v>
      </c>
      <c r="L64" s="8">
        <f>ROUNDUP((Parametry!$C$22*MAX(1,D64))*1,0)</f>
        <v>1200</v>
      </c>
      <c r="M64" s="8">
        <f>ROUNDUP((Parametry!$C$22*MAX(1,D64))*1,0)</f>
        <v>1200</v>
      </c>
      <c r="N64" s="8">
        <f>ROUNDUP((Parametry!$C$22*MAX(1,D64))*1,0)</f>
        <v>1200</v>
      </c>
      <c r="O64" s="8">
        <f t="shared" si="12"/>
        <v>17</v>
      </c>
      <c r="P64" s="8">
        <f t="shared" si="13"/>
        <v>17</v>
      </c>
      <c r="Q64" s="8">
        <f t="shared" si="14"/>
        <v>17</v>
      </c>
      <c r="R64" s="8">
        <f t="shared" si="15"/>
        <v>17</v>
      </c>
      <c r="S64" s="8">
        <f t="shared" si="16"/>
        <v>17</v>
      </c>
      <c r="T64" s="8">
        <f t="shared" si="17"/>
        <v>85</v>
      </c>
      <c r="U64" s="8">
        <f t="shared" si="18"/>
        <v>15</v>
      </c>
      <c r="V64" s="8">
        <f>U64*Parametry!$C$11</f>
        <v>75</v>
      </c>
      <c r="W64" s="8">
        <f>2</f>
        <v>2</v>
      </c>
      <c r="X64" s="8">
        <f t="shared" si="19"/>
        <v>75</v>
      </c>
      <c r="Y64" s="8">
        <f t="shared" si="20"/>
        <v>150</v>
      </c>
      <c r="Z64" s="8">
        <f t="shared" si="21"/>
        <v>6000</v>
      </c>
      <c r="AA64" s="8" t="s">
        <v>867</v>
      </c>
    </row>
    <row r="65" spans="1:27" ht="69.75" customHeight="1" x14ac:dyDescent="0.3">
      <c r="A65" s="9" t="s">
        <v>117</v>
      </c>
      <c r="B65" s="9" t="s">
        <v>870</v>
      </c>
      <c r="C65" s="9" t="s">
        <v>868</v>
      </c>
      <c r="D65" s="9">
        <v>3</v>
      </c>
      <c r="E65" s="9">
        <f t="shared" si="11"/>
        <v>4</v>
      </c>
      <c r="F65" s="9">
        <v>3</v>
      </c>
      <c r="G65" s="12">
        <f>Parametry!$C$12</f>
        <v>6</v>
      </c>
      <c r="H65" s="9">
        <f>ROUNDDOWN(Parametry!$C$9*Parametry!$C$10^(F65-1),0)</f>
        <v>72</v>
      </c>
      <c r="I65" s="9">
        <f>ROUNDUP((Parametry!$C$22*MAX(1,D65))*Parametry!$C$15,0)</f>
        <v>1320</v>
      </c>
      <c r="J65" s="9">
        <f>ROUNDUP((Parametry!$C$22*MAX(1,D65))*Parametry!$C$15,0)</f>
        <v>1320</v>
      </c>
      <c r="K65" s="9">
        <f>ROUNDUP((Parametry!$C$22*MAX(1,D65))*Parametry!$C$15,0)</f>
        <v>1320</v>
      </c>
      <c r="L65" s="9">
        <f>ROUNDUP((Parametry!$C$22*MAX(1,D65))*Parametry!$C$15,0)</f>
        <v>1320</v>
      </c>
      <c r="M65" s="9">
        <f>ROUNDUP((Parametry!$C$22*MAX(1,D65))*Parametry!$C$15,0)</f>
        <v>1320</v>
      </c>
      <c r="N65" s="9">
        <f>ROUNDUP((Parametry!$C$22*MAX(1,D65))*Parametry!$C$15,0)</f>
        <v>1320</v>
      </c>
      <c r="O65" s="9">
        <f t="shared" si="12"/>
        <v>19</v>
      </c>
      <c r="P65" s="9">
        <f t="shared" si="13"/>
        <v>19</v>
      </c>
      <c r="Q65" s="9">
        <f t="shared" si="14"/>
        <v>19</v>
      </c>
      <c r="R65" s="9">
        <f t="shared" si="15"/>
        <v>19</v>
      </c>
      <c r="S65" s="9">
        <f t="shared" si="16"/>
        <v>19</v>
      </c>
      <c r="T65" s="9">
        <f t="shared" si="17"/>
        <v>95</v>
      </c>
      <c r="U65" s="9">
        <f t="shared" si="18"/>
        <v>16</v>
      </c>
      <c r="V65" s="9">
        <f>U65*Parametry!$C$11</f>
        <v>80</v>
      </c>
      <c r="W65" s="9">
        <f>2</f>
        <v>2</v>
      </c>
      <c r="X65" s="9">
        <f t="shared" si="19"/>
        <v>80</v>
      </c>
      <c r="Y65" s="9">
        <f t="shared" si="20"/>
        <v>160</v>
      </c>
      <c r="Z65" s="9">
        <f t="shared" si="21"/>
        <v>6600</v>
      </c>
      <c r="AA65" s="9" t="s">
        <v>867</v>
      </c>
    </row>
    <row r="66" spans="1:27" ht="69.75" customHeight="1" x14ac:dyDescent="0.3">
      <c r="A66" s="8" t="s">
        <v>123</v>
      </c>
      <c r="B66" s="8" t="s">
        <v>865</v>
      </c>
      <c r="C66" s="8" t="s">
        <v>866</v>
      </c>
      <c r="D66" s="8">
        <v>1</v>
      </c>
      <c r="E66" s="8">
        <f t="shared" si="11"/>
        <v>2</v>
      </c>
      <c r="F66" s="8">
        <v>1</v>
      </c>
      <c r="G66" s="11">
        <f>Parametry!$C$12</f>
        <v>6</v>
      </c>
      <c r="H66" s="8">
        <f>ROUNDDOWN(Parametry!$C$9*Parametry!$C$10^(F66-1),0)</f>
        <v>60</v>
      </c>
      <c r="I66" s="8">
        <f>ROUNDUP((180*E66)*1,0)</f>
        <v>360</v>
      </c>
      <c r="J66" s="8">
        <f>ROUNDUP((20*E66)*1,0)</f>
        <v>40</v>
      </c>
      <c r="K66" s="8">
        <f>ROUNDUP((60*E66)*1,0)</f>
        <v>120</v>
      </c>
      <c r="L66" s="8">
        <f>ROUNDUP((0*E66)*1,0)</f>
        <v>0</v>
      </c>
      <c r="M66" s="8">
        <f>ROUNDUP((0*E66)*1,0)</f>
        <v>0</v>
      </c>
      <c r="N66" s="8">
        <f>ROUNDUP((10*E66)*1,0)</f>
        <v>20</v>
      </c>
      <c r="O66" s="8">
        <f t="shared" si="12"/>
        <v>1</v>
      </c>
      <c r="P66" s="8">
        <f t="shared" si="13"/>
        <v>2</v>
      </c>
      <c r="Q66" s="8">
        <f t="shared" si="14"/>
        <v>0</v>
      </c>
      <c r="R66" s="8">
        <f t="shared" si="15"/>
        <v>0</v>
      </c>
      <c r="S66" s="8">
        <f t="shared" si="16"/>
        <v>1</v>
      </c>
      <c r="T66" s="8">
        <f t="shared" si="17"/>
        <v>4</v>
      </c>
      <c r="U66" s="8">
        <f t="shared" si="18"/>
        <v>1</v>
      </c>
      <c r="V66" s="8">
        <f>U66*Parametry!$C$11</f>
        <v>5</v>
      </c>
      <c r="W66" s="8">
        <f t="shared" ref="W66:W71" si="22">1+3*(E66-1)</f>
        <v>4</v>
      </c>
      <c r="X66" s="8">
        <f t="shared" si="19"/>
        <v>15</v>
      </c>
      <c r="Y66" s="8">
        <f t="shared" si="20"/>
        <v>20</v>
      </c>
      <c r="Z66" s="8">
        <f t="shared" si="21"/>
        <v>180</v>
      </c>
      <c r="AA66" s="8" t="s">
        <v>867</v>
      </c>
    </row>
    <row r="67" spans="1:27" ht="69.75" customHeight="1" x14ac:dyDescent="0.3">
      <c r="A67" s="9" t="s">
        <v>123</v>
      </c>
      <c r="B67" s="9" t="s">
        <v>865</v>
      </c>
      <c r="C67" s="9" t="s">
        <v>868</v>
      </c>
      <c r="D67" s="9">
        <v>1</v>
      </c>
      <c r="E67" s="9">
        <f t="shared" si="11"/>
        <v>2</v>
      </c>
      <c r="F67" s="9">
        <v>1</v>
      </c>
      <c r="G67" s="12">
        <f>Parametry!$C$12</f>
        <v>6</v>
      </c>
      <c r="H67" s="9">
        <f>ROUNDDOWN(Parametry!$C$9*Parametry!$C$10^(F67-1),0)</f>
        <v>60</v>
      </c>
      <c r="I67" s="9">
        <f>ROUNDUP((180*E67)*Parametry!$C$15,0)</f>
        <v>396</v>
      </c>
      <c r="J67" s="9">
        <f>ROUNDUP((20*E67)*Parametry!$C$15,0)</f>
        <v>44</v>
      </c>
      <c r="K67" s="9">
        <f>ROUNDUP((60*E67)*Parametry!$C$15,0)</f>
        <v>132</v>
      </c>
      <c r="L67" s="9">
        <f>ROUNDUP((0*E67)*Parametry!$C$15,0)</f>
        <v>0</v>
      </c>
      <c r="M67" s="9">
        <f>ROUNDUP((0*E67)*Parametry!$C$15,0)</f>
        <v>0</v>
      </c>
      <c r="N67" s="9">
        <f>ROUNDUP((10*E67)*Parametry!$C$15,0)</f>
        <v>22</v>
      </c>
      <c r="O67" s="9">
        <f t="shared" si="12"/>
        <v>1</v>
      </c>
      <c r="P67" s="9">
        <f t="shared" si="13"/>
        <v>3</v>
      </c>
      <c r="Q67" s="9">
        <f t="shared" si="14"/>
        <v>0</v>
      </c>
      <c r="R67" s="9">
        <f t="shared" si="15"/>
        <v>0</v>
      </c>
      <c r="S67" s="9">
        <f t="shared" si="16"/>
        <v>1</v>
      </c>
      <c r="T67" s="9">
        <f t="shared" si="17"/>
        <v>5</v>
      </c>
      <c r="U67" s="9">
        <f t="shared" si="18"/>
        <v>1</v>
      </c>
      <c r="V67" s="9">
        <f>U67*Parametry!$C$11</f>
        <v>5</v>
      </c>
      <c r="W67" s="9">
        <f t="shared" si="22"/>
        <v>4</v>
      </c>
      <c r="X67" s="9">
        <f t="shared" si="19"/>
        <v>15</v>
      </c>
      <c r="Y67" s="9">
        <f t="shared" si="20"/>
        <v>20</v>
      </c>
      <c r="Z67" s="9">
        <f t="shared" si="21"/>
        <v>198</v>
      </c>
      <c r="AA67" s="9" t="s">
        <v>867</v>
      </c>
    </row>
    <row r="68" spans="1:27" ht="69.75" customHeight="1" x14ac:dyDescent="0.3">
      <c r="A68" s="8" t="s">
        <v>123</v>
      </c>
      <c r="B68" s="8" t="s">
        <v>869</v>
      </c>
      <c r="C68" s="8" t="s">
        <v>866</v>
      </c>
      <c r="D68" s="8">
        <v>2</v>
      </c>
      <c r="E68" s="8">
        <f t="shared" si="11"/>
        <v>3</v>
      </c>
      <c r="F68" s="8">
        <v>2</v>
      </c>
      <c r="G68" s="11">
        <f>Parametry!$C$12</f>
        <v>6</v>
      </c>
      <c r="H68" s="8">
        <f>ROUNDDOWN(Parametry!$C$9*Parametry!$C$10^(F68-1),0)</f>
        <v>66</v>
      </c>
      <c r="I68" s="8">
        <f>ROUNDUP((180*E68)*1,0)</f>
        <v>540</v>
      </c>
      <c r="J68" s="8">
        <f>ROUNDUP((20*E68)*1,0)</f>
        <v>60</v>
      </c>
      <c r="K68" s="8">
        <f>ROUNDUP((60*E68)*1,0)</f>
        <v>180</v>
      </c>
      <c r="L68" s="8">
        <f>ROUNDUP((0*E68)*1,0)</f>
        <v>0</v>
      </c>
      <c r="M68" s="8">
        <f>ROUNDUP((0*E68)*1,0)</f>
        <v>0</v>
      </c>
      <c r="N68" s="8">
        <f>ROUNDUP((10*E68)*1,0)</f>
        <v>30</v>
      </c>
      <c r="O68" s="8">
        <f t="shared" si="12"/>
        <v>1</v>
      </c>
      <c r="P68" s="8">
        <f t="shared" si="13"/>
        <v>3</v>
      </c>
      <c r="Q68" s="8">
        <f t="shared" si="14"/>
        <v>0</v>
      </c>
      <c r="R68" s="8">
        <f t="shared" si="15"/>
        <v>0</v>
      </c>
      <c r="S68" s="8">
        <f t="shared" si="16"/>
        <v>1</v>
      </c>
      <c r="T68" s="8">
        <f t="shared" si="17"/>
        <v>5</v>
      </c>
      <c r="U68" s="8">
        <f t="shared" si="18"/>
        <v>1</v>
      </c>
      <c r="V68" s="8">
        <f>U68*Parametry!$C$11</f>
        <v>5</v>
      </c>
      <c r="W68" s="8">
        <f t="shared" si="22"/>
        <v>7</v>
      </c>
      <c r="X68" s="8">
        <f t="shared" si="19"/>
        <v>30</v>
      </c>
      <c r="Y68" s="8">
        <f t="shared" si="20"/>
        <v>35</v>
      </c>
      <c r="Z68" s="8">
        <f t="shared" si="21"/>
        <v>270</v>
      </c>
      <c r="AA68" s="8" t="s">
        <v>867</v>
      </c>
    </row>
    <row r="69" spans="1:27" ht="69.75" customHeight="1" x14ac:dyDescent="0.3">
      <c r="A69" s="9" t="s">
        <v>123</v>
      </c>
      <c r="B69" s="9" t="s">
        <v>869</v>
      </c>
      <c r="C69" s="9" t="s">
        <v>868</v>
      </c>
      <c r="D69" s="9">
        <v>2</v>
      </c>
      <c r="E69" s="9">
        <f t="shared" si="11"/>
        <v>3</v>
      </c>
      <c r="F69" s="9">
        <v>2</v>
      </c>
      <c r="G69" s="12">
        <f>Parametry!$C$12</f>
        <v>6</v>
      </c>
      <c r="H69" s="9">
        <f>ROUNDDOWN(Parametry!$C$9*Parametry!$C$10^(F69-1),0)</f>
        <v>66</v>
      </c>
      <c r="I69" s="9">
        <f>ROUNDUP((180*E69)*Parametry!$C$15,0)</f>
        <v>594</v>
      </c>
      <c r="J69" s="9">
        <f>ROUNDUP((20*E69)*Parametry!$C$15,0)</f>
        <v>66</v>
      </c>
      <c r="K69" s="9">
        <f>ROUNDUP((60*E69)*Parametry!$C$15,0)</f>
        <v>198</v>
      </c>
      <c r="L69" s="9">
        <f>ROUNDUP((0*E69)*Parametry!$C$15,0)</f>
        <v>0</v>
      </c>
      <c r="M69" s="9">
        <f>ROUNDUP((0*E69)*Parametry!$C$15,0)</f>
        <v>0</v>
      </c>
      <c r="N69" s="9">
        <f>ROUNDUP((10*E69)*Parametry!$C$15,0)</f>
        <v>33</v>
      </c>
      <c r="O69" s="9">
        <f t="shared" si="12"/>
        <v>1</v>
      </c>
      <c r="P69" s="9">
        <f t="shared" si="13"/>
        <v>3</v>
      </c>
      <c r="Q69" s="9">
        <f t="shared" si="14"/>
        <v>0</v>
      </c>
      <c r="R69" s="9">
        <f t="shared" si="15"/>
        <v>0</v>
      </c>
      <c r="S69" s="9">
        <f t="shared" si="16"/>
        <v>1</v>
      </c>
      <c r="T69" s="9">
        <f t="shared" si="17"/>
        <v>5</v>
      </c>
      <c r="U69" s="9">
        <f t="shared" si="18"/>
        <v>1</v>
      </c>
      <c r="V69" s="9">
        <f>U69*Parametry!$C$11</f>
        <v>5</v>
      </c>
      <c r="W69" s="9">
        <f t="shared" si="22"/>
        <v>7</v>
      </c>
      <c r="X69" s="9">
        <f t="shared" si="19"/>
        <v>30</v>
      </c>
      <c r="Y69" s="9">
        <f t="shared" si="20"/>
        <v>35</v>
      </c>
      <c r="Z69" s="9">
        <f t="shared" si="21"/>
        <v>297</v>
      </c>
      <c r="AA69" s="9" t="s">
        <v>867</v>
      </c>
    </row>
    <row r="70" spans="1:27" ht="69.75" customHeight="1" x14ac:dyDescent="0.3">
      <c r="A70" s="8" t="s">
        <v>123</v>
      </c>
      <c r="B70" s="8" t="s">
        <v>870</v>
      </c>
      <c r="C70" s="8" t="s">
        <v>866</v>
      </c>
      <c r="D70" s="8">
        <v>3</v>
      </c>
      <c r="E70" s="8">
        <f t="shared" ref="E70:E101" si="23">D70+1</f>
        <v>4</v>
      </c>
      <c r="F70" s="8">
        <v>3</v>
      </c>
      <c r="G70" s="11">
        <f>Parametry!$C$12</f>
        <v>6</v>
      </c>
      <c r="H70" s="8">
        <f>ROUNDDOWN(Parametry!$C$9*Parametry!$C$10^(F70-1),0)</f>
        <v>72</v>
      </c>
      <c r="I70" s="8">
        <f>ROUNDUP((180*E70)*1,0)</f>
        <v>720</v>
      </c>
      <c r="J70" s="8">
        <f>ROUNDUP((20*E70)*1,0)</f>
        <v>80</v>
      </c>
      <c r="K70" s="8">
        <f>ROUNDUP((60*E70)*1,0)</f>
        <v>240</v>
      </c>
      <c r="L70" s="8">
        <f>ROUNDUP((0*E70)*1,0)</f>
        <v>0</v>
      </c>
      <c r="M70" s="8">
        <f>ROUNDUP((0*E70)*1,0)</f>
        <v>0</v>
      </c>
      <c r="N70" s="8">
        <f>ROUNDUP((10*E70)*1,0)</f>
        <v>40</v>
      </c>
      <c r="O70" s="8">
        <f t="shared" ref="O70:O79" si="24">ROUNDUP(J70/H70,0)</f>
        <v>2</v>
      </c>
      <c r="P70" s="8">
        <f t="shared" ref="P70:P79" si="25">ROUNDUP(K70/H70,0)</f>
        <v>4</v>
      </c>
      <c r="Q70" s="8">
        <f t="shared" ref="Q70:Q79" si="26">ROUNDUP(L70/H70,0)</f>
        <v>0</v>
      </c>
      <c r="R70" s="8">
        <f t="shared" ref="R70:R79" si="27">ROUNDUP(M70/H70,0)</f>
        <v>0</v>
      </c>
      <c r="S70" s="8">
        <f t="shared" ref="S70:S79" si="28">ROUNDUP(N70/H70,0)</f>
        <v>1</v>
      </c>
      <c r="T70" s="8">
        <f t="shared" ref="T70:T101" si="29">SUM(O70:S70)</f>
        <v>7</v>
      </c>
      <c r="U70" s="8">
        <f t="shared" ref="U70:U101" si="30">ROUNDUP(T70/G70,0)</f>
        <v>2</v>
      </c>
      <c r="V70" s="8">
        <f>U70*Parametry!$C$11</f>
        <v>10</v>
      </c>
      <c r="W70" s="8">
        <f t="shared" si="22"/>
        <v>10</v>
      </c>
      <c r="X70" s="8">
        <f t="shared" ref="X70:X101" si="31">V70*(W70-1)</f>
        <v>90</v>
      </c>
      <c r="Y70" s="8">
        <f t="shared" ref="Y70:Y79" si="32">V70*W70</f>
        <v>100</v>
      </c>
      <c r="Z70" s="8">
        <f t="shared" ref="Z70:Z79" si="33">SUM(J70:N70)</f>
        <v>360</v>
      </c>
      <c r="AA70" s="8" t="s">
        <v>867</v>
      </c>
    </row>
    <row r="71" spans="1:27" ht="69.75" customHeight="1" x14ac:dyDescent="0.3">
      <c r="A71" s="9" t="s">
        <v>123</v>
      </c>
      <c r="B71" s="9" t="s">
        <v>870</v>
      </c>
      <c r="C71" s="9" t="s">
        <v>868</v>
      </c>
      <c r="D71" s="9">
        <v>3</v>
      </c>
      <c r="E71" s="9">
        <f t="shared" si="23"/>
        <v>4</v>
      </c>
      <c r="F71" s="9">
        <v>3</v>
      </c>
      <c r="G71" s="12">
        <f>Parametry!$C$12</f>
        <v>6</v>
      </c>
      <c r="H71" s="9">
        <f>ROUNDDOWN(Parametry!$C$9*Parametry!$C$10^(F71-1),0)</f>
        <v>72</v>
      </c>
      <c r="I71" s="9">
        <f>ROUNDUP((180*E71)*Parametry!$C$15,0)</f>
        <v>792</v>
      </c>
      <c r="J71" s="9">
        <f>ROUNDUP((20*E71)*Parametry!$C$15,0)</f>
        <v>88</v>
      </c>
      <c r="K71" s="9">
        <f>ROUNDUP((60*E71)*Parametry!$C$15,0)</f>
        <v>264</v>
      </c>
      <c r="L71" s="9">
        <f>ROUNDUP((0*E71)*Parametry!$C$15,0)</f>
        <v>0</v>
      </c>
      <c r="M71" s="9">
        <f>ROUNDUP((0*E71)*Parametry!$C$15,0)</f>
        <v>0</v>
      </c>
      <c r="N71" s="9">
        <f>ROUNDUP((10*E71)*Parametry!$C$15,0)</f>
        <v>44</v>
      </c>
      <c r="O71" s="9">
        <f t="shared" si="24"/>
        <v>2</v>
      </c>
      <c r="P71" s="9">
        <f t="shared" si="25"/>
        <v>4</v>
      </c>
      <c r="Q71" s="9">
        <f t="shared" si="26"/>
        <v>0</v>
      </c>
      <c r="R71" s="9">
        <f t="shared" si="27"/>
        <v>0</v>
      </c>
      <c r="S71" s="9">
        <f t="shared" si="28"/>
        <v>1</v>
      </c>
      <c r="T71" s="9">
        <f t="shared" si="29"/>
        <v>7</v>
      </c>
      <c r="U71" s="9">
        <f t="shared" si="30"/>
        <v>2</v>
      </c>
      <c r="V71" s="9">
        <f>U71*Parametry!$C$11</f>
        <v>10</v>
      </c>
      <c r="W71" s="9">
        <f t="shared" si="22"/>
        <v>10</v>
      </c>
      <c r="X71" s="9">
        <f t="shared" si="31"/>
        <v>90</v>
      </c>
      <c r="Y71" s="9">
        <f t="shared" si="32"/>
        <v>100</v>
      </c>
      <c r="Z71" s="9">
        <f t="shared" si="33"/>
        <v>396</v>
      </c>
      <c r="AA71" s="9" t="s">
        <v>867</v>
      </c>
    </row>
    <row r="72" spans="1:27" ht="69.75" customHeight="1" x14ac:dyDescent="0.3">
      <c r="A72" s="8" t="s">
        <v>132</v>
      </c>
      <c r="B72" s="8" t="s">
        <v>865</v>
      </c>
      <c r="C72" s="8" t="s">
        <v>866</v>
      </c>
      <c r="D72" s="8">
        <v>1</v>
      </c>
      <c r="E72" s="8">
        <f t="shared" si="23"/>
        <v>2</v>
      </c>
      <c r="F72" s="8">
        <v>1</v>
      </c>
      <c r="G72" s="11">
        <f>Parametry!$C$12</f>
        <v>6</v>
      </c>
      <c r="H72" s="8">
        <f>ROUNDDOWN(Parametry!$C$9*Parametry!$C$10^(F72-1),0)</f>
        <v>60</v>
      </c>
      <c r="I72" s="8">
        <f>ROUNDUP((Parametry!$C$23*MAX(1,D72))*1,0)</f>
        <v>500</v>
      </c>
      <c r="J72" s="8">
        <f>ROUNDUP((Parametry!$C$23*MAX(1,D72))*1,0)</f>
        <v>500</v>
      </c>
      <c r="K72" s="8">
        <f>ROUNDUP((Parametry!$C$23*MAX(1,D72))*1,0)</f>
        <v>500</v>
      </c>
      <c r="L72" s="8">
        <f>ROUNDUP((Parametry!$C$23*MAX(1,D72))*1,0)</f>
        <v>500</v>
      </c>
      <c r="M72" s="8">
        <f>ROUNDUP((Parametry!$C$23*MAX(1,D72))*1,0)</f>
        <v>500</v>
      </c>
      <c r="N72" s="8">
        <f>ROUNDUP((Parametry!$C$23*MAX(1,D72))*1,0)</f>
        <v>500</v>
      </c>
      <c r="O72" s="8">
        <f t="shared" si="24"/>
        <v>9</v>
      </c>
      <c r="P72" s="8">
        <f t="shared" si="25"/>
        <v>9</v>
      </c>
      <c r="Q72" s="8">
        <f t="shared" si="26"/>
        <v>9</v>
      </c>
      <c r="R72" s="8">
        <f t="shared" si="27"/>
        <v>9</v>
      </c>
      <c r="S72" s="8">
        <f t="shared" si="28"/>
        <v>9</v>
      </c>
      <c r="T72" s="8">
        <f t="shared" si="29"/>
        <v>45</v>
      </c>
      <c r="U72" s="8">
        <f t="shared" si="30"/>
        <v>8</v>
      </c>
      <c r="V72" s="8">
        <f>U72*Parametry!$C$11</f>
        <v>40</v>
      </c>
      <c r="W72" s="8">
        <f>5</f>
        <v>5</v>
      </c>
      <c r="X72" s="8">
        <f t="shared" si="31"/>
        <v>160</v>
      </c>
      <c r="Y72" s="8">
        <f t="shared" si="32"/>
        <v>200</v>
      </c>
      <c r="Z72" s="8">
        <f t="shared" si="33"/>
        <v>2500</v>
      </c>
      <c r="AA72" s="8" t="s">
        <v>867</v>
      </c>
    </row>
    <row r="73" spans="1:27" ht="69.75" customHeight="1" x14ac:dyDescent="0.3">
      <c r="A73" s="9" t="s">
        <v>132</v>
      </c>
      <c r="B73" s="9" t="s">
        <v>865</v>
      </c>
      <c r="C73" s="9" t="s">
        <v>868</v>
      </c>
      <c r="D73" s="9">
        <v>1</v>
      </c>
      <c r="E73" s="9">
        <f t="shared" si="23"/>
        <v>2</v>
      </c>
      <c r="F73" s="9">
        <v>1</v>
      </c>
      <c r="G73" s="12">
        <f>Parametry!$C$12</f>
        <v>6</v>
      </c>
      <c r="H73" s="9">
        <f>ROUNDDOWN(Parametry!$C$9*Parametry!$C$10^(F73-1),0)</f>
        <v>60</v>
      </c>
      <c r="I73" s="9">
        <f>ROUNDUP((Parametry!$C$23*MAX(1,D73))*Parametry!$C$15,0)</f>
        <v>550</v>
      </c>
      <c r="J73" s="9">
        <f>ROUNDUP((Parametry!$C$23*MAX(1,D73))*Parametry!$C$15,0)</f>
        <v>550</v>
      </c>
      <c r="K73" s="9">
        <f>ROUNDUP((Parametry!$C$23*MAX(1,D73))*Parametry!$C$15,0)</f>
        <v>550</v>
      </c>
      <c r="L73" s="9">
        <f>ROUNDUP((Parametry!$C$23*MAX(1,D73))*Parametry!$C$15,0)</f>
        <v>550</v>
      </c>
      <c r="M73" s="9">
        <f>ROUNDUP((Parametry!$C$23*MAX(1,D73))*Parametry!$C$15,0)</f>
        <v>550</v>
      </c>
      <c r="N73" s="9">
        <f>ROUNDUP((Parametry!$C$23*MAX(1,D73))*Parametry!$C$15,0)</f>
        <v>550</v>
      </c>
      <c r="O73" s="9">
        <f t="shared" si="24"/>
        <v>10</v>
      </c>
      <c r="P73" s="9">
        <f t="shared" si="25"/>
        <v>10</v>
      </c>
      <c r="Q73" s="9">
        <f t="shared" si="26"/>
        <v>10</v>
      </c>
      <c r="R73" s="9">
        <f t="shared" si="27"/>
        <v>10</v>
      </c>
      <c r="S73" s="9">
        <f t="shared" si="28"/>
        <v>10</v>
      </c>
      <c r="T73" s="9">
        <f t="shared" si="29"/>
        <v>50</v>
      </c>
      <c r="U73" s="9">
        <f t="shared" si="30"/>
        <v>9</v>
      </c>
      <c r="V73" s="9">
        <f>U73*Parametry!$C$11</f>
        <v>45</v>
      </c>
      <c r="W73" s="9">
        <f>5</f>
        <v>5</v>
      </c>
      <c r="X73" s="9">
        <f t="shared" si="31"/>
        <v>180</v>
      </c>
      <c r="Y73" s="9">
        <f t="shared" si="32"/>
        <v>225</v>
      </c>
      <c r="Z73" s="9">
        <f t="shared" si="33"/>
        <v>2750</v>
      </c>
      <c r="AA73" s="9" t="s">
        <v>867</v>
      </c>
    </row>
    <row r="74" spans="1:27" ht="69.75" customHeight="1" x14ac:dyDescent="0.3">
      <c r="A74" s="8" t="s">
        <v>132</v>
      </c>
      <c r="B74" s="8" t="s">
        <v>869</v>
      </c>
      <c r="C74" s="8" t="s">
        <v>866</v>
      </c>
      <c r="D74" s="8">
        <v>2</v>
      </c>
      <c r="E74" s="8">
        <f t="shared" si="23"/>
        <v>3</v>
      </c>
      <c r="F74" s="8">
        <v>2</v>
      </c>
      <c r="G74" s="11">
        <f>Parametry!$C$12</f>
        <v>6</v>
      </c>
      <c r="H74" s="8">
        <f>ROUNDDOWN(Parametry!$C$9*Parametry!$C$10^(F74-1),0)</f>
        <v>66</v>
      </c>
      <c r="I74" s="8">
        <f>ROUNDUP((Parametry!$C$23*MAX(1,D74))*1,0)</f>
        <v>1000</v>
      </c>
      <c r="J74" s="8">
        <f>ROUNDUP((Parametry!$C$23*MAX(1,D74))*1,0)</f>
        <v>1000</v>
      </c>
      <c r="K74" s="8">
        <f>ROUNDUP((Parametry!$C$23*MAX(1,D74))*1,0)</f>
        <v>1000</v>
      </c>
      <c r="L74" s="8">
        <f>ROUNDUP((Parametry!$C$23*MAX(1,D74))*1,0)</f>
        <v>1000</v>
      </c>
      <c r="M74" s="8">
        <f>ROUNDUP((Parametry!$C$23*MAX(1,D74))*1,0)</f>
        <v>1000</v>
      </c>
      <c r="N74" s="8">
        <f>ROUNDUP((Parametry!$C$23*MAX(1,D74))*1,0)</f>
        <v>1000</v>
      </c>
      <c r="O74" s="8">
        <f t="shared" si="24"/>
        <v>16</v>
      </c>
      <c r="P74" s="8">
        <f t="shared" si="25"/>
        <v>16</v>
      </c>
      <c r="Q74" s="8">
        <f t="shared" si="26"/>
        <v>16</v>
      </c>
      <c r="R74" s="8">
        <f t="shared" si="27"/>
        <v>16</v>
      </c>
      <c r="S74" s="8">
        <f t="shared" si="28"/>
        <v>16</v>
      </c>
      <c r="T74" s="8">
        <f t="shared" si="29"/>
        <v>80</v>
      </c>
      <c r="U74" s="8">
        <f t="shared" si="30"/>
        <v>14</v>
      </c>
      <c r="V74" s="8">
        <f>U74*Parametry!$C$11</f>
        <v>70</v>
      </c>
      <c r="W74" s="8">
        <f>5</f>
        <v>5</v>
      </c>
      <c r="X74" s="8">
        <f t="shared" si="31"/>
        <v>280</v>
      </c>
      <c r="Y74" s="8">
        <f t="shared" si="32"/>
        <v>350</v>
      </c>
      <c r="Z74" s="8">
        <f t="shared" si="33"/>
        <v>5000</v>
      </c>
      <c r="AA74" s="8" t="s">
        <v>867</v>
      </c>
    </row>
    <row r="75" spans="1:27" ht="69.75" customHeight="1" x14ac:dyDescent="0.3">
      <c r="A75" s="9" t="s">
        <v>132</v>
      </c>
      <c r="B75" s="9" t="s">
        <v>869</v>
      </c>
      <c r="C75" s="9" t="s">
        <v>868</v>
      </c>
      <c r="D75" s="9">
        <v>2</v>
      </c>
      <c r="E75" s="9">
        <f t="shared" si="23"/>
        <v>3</v>
      </c>
      <c r="F75" s="9">
        <v>2</v>
      </c>
      <c r="G75" s="12">
        <f>Parametry!$C$12</f>
        <v>6</v>
      </c>
      <c r="H75" s="9">
        <f>ROUNDDOWN(Parametry!$C$9*Parametry!$C$10^(F75-1),0)</f>
        <v>66</v>
      </c>
      <c r="I75" s="9">
        <f>ROUNDUP((Parametry!$C$23*MAX(1,D75))*Parametry!$C$15,0)</f>
        <v>1100</v>
      </c>
      <c r="J75" s="9">
        <f>ROUNDUP((Parametry!$C$23*MAX(1,D75))*Parametry!$C$15,0)</f>
        <v>1100</v>
      </c>
      <c r="K75" s="9">
        <f>ROUNDUP((Parametry!$C$23*MAX(1,D75))*Parametry!$C$15,0)</f>
        <v>1100</v>
      </c>
      <c r="L75" s="9">
        <f>ROUNDUP((Parametry!$C$23*MAX(1,D75))*Parametry!$C$15,0)</f>
        <v>1100</v>
      </c>
      <c r="M75" s="9">
        <f>ROUNDUP((Parametry!$C$23*MAX(1,D75))*Parametry!$C$15,0)</f>
        <v>1100</v>
      </c>
      <c r="N75" s="9">
        <f>ROUNDUP((Parametry!$C$23*MAX(1,D75))*Parametry!$C$15,0)</f>
        <v>1100</v>
      </c>
      <c r="O75" s="9">
        <f t="shared" si="24"/>
        <v>17</v>
      </c>
      <c r="P75" s="9">
        <f t="shared" si="25"/>
        <v>17</v>
      </c>
      <c r="Q75" s="9">
        <f t="shared" si="26"/>
        <v>17</v>
      </c>
      <c r="R75" s="9">
        <f t="shared" si="27"/>
        <v>17</v>
      </c>
      <c r="S75" s="9">
        <f t="shared" si="28"/>
        <v>17</v>
      </c>
      <c r="T75" s="9">
        <f t="shared" si="29"/>
        <v>85</v>
      </c>
      <c r="U75" s="9">
        <f t="shared" si="30"/>
        <v>15</v>
      </c>
      <c r="V75" s="9">
        <f>U75*Parametry!$C$11</f>
        <v>75</v>
      </c>
      <c r="W75" s="9">
        <f>5</f>
        <v>5</v>
      </c>
      <c r="X75" s="9">
        <f t="shared" si="31"/>
        <v>300</v>
      </c>
      <c r="Y75" s="9">
        <f t="shared" si="32"/>
        <v>375</v>
      </c>
      <c r="Z75" s="9">
        <f t="shared" si="33"/>
        <v>5500</v>
      </c>
      <c r="AA75" s="9" t="s">
        <v>867</v>
      </c>
    </row>
    <row r="76" spans="1:27" ht="69.75" customHeight="1" x14ac:dyDescent="0.3">
      <c r="A76" s="8" t="s">
        <v>132</v>
      </c>
      <c r="B76" s="8" t="s">
        <v>870</v>
      </c>
      <c r="C76" s="8" t="s">
        <v>866</v>
      </c>
      <c r="D76" s="8">
        <v>3</v>
      </c>
      <c r="E76" s="8">
        <f t="shared" si="23"/>
        <v>4</v>
      </c>
      <c r="F76" s="8">
        <v>3</v>
      </c>
      <c r="G76" s="11">
        <f>Parametry!$C$12</f>
        <v>6</v>
      </c>
      <c r="H76" s="8">
        <f>ROUNDDOWN(Parametry!$C$9*Parametry!$C$10^(F76-1),0)</f>
        <v>72</v>
      </c>
      <c r="I76" s="8">
        <f>ROUNDUP((Parametry!$C$23*MAX(1,D76))*1,0)</f>
        <v>1500</v>
      </c>
      <c r="J76" s="8">
        <f>ROUNDUP((Parametry!$C$23*MAX(1,D76))*1,0)</f>
        <v>1500</v>
      </c>
      <c r="K76" s="8">
        <f>ROUNDUP((Parametry!$C$23*MAX(1,D76))*1,0)</f>
        <v>1500</v>
      </c>
      <c r="L76" s="8">
        <f>ROUNDUP((Parametry!$C$23*MAX(1,D76))*1,0)</f>
        <v>1500</v>
      </c>
      <c r="M76" s="8">
        <f>ROUNDUP((Parametry!$C$23*MAX(1,D76))*1,0)</f>
        <v>1500</v>
      </c>
      <c r="N76" s="8">
        <f>ROUNDUP((Parametry!$C$23*MAX(1,D76))*1,0)</f>
        <v>1500</v>
      </c>
      <c r="O76" s="8">
        <f t="shared" si="24"/>
        <v>21</v>
      </c>
      <c r="P76" s="8">
        <f t="shared" si="25"/>
        <v>21</v>
      </c>
      <c r="Q76" s="8">
        <f t="shared" si="26"/>
        <v>21</v>
      </c>
      <c r="R76" s="8">
        <f t="shared" si="27"/>
        <v>21</v>
      </c>
      <c r="S76" s="8">
        <f t="shared" si="28"/>
        <v>21</v>
      </c>
      <c r="T76" s="8">
        <f t="shared" si="29"/>
        <v>105</v>
      </c>
      <c r="U76" s="8">
        <f t="shared" si="30"/>
        <v>18</v>
      </c>
      <c r="V76" s="8">
        <f>U76*Parametry!$C$11</f>
        <v>90</v>
      </c>
      <c r="W76" s="8">
        <f>5</f>
        <v>5</v>
      </c>
      <c r="X76" s="8">
        <f t="shared" si="31"/>
        <v>360</v>
      </c>
      <c r="Y76" s="8">
        <f t="shared" si="32"/>
        <v>450</v>
      </c>
      <c r="Z76" s="8">
        <f t="shared" si="33"/>
        <v>7500</v>
      </c>
      <c r="AA76" s="8" t="s">
        <v>867</v>
      </c>
    </row>
    <row r="77" spans="1:27" ht="69.75" customHeight="1" x14ac:dyDescent="0.3">
      <c r="A77" s="9" t="s">
        <v>132</v>
      </c>
      <c r="B77" s="9" t="s">
        <v>870</v>
      </c>
      <c r="C77" s="9" t="s">
        <v>868</v>
      </c>
      <c r="D77" s="9">
        <v>3</v>
      </c>
      <c r="E77" s="9">
        <f t="shared" si="23"/>
        <v>4</v>
      </c>
      <c r="F77" s="9">
        <v>3</v>
      </c>
      <c r="G77" s="12">
        <f>Parametry!$C$12</f>
        <v>6</v>
      </c>
      <c r="H77" s="9">
        <f>ROUNDDOWN(Parametry!$C$9*Parametry!$C$10^(F77-1),0)</f>
        <v>72</v>
      </c>
      <c r="I77" s="9">
        <f>ROUNDUP((Parametry!$C$23*MAX(1,D77))*Parametry!$C$15,0)</f>
        <v>1650</v>
      </c>
      <c r="J77" s="9">
        <f>ROUNDUP((Parametry!$C$23*MAX(1,D77))*Parametry!$C$15,0)</f>
        <v>1650</v>
      </c>
      <c r="K77" s="9">
        <f>ROUNDUP((Parametry!$C$23*MAX(1,D77))*Parametry!$C$15,0)</f>
        <v>1650</v>
      </c>
      <c r="L77" s="9">
        <f>ROUNDUP((Parametry!$C$23*MAX(1,D77))*Parametry!$C$15,0)</f>
        <v>1650</v>
      </c>
      <c r="M77" s="9">
        <f>ROUNDUP((Parametry!$C$23*MAX(1,D77))*Parametry!$C$15,0)</f>
        <v>1650</v>
      </c>
      <c r="N77" s="9">
        <f>ROUNDUP((Parametry!$C$23*MAX(1,D77))*Parametry!$C$15,0)</f>
        <v>1650</v>
      </c>
      <c r="O77" s="9">
        <f t="shared" si="24"/>
        <v>23</v>
      </c>
      <c r="P77" s="9">
        <f t="shared" si="25"/>
        <v>23</v>
      </c>
      <c r="Q77" s="9">
        <f t="shared" si="26"/>
        <v>23</v>
      </c>
      <c r="R77" s="9">
        <f t="shared" si="27"/>
        <v>23</v>
      </c>
      <c r="S77" s="9">
        <f t="shared" si="28"/>
        <v>23</v>
      </c>
      <c r="T77" s="9">
        <f t="shared" si="29"/>
        <v>115</v>
      </c>
      <c r="U77" s="9">
        <f t="shared" si="30"/>
        <v>20</v>
      </c>
      <c r="V77" s="9">
        <f>U77*Parametry!$C$11</f>
        <v>100</v>
      </c>
      <c r="W77" s="9">
        <f>5</f>
        <v>5</v>
      </c>
      <c r="X77" s="9">
        <f t="shared" si="31"/>
        <v>400</v>
      </c>
      <c r="Y77" s="9">
        <f t="shared" si="32"/>
        <v>500</v>
      </c>
      <c r="Z77" s="9">
        <f t="shared" si="33"/>
        <v>8250</v>
      </c>
      <c r="AA77" s="9" t="s">
        <v>867</v>
      </c>
    </row>
    <row r="78" spans="1:27" ht="69.75" customHeight="1" x14ac:dyDescent="0.3">
      <c r="A78" s="8" t="s">
        <v>132</v>
      </c>
      <c r="B78" s="8" t="s">
        <v>871</v>
      </c>
      <c r="C78" s="8" t="s">
        <v>866</v>
      </c>
      <c r="D78" s="8">
        <v>0</v>
      </c>
      <c r="E78" s="8">
        <f t="shared" si="23"/>
        <v>1</v>
      </c>
      <c r="F78" s="8">
        <v>1</v>
      </c>
      <c r="G78" s="11">
        <f>Parametry!$C$12</f>
        <v>6</v>
      </c>
      <c r="H78" s="8">
        <f>ROUNDDOWN(Parametry!$C$9*Parametry!$C$10^(F78-1),0)</f>
        <v>60</v>
      </c>
      <c r="I78" s="8">
        <f>ROUNDUP((Parametry!$C$23*MAX(1,D78))*1,0)</f>
        <v>500</v>
      </c>
      <c r="J78" s="8">
        <f>ROUNDUP((Parametry!$C$23*MAX(1,D78))*1,0)</f>
        <v>500</v>
      </c>
      <c r="K78" s="8">
        <f>ROUNDUP((Parametry!$C$23*MAX(1,D78))*1,0)</f>
        <v>500</v>
      </c>
      <c r="L78" s="8">
        <f>ROUNDUP((Parametry!$C$23*MAX(1,D78))*1,0)</f>
        <v>500</v>
      </c>
      <c r="M78" s="8">
        <f>ROUNDUP((Parametry!$C$23*MAX(1,D78))*1,0)</f>
        <v>500</v>
      </c>
      <c r="N78" s="8">
        <f>ROUNDUP((Parametry!$C$23*MAX(1,D78))*1,0)</f>
        <v>500</v>
      </c>
      <c r="O78" s="8">
        <f t="shared" si="24"/>
        <v>9</v>
      </c>
      <c r="P78" s="8">
        <f t="shared" si="25"/>
        <v>9</v>
      </c>
      <c r="Q78" s="8">
        <f t="shared" si="26"/>
        <v>9</v>
      </c>
      <c r="R78" s="8">
        <f t="shared" si="27"/>
        <v>9</v>
      </c>
      <c r="S78" s="8">
        <f t="shared" si="28"/>
        <v>9</v>
      </c>
      <c r="T78" s="8">
        <f t="shared" si="29"/>
        <v>45</v>
      </c>
      <c r="U78" s="8">
        <f t="shared" si="30"/>
        <v>8</v>
      </c>
      <c r="V78" s="8">
        <f>U78*Parametry!$C$11</f>
        <v>40</v>
      </c>
      <c r="W78" s="8">
        <f>5</f>
        <v>5</v>
      </c>
      <c r="X78" s="8">
        <f t="shared" si="31"/>
        <v>160</v>
      </c>
      <c r="Y78" s="8">
        <f t="shared" si="32"/>
        <v>200</v>
      </c>
      <c r="Z78" s="8">
        <f t="shared" si="33"/>
        <v>2500</v>
      </c>
      <c r="AA78" s="8" t="s">
        <v>867</v>
      </c>
    </row>
    <row r="79" spans="1:27" ht="69.75" customHeight="1" x14ac:dyDescent="0.3">
      <c r="A79" s="9" t="s">
        <v>132</v>
      </c>
      <c r="B79" s="9" t="s">
        <v>871</v>
      </c>
      <c r="C79" s="9" t="s">
        <v>868</v>
      </c>
      <c r="D79" s="9">
        <v>0</v>
      </c>
      <c r="E79" s="9">
        <f t="shared" si="23"/>
        <v>1</v>
      </c>
      <c r="F79" s="9">
        <v>1</v>
      </c>
      <c r="G79" s="12">
        <f>Parametry!$C$12</f>
        <v>6</v>
      </c>
      <c r="H79" s="9">
        <f>ROUNDDOWN(Parametry!$C$9*Parametry!$C$10^(F79-1),0)</f>
        <v>60</v>
      </c>
      <c r="I79" s="9">
        <f>ROUNDUP((Parametry!$C$23*MAX(1,D79))*Parametry!$C$15,0)</f>
        <v>550</v>
      </c>
      <c r="J79" s="9">
        <f>ROUNDUP((Parametry!$C$23*MAX(1,D79))*Parametry!$C$15,0)</f>
        <v>550</v>
      </c>
      <c r="K79" s="9">
        <f>ROUNDUP((Parametry!$C$23*MAX(1,D79))*Parametry!$C$15,0)</f>
        <v>550</v>
      </c>
      <c r="L79" s="9">
        <f>ROUNDUP((Parametry!$C$23*MAX(1,D79))*Parametry!$C$15,0)</f>
        <v>550</v>
      </c>
      <c r="M79" s="9">
        <f>ROUNDUP((Parametry!$C$23*MAX(1,D79))*Parametry!$C$15,0)</f>
        <v>550</v>
      </c>
      <c r="N79" s="9">
        <f>ROUNDUP((Parametry!$C$23*MAX(1,D79))*Parametry!$C$15,0)</f>
        <v>550</v>
      </c>
      <c r="O79" s="9">
        <f t="shared" si="24"/>
        <v>10</v>
      </c>
      <c r="P79" s="9">
        <f t="shared" si="25"/>
        <v>10</v>
      </c>
      <c r="Q79" s="9">
        <f t="shared" si="26"/>
        <v>10</v>
      </c>
      <c r="R79" s="9">
        <f t="shared" si="27"/>
        <v>10</v>
      </c>
      <c r="S79" s="9">
        <f t="shared" si="28"/>
        <v>10</v>
      </c>
      <c r="T79" s="9">
        <f t="shared" si="29"/>
        <v>50</v>
      </c>
      <c r="U79" s="9">
        <f t="shared" si="30"/>
        <v>9</v>
      </c>
      <c r="V79" s="9">
        <f>U79*Parametry!$C$11</f>
        <v>45</v>
      </c>
      <c r="W79" s="9">
        <f>5</f>
        <v>5</v>
      </c>
      <c r="X79" s="9">
        <f t="shared" si="31"/>
        <v>180</v>
      </c>
      <c r="Y79" s="9">
        <f t="shared" si="32"/>
        <v>225</v>
      </c>
      <c r="Z79" s="9">
        <f t="shared" si="33"/>
        <v>2750</v>
      </c>
      <c r="AA79" s="9" t="s">
        <v>867</v>
      </c>
    </row>
  </sheetData>
  <autoFilter ref="A5:AA79" xr:uid="{00000000-0009-0000-0000-000005000000}"/>
  <mergeCells count="2">
    <mergeCell ref="A1:AA1"/>
    <mergeCell ref="A2:AA3"/>
  </mergeCells>
  <pageMargins left="0.75" right="0.75" top="1" bottom="1" header="0.511811023622047" footer="0.5"/>
  <pageSetup paperSize="8" fitToHeight="0" orientation="landscape" horizontalDpi="300" verticalDpi="300"/>
  <headerFooter>
    <oddFooter>&amp;CHARBORLIGHT — projekt zasad, nie wdrożenie</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F19"/>
  <sheetViews>
    <sheetView showGridLines="0" zoomScale="75" zoomScaleNormal="75" workbookViewId="0">
      <pane xSplit="1" ySplit="5" topLeftCell="B18" activePane="bottomRight" state="frozen"/>
      <selection pane="topRight" activeCell="B1" sqref="B1"/>
      <selection pane="bottomLeft" activeCell="A6" sqref="A6"/>
      <selection pane="bottomRight" activeCell="B20" sqref="B20"/>
    </sheetView>
  </sheetViews>
  <sheetFormatPr defaultColWidth="8.6640625" defaultRowHeight="25.8" x14ac:dyDescent="0.5"/>
  <cols>
    <col min="1" max="1" width="35" style="22" customWidth="1"/>
    <col min="2" max="2" width="99.5546875" style="22" customWidth="1"/>
    <col min="3" max="3" width="70.77734375" style="22" customWidth="1"/>
    <col min="4" max="4" width="55" style="22" customWidth="1"/>
    <col min="5" max="16384" width="8.6640625" style="22"/>
  </cols>
  <sheetData>
    <row r="1" spans="1:6" ht="33.75" customHeight="1" x14ac:dyDescent="0.5">
      <c r="A1" s="27" t="s">
        <v>872</v>
      </c>
      <c r="B1" s="27"/>
      <c r="C1" s="27"/>
      <c r="D1" s="27"/>
    </row>
    <row r="2" spans="1:6" ht="24.75" customHeight="1" x14ac:dyDescent="0.5">
      <c r="A2" s="23" t="s">
        <v>873</v>
      </c>
      <c r="B2" s="23"/>
      <c r="C2" s="23"/>
      <c r="D2" s="23"/>
    </row>
    <row r="3" spans="1:6" ht="24.75" customHeight="1" x14ac:dyDescent="0.5">
      <c r="A3" s="23"/>
      <c r="B3" s="23"/>
      <c r="C3" s="23"/>
      <c r="D3" s="23"/>
    </row>
    <row r="5" spans="1:6" ht="48" customHeight="1" x14ac:dyDescent="0.5">
      <c r="A5" s="24" t="s">
        <v>2</v>
      </c>
      <c r="B5" s="24" t="s">
        <v>157</v>
      </c>
      <c r="C5" s="24" t="s">
        <v>874</v>
      </c>
      <c r="D5" s="24" t="s">
        <v>160</v>
      </c>
    </row>
    <row r="6" spans="1:6" ht="105" customHeight="1" x14ac:dyDescent="0.5">
      <c r="A6" s="25" t="s">
        <v>875</v>
      </c>
      <c r="B6" s="25" t="s">
        <v>876</v>
      </c>
      <c r="C6" s="25" t="s">
        <v>877</v>
      </c>
      <c r="D6" s="25" t="s">
        <v>743</v>
      </c>
    </row>
    <row r="7" spans="1:6" ht="105" customHeight="1" x14ac:dyDescent="0.5">
      <c r="A7" s="26" t="s">
        <v>878</v>
      </c>
      <c r="B7" s="26" t="s">
        <v>879</v>
      </c>
      <c r="C7" s="26" t="s">
        <v>880</v>
      </c>
      <c r="D7" s="26" t="s">
        <v>743</v>
      </c>
    </row>
    <row r="8" spans="1:6" ht="105" customHeight="1" x14ac:dyDescent="0.5">
      <c r="A8" s="25" t="s">
        <v>881</v>
      </c>
      <c r="B8" s="25" t="s">
        <v>882</v>
      </c>
      <c r="C8" s="25" t="s">
        <v>883</v>
      </c>
      <c r="D8" s="25" t="s">
        <v>743</v>
      </c>
    </row>
    <row r="9" spans="1:6" ht="105" customHeight="1" x14ac:dyDescent="0.5">
      <c r="A9" s="26" t="s">
        <v>884</v>
      </c>
      <c r="B9" s="26" t="s">
        <v>885</v>
      </c>
      <c r="C9" s="26" t="s">
        <v>886</v>
      </c>
      <c r="D9" s="26" t="s">
        <v>309</v>
      </c>
    </row>
    <row r="10" spans="1:6" ht="105" customHeight="1" x14ac:dyDescent="0.5">
      <c r="A10" s="25" t="s">
        <v>887</v>
      </c>
      <c r="B10" s="25" t="s">
        <v>888</v>
      </c>
      <c r="C10" s="25" t="s">
        <v>889</v>
      </c>
      <c r="D10" s="25" t="s">
        <v>890</v>
      </c>
      <c r="F10" s="22" t="s">
        <v>1528</v>
      </c>
    </row>
    <row r="11" spans="1:6" ht="105" customHeight="1" x14ac:dyDescent="0.5">
      <c r="A11" s="26" t="s">
        <v>891</v>
      </c>
      <c r="B11" s="26" t="s">
        <v>892</v>
      </c>
      <c r="C11" s="26" t="s">
        <v>893</v>
      </c>
      <c r="D11" s="26" t="s">
        <v>743</v>
      </c>
    </row>
    <row r="12" spans="1:6" ht="105" customHeight="1" x14ac:dyDescent="0.5">
      <c r="A12" s="25" t="s">
        <v>894</v>
      </c>
      <c r="B12" s="25" t="s">
        <v>895</v>
      </c>
      <c r="C12" s="25" t="s">
        <v>896</v>
      </c>
      <c r="D12" s="25" t="s">
        <v>743</v>
      </c>
      <c r="F12" s="22" t="s">
        <v>1529</v>
      </c>
    </row>
    <row r="13" spans="1:6" ht="105" customHeight="1" x14ac:dyDescent="0.5">
      <c r="A13" s="26" t="s">
        <v>112</v>
      </c>
      <c r="B13" s="26" t="s">
        <v>897</v>
      </c>
      <c r="C13" s="26" t="s">
        <v>898</v>
      </c>
      <c r="D13" s="26" t="s">
        <v>899</v>
      </c>
    </row>
    <row r="14" spans="1:6" ht="105" customHeight="1" x14ac:dyDescent="0.5">
      <c r="A14" s="25" t="s">
        <v>900</v>
      </c>
      <c r="B14" s="25" t="s">
        <v>901</v>
      </c>
      <c r="C14" s="25" t="s">
        <v>902</v>
      </c>
      <c r="D14" s="25" t="s">
        <v>743</v>
      </c>
    </row>
    <row r="15" spans="1:6" ht="105" customHeight="1" x14ac:dyDescent="0.5">
      <c r="A15" s="26" t="s">
        <v>903</v>
      </c>
      <c r="B15" s="26" t="s">
        <v>904</v>
      </c>
      <c r="C15" s="26" t="s">
        <v>905</v>
      </c>
      <c r="D15" s="26" t="s">
        <v>906</v>
      </c>
      <c r="F15" s="22" t="s">
        <v>1530</v>
      </c>
    </row>
    <row r="16" spans="1:6" ht="105" customHeight="1" x14ac:dyDescent="0.5">
      <c r="A16" s="25" t="s">
        <v>907</v>
      </c>
      <c r="B16" s="25" t="s">
        <v>908</v>
      </c>
      <c r="C16" s="25" t="s">
        <v>909</v>
      </c>
      <c r="D16" s="25" t="s">
        <v>743</v>
      </c>
    </row>
    <row r="17" spans="1:6" ht="105" customHeight="1" x14ac:dyDescent="0.5">
      <c r="A17" s="26" t="s">
        <v>910</v>
      </c>
      <c r="B17" s="26" t="s">
        <v>911</v>
      </c>
      <c r="C17" s="26" t="s">
        <v>912</v>
      </c>
      <c r="D17" s="26" t="s">
        <v>913</v>
      </c>
      <c r="F17" s="22" t="s">
        <v>1531</v>
      </c>
    </row>
    <row r="18" spans="1:6" ht="105" customHeight="1" x14ac:dyDescent="0.5">
      <c r="A18" s="25" t="s">
        <v>914</v>
      </c>
      <c r="B18" s="25" t="s">
        <v>915</v>
      </c>
      <c r="C18" s="25" t="s">
        <v>916</v>
      </c>
      <c r="D18" s="25" t="s">
        <v>917</v>
      </c>
      <c r="F18" s="22" t="s">
        <v>1532</v>
      </c>
    </row>
    <row r="19" spans="1:6" ht="105" customHeight="1" x14ac:dyDescent="0.5">
      <c r="A19" s="26" t="s">
        <v>17</v>
      </c>
      <c r="B19" s="26" t="s">
        <v>918</v>
      </c>
      <c r="C19" s="26" t="s">
        <v>919</v>
      </c>
      <c r="D19" s="26" t="s">
        <v>389</v>
      </c>
    </row>
  </sheetData>
  <autoFilter ref="A5:D19" xr:uid="{00000000-0009-0000-0000-000006000000}"/>
  <mergeCells count="2">
    <mergeCell ref="A1:D1"/>
    <mergeCell ref="A2:D3"/>
  </mergeCells>
  <pageMargins left="0.75" right="0.75" top="1" bottom="1" header="0.511811023622047" footer="0.5"/>
  <pageSetup paperSize="8" fitToHeight="0" orientation="landscape" horizontalDpi="300" verticalDpi="300"/>
  <headerFooter>
    <oddFooter>&amp;CHARBORLIGHT — projekt zasad, nie wdrożenie</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21"/>
  <sheetViews>
    <sheetView showGridLines="0" zoomScale="75" zoomScaleNormal="75" workbookViewId="0">
      <pane xSplit="1" ySplit="5" topLeftCell="B6" activePane="bottomRight" state="frozen"/>
      <selection pane="topRight" activeCell="B1" sqref="B1"/>
      <selection pane="bottomLeft" activeCell="A6" sqref="A6"/>
      <selection pane="bottomRight"/>
    </sheetView>
  </sheetViews>
  <sheetFormatPr defaultColWidth="8.6640625" defaultRowHeight="14.4" x14ac:dyDescent="0.3"/>
  <cols>
    <col min="1" max="1" width="35" customWidth="1"/>
    <col min="2" max="2" width="47" customWidth="1"/>
    <col min="3" max="3" width="80" customWidth="1"/>
    <col min="4" max="4" width="62" customWidth="1"/>
    <col min="5" max="5" width="85" customWidth="1"/>
    <col min="6" max="7" width="62" customWidth="1"/>
  </cols>
  <sheetData>
    <row r="1" spans="1:7" ht="33.75" customHeight="1" x14ac:dyDescent="0.45">
      <c r="A1" s="4" t="s">
        <v>920</v>
      </c>
      <c r="B1" s="4"/>
      <c r="C1" s="4"/>
      <c r="D1" s="4"/>
      <c r="E1" s="4"/>
      <c r="F1" s="4"/>
      <c r="G1" s="4"/>
    </row>
    <row r="2" spans="1:7" ht="24.75" customHeight="1" x14ac:dyDescent="0.3">
      <c r="A2" s="5" t="s">
        <v>921</v>
      </c>
      <c r="B2" s="5"/>
      <c r="C2" s="5"/>
      <c r="D2" s="5"/>
      <c r="E2" s="5"/>
      <c r="F2" s="5"/>
      <c r="G2" s="5"/>
    </row>
    <row r="3" spans="1:7" ht="24.75" customHeight="1" x14ac:dyDescent="0.3">
      <c r="A3" s="5"/>
      <c r="B3" s="5"/>
      <c r="C3" s="5"/>
      <c r="D3" s="5"/>
      <c r="E3" s="5"/>
      <c r="F3" s="5"/>
      <c r="G3" s="5"/>
    </row>
    <row r="5" spans="1:7" ht="48" customHeight="1" x14ac:dyDescent="0.3">
      <c r="A5" s="7" t="s">
        <v>922</v>
      </c>
      <c r="B5" s="7" t="s">
        <v>923</v>
      </c>
      <c r="C5" s="7" t="s">
        <v>924</v>
      </c>
      <c r="D5" s="7" t="s">
        <v>925</v>
      </c>
      <c r="E5" s="7" t="s">
        <v>926</v>
      </c>
      <c r="F5" s="7" t="s">
        <v>927</v>
      </c>
      <c r="G5" s="7" t="s">
        <v>58</v>
      </c>
    </row>
    <row r="6" spans="1:7" ht="114.75" customHeight="1" x14ac:dyDescent="0.3">
      <c r="A6" s="8" t="s">
        <v>928</v>
      </c>
      <c r="B6" s="8" t="s">
        <v>929</v>
      </c>
      <c r="C6" s="8" t="s">
        <v>930</v>
      </c>
      <c r="D6" s="8" t="s">
        <v>931</v>
      </c>
      <c r="E6" s="8" t="s">
        <v>932</v>
      </c>
      <c r="F6" s="8" t="s">
        <v>933</v>
      </c>
      <c r="G6" s="8" t="s">
        <v>934</v>
      </c>
    </row>
    <row r="7" spans="1:7" ht="114.75" customHeight="1" x14ac:dyDescent="0.3">
      <c r="A7" s="9" t="s">
        <v>935</v>
      </c>
      <c r="B7" s="9" t="s">
        <v>929</v>
      </c>
      <c r="C7" s="9" t="s">
        <v>936</v>
      </c>
      <c r="D7" s="9" t="s">
        <v>931</v>
      </c>
      <c r="E7" s="9" t="s">
        <v>937</v>
      </c>
      <c r="F7" s="9" t="s">
        <v>938</v>
      </c>
      <c r="G7" s="9" t="s">
        <v>934</v>
      </c>
    </row>
    <row r="8" spans="1:7" ht="114.75" customHeight="1" x14ac:dyDescent="0.3">
      <c r="A8" s="8" t="s">
        <v>939</v>
      </c>
      <c r="B8" s="8" t="s">
        <v>929</v>
      </c>
      <c r="C8" s="8" t="s">
        <v>940</v>
      </c>
      <c r="D8" s="8" t="s">
        <v>941</v>
      </c>
      <c r="E8" s="8" t="s">
        <v>942</v>
      </c>
      <c r="F8" s="8" t="s">
        <v>943</v>
      </c>
      <c r="G8" s="8" t="s">
        <v>934</v>
      </c>
    </row>
    <row r="9" spans="1:7" ht="114.75" customHeight="1" x14ac:dyDescent="0.3">
      <c r="A9" s="9" t="s">
        <v>944</v>
      </c>
      <c r="B9" s="9" t="s">
        <v>945</v>
      </c>
      <c r="C9" s="9" t="s">
        <v>946</v>
      </c>
      <c r="D9" s="9" t="s">
        <v>947</v>
      </c>
      <c r="E9" s="9" t="s">
        <v>948</v>
      </c>
      <c r="F9" s="9" t="s">
        <v>949</v>
      </c>
      <c r="G9" s="9" t="s">
        <v>934</v>
      </c>
    </row>
    <row r="10" spans="1:7" ht="114.75" customHeight="1" x14ac:dyDescent="0.3">
      <c r="A10" s="8" t="s">
        <v>950</v>
      </c>
      <c r="B10" s="8" t="s">
        <v>105</v>
      </c>
      <c r="C10" s="8" t="s">
        <v>951</v>
      </c>
      <c r="D10" s="8" t="s">
        <v>952</v>
      </c>
      <c r="E10" s="8" t="s">
        <v>953</v>
      </c>
      <c r="F10" s="8" t="s">
        <v>954</v>
      </c>
      <c r="G10" s="8" t="s">
        <v>934</v>
      </c>
    </row>
    <row r="11" spans="1:7" ht="114.75" customHeight="1" x14ac:dyDescent="0.3">
      <c r="A11" s="9" t="s">
        <v>955</v>
      </c>
      <c r="B11" s="9" t="s">
        <v>112</v>
      </c>
      <c r="C11" s="9" t="s">
        <v>956</v>
      </c>
      <c r="D11" s="9" t="s">
        <v>957</v>
      </c>
      <c r="E11" s="9" t="s">
        <v>958</v>
      </c>
      <c r="F11" s="9" t="s">
        <v>959</v>
      </c>
      <c r="G11" s="9" t="s">
        <v>934</v>
      </c>
    </row>
    <row r="12" spans="1:7" ht="114.75" customHeight="1" x14ac:dyDescent="0.3">
      <c r="A12" s="8" t="s">
        <v>960</v>
      </c>
      <c r="B12" s="8" t="s">
        <v>117</v>
      </c>
      <c r="C12" s="8" t="s">
        <v>961</v>
      </c>
      <c r="D12" s="8" t="s">
        <v>962</v>
      </c>
      <c r="E12" s="8" t="s">
        <v>963</v>
      </c>
      <c r="F12" s="8" t="s">
        <v>964</v>
      </c>
      <c r="G12" s="8" t="s">
        <v>934</v>
      </c>
    </row>
    <row r="13" spans="1:7" ht="114.75" customHeight="1" x14ac:dyDescent="0.3">
      <c r="A13" s="9" t="s">
        <v>965</v>
      </c>
      <c r="B13" s="9" t="s">
        <v>966</v>
      </c>
      <c r="C13" s="9" t="s">
        <v>967</v>
      </c>
      <c r="D13" s="9" t="s">
        <v>968</v>
      </c>
      <c r="E13" s="9" t="s">
        <v>969</v>
      </c>
      <c r="F13" s="9" t="s">
        <v>970</v>
      </c>
      <c r="G13" s="9" t="s">
        <v>971</v>
      </c>
    </row>
    <row r="14" spans="1:7" ht="114.75" customHeight="1" x14ac:dyDescent="0.3">
      <c r="A14" s="8" t="s">
        <v>972</v>
      </c>
      <c r="B14" s="8" t="s">
        <v>966</v>
      </c>
      <c r="C14" s="8" t="s">
        <v>973</v>
      </c>
      <c r="D14" s="8" t="s">
        <v>974</v>
      </c>
      <c r="E14" s="8" t="s">
        <v>975</v>
      </c>
      <c r="F14" s="8" t="s">
        <v>976</v>
      </c>
      <c r="G14" s="8" t="s">
        <v>977</v>
      </c>
    </row>
    <row r="15" spans="1:7" ht="114.75" customHeight="1" x14ac:dyDescent="0.3">
      <c r="A15" s="9" t="s">
        <v>978</v>
      </c>
      <c r="B15" s="9" t="s">
        <v>966</v>
      </c>
      <c r="C15" s="9" t="s">
        <v>979</v>
      </c>
      <c r="D15" s="9" t="s">
        <v>980</v>
      </c>
      <c r="E15" s="9" t="s">
        <v>981</v>
      </c>
      <c r="F15" s="9" t="s">
        <v>982</v>
      </c>
      <c r="G15" s="9" t="s">
        <v>971</v>
      </c>
    </row>
    <row r="16" spans="1:7" ht="114.75" customHeight="1" x14ac:dyDescent="0.3">
      <c r="A16" s="8" t="s">
        <v>983</v>
      </c>
      <c r="B16" s="8" t="s">
        <v>984</v>
      </c>
      <c r="C16" s="8" t="s">
        <v>985</v>
      </c>
      <c r="D16" s="8" t="s">
        <v>986</v>
      </c>
      <c r="E16" s="8" t="s">
        <v>987</v>
      </c>
      <c r="F16" s="8" t="s">
        <v>959</v>
      </c>
      <c r="G16" s="8" t="s">
        <v>988</v>
      </c>
    </row>
    <row r="17" spans="1:7" ht="114.75" customHeight="1" x14ac:dyDescent="0.3">
      <c r="A17" s="9" t="s">
        <v>989</v>
      </c>
      <c r="B17" s="9" t="s">
        <v>123</v>
      </c>
      <c r="C17" s="9" t="s">
        <v>990</v>
      </c>
      <c r="D17" s="9" t="s">
        <v>991</v>
      </c>
      <c r="E17" s="9" t="s">
        <v>992</v>
      </c>
      <c r="F17" s="9" t="s">
        <v>938</v>
      </c>
      <c r="G17" s="9" t="s">
        <v>546</v>
      </c>
    </row>
    <row r="18" spans="1:7" ht="114.75" customHeight="1" x14ac:dyDescent="0.3">
      <c r="A18" s="8" t="s">
        <v>993</v>
      </c>
      <c r="B18" s="8" t="s">
        <v>123</v>
      </c>
      <c r="C18" s="8" t="s">
        <v>994</v>
      </c>
      <c r="D18" s="8" t="s">
        <v>995</v>
      </c>
      <c r="E18" s="8" t="s">
        <v>996</v>
      </c>
      <c r="F18" s="8" t="s">
        <v>997</v>
      </c>
      <c r="G18" s="8" t="s">
        <v>546</v>
      </c>
    </row>
    <row r="19" spans="1:7" ht="114.75" customHeight="1" x14ac:dyDescent="0.3">
      <c r="A19" s="9" t="s">
        <v>998</v>
      </c>
      <c r="B19" s="9" t="s">
        <v>123</v>
      </c>
      <c r="C19" s="9" t="s">
        <v>999</v>
      </c>
      <c r="D19" s="9" t="s">
        <v>1000</v>
      </c>
      <c r="E19" s="9" t="s">
        <v>996</v>
      </c>
      <c r="F19" s="9" t="s">
        <v>1001</v>
      </c>
      <c r="G19" s="9" t="s">
        <v>546</v>
      </c>
    </row>
    <row r="20" spans="1:7" ht="114.75" customHeight="1" x14ac:dyDescent="0.3">
      <c r="A20" s="8" t="s">
        <v>1002</v>
      </c>
      <c r="B20" s="8" t="s">
        <v>1003</v>
      </c>
      <c r="C20" s="8" t="s">
        <v>1004</v>
      </c>
      <c r="D20" s="8" t="s">
        <v>1005</v>
      </c>
      <c r="E20" s="8" t="s">
        <v>1006</v>
      </c>
      <c r="F20" s="8" t="s">
        <v>1007</v>
      </c>
      <c r="G20" s="8" t="s">
        <v>546</v>
      </c>
    </row>
    <row r="21" spans="1:7" ht="114.75" customHeight="1" x14ac:dyDescent="0.3">
      <c r="A21" s="9" t="s">
        <v>1008</v>
      </c>
      <c r="B21" s="9" t="s">
        <v>132</v>
      </c>
      <c r="C21" s="9" t="s">
        <v>1009</v>
      </c>
      <c r="D21" s="9" t="s">
        <v>1010</v>
      </c>
      <c r="E21" s="9" t="s">
        <v>1011</v>
      </c>
      <c r="F21" s="9" t="s">
        <v>954</v>
      </c>
      <c r="G21" s="9" t="s">
        <v>1012</v>
      </c>
    </row>
  </sheetData>
  <autoFilter ref="A5:G21" xr:uid="{00000000-0009-0000-0000-000007000000}"/>
  <mergeCells count="2">
    <mergeCell ref="A1:G1"/>
    <mergeCell ref="A2:G3"/>
  </mergeCells>
  <pageMargins left="0.75" right="0.75" top="1" bottom="1" header="0.511811023622047" footer="0.5"/>
  <pageSetup paperSize="8" fitToHeight="0" orientation="landscape" horizontalDpi="300" verticalDpi="300"/>
  <headerFooter>
    <oddFooter>&amp;CHARBORLIGHT — projekt zasad, nie wdrożenie</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F40"/>
  <sheetViews>
    <sheetView showGridLines="0" zoomScale="75" zoomScaleNormal="75" workbookViewId="0">
      <pane xSplit="1" ySplit="5" topLeftCell="B6" activePane="bottomRight" state="frozen"/>
      <selection pane="topRight" activeCell="B1" sqref="B1"/>
      <selection pane="bottomLeft" activeCell="A6" sqref="A6"/>
      <selection pane="bottomRight"/>
    </sheetView>
  </sheetViews>
  <sheetFormatPr defaultColWidth="8.6640625" defaultRowHeight="14.4" x14ac:dyDescent="0.3"/>
  <cols>
    <col min="1" max="1" width="23" customWidth="1"/>
    <col min="2" max="2" width="65" customWidth="1"/>
    <col min="3" max="3" width="19" customWidth="1"/>
    <col min="4" max="4" width="29" customWidth="1"/>
    <col min="5" max="5" width="40" customWidth="1"/>
    <col min="6" max="6" width="100" customWidth="1"/>
  </cols>
  <sheetData>
    <row r="1" spans="1:6" ht="33.75" customHeight="1" x14ac:dyDescent="0.45">
      <c r="A1" s="4" t="s">
        <v>1013</v>
      </c>
      <c r="B1" s="4"/>
      <c r="C1" s="4"/>
      <c r="D1" s="4"/>
      <c r="E1" s="4"/>
      <c r="F1" s="4"/>
    </row>
    <row r="2" spans="1:6" ht="24.75" customHeight="1" x14ac:dyDescent="0.3">
      <c r="A2" s="5" t="s">
        <v>1014</v>
      </c>
      <c r="B2" s="5"/>
      <c r="C2" s="5"/>
      <c r="D2" s="5"/>
      <c r="E2" s="5"/>
      <c r="F2" s="5"/>
    </row>
    <row r="3" spans="1:6" ht="24.75" customHeight="1" x14ac:dyDescent="0.3">
      <c r="A3" s="5"/>
      <c r="B3" s="5"/>
      <c r="C3" s="5"/>
      <c r="D3" s="5"/>
      <c r="E3" s="5"/>
      <c r="F3" s="5"/>
    </row>
    <row r="5" spans="1:6" ht="48" customHeight="1" x14ac:dyDescent="0.3">
      <c r="A5" s="7" t="s">
        <v>321</v>
      </c>
      <c r="B5" s="7" t="s">
        <v>1015</v>
      </c>
      <c r="C5" s="7" t="s">
        <v>1016</v>
      </c>
      <c r="D5" s="7" t="s">
        <v>1017</v>
      </c>
      <c r="E5" s="7" t="s">
        <v>160</v>
      </c>
      <c r="F5" s="7" t="s">
        <v>317</v>
      </c>
    </row>
    <row r="6" spans="1:6" ht="54.75" customHeight="1" x14ac:dyDescent="0.3">
      <c r="A6" s="8" t="s">
        <v>1018</v>
      </c>
      <c r="B6" s="8" t="s">
        <v>1019</v>
      </c>
      <c r="C6" s="13">
        <v>12</v>
      </c>
      <c r="D6" s="8" t="s">
        <v>1020</v>
      </c>
      <c r="E6" s="8" t="s">
        <v>327</v>
      </c>
      <c r="F6" s="8" t="s">
        <v>1021</v>
      </c>
    </row>
    <row r="7" spans="1:6" ht="54.75" customHeight="1" x14ac:dyDescent="0.3">
      <c r="A7" s="9" t="s">
        <v>1022</v>
      </c>
      <c r="B7" s="9" t="s">
        <v>1023</v>
      </c>
      <c r="C7" s="13">
        <v>24</v>
      </c>
      <c r="D7" s="9" t="s">
        <v>1020</v>
      </c>
      <c r="E7" s="9" t="s">
        <v>327</v>
      </c>
      <c r="F7" s="9" t="s">
        <v>1024</v>
      </c>
    </row>
    <row r="8" spans="1:6" ht="54.75" customHeight="1" x14ac:dyDescent="0.3">
      <c r="A8" s="8" t="s">
        <v>1025</v>
      </c>
      <c r="B8" s="8" t="s">
        <v>1026</v>
      </c>
      <c r="C8" s="13">
        <v>12</v>
      </c>
      <c r="D8" s="8" t="s">
        <v>1020</v>
      </c>
      <c r="E8" s="8" t="s">
        <v>1027</v>
      </c>
      <c r="F8" s="8" t="s">
        <v>1028</v>
      </c>
    </row>
    <row r="9" spans="1:6" ht="54.75" customHeight="1" x14ac:dyDescent="0.3">
      <c r="A9" s="9" t="s">
        <v>1029</v>
      </c>
      <c r="B9" s="9" t="s">
        <v>1030</v>
      </c>
      <c r="C9" s="13">
        <v>60</v>
      </c>
      <c r="D9" s="9" t="s">
        <v>1031</v>
      </c>
      <c r="E9" s="9" t="s">
        <v>743</v>
      </c>
      <c r="F9" s="9" t="s">
        <v>1032</v>
      </c>
    </row>
    <row r="10" spans="1:6" ht="54.75" customHeight="1" x14ac:dyDescent="0.3">
      <c r="A10" s="8" t="s">
        <v>1033</v>
      </c>
      <c r="B10" s="8" t="s">
        <v>1034</v>
      </c>
      <c r="C10" s="14">
        <v>1.1000000000000001</v>
      </c>
      <c r="D10" s="8" t="s">
        <v>1035</v>
      </c>
      <c r="E10" s="8" t="s">
        <v>1036</v>
      </c>
      <c r="F10" s="8" t="s">
        <v>1037</v>
      </c>
    </row>
    <row r="11" spans="1:6" ht="54.75" customHeight="1" x14ac:dyDescent="0.3">
      <c r="A11" s="9" t="s">
        <v>1038</v>
      </c>
      <c r="B11" s="9" t="s">
        <v>1039</v>
      </c>
      <c r="C11" s="13">
        <v>5</v>
      </c>
      <c r="D11" s="9" t="s">
        <v>1040</v>
      </c>
      <c r="E11" s="9" t="s">
        <v>389</v>
      </c>
      <c r="F11" s="9" t="s">
        <v>1041</v>
      </c>
    </row>
    <row r="12" spans="1:6" ht="54.75" customHeight="1" x14ac:dyDescent="0.3">
      <c r="A12" s="8" t="s">
        <v>1042</v>
      </c>
      <c r="B12" s="8" t="s">
        <v>1043</v>
      </c>
      <c r="C12" s="13">
        <v>6</v>
      </c>
      <c r="D12" s="8" t="s">
        <v>1020</v>
      </c>
      <c r="E12" s="8" t="s">
        <v>1044</v>
      </c>
      <c r="F12" s="8" t="s">
        <v>1045</v>
      </c>
    </row>
    <row r="13" spans="1:6" ht="54.75" customHeight="1" x14ac:dyDescent="0.3">
      <c r="A13" s="9" t="s">
        <v>1046</v>
      </c>
      <c r="B13" s="9" t="s">
        <v>1047</v>
      </c>
      <c r="C13" s="13">
        <v>50</v>
      </c>
      <c r="D13" s="9" t="s">
        <v>1048</v>
      </c>
      <c r="E13" s="9" t="s">
        <v>1049</v>
      </c>
      <c r="F13" s="9" t="s">
        <v>1050</v>
      </c>
    </row>
    <row r="14" spans="1:6" ht="54.75" customHeight="1" x14ac:dyDescent="0.3">
      <c r="A14" s="8" t="s">
        <v>1051</v>
      </c>
      <c r="B14" s="8" t="s">
        <v>1052</v>
      </c>
      <c r="C14" s="13">
        <v>5</v>
      </c>
      <c r="D14" s="8" t="s">
        <v>1053</v>
      </c>
      <c r="E14" s="8" t="s">
        <v>1027</v>
      </c>
      <c r="F14" s="8" t="s">
        <v>1054</v>
      </c>
    </row>
    <row r="15" spans="1:6" ht="54.75" customHeight="1" x14ac:dyDescent="0.3">
      <c r="A15" s="9" t="s">
        <v>1055</v>
      </c>
      <c r="B15" s="9" t="s">
        <v>1056</v>
      </c>
      <c r="C15" s="14">
        <v>1.1000000000000001</v>
      </c>
      <c r="D15" s="9" t="s">
        <v>1057</v>
      </c>
      <c r="E15" s="9" t="s">
        <v>1049</v>
      </c>
      <c r="F15" s="9" t="s">
        <v>1058</v>
      </c>
    </row>
    <row r="16" spans="1:6" ht="54.75" customHeight="1" x14ac:dyDescent="0.3">
      <c r="A16" s="8" t="s">
        <v>1059</v>
      </c>
      <c r="B16" s="8" t="s">
        <v>1060</v>
      </c>
      <c r="C16" s="13">
        <v>240</v>
      </c>
      <c r="D16" s="8" t="s">
        <v>1061</v>
      </c>
      <c r="E16" s="8" t="s">
        <v>327</v>
      </c>
      <c r="F16" s="8" t="s">
        <v>1062</v>
      </c>
    </row>
    <row r="17" spans="1:6" ht="54.75" customHeight="1" x14ac:dyDescent="0.3">
      <c r="A17" s="9" t="s">
        <v>1063</v>
      </c>
      <c r="B17" s="9" t="s">
        <v>1064</v>
      </c>
      <c r="C17" s="14">
        <v>0.3</v>
      </c>
      <c r="D17" s="9" t="s">
        <v>1065</v>
      </c>
      <c r="E17" s="9" t="s">
        <v>327</v>
      </c>
      <c r="F17" s="9" t="s">
        <v>1066</v>
      </c>
    </row>
    <row r="18" spans="1:6" ht="54.75" customHeight="1" x14ac:dyDescent="0.3">
      <c r="A18" s="8" t="s">
        <v>1067</v>
      </c>
      <c r="B18" s="8" t="s">
        <v>1068</v>
      </c>
      <c r="C18" s="14">
        <v>0.3</v>
      </c>
      <c r="D18" s="8" t="s">
        <v>1065</v>
      </c>
      <c r="E18" s="8" t="s">
        <v>327</v>
      </c>
      <c r="F18" s="8" t="s">
        <v>1069</v>
      </c>
    </row>
    <row r="19" spans="1:6" ht="54.75" customHeight="1" x14ac:dyDescent="0.3">
      <c r="A19" s="9" t="s">
        <v>1070</v>
      </c>
      <c r="B19" s="9" t="s">
        <v>1071</v>
      </c>
      <c r="C19" s="14">
        <v>0.5</v>
      </c>
      <c r="D19" s="9" t="s">
        <v>1065</v>
      </c>
      <c r="E19" s="9" t="s">
        <v>327</v>
      </c>
      <c r="F19" s="9" t="s">
        <v>1072</v>
      </c>
    </row>
    <row r="20" spans="1:6" ht="54.75" customHeight="1" x14ac:dyDescent="0.3">
      <c r="A20" s="8" t="s">
        <v>1073</v>
      </c>
      <c r="B20" s="8" t="s">
        <v>1074</v>
      </c>
      <c r="C20" s="13">
        <v>500</v>
      </c>
      <c r="D20" s="8" t="s">
        <v>1075</v>
      </c>
      <c r="E20" s="8" t="s">
        <v>327</v>
      </c>
      <c r="F20" s="8" t="s">
        <v>1076</v>
      </c>
    </row>
    <row r="21" spans="1:6" ht="54.75" customHeight="1" x14ac:dyDescent="0.3">
      <c r="A21" s="9" t="s">
        <v>1077</v>
      </c>
      <c r="B21" s="9" t="s">
        <v>1078</v>
      </c>
      <c r="C21" s="13">
        <v>300</v>
      </c>
      <c r="D21" s="9" t="s">
        <v>1075</v>
      </c>
      <c r="E21" s="9" t="s">
        <v>1079</v>
      </c>
      <c r="F21" s="9" t="s">
        <v>1080</v>
      </c>
    </row>
    <row r="22" spans="1:6" ht="54.75" customHeight="1" x14ac:dyDescent="0.3">
      <c r="A22" s="8" t="s">
        <v>1081</v>
      </c>
      <c r="B22" s="8" t="s">
        <v>1082</v>
      </c>
      <c r="C22" s="13">
        <v>400</v>
      </c>
      <c r="D22" s="8" t="s">
        <v>1075</v>
      </c>
      <c r="E22" s="8" t="s">
        <v>1079</v>
      </c>
      <c r="F22" s="8" t="s">
        <v>1080</v>
      </c>
    </row>
    <row r="23" spans="1:6" ht="54.75" customHeight="1" x14ac:dyDescent="0.3">
      <c r="A23" s="9" t="s">
        <v>1083</v>
      </c>
      <c r="B23" s="9" t="s">
        <v>1084</v>
      </c>
      <c r="C23" s="13">
        <v>500</v>
      </c>
      <c r="D23" s="9" t="s">
        <v>1085</v>
      </c>
      <c r="E23" s="9" t="s">
        <v>327</v>
      </c>
      <c r="F23" s="9" t="s">
        <v>1086</v>
      </c>
    </row>
    <row r="24" spans="1:6" ht="54.75" customHeight="1" x14ac:dyDescent="0.3">
      <c r="A24" s="8" t="s">
        <v>1087</v>
      </c>
      <c r="B24" s="8" t="s">
        <v>1088</v>
      </c>
      <c r="C24" s="13">
        <v>1000</v>
      </c>
      <c r="D24" s="8" t="s">
        <v>1089</v>
      </c>
      <c r="E24" s="8" t="s">
        <v>327</v>
      </c>
      <c r="F24" s="8" t="s">
        <v>1090</v>
      </c>
    </row>
    <row r="25" spans="1:6" ht="54.75" customHeight="1" x14ac:dyDescent="0.3">
      <c r="A25" s="9" t="s">
        <v>1091</v>
      </c>
      <c r="B25" s="9" t="s">
        <v>1092</v>
      </c>
      <c r="C25" s="13">
        <v>4000</v>
      </c>
      <c r="D25" s="9" t="s">
        <v>1089</v>
      </c>
      <c r="E25" s="9" t="s">
        <v>327</v>
      </c>
      <c r="F25" s="9" t="s">
        <v>1093</v>
      </c>
    </row>
    <row r="26" spans="1:6" ht="54.75" customHeight="1" x14ac:dyDescent="0.3">
      <c r="A26" s="8" t="s">
        <v>1094</v>
      </c>
      <c r="B26" s="8" t="s">
        <v>1095</v>
      </c>
      <c r="C26" s="14">
        <v>1.5</v>
      </c>
      <c r="D26" s="8" t="s">
        <v>1096</v>
      </c>
      <c r="E26" s="8" t="s">
        <v>327</v>
      </c>
      <c r="F26" s="8" t="s">
        <v>1097</v>
      </c>
    </row>
    <row r="27" spans="1:6" ht="54.75" customHeight="1" x14ac:dyDescent="0.3">
      <c r="A27" s="9" t="s">
        <v>1098</v>
      </c>
      <c r="B27" s="9" t="s">
        <v>1099</v>
      </c>
      <c r="C27" s="13">
        <v>1</v>
      </c>
      <c r="D27" s="9" t="s">
        <v>1100</v>
      </c>
      <c r="E27" s="9" t="s">
        <v>327</v>
      </c>
      <c r="F27" s="9" t="s">
        <v>1101</v>
      </c>
    </row>
    <row r="28" spans="1:6" ht="54.75" customHeight="1" x14ac:dyDescent="0.3">
      <c r="A28" s="8" t="s">
        <v>1102</v>
      </c>
      <c r="B28" s="8" t="s">
        <v>1103</v>
      </c>
      <c r="C28" s="13">
        <v>1</v>
      </c>
      <c r="D28" s="8" t="s">
        <v>1104</v>
      </c>
      <c r="E28" s="8" t="s">
        <v>327</v>
      </c>
      <c r="F28" s="8" t="s">
        <v>1105</v>
      </c>
    </row>
    <row r="29" spans="1:6" ht="54.75" customHeight="1" x14ac:dyDescent="0.3">
      <c r="A29" s="9" t="s">
        <v>1106</v>
      </c>
      <c r="B29" s="9" t="s">
        <v>1107</v>
      </c>
      <c r="C29" s="13">
        <v>12</v>
      </c>
      <c r="D29" s="9" t="s">
        <v>1108</v>
      </c>
      <c r="E29" s="9" t="s">
        <v>327</v>
      </c>
      <c r="F29" s="9" t="s">
        <v>1109</v>
      </c>
    </row>
    <row r="30" spans="1:6" ht="54.75" customHeight="1" x14ac:dyDescent="0.3">
      <c r="A30" s="8" t="s">
        <v>1110</v>
      </c>
      <c r="B30" s="8" t="s">
        <v>1111</v>
      </c>
      <c r="C30" s="13">
        <v>5</v>
      </c>
      <c r="D30" s="8" t="s">
        <v>1112</v>
      </c>
      <c r="E30" s="8" t="s">
        <v>327</v>
      </c>
      <c r="F30" s="8" t="s">
        <v>1113</v>
      </c>
    </row>
    <row r="31" spans="1:6" ht="54.75" customHeight="1" x14ac:dyDescent="0.3">
      <c r="A31" s="9" t="s">
        <v>1114</v>
      </c>
      <c r="B31" s="9" t="s">
        <v>1115</v>
      </c>
      <c r="C31" s="13">
        <v>40</v>
      </c>
      <c r="D31" s="9" t="s">
        <v>1116</v>
      </c>
      <c r="E31" s="9" t="s">
        <v>743</v>
      </c>
      <c r="F31" s="9" t="s">
        <v>1117</v>
      </c>
    </row>
    <row r="32" spans="1:6" ht="54.75" customHeight="1" x14ac:dyDescent="0.3">
      <c r="A32" s="8" t="s">
        <v>1118</v>
      </c>
      <c r="B32" s="8" t="s">
        <v>1119</v>
      </c>
      <c r="C32" s="13">
        <v>50</v>
      </c>
      <c r="D32" s="8" t="s">
        <v>1116</v>
      </c>
      <c r="E32" s="8" t="s">
        <v>743</v>
      </c>
      <c r="F32" s="8" t="s">
        <v>1120</v>
      </c>
    </row>
    <row r="33" spans="1:6" ht="54.75" customHeight="1" x14ac:dyDescent="0.3">
      <c r="A33" s="9" t="s">
        <v>1121</v>
      </c>
      <c r="B33" s="9" t="s">
        <v>1122</v>
      </c>
      <c r="C33" s="13">
        <v>140</v>
      </c>
      <c r="D33" s="9" t="s">
        <v>1116</v>
      </c>
      <c r="E33" s="9" t="s">
        <v>1123</v>
      </c>
      <c r="F33" s="9" t="s">
        <v>1124</v>
      </c>
    </row>
    <row r="34" spans="1:6" ht="54.75" customHeight="1" x14ac:dyDescent="0.3">
      <c r="A34" s="8" t="s">
        <v>1125</v>
      </c>
      <c r="B34" s="8" t="s">
        <v>1126</v>
      </c>
      <c r="C34" s="13">
        <v>150</v>
      </c>
      <c r="D34" s="8" t="s">
        <v>1116</v>
      </c>
      <c r="E34" s="8" t="s">
        <v>1123</v>
      </c>
      <c r="F34" s="8" t="s">
        <v>1127</v>
      </c>
    </row>
    <row r="35" spans="1:6" ht="54.75" customHeight="1" x14ac:dyDescent="0.3">
      <c r="A35" s="9" t="s">
        <v>1128</v>
      </c>
      <c r="B35" s="9" t="s">
        <v>1129</v>
      </c>
      <c r="C35" s="14">
        <v>0.1</v>
      </c>
      <c r="D35" s="9" t="s">
        <v>1130</v>
      </c>
      <c r="E35" s="9" t="s">
        <v>640</v>
      </c>
      <c r="F35" s="9" t="s">
        <v>1131</v>
      </c>
    </row>
    <row r="36" spans="1:6" ht="54.75" customHeight="1" x14ac:dyDescent="0.3">
      <c r="A36" s="8" t="s">
        <v>1132</v>
      </c>
      <c r="B36" s="8" t="s">
        <v>1133</v>
      </c>
      <c r="C36" s="13">
        <v>3</v>
      </c>
      <c r="D36" s="8" t="s">
        <v>1108</v>
      </c>
      <c r="E36" s="8" t="s">
        <v>743</v>
      </c>
      <c r="F36" s="8" t="s">
        <v>1134</v>
      </c>
    </row>
    <row r="37" spans="1:6" ht="54.75" customHeight="1" x14ac:dyDescent="0.3">
      <c r="A37" s="9" t="s">
        <v>1135</v>
      </c>
      <c r="B37" s="9" t="s">
        <v>1136</v>
      </c>
      <c r="C37" s="13">
        <v>24</v>
      </c>
      <c r="D37" s="9" t="s">
        <v>1108</v>
      </c>
      <c r="E37" s="9" t="s">
        <v>1049</v>
      </c>
      <c r="F37" s="9" t="s">
        <v>1137</v>
      </c>
    </row>
    <row r="38" spans="1:6" ht="54.75" customHeight="1" x14ac:dyDescent="0.3">
      <c r="A38" s="8" t="s">
        <v>1138</v>
      </c>
      <c r="B38" s="8" t="s">
        <v>1139</v>
      </c>
      <c r="C38" s="14">
        <v>0.1</v>
      </c>
      <c r="D38" s="8" t="s">
        <v>1065</v>
      </c>
      <c r="E38" s="8" t="s">
        <v>327</v>
      </c>
      <c r="F38" s="8" t="s">
        <v>1140</v>
      </c>
    </row>
    <row r="39" spans="1:6" ht="54.75" customHeight="1" x14ac:dyDescent="0.3">
      <c r="A39" s="9" t="s">
        <v>1141</v>
      </c>
      <c r="B39" s="9" t="s">
        <v>1142</v>
      </c>
      <c r="C39" s="13">
        <v>1</v>
      </c>
      <c r="D39" s="9" t="s">
        <v>1108</v>
      </c>
      <c r="E39" s="9" t="s">
        <v>1143</v>
      </c>
      <c r="F39" s="9" t="s">
        <v>1144</v>
      </c>
    </row>
    <row r="40" spans="1:6" ht="54.75" customHeight="1" x14ac:dyDescent="0.3">
      <c r="A40" s="8" t="s">
        <v>1145</v>
      </c>
      <c r="B40" s="8" t="s">
        <v>1146</v>
      </c>
      <c r="C40" s="13">
        <v>6</v>
      </c>
      <c r="D40" s="8" t="s">
        <v>1020</v>
      </c>
      <c r="E40" s="8" t="s">
        <v>327</v>
      </c>
      <c r="F40" s="8" t="s">
        <v>1147</v>
      </c>
    </row>
  </sheetData>
  <autoFilter ref="A5:F40" xr:uid="{00000000-0009-0000-0000-000008000000}"/>
  <mergeCells count="2">
    <mergeCell ref="A1:F1"/>
    <mergeCell ref="A2:F3"/>
  </mergeCells>
  <pageMargins left="0.75" right="0.75" top="1" bottom="1" header="0.511811023622047" footer="0.5"/>
  <pageSetup paperSize="8" fitToHeight="0" orientation="landscape" horizontalDpi="300" verticalDpi="300"/>
  <headerFooter>
    <oddFooter>&amp;CHARBORLIGHT — projekt zasad, nie wdrożenie</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E19"/>
  <sheetViews>
    <sheetView showGridLines="0" zoomScale="75" zoomScaleNormal="75" workbookViewId="0">
      <pane xSplit="1" ySplit="5" topLeftCell="B6" activePane="bottomRight" state="frozen"/>
      <selection pane="topRight" activeCell="B1" sqref="B1"/>
      <selection pane="bottomLeft" activeCell="A6" sqref="A6"/>
      <selection pane="bottomRight"/>
    </sheetView>
  </sheetViews>
  <sheetFormatPr defaultColWidth="8.6640625" defaultRowHeight="14.4" x14ac:dyDescent="0.3"/>
  <cols>
    <col min="1" max="1" width="15" customWidth="1"/>
    <col min="2" max="2" width="37" customWidth="1"/>
    <col min="3" max="3" width="39" customWidth="1"/>
    <col min="4" max="4" width="105" customWidth="1"/>
    <col min="5" max="5" width="120" customWidth="1"/>
  </cols>
  <sheetData>
    <row r="1" spans="1:5" ht="33.75" customHeight="1" x14ac:dyDescent="0.45">
      <c r="A1" s="6" t="s">
        <v>1148</v>
      </c>
      <c r="B1" s="6"/>
      <c r="C1" s="6"/>
      <c r="D1" s="6"/>
      <c r="E1" s="6"/>
    </row>
    <row r="2" spans="1:5" ht="24.75" customHeight="1" x14ac:dyDescent="0.3">
      <c r="A2" s="5" t="s">
        <v>1149</v>
      </c>
      <c r="B2" s="5"/>
      <c r="C2" s="5"/>
      <c r="D2" s="5"/>
      <c r="E2" s="5"/>
    </row>
    <row r="3" spans="1:5" ht="24.75" customHeight="1" x14ac:dyDescent="0.3">
      <c r="A3" s="5"/>
      <c r="B3" s="5"/>
      <c r="C3" s="5"/>
      <c r="D3" s="5"/>
      <c r="E3" s="5"/>
    </row>
    <row r="5" spans="1:5" ht="48" customHeight="1" x14ac:dyDescent="0.3">
      <c r="A5" s="7" t="s">
        <v>321</v>
      </c>
      <c r="B5" s="7" t="s">
        <v>58</v>
      </c>
      <c r="C5" s="7" t="s">
        <v>1150</v>
      </c>
      <c r="D5" s="7" t="s">
        <v>1151</v>
      </c>
      <c r="E5" s="7" t="s">
        <v>1152</v>
      </c>
    </row>
    <row r="6" spans="1:5" ht="105" customHeight="1" x14ac:dyDescent="0.3">
      <c r="A6" s="8" t="s">
        <v>1153</v>
      </c>
      <c r="B6" s="10" t="s">
        <v>1154</v>
      </c>
      <c r="C6" s="8" t="s">
        <v>481</v>
      </c>
      <c r="D6" s="8" t="s">
        <v>1155</v>
      </c>
      <c r="E6" s="8" t="s">
        <v>1156</v>
      </c>
    </row>
    <row r="7" spans="1:5" ht="105" customHeight="1" x14ac:dyDescent="0.3">
      <c r="A7" s="9" t="s">
        <v>1157</v>
      </c>
      <c r="B7" s="10" t="s">
        <v>1154</v>
      </c>
      <c r="C7" s="9" t="s">
        <v>132</v>
      </c>
      <c r="D7" s="9" t="s">
        <v>1158</v>
      </c>
      <c r="E7" s="9" t="s">
        <v>1159</v>
      </c>
    </row>
    <row r="8" spans="1:5" ht="105" customHeight="1" x14ac:dyDescent="0.3">
      <c r="A8" s="8" t="s">
        <v>1160</v>
      </c>
      <c r="B8" s="10" t="s">
        <v>1154</v>
      </c>
      <c r="C8" s="8" t="s">
        <v>123</v>
      </c>
      <c r="D8" s="8" t="s">
        <v>1161</v>
      </c>
      <c r="E8" s="8" t="s">
        <v>1159</v>
      </c>
    </row>
    <row r="9" spans="1:5" ht="105" customHeight="1" x14ac:dyDescent="0.3">
      <c r="A9" s="9" t="s">
        <v>1162</v>
      </c>
      <c r="B9" s="10" t="s">
        <v>1154</v>
      </c>
      <c r="C9" s="9" t="s">
        <v>875</v>
      </c>
      <c r="D9" s="9" t="s">
        <v>1163</v>
      </c>
      <c r="E9" s="9" t="s">
        <v>1164</v>
      </c>
    </row>
    <row r="10" spans="1:5" ht="105" customHeight="1" x14ac:dyDescent="0.3">
      <c r="A10" s="8" t="s">
        <v>1165</v>
      </c>
      <c r="B10" s="10" t="s">
        <v>1154</v>
      </c>
      <c r="C10" s="8" t="s">
        <v>26</v>
      </c>
      <c r="D10" s="8" t="s">
        <v>1166</v>
      </c>
      <c r="E10" s="8" t="s">
        <v>1167</v>
      </c>
    </row>
    <row r="11" spans="1:5" ht="105" customHeight="1" x14ac:dyDescent="0.3">
      <c r="A11" s="9" t="s">
        <v>1168</v>
      </c>
      <c r="B11" s="10" t="s">
        <v>1154</v>
      </c>
      <c r="C11" s="9" t="s">
        <v>17</v>
      </c>
      <c r="D11" s="9" t="s">
        <v>1169</v>
      </c>
      <c r="E11" s="9" t="s">
        <v>1170</v>
      </c>
    </row>
    <row r="12" spans="1:5" ht="105" customHeight="1" x14ac:dyDescent="0.3">
      <c r="A12" s="8" t="s">
        <v>1171</v>
      </c>
      <c r="B12" s="15" t="s">
        <v>1172</v>
      </c>
      <c r="C12" s="8" t="s">
        <v>1173</v>
      </c>
      <c r="D12" s="8" t="s">
        <v>1174</v>
      </c>
      <c r="E12" s="8" t="s">
        <v>1175</v>
      </c>
    </row>
    <row r="13" spans="1:5" ht="105" customHeight="1" x14ac:dyDescent="0.3">
      <c r="A13" s="9" t="s">
        <v>1176</v>
      </c>
      <c r="B13" s="15" t="s">
        <v>1172</v>
      </c>
      <c r="C13" s="9" t="s">
        <v>1177</v>
      </c>
      <c r="D13" s="9" t="s">
        <v>1178</v>
      </c>
      <c r="E13" s="9" t="s">
        <v>1179</v>
      </c>
    </row>
    <row r="14" spans="1:5" ht="105" customHeight="1" x14ac:dyDescent="0.3">
      <c r="A14" s="8" t="s">
        <v>1180</v>
      </c>
      <c r="B14" s="15" t="s">
        <v>1172</v>
      </c>
      <c r="C14" s="8" t="s">
        <v>818</v>
      </c>
      <c r="D14" s="8" t="s">
        <v>1181</v>
      </c>
      <c r="E14" s="8" t="s">
        <v>1182</v>
      </c>
    </row>
    <row r="15" spans="1:5" ht="105" customHeight="1" x14ac:dyDescent="0.3">
      <c r="A15" s="9" t="s">
        <v>1183</v>
      </c>
      <c r="B15" s="15" t="s">
        <v>1172</v>
      </c>
      <c r="C15" s="9" t="s">
        <v>1184</v>
      </c>
      <c r="D15" s="9" t="s">
        <v>1185</v>
      </c>
      <c r="E15" s="9" t="s">
        <v>1186</v>
      </c>
    </row>
    <row r="16" spans="1:5" ht="105" customHeight="1" x14ac:dyDescent="0.3">
      <c r="A16" s="8" t="s">
        <v>1187</v>
      </c>
      <c r="B16" s="15" t="s">
        <v>1172</v>
      </c>
      <c r="C16" s="8" t="s">
        <v>763</v>
      </c>
      <c r="D16" s="8" t="s">
        <v>1188</v>
      </c>
      <c r="E16" s="8" t="s">
        <v>1189</v>
      </c>
    </row>
    <row r="17" spans="1:5" ht="105" customHeight="1" x14ac:dyDescent="0.3">
      <c r="A17" s="9" t="s">
        <v>1190</v>
      </c>
      <c r="B17" s="15" t="s">
        <v>1191</v>
      </c>
      <c r="C17" s="9" t="s">
        <v>1192</v>
      </c>
      <c r="D17" s="9" t="s">
        <v>1193</v>
      </c>
      <c r="E17" s="9" t="s">
        <v>1194</v>
      </c>
    </row>
    <row r="18" spans="1:5" ht="105" customHeight="1" x14ac:dyDescent="0.3">
      <c r="A18" s="8" t="s">
        <v>1195</v>
      </c>
      <c r="B18" s="15" t="s">
        <v>1196</v>
      </c>
      <c r="C18" s="8" t="s">
        <v>1197</v>
      </c>
      <c r="D18" s="8" t="s">
        <v>1198</v>
      </c>
      <c r="E18" s="8" t="s">
        <v>1199</v>
      </c>
    </row>
    <row r="19" spans="1:5" ht="105" customHeight="1" x14ac:dyDescent="0.3">
      <c r="A19" s="9" t="s">
        <v>1200</v>
      </c>
      <c r="B19" s="15" t="s">
        <v>1196</v>
      </c>
      <c r="C19" s="9" t="s">
        <v>1201</v>
      </c>
      <c r="D19" s="9" t="s">
        <v>1202</v>
      </c>
      <c r="E19" s="9" t="s">
        <v>1203</v>
      </c>
    </row>
  </sheetData>
  <autoFilter ref="A5:E19" xr:uid="{00000000-0009-0000-0000-000009000000}"/>
  <mergeCells count="2">
    <mergeCell ref="A1:E1"/>
    <mergeCell ref="A2:E3"/>
  </mergeCells>
  <pageMargins left="0.75" right="0.75" top="1" bottom="1" header="0.511811023622047" footer="0.5"/>
  <pageSetup paperSize="8" fitToHeight="0" orientation="landscape" horizontalDpi="300" verticalDpi="300"/>
  <headerFooter>
    <oddFooter>&amp;CHARBORLIGHT — projekt zasad, nie wdrożenie</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46D75"/>
    <pageSetUpPr fitToPage="1"/>
  </sheetPr>
  <dimension ref="A1:E19"/>
  <sheetViews>
    <sheetView showGridLines="0" zoomScale="85" zoomScaleNormal="85" workbookViewId="0">
      <pane xSplit="1" ySplit="5" topLeftCell="C10" activePane="bottomRight" state="frozen"/>
      <selection pane="topRight" activeCell="C1" sqref="C1"/>
      <selection pane="bottomLeft" activeCell="A10" sqref="A10"/>
      <selection pane="bottomRight" activeCell="E16" sqref="E16"/>
    </sheetView>
  </sheetViews>
  <sheetFormatPr defaultColWidth="8.6640625" defaultRowHeight="14.4" x14ac:dyDescent="0.3"/>
  <cols>
    <col min="1" max="1" width="28.6640625" customWidth="1"/>
    <col min="2" max="2" width="24.6640625" customWidth="1"/>
    <col min="3" max="3" width="26.6640625" customWidth="1"/>
    <col min="4" max="4" width="65.6640625" customWidth="1"/>
    <col min="5" max="5" width="110.6640625" customWidth="1"/>
  </cols>
  <sheetData>
    <row r="1" spans="1:5" ht="33.75" customHeight="1" x14ac:dyDescent="0.3">
      <c r="A1" s="3" t="s">
        <v>1204</v>
      </c>
      <c r="B1" s="3"/>
      <c r="C1" s="3"/>
      <c r="D1" s="3"/>
      <c r="E1" s="3"/>
    </row>
    <row r="2" spans="1:5" ht="24.75" customHeight="1" x14ac:dyDescent="0.3">
      <c r="A2" s="2" t="s">
        <v>1205</v>
      </c>
      <c r="B2" s="2"/>
      <c r="C2" s="2"/>
      <c r="D2" s="2"/>
      <c r="E2" s="2"/>
    </row>
    <row r="3" spans="1:5" ht="24.75" customHeight="1" x14ac:dyDescent="0.3">
      <c r="A3" s="2"/>
      <c r="B3" s="2"/>
      <c r="C3" s="2"/>
      <c r="D3" s="2"/>
      <c r="E3" s="2"/>
    </row>
    <row r="5" spans="1:5" ht="48" customHeight="1" x14ac:dyDescent="0.3">
      <c r="A5" s="16" t="s">
        <v>1206</v>
      </c>
      <c r="B5" s="16" t="s">
        <v>1207</v>
      </c>
      <c r="C5" s="16" t="s">
        <v>1208</v>
      </c>
      <c r="D5" s="16" t="s">
        <v>1209</v>
      </c>
      <c r="E5" s="16" t="s">
        <v>317</v>
      </c>
    </row>
    <row r="6" spans="1:5" ht="51.75" customHeight="1" x14ac:dyDescent="0.3">
      <c r="A6" s="17">
        <v>-100</v>
      </c>
      <c r="B6" s="17">
        <f t="shared" ref="B6:B14" si="0">SIGN(A6)*IF(ABS(A6)&lt;=50,ABS(A6)/300,1/6+(ABS(A6)-50)/60)</f>
        <v>-1</v>
      </c>
      <c r="C6" s="18">
        <f t="shared" ref="C6:C14" si="1">IF(B6=0,"brak zmiany",1/ABS(B6))</f>
        <v>1</v>
      </c>
      <c r="D6" s="19" t="s">
        <v>1210</v>
      </c>
      <c r="E6" s="19" t="s">
        <v>1211</v>
      </c>
    </row>
    <row r="7" spans="1:5" ht="51.75" customHeight="1" x14ac:dyDescent="0.3">
      <c r="A7" s="17">
        <v>-75</v>
      </c>
      <c r="B7" s="17">
        <f t="shared" si="0"/>
        <v>-0.58333333333333337</v>
      </c>
      <c r="C7" s="18">
        <f t="shared" si="1"/>
        <v>1.7142857142857142</v>
      </c>
      <c r="D7" s="20" t="s">
        <v>1210</v>
      </c>
      <c r="E7" s="20" t="s">
        <v>1211</v>
      </c>
    </row>
    <row r="8" spans="1:5" ht="51.75" customHeight="1" x14ac:dyDescent="0.3">
      <c r="A8" s="17">
        <v>-50</v>
      </c>
      <c r="B8" s="17">
        <f t="shared" si="0"/>
        <v>-0.16666666666666666</v>
      </c>
      <c r="C8" s="18">
        <f t="shared" si="1"/>
        <v>6</v>
      </c>
      <c r="D8" s="19" t="s">
        <v>1210</v>
      </c>
      <c r="E8" s="19" t="s">
        <v>1211</v>
      </c>
    </row>
    <row r="9" spans="1:5" ht="51.75" customHeight="1" x14ac:dyDescent="0.3">
      <c r="A9" s="17">
        <v>-25</v>
      </c>
      <c r="B9" s="17">
        <f t="shared" si="0"/>
        <v>-8.3333333333333329E-2</v>
      </c>
      <c r="C9" s="18">
        <f t="shared" si="1"/>
        <v>12</v>
      </c>
      <c r="D9" s="20" t="s">
        <v>1210</v>
      </c>
      <c r="E9" s="20" t="s">
        <v>1211</v>
      </c>
    </row>
    <row r="10" spans="1:5" ht="51.75" customHeight="1" x14ac:dyDescent="0.3">
      <c r="A10" s="17">
        <v>0</v>
      </c>
      <c r="B10" s="17">
        <f t="shared" si="0"/>
        <v>0</v>
      </c>
      <c r="C10" s="18" t="str">
        <f t="shared" si="1"/>
        <v>brak zmiany</v>
      </c>
      <c r="D10" s="19" t="s">
        <v>1212</v>
      </c>
      <c r="E10" s="19" t="s">
        <v>1211</v>
      </c>
    </row>
    <row r="11" spans="1:5" ht="51.75" customHeight="1" x14ac:dyDescent="0.3">
      <c r="A11" s="17">
        <v>25</v>
      </c>
      <c r="B11" s="17">
        <f t="shared" si="0"/>
        <v>8.3333333333333329E-2</v>
      </c>
      <c r="C11" s="18">
        <f t="shared" si="1"/>
        <v>12</v>
      </c>
      <c r="D11" s="20" t="s">
        <v>1213</v>
      </c>
      <c r="E11" s="20" t="s">
        <v>1211</v>
      </c>
    </row>
    <row r="12" spans="1:5" ht="51.75" customHeight="1" x14ac:dyDescent="0.3">
      <c r="A12" s="17">
        <v>50</v>
      </c>
      <c r="B12" s="17">
        <f t="shared" si="0"/>
        <v>0.16666666666666666</v>
      </c>
      <c r="C12" s="18">
        <f t="shared" si="1"/>
        <v>6</v>
      </c>
      <c r="D12" s="19" t="s">
        <v>1213</v>
      </c>
      <c r="E12" s="19" t="s">
        <v>1211</v>
      </c>
    </row>
    <row r="13" spans="1:5" ht="51.75" customHeight="1" x14ac:dyDescent="0.3">
      <c r="A13" s="17">
        <v>75</v>
      </c>
      <c r="B13" s="17">
        <f t="shared" si="0"/>
        <v>0.58333333333333337</v>
      </c>
      <c r="C13" s="18">
        <f t="shared" si="1"/>
        <v>1.7142857142857142</v>
      </c>
      <c r="D13" s="20" t="s">
        <v>1213</v>
      </c>
      <c r="E13" s="20" t="s">
        <v>1211</v>
      </c>
    </row>
    <row r="14" spans="1:5" ht="51.75" customHeight="1" x14ac:dyDescent="0.3">
      <c r="A14" s="17">
        <v>100</v>
      </c>
      <c r="B14" s="17">
        <f t="shared" si="0"/>
        <v>1</v>
      </c>
      <c r="C14" s="18">
        <f t="shared" si="1"/>
        <v>1</v>
      </c>
      <c r="D14" s="19" t="s">
        <v>1213</v>
      </c>
      <c r="E14" s="19" t="s">
        <v>1211</v>
      </c>
    </row>
    <row r="17" spans="1:5" ht="14.25" customHeight="1" x14ac:dyDescent="0.3">
      <c r="A17" s="1" t="s">
        <v>1214</v>
      </c>
      <c r="B17" s="1"/>
      <c r="C17" s="1"/>
      <c r="D17" s="1"/>
      <c r="E17" s="1"/>
    </row>
    <row r="18" spans="1:5" ht="14.25" customHeight="1" x14ac:dyDescent="0.3">
      <c r="A18" s="2" t="s">
        <v>1215</v>
      </c>
      <c r="B18" s="2"/>
      <c r="C18" s="2"/>
      <c r="D18" s="2"/>
      <c r="E18" s="2"/>
    </row>
    <row r="19" spans="1:5" x14ac:dyDescent="0.3">
      <c r="A19" s="2"/>
      <c r="B19" s="2"/>
      <c r="C19" s="2"/>
      <c r="D19" s="2"/>
      <c r="E19" s="2"/>
    </row>
  </sheetData>
  <autoFilter ref="A5:E14" xr:uid="{00000000-0009-0000-0000-00000A000000}"/>
  <mergeCells count="4">
    <mergeCell ref="A1:E1"/>
    <mergeCell ref="A2:E3"/>
    <mergeCell ref="A17:E17"/>
    <mergeCell ref="A18:E19"/>
  </mergeCells>
  <pageMargins left="0.3" right="0.3" top="0.4" bottom="0.4" header="0.511811023622047" footer="0.3"/>
  <pageSetup paperSize="8" fitToHeight="0" orientation="landscape" horizontalDpi="300" verticalDpi="300"/>
  <headerFooter>
    <oddFooter>&amp;LHARBORLIGHT — projekt zasad, bez wdrożenia&amp;R&amp;P /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H18"/>
  <sheetViews>
    <sheetView showGridLines="0" zoomScale="75" zoomScaleNormal="75" workbookViewId="0">
      <pane xSplit="1" ySplit="5" topLeftCell="B6" activePane="bottomRight" state="frozen"/>
      <selection pane="topRight" activeCell="B1" sqref="B1"/>
      <selection pane="bottomLeft" activeCell="A6" sqref="A6"/>
      <selection pane="bottomRight"/>
    </sheetView>
  </sheetViews>
  <sheetFormatPr defaultColWidth="8.6640625" defaultRowHeight="14.4" x14ac:dyDescent="0.3"/>
  <cols>
    <col min="1" max="1" width="23" customWidth="1"/>
    <col min="2" max="2" width="26" customWidth="1"/>
    <col min="3" max="3" width="28" customWidth="1"/>
    <col min="4" max="4" width="27" customWidth="1"/>
    <col min="5" max="5" width="28" customWidth="1"/>
    <col min="6" max="6" width="31" customWidth="1"/>
    <col min="7" max="7" width="32" customWidth="1"/>
    <col min="8" max="8" width="115" customWidth="1"/>
  </cols>
  <sheetData>
    <row r="1" spans="1:8" ht="33.75" customHeight="1" x14ac:dyDescent="0.45">
      <c r="A1" s="4" t="s">
        <v>1216</v>
      </c>
      <c r="B1" s="4"/>
      <c r="C1" s="4"/>
      <c r="D1" s="4"/>
      <c r="E1" s="4"/>
      <c r="F1" s="4"/>
      <c r="G1" s="4"/>
      <c r="H1" s="4"/>
    </row>
    <row r="2" spans="1:8" ht="24.75" customHeight="1" x14ac:dyDescent="0.3">
      <c r="A2" s="5" t="s">
        <v>1217</v>
      </c>
      <c r="B2" s="5"/>
      <c r="C2" s="5"/>
      <c r="D2" s="5"/>
      <c r="E2" s="5"/>
      <c r="F2" s="5"/>
      <c r="G2" s="5"/>
      <c r="H2" s="5"/>
    </row>
    <row r="3" spans="1:8" ht="24.75" customHeight="1" x14ac:dyDescent="0.3">
      <c r="A3" s="5"/>
      <c r="B3" s="5"/>
      <c r="C3" s="5"/>
      <c r="D3" s="5"/>
      <c r="E3" s="5"/>
      <c r="F3" s="5"/>
      <c r="G3" s="5"/>
      <c r="H3" s="5"/>
    </row>
    <row r="5" spans="1:8" ht="48" customHeight="1" x14ac:dyDescent="0.3">
      <c r="A5" s="7" t="s">
        <v>1218</v>
      </c>
      <c r="B5" s="7" t="s">
        <v>1219</v>
      </c>
      <c r="C5" s="7" t="s">
        <v>1220</v>
      </c>
      <c r="D5" s="7" t="s">
        <v>1221</v>
      </c>
      <c r="E5" s="7" t="s">
        <v>1222</v>
      </c>
      <c r="F5" s="7" t="s">
        <v>1223</v>
      </c>
      <c r="G5" s="7" t="s">
        <v>1224</v>
      </c>
      <c r="H5" s="7" t="s">
        <v>317</v>
      </c>
    </row>
    <row r="6" spans="1:8" ht="64.5" customHeight="1" x14ac:dyDescent="0.3">
      <c r="A6" s="8">
        <v>1</v>
      </c>
      <c r="B6" s="8">
        <f>Parametry!$C$32*(1+Parametry!$C$35*(A6-1))</f>
        <v>50</v>
      </c>
      <c r="C6" s="8">
        <f>Parametry!$C$34*(1+Parametry!$C$35*(A6-1))</f>
        <v>150</v>
      </c>
      <c r="D6" s="11">
        <f>Parametry!$C$31</f>
        <v>40</v>
      </c>
      <c r="E6" s="11">
        <f>Parametry!$C$33</f>
        <v>140</v>
      </c>
      <c r="F6" s="8">
        <f>Parametry!$C$32*(A6+Parametry!$C$35*A6*(A6-1)/2)</f>
        <v>50</v>
      </c>
      <c r="G6" s="8">
        <f>Parametry!$C$34*(A6+Parametry!$C$35*A6*(A6-1)/2)</f>
        <v>150</v>
      </c>
      <c r="H6" s="8" t="s">
        <v>1225</v>
      </c>
    </row>
    <row r="7" spans="1:8" ht="64.5" customHeight="1" x14ac:dyDescent="0.3">
      <c r="A7" s="9">
        <v>2</v>
      </c>
      <c r="B7" s="9">
        <f>Parametry!$C$32*(1+Parametry!$C$35*(A7-1))</f>
        <v>55.000000000000007</v>
      </c>
      <c r="C7" s="9">
        <f>Parametry!$C$34*(1+Parametry!$C$35*(A7-1))</f>
        <v>165</v>
      </c>
      <c r="D7" s="12">
        <f>Parametry!$C$31</f>
        <v>40</v>
      </c>
      <c r="E7" s="12">
        <f>Parametry!$C$33</f>
        <v>140</v>
      </c>
      <c r="F7" s="9">
        <f>Parametry!$C$32*(A7+Parametry!$C$35*A7*(A7-1)/2)</f>
        <v>105</v>
      </c>
      <c r="G7" s="9">
        <f>Parametry!$C$34*(A7+Parametry!$C$35*A7*(A7-1)/2)</f>
        <v>315</v>
      </c>
      <c r="H7" s="9" t="s">
        <v>1225</v>
      </c>
    </row>
    <row r="8" spans="1:8" ht="64.5" customHeight="1" x14ac:dyDescent="0.3">
      <c r="A8" s="8">
        <v>3</v>
      </c>
      <c r="B8" s="8">
        <f>Parametry!$C$32*(1+Parametry!$C$35*(A8-1))</f>
        <v>60</v>
      </c>
      <c r="C8" s="8">
        <f>Parametry!$C$34*(1+Parametry!$C$35*(A8-1))</f>
        <v>180</v>
      </c>
      <c r="D8" s="11">
        <f>Parametry!$C$31</f>
        <v>40</v>
      </c>
      <c r="E8" s="11">
        <f>Parametry!$C$33</f>
        <v>140</v>
      </c>
      <c r="F8" s="8">
        <f>Parametry!$C$32*(A8+Parametry!$C$35*A8*(A8-1)/2)</f>
        <v>165</v>
      </c>
      <c r="G8" s="8">
        <f>Parametry!$C$34*(A8+Parametry!$C$35*A8*(A8-1)/2)</f>
        <v>495</v>
      </c>
      <c r="H8" s="8" t="s">
        <v>1225</v>
      </c>
    </row>
    <row r="9" spans="1:8" ht="64.5" customHeight="1" x14ac:dyDescent="0.3">
      <c r="A9" s="9">
        <v>4</v>
      </c>
      <c r="B9" s="9">
        <f>Parametry!$C$32*(1+Parametry!$C$35*(A9-1))</f>
        <v>65</v>
      </c>
      <c r="C9" s="9">
        <f>Parametry!$C$34*(1+Parametry!$C$35*(A9-1))</f>
        <v>195</v>
      </c>
      <c r="D9" s="12">
        <f>Parametry!$C$31</f>
        <v>40</v>
      </c>
      <c r="E9" s="12">
        <f>Parametry!$C$33</f>
        <v>140</v>
      </c>
      <c r="F9" s="9">
        <f>Parametry!$C$32*(A9+Parametry!$C$35*A9*(A9-1)/2)</f>
        <v>229.99999999999997</v>
      </c>
      <c r="G9" s="9">
        <f>Parametry!$C$34*(A9+Parametry!$C$35*A9*(A9-1)/2)</f>
        <v>690</v>
      </c>
      <c r="H9" s="9" t="s">
        <v>1225</v>
      </c>
    </row>
    <row r="10" spans="1:8" ht="64.5" customHeight="1" x14ac:dyDescent="0.3">
      <c r="A10" s="8">
        <v>5</v>
      </c>
      <c r="B10" s="8">
        <f>Parametry!$C$32*(1+Parametry!$C$35*(A10-1))</f>
        <v>70</v>
      </c>
      <c r="C10" s="8">
        <f>Parametry!$C$34*(1+Parametry!$C$35*(A10-1))</f>
        <v>210</v>
      </c>
      <c r="D10" s="11">
        <f>Parametry!$C$31</f>
        <v>40</v>
      </c>
      <c r="E10" s="11">
        <f>Parametry!$C$33</f>
        <v>140</v>
      </c>
      <c r="F10" s="8">
        <f>Parametry!$C$32*(A10+Parametry!$C$35*A10*(A10-1)/2)</f>
        <v>300</v>
      </c>
      <c r="G10" s="8">
        <f>Parametry!$C$34*(A10+Parametry!$C$35*A10*(A10-1)/2)</f>
        <v>900</v>
      </c>
      <c r="H10" s="8" t="s">
        <v>1225</v>
      </c>
    </row>
    <row r="11" spans="1:8" ht="64.5" customHeight="1" x14ac:dyDescent="0.3">
      <c r="A11" s="9">
        <v>6</v>
      </c>
      <c r="B11" s="9">
        <f>Parametry!$C$32*(1+Parametry!$C$35*(A11-1))</f>
        <v>75</v>
      </c>
      <c r="C11" s="9">
        <f>Parametry!$C$34*(1+Parametry!$C$35*(A11-1))</f>
        <v>225</v>
      </c>
      <c r="D11" s="12">
        <f>Parametry!$C$31</f>
        <v>40</v>
      </c>
      <c r="E11" s="12">
        <f>Parametry!$C$33</f>
        <v>140</v>
      </c>
      <c r="F11" s="9">
        <f>Parametry!$C$32*(A11+Parametry!$C$35*A11*(A11-1)/2)</f>
        <v>375</v>
      </c>
      <c r="G11" s="9">
        <f>Parametry!$C$34*(A11+Parametry!$C$35*A11*(A11-1)/2)</f>
        <v>1125</v>
      </c>
      <c r="H11" s="9" t="s">
        <v>1225</v>
      </c>
    </row>
    <row r="12" spans="1:8" ht="64.5" customHeight="1" x14ac:dyDescent="0.3">
      <c r="A12" s="8">
        <v>7</v>
      </c>
      <c r="B12" s="8">
        <f>Parametry!$C$32*(1+Parametry!$C$35*(A12-1))</f>
        <v>80</v>
      </c>
      <c r="C12" s="8">
        <f>Parametry!$C$34*(1+Parametry!$C$35*(A12-1))</f>
        <v>240</v>
      </c>
      <c r="D12" s="11">
        <f>Parametry!$C$31</f>
        <v>40</v>
      </c>
      <c r="E12" s="11">
        <f>Parametry!$C$33</f>
        <v>140</v>
      </c>
      <c r="F12" s="8">
        <f>Parametry!$C$32*(A12+Parametry!$C$35*A12*(A12-1)/2)</f>
        <v>455</v>
      </c>
      <c r="G12" s="8">
        <f>Parametry!$C$34*(A12+Parametry!$C$35*A12*(A12-1)/2)</f>
        <v>1365</v>
      </c>
      <c r="H12" s="8" t="s">
        <v>1225</v>
      </c>
    </row>
    <row r="13" spans="1:8" ht="64.5" customHeight="1" x14ac:dyDescent="0.3">
      <c r="A13" s="9">
        <v>8</v>
      </c>
      <c r="B13" s="9">
        <f>Parametry!$C$32*(1+Parametry!$C$35*(A13-1))</f>
        <v>85.000000000000014</v>
      </c>
      <c r="C13" s="9">
        <f>Parametry!$C$34*(1+Parametry!$C$35*(A13-1))</f>
        <v>255.00000000000003</v>
      </c>
      <c r="D13" s="12">
        <f>Parametry!$C$31</f>
        <v>40</v>
      </c>
      <c r="E13" s="12">
        <f>Parametry!$C$33</f>
        <v>140</v>
      </c>
      <c r="F13" s="9">
        <f>Parametry!$C$32*(A13+Parametry!$C$35*A13*(A13-1)/2)</f>
        <v>540</v>
      </c>
      <c r="G13" s="9">
        <f>Parametry!$C$34*(A13+Parametry!$C$35*A13*(A13-1)/2)</f>
        <v>1620</v>
      </c>
      <c r="H13" s="9" t="s">
        <v>1225</v>
      </c>
    </row>
    <row r="14" spans="1:8" ht="64.5" customHeight="1" x14ac:dyDescent="0.3">
      <c r="A14" s="8">
        <v>9</v>
      </c>
      <c r="B14" s="8">
        <f>Parametry!$C$32*(1+Parametry!$C$35*(A14-1))</f>
        <v>90</v>
      </c>
      <c r="C14" s="8">
        <f>Parametry!$C$34*(1+Parametry!$C$35*(A14-1))</f>
        <v>270</v>
      </c>
      <c r="D14" s="11">
        <f>Parametry!$C$31</f>
        <v>40</v>
      </c>
      <c r="E14" s="11">
        <f>Parametry!$C$33</f>
        <v>140</v>
      </c>
      <c r="F14" s="8">
        <f>Parametry!$C$32*(A14+Parametry!$C$35*A14*(A14-1)/2)</f>
        <v>630</v>
      </c>
      <c r="G14" s="8">
        <f>Parametry!$C$34*(A14+Parametry!$C$35*A14*(A14-1)/2)</f>
        <v>1890</v>
      </c>
      <c r="H14" s="8" t="s">
        <v>1225</v>
      </c>
    </row>
    <row r="15" spans="1:8" ht="64.5" customHeight="1" x14ac:dyDescent="0.3">
      <c r="A15" s="9">
        <v>10</v>
      </c>
      <c r="B15" s="9">
        <f>Parametry!$C$32*(1+Parametry!$C$35*(A15-1))</f>
        <v>95</v>
      </c>
      <c r="C15" s="9">
        <f>Parametry!$C$34*(1+Parametry!$C$35*(A15-1))</f>
        <v>285</v>
      </c>
      <c r="D15" s="12">
        <f>Parametry!$C$31</f>
        <v>40</v>
      </c>
      <c r="E15" s="12">
        <f>Parametry!$C$33</f>
        <v>140</v>
      </c>
      <c r="F15" s="9">
        <f>Parametry!$C$32*(A15+Parametry!$C$35*A15*(A15-1)/2)</f>
        <v>725</v>
      </c>
      <c r="G15" s="9">
        <f>Parametry!$C$34*(A15+Parametry!$C$35*A15*(A15-1)/2)</f>
        <v>2175</v>
      </c>
      <c r="H15" s="9" t="s">
        <v>1225</v>
      </c>
    </row>
    <row r="17" spans="1:8" ht="99.75" customHeight="1" x14ac:dyDescent="0.3">
      <c r="A17" s="9" t="s">
        <v>1226</v>
      </c>
      <c r="B17" s="9"/>
      <c r="C17" s="9"/>
      <c r="D17" s="9"/>
      <c r="E17" s="9"/>
      <c r="F17" s="9"/>
      <c r="G17" s="9"/>
      <c r="H17" s="9" t="s">
        <v>1227</v>
      </c>
    </row>
    <row r="18" spans="1:8" ht="109.5" customHeight="1" x14ac:dyDescent="0.3">
      <c r="A18" s="8" t="s">
        <v>1228</v>
      </c>
      <c r="B18" s="8"/>
      <c r="C18" s="8"/>
      <c r="D18" s="8"/>
      <c r="E18" s="8"/>
      <c r="F18" s="8"/>
      <c r="G18" s="8"/>
      <c r="H18" s="8" t="s">
        <v>1229</v>
      </c>
    </row>
  </sheetData>
  <autoFilter ref="A5:H18" xr:uid="{00000000-0009-0000-0000-00000B000000}"/>
  <mergeCells count="2">
    <mergeCell ref="A1:H1"/>
    <mergeCell ref="A2:H3"/>
  </mergeCells>
  <pageMargins left="0.75" right="0.75" top="1" bottom="1" header="0.511811023622047" footer="0.5"/>
  <pageSetup paperSize="8" fitToHeight="0" orientation="landscape" horizontalDpi="300" verticalDpi="300"/>
  <headerFooter>
    <oddFooter>&amp;CHARBORLIGHT — projekt zasad, nie wdrożenie</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C10"/>
  <sheetViews>
    <sheetView showGridLines="0" zoomScale="75" zoomScaleNormal="75" workbookViewId="0">
      <pane xSplit="1" ySplit="5" topLeftCell="B6" activePane="bottomRight" state="frozen"/>
      <selection pane="topRight" activeCell="B1" sqref="B1"/>
      <selection pane="bottomLeft" activeCell="A6" sqref="A6"/>
      <selection pane="bottomRight"/>
    </sheetView>
  </sheetViews>
  <sheetFormatPr defaultColWidth="8.6640625" defaultRowHeight="14.4" x14ac:dyDescent="0.3"/>
  <cols>
    <col min="1" max="1" width="38" customWidth="1"/>
    <col min="2" max="2" width="140" customWidth="1"/>
    <col min="3" max="3" width="135" customWidth="1"/>
  </cols>
  <sheetData>
    <row r="1" spans="1:3" ht="33.75" customHeight="1" x14ac:dyDescent="0.45">
      <c r="A1" s="4" t="s">
        <v>1230</v>
      </c>
      <c r="B1" s="4"/>
      <c r="C1" s="4"/>
    </row>
    <row r="2" spans="1:3" ht="24.75" customHeight="1" x14ac:dyDescent="0.3">
      <c r="A2" s="5" t="s">
        <v>1231</v>
      </c>
      <c r="B2" s="5"/>
      <c r="C2" s="5"/>
    </row>
    <row r="3" spans="1:3" ht="24.75" customHeight="1" x14ac:dyDescent="0.3">
      <c r="A3" s="5"/>
      <c r="B3" s="5"/>
      <c r="C3" s="5"/>
    </row>
    <row r="5" spans="1:3" ht="48" customHeight="1" x14ac:dyDescent="0.3">
      <c r="A5" s="7" t="s">
        <v>1232</v>
      </c>
      <c r="B5" s="7" t="s">
        <v>1233</v>
      </c>
      <c r="C5" s="7" t="s">
        <v>1234</v>
      </c>
    </row>
    <row r="6" spans="1:3" ht="105" customHeight="1" x14ac:dyDescent="0.3">
      <c r="A6" s="8" t="s">
        <v>1235</v>
      </c>
      <c r="B6" s="8" t="s">
        <v>1236</v>
      </c>
      <c r="C6" s="8" t="s">
        <v>1237</v>
      </c>
    </row>
    <row r="7" spans="1:3" ht="105" customHeight="1" x14ac:dyDescent="0.3">
      <c r="A7" s="9" t="s">
        <v>266</v>
      </c>
      <c r="B7" s="9" t="s">
        <v>1238</v>
      </c>
      <c r="C7" s="9" t="s">
        <v>1239</v>
      </c>
    </row>
    <row r="8" spans="1:3" ht="105" customHeight="1" x14ac:dyDescent="0.3">
      <c r="A8" s="8" t="s">
        <v>1240</v>
      </c>
      <c r="B8" s="8" t="s">
        <v>1241</v>
      </c>
      <c r="C8" s="8" t="s">
        <v>1242</v>
      </c>
    </row>
    <row r="9" spans="1:3" ht="105" customHeight="1" x14ac:dyDescent="0.3">
      <c r="A9" s="9" t="s">
        <v>276</v>
      </c>
      <c r="B9" s="9" t="s">
        <v>1243</v>
      </c>
      <c r="C9" s="9" t="s">
        <v>1244</v>
      </c>
    </row>
    <row r="10" spans="1:3" ht="105" customHeight="1" x14ac:dyDescent="0.3">
      <c r="A10" s="8" t="s">
        <v>1245</v>
      </c>
      <c r="B10" s="8" t="s">
        <v>1246</v>
      </c>
      <c r="C10" s="8" t="s">
        <v>1247</v>
      </c>
    </row>
  </sheetData>
  <autoFilter ref="A5:C10" xr:uid="{00000000-0009-0000-0000-00000C000000}"/>
  <mergeCells count="2">
    <mergeCell ref="A1:C1"/>
    <mergeCell ref="A2:C3"/>
  </mergeCells>
  <pageMargins left="0.75" right="0.75" top="1" bottom="1" header="0.511811023622047" footer="0.5"/>
  <pageSetup paperSize="8" fitToHeight="0" orientation="landscape" horizontalDpi="300" verticalDpi="300"/>
  <headerFooter>
    <oddFooter>&amp;CHARBORLIGHT — projekt zasad, nie wdrożenie</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C12"/>
  <sheetViews>
    <sheetView showGridLines="0" zoomScale="75" zoomScaleNormal="75" workbookViewId="0">
      <pane xSplit="1" ySplit="5" topLeftCell="B6" activePane="bottomRight" state="frozen"/>
      <selection pane="topRight" activeCell="B1" sqref="B1"/>
      <selection pane="bottomLeft" activeCell="A6" sqref="A6"/>
      <selection pane="bottomRight"/>
    </sheetView>
  </sheetViews>
  <sheetFormatPr defaultColWidth="8.6640625" defaultRowHeight="14.4" x14ac:dyDescent="0.3"/>
  <cols>
    <col min="1" max="1" width="38" customWidth="1"/>
    <col min="2" max="2" width="140" customWidth="1"/>
    <col min="3" max="3" width="100" customWidth="1"/>
  </cols>
  <sheetData>
    <row r="1" spans="1:3" ht="33.75" customHeight="1" x14ac:dyDescent="0.45">
      <c r="A1" s="4" t="s">
        <v>1248</v>
      </c>
      <c r="B1" s="4"/>
      <c r="C1" s="4"/>
    </row>
    <row r="2" spans="1:3" ht="24.75" customHeight="1" x14ac:dyDescent="0.3">
      <c r="A2" s="5" t="s">
        <v>1249</v>
      </c>
      <c r="B2" s="5"/>
      <c r="C2" s="5"/>
    </row>
    <row r="3" spans="1:3" ht="24.75" customHeight="1" x14ac:dyDescent="0.3">
      <c r="A3" s="5"/>
      <c r="B3" s="5"/>
      <c r="C3" s="5"/>
    </row>
    <row r="5" spans="1:3" ht="48" customHeight="1" x14ac:dyDescent="0.3">
      <c r="A5" s="7" t="s">
        <v>1150</v>
      </c>
      <c r="B5" s="7" t="s">
        <v>1250</v>
      </c>
      <c r="C5" s="7" t="s">
        <v>1251</v>
      </c>
    </row>
    <row r="6" spans="1:3" ht="90" customHeight="1" x14ac:dyDescent="0.3">
      <c r="A6" s="8" t="s">
        <v>387</v>
      </c>
      <c r="B6" s="8" t="s">
        <v>1155</v>
      </c>
      <c r="C6" s="8" t="s">
        <v>1252</v>
      </c>
    </row>
    <row r="7" spans="1:3" ht="90" customHeight="1" x14ac:dyDescent="0.3">
      <c r="A7" s="9" t="s">
        <v>132</v>
      </c>
      <c r="B7" s="9" t="s">
        <v>1253</v>
      </c>
      <c r="C7" s="9" t="s">
        <v>1254</v>
      </c>
    </row>
    <row r="8" spans="1:3" ht="90" customHeight="1" x14ac:dyDescent="0.3">
      <c r="A8" s="8" t="s">
        <v>123</v>
      </c>
      <c r="B8" s="8" t="s">
        <v>1255</v>
      </c>
      <c r="C8" s="8" t="s">
        <v>1254</v>
      </c>
    </row>
    <row r="9" spans="1:3" ht="90" customHeight="1" x14ac:dyDescent="0.3">
      <c r="A9" s="9" t="s">
        <v>23</v>
      </c>
      <c r="B9" s="9" t="s">
        <v>1256</v>
      </c>
      <c r="C9" s="9" t="s">
        <v>1257</v>
      </c>
    </row>
    <row r="10" spans="1:3" ht="90" customHeight="1" x14ac:dyDescent="0.3">
      <c r="A10" s="8" t="s">
        <v>1258</v>
      </c>
      <c r="B10" s="8" t="s">
        <v>1259</v>
      </c>
      <c r="C10" s="8" t="s">
        <v>1260</v>
      </c>
    </row>
    <row r="11" spans="1:3" ht="90" customHeight="1" x14ac:dyDescent="0.3">
      <c r="A11" s="9" t="s">
        <v>17</v>
      </c>
      <c r="B11" s="9" t="s">
        <v>1261</v>
      </c>
      <c r="C11" s="9" t="s">
        <v>1262</v>
      </c>
    </row>
    <row r="12" spans="1:3" ht="90" customHeight="1" x14ac:dyDescent="0.3">
      <c r="A12" s="8" t="s">
        <v>680</v>
      </c>
      <c r="B12" s="8" t="s">
        <v>1263</v>
      </c>
      <c r="C12" s="8" t="s">
        <v>1264</v>
      </c>
    </row>
  </sheetData>
  <autoFilter ref="A5:C12" xr:uid="{00000000-0009-0000-0000-00000D000000}"/>
  <mergeCells count="2">
    <mergeCell ref="A1:C1"/>
    <mergeCell ref="A2:C3"/>
  </mergeCells>
  <pageMargins left="0.75" right="0.75" top="1" bottom="1" header="0.511811023622047" footer="0.5"/>
  <pageSetup paperSize="8" fitToHeight="0" orientation="landscape" horizontalDpi="300" verticalDpi="300"/>
  <headerFooter>
    <oddFooter>&amp;CHARBORLIGHT — projekt zasad, nie wdrożenie</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D80"/>
  <sheetViews>
    <sheetView showGridLines="0" zoomScale="75" zoomScaleNormal="75" workbookViewId="0">
      <pane xSplit="1" ySplit="5" topLeftCell="B6" activePane="bottomRight" state="frozen"/>
      <selection pane="topRight" activeCell="B1" sqref="B1"/>
      <selection pane="bottomLeft" activeCell="A6" sqref="A6"/>
      <selection pane="bottomRight"/>
    </sheetView>
  </sheetViews>
  <sheetFormatPr defaultColWidth="8.6640625" defaultRowHeight="14.4" x14ac:dyDescent="0.3"/>
  <cols>
    <col min="1" max="1" width="33" customWidth="1"/>
    <col min="2" max="2" width="80" customWidth="1"/>
    <col min="3" max="3" width="145" customWidth="1"/>
    <col min="4" max="4" width="70" customWidth="1"/>
  </cols>
  <sheetData>
    <row r="1" spans="1:4" ht="33.75" customHeight="1" x14ac:dyDescent="0.45">
      <c r="A1" s="4" t="s">
        <v>1265</v>
      </c>
      <c r="B1" s="4"/>
      <c r="C1" s="4"/>
      <c r="D1" s="4"/>
    </row>
    <row r="2" spans="1:4" ht="24.75" customHeight="1" x14ac:dyDescent="0.3">
      <c r="A2" s="5" t="s">
        <v>1266</v>
      </c>
      <c r="B2" s="5"/>
      <c r="C2" s="5"/>
      <c r="D2" s="5"/>
    </row>
    <row r="3" spans="1:4" ht="24.75" customHeight="1" x14ac:dyDescent="0.3">
      <c r="A3" s="5"/>
      <c r="B3" s="5"/>
      <c r="C3" s="5"/>
      <c r="D3" s="5"/>
    </row>
    <row r="5" spans="1:4" ht="48" customHeight="1" x14ac:dyDescent="0.3">
      <c r="A5" s="7" t="s">
        <v>680</v>
      </c>
      <c r="B5" s="7" t="s">
        <v>1267</v>
      </c>
      <c r="C5" s="7" t="s">
        <v>1268</v>
      </c>
      <c r="D5" s="7" t="s">
        <v>1269</v>
      </c>
    </row>
    <row r="6" spans="1:4" ht="135" customHeight="1" x14ac:dyDescent="0.3">
      <c r="A6" s="8" t="s">
        <v>1270</v>
      </c>
      <c r="B6" s="8"/>
      <c r="C6" s="8" t="s">
        <v>1271</v>
      </c>
      <c r="D6" s="8" t="s">
        <v>1272</v>
      </c>
    </row>
    <row r="7" spans="1:4" ht="135" customHeight="1" x14ac:dyDescent="0.3">
      <c r="A7" s="9" t="s">
        <v>1273</v>
      </c>
      <c r="B7" s="9"/>
      <c r="C7" s="9" t="s">
        <v>1274</v>
      </c>
      <c r="D7" s="9" t="s">
        <v>1272</v>
      </c>
    </row>
    <row r="8" spans="1:4" ht="135" customHeight="1" x14ac:dyDescent="0.3">
      <c r="A8" s="8" t="s">
        <v>1275</v>
      </c>
      <c r="B8" s="8"/>
      <c r="C8" s="8" t="s">
        <v>1276</v>
      </c>
      <c r="D8" s="8" t="s">
        <v>1272</v>
      </c>
    </row>
    <row r="9" spans="1:4" ht="135" customHeight="1" x14ac:dyDescent="0.3">
      <c r="A9" s="9" t="s">
        <v>1277</v>
      </c>
      <c r="B9" s="9"/>
      <c r="C9" s="9" t="s">
        <v>1278</v>
      </c>
      <c r="D9" s="9" t="s">
        <v>1272</v>
      </c>
    </row>
    <row r="10" spans="1:4" ht="135" customHeight="1" x14ac:dyDescent="0.3">
      <c r="A10" s="8" t="s">
        <v>1279</v>
      </c>
      <c r="B10" s="8" t="s">
        <v>1280</v>
      </c>
      <c r="C10" s="8" t="s">
        <v>1281</v>
      </c>
      <c r="D10" s="8" t="s">
        <v>1272</v>
      </c>
    </row>
    <row r="11" spans="1:4" ht="135" customHeight="1" x14ac:dyDescent="0.3">
      <c r="A11" s="9" t="s">
        <v>1282</v>
      </c>
      <c r="B11" s="9" t="s">
        <v>1283</v>
      </c>
      <c r="C11" s="9" t="s">
        <v>1280</v>
      </c>
      <c r="D11" s="9" t="s">
        <v>1272</v>
      </c>
    </row>
    <row r="12" spans="1:4" ht="135" customHeight="1" x14ac:dyDescent="0.3">
      <c r="A12" s="8" t="s">
        <v>1284</v>
      </c>
      <c r="B12" s="8"/>
      <c r="C12" s="8" t="s">
        <v>1285</v>
      </c>
      <c r="D12" s="8" t="s">
        <v>1272</v>
      </c>
    </row>
    <row r="13" spans="1:4" ht="135" customHeight="1" x14ac:dyDescent="0.3">
      <c r="A13" s="9" t="s">
        <v>1286</v>
      </c>
      <c r="B13" s="9"/>
      <c r="C13" s="9" t="s">
        <v>1283</v>
      </c>
      <c r="D13" s="9" t="s">
        <v>1272</v>
      </c>
    </row>
    <row r="14" spans="1:4" ht="135" customHeight="1" x14ac:dyDescent="0.3">
      <c r="A14" s="8" t="s">
        <v>1287</v>
      </c>
      <c r="B14" s="8" t="s">
        <v>1288</v>
      </c>
      <c r="C14" s="8" t="s">
        <v>1289</v>
      </c>
      <c r="D14" s="8" t="s">
        <v>1272</v>
      </c>
    </row>
    <row r="15" spans="1:4" ht="135" customHeight="1" x14ac:dyDescent="0.3">
      <c r="A15" s="9" t="s">
        <v>1290</v>
      </c>
      <c r="B15" s="9" t="s">
        <v>1291</v>
      </c>
      <c r="C15" s="9" t="s">
        <v>1292</v>
      </c>
      <c r="D15" s="9" t="s">
        <v>1272</v>
      </c>
    </row>
    <row r="16" spans="1:4" ht="135" customHeight="1" x14ac:dyDescent="0.3">
      <c r="A16" s="8" t="s">
        <v>1293</v>
      </c>
      <c r="B16" s="8" t="s">
        <v>1294</v>
      </c>
      <c r="C16" s="8" t="s">
        <v>75</v>
      </c>
      <c r="D16" s="8" t="s">
        <v>1272</v>
      </c>
    </row>
    <row r="17" spans="1:4" ht="135" customHeight="1" x14ac:dyDescent="0.3">
      <c r="A17" s="9" t="s">
        <v>1295</v>
      </c>
      <c r="B17" s="9" t="s">
        <v>1288</v>
      </c>
      <c r="C17" s="9" t="s">
        <v>1289</v>
      </c>
      <c r="D17" s="9" t="s">
        <v>1272</v>
      </c>
    </row>
    <row r="18" spans="1:4" ht="135" customHeight="1" x14ac:dyDescent="0.3">
      <c r="A18" s="8" t="s">
        <v>1296</v>
      </c>
      <c r="B18" s="8" t="s">
        <v>1291</v>
      </c>
      <c r="C18" s="8" t="s">
        <v>1292</v>
      </c>
      <c r="D18" s="8" t="s">
        <v>1272</v>
      </c>
    </row>
    <row r="19" spans="1:4" ht="135" customHeight="1" x14ac:dyDescent="0.3">
      <c r="A19" s="9" t="s">
        <v>1297</v>
      </c>
      <c r="B19" s="9" t="s">
        <v>1298</v>
      </c>
      <c r="C19" s="9" t="s">
        <v>82</v>
      </c>
      <c r="D19" s="9" t="s">
        <v>1272</v>
      </c>
    </row>
    <row r="20" spans="1:4" ht="135" customHeight="1" x14ac:dyDescent="0.3">
      <c r="A20" s="8" t="s">
        <v>1299</v>
      </c>
      <c r="B20" s="8" t="s">
        <v>1300</v>
      </c>
      <c r="C20" s="8" t="s">
        <v>1301</v>
      </c>
      <c r="D20" s="8" t="s">
        <v>1272</v>
      </c>
    </row>
    <row r="21" spans="1:4" ht="135" customHeight="1" x14ac:dyDescent="0.3">
      <c r="A21" s="9" t="s">
        <v>1302</v>
      </c>
      <c r="B21" s="9" t="s">
        <v>1303</v>
      </c>
      <c r="C21" s="9" t="s">
        <v>1304</v>
      </c>
      <c r="D21" s="9" t="s">
        <v>1272</v>
      </c>
    </row>
    <row r="22" spans="1:4" ht="135" customHeight="1" x14ac:dyDescent="0.3">
      <c r="A22" s="8" t="s">
        <v>1305</v>
      </c>
      <c r="B22" s="8" t="s">
        <v>1291</v>
      </c>
      <c r="C22" s="8" t="s">
        <v>1292</v>
      </c>
      <c r="D22" s="8" t="s">
        <v>1272</v>
      </c>
    </row>
    <row r="23" spans="1:4" ht="135" customHeight="1" x14ac:dyDescent="0.3">
      <c r="A23" s="9" t="s">
        <v>1306</v>
      </c>
      <c r="B23" s="9" t="s">
        <v>1307</v>
      </c>
      <c r="C23" s="9" t="s">
        <v>91</v>
      </c>
      <c r="D23" s="9" t="s">
        <v>1272</v>
      </c>
    </row>
    <row r="24" spans="1:4" ht="135" customHeight="1" x14ac:dyDescent="0.3">
      <c r="A24" s="8" t="s">
        <v>1308</v>
      </c>
      <c r="B24" s="8" t="s">
        <v>1291</v>
      </c>
      <c r="C24" s="8" t="s">
        <v>1292</v>
      </c>
      <c r="D24" s="8" t="s">
        <v>1272</v>
      </c>
    </row>
    <row r="25" spans="1:4" ht="135" customHeight="1" x14ac:dyDescent="0.3">
      <c r="A25" s="9" t="s">
        <v>1309</v>
      </c>
      <c r="B25" s="9" t="s">
        <v>1291</v>
      </c>
      <c r="C25" s="9" t="s">
        <v>1292</v>
      </c>
      <c r="D25" s="9" t="s">
        <v>1272</v>
      </c>
    </row>
    <row r="26" spans="1:4" ht="135" customHeight="1" x14ac:dyDescent="0.3">
      <c r="A26" s="8" t="s">
        <v>1310</v>
      </c>
      <c r="B26" s="8" t="s">
        <v>1291</v>
      </c>
      <c r="C26" s="8" t="s">
        <v>1292</v>
      </c>
      <c r="D26" s="8" t="s">
        <v>1272</v>
      </c>
    </row>
    <row r="27" spans="1:4" ht="135" customHeight="1" x14ac:dyDescent="0.3">
      <c r="A27" s="9" t="s">
        <v>1311</v>
      </c>
      <c r="B27" s="9" t="s">
        <v>1291</v>
      </c>
      <c r="C27" s="9" t="s">
        <v>1292</v>
      </c>
      <c r="D27" s="9" t="s">
        <v>1272</v>
      </c>
    </row>
    <row r="28" spans="1:4" ht="135" customHeight="1" x14ac:dyDescent="0.3">
      <c r="A28" s="8" t="s">
        <v>1312</v>
      </c>
      <c r="B28" s="8" t="s">
        <v>1313</v>
      </c>
      <c r="C28" s="8" t="s">
        <v>1314</v>
      </c>
      <c r="D28" s="8" t="s">
        <v>1272</v>
      </c>
    </row>
    <row r="29" spans="1:4" ht="135" customHeight="1" x14ac:dyDescent="0.3">
      <c r="A29" s="9" t="s">
        <v>1315</v>
      </c>
      <c r="B29" s="9" t="s">
        <v>1291</v>
      </c>
      <c r="C29" s="9" t="s">
        <v>1292</v>
      </c>
      <c r="D29" s="9" t="s">
        <v>1272</v>
      </c>
    </row>
    <row r="30" spans="1:4" ht="135" customHeight="1" x14ac:dyDescent="0.3">
      <c r="A30" s="8" t="s">
        <v>1316</v>
      </c>
      <c r="B30" s="8" t="s">
        <v>1317</v>
      </c>
      <c r="C30" s="8" t="s">
        <v>110</v>
      </c>
      <c r="D30" s="8" t="s">
        <v>1272</v>
      </c>
    </row>
    <row r="31" spans="1:4" ht="135" customHeight="1" x14ac:dyDescent="0.3">
      <c r="A31" s="9" t="s">
        <v>1318</v>
      </c>
      <c r="B31" s="9" t="s">
        <v>1319</v>
      </c>
      <c r="C31" s="9" t="s">
        <v>1320</v>
      </c>
      <c r="D31" s="9" t="s">
        <v>1272</v>
      </c>
    </row>
    <row r="32" spans="1:4" ht="135" customHeight="1" x14ac:dyDescent="0.3">
      <c r="A32" s="8" t="s">
        <v>1321</v>
      </c>
      <c r="B32" s="8" t="s">
        <v>1313</v>
      </c>
      <c r="C32" s="8" t="s">
        <v>1314</v>
      </c>
      <c r="D32" s="8" t="s">
        <v>1272</v>
      </c>
    </row>
    <row r="33" spans="1:4" ht="135" customHeight="1" x14ac:dyDescent="0.3">
      <c r="A33" s="9" t="s">
        <v>1322</v>
      </c>
      <c r="B33" s="9" t="s">
        <v>1291</v>
      </c>
      <c r="C33" s="9" t="s">
        <v>1292</v>
      </c>
      <c r="D33" s="9" t="s">
        <v>1272</v>
      </c>
    </row>
    <row r="34" spans="1:4" ht="135" customHeight="1" x14ac:dyDescent="0.3">
      <c r="A34" s="8" t="s">
        <v>1323</v>
      </c>
      <c r="B34" s="8" t="s">
        <v>1324</v>
      </c>
      <c r="C34" s="8" t="s">
        <v>115</v>
      </c>
      <c r="D34" s="8" t="s">
        <v>1272</v>
      </c>
    </row>
    <row r="35" spans="1:4" ht="135" customHeight="1" x14ac:dyDescent="0.3">
      <c r="A35" s="9" t="s">
        <v>1325</v>
      </c>
      <c r="B35" s="9" t="s">
        <v>1313</v>
      </c>
      <c r="C35" s="9" t="s">
        <v>1326</v>
      </c>
      <c r="D35" s="9" t="s">
        <v>1272</v>
      </c>
    </row>
    <row r="36" spans="1:4" ht="135" customHeight="1" x14ac:dyDescent="0.3">
      <c r="A36" s="8" t="s">
        <v>1327</v>
      </c>
      <c r="B36" s="8" t="s">
        <v>1291</v>
      </c>
      <c r="C36" s="8" t="s">
        <v>1292</v>
      </c>
      <c r="D36" s="8" t="s">
        <v>1272</v>
      </c>
    </row>
    <row r="37" spans="1:4" ht="135" customHeight="1" x14ac:dyDescent="0.3">
      <c r="A37" s="9" t="s">
        <v>1328</v>
      </c>
      <c r="B37" s="9" t="s">
        <v>1329</v>
      </c>
      <c r="C37" s="9" t="s">
        <v>121</v>
      </c>
      <c r="D37" s="9" t="s">
        <v>1272</v>
      </c>
    </row>
    <row r="38" spans="1:4" ht="135" customHeight="1" x14ac:dyDescent="0.3">
      <c r="A38" s="8" t="s">
        <v>1330</v>
      </c>
      <c r="B38" s="8" t="s">
        <v>1331</v>
      </c>
      <c r="C38" s="8" t="s">
        <v>1332</v>
      </c>
      <c r="D38" s="8" t="s">
        <v>1272</v>
      </c>
    </row>
    <row r="39" spans="1:4" ht="135" customHeight="1" x14ac:dyDescent="0.3">
      <c r="A39" s="9" t="s">
        <v>1333</v>
      </c>
      <c r="B39" s="9" t="s">
        <v>139</v>
      </c>
      <c r="C39" s="9" t="s">
        <v>1334</v>
      </c>
      <c r="D39" s="9" t="s">
        <v>1272</v>
      </c>
    </row>
    <row r="40" spans="1:4" ht="135" customHeight="1" x14ac:dyDescent="0.3">
      <c r="A40" s="8" t="s">
        <v>1335</v>
      </c>
      <c r="B40" s="8" t="s">
        <v>1336</v>
      </c>
      <c r="C40" s="8" t="s">
        <v>1337</v>
      </c>
      <c r="D40" s="8" t="s">
        <v>1272</v>
      </c>
    </row>
    <row r="41" spans="1:4" ht="135" customHeight="1" x14ac:dyDescent="0.3">
      <c r="A41" s="9" t="s">
        <v>1338</v>
      </c>
      <c r="B41" s="9" t="s">
        <v>139</v>
      </c>
      <c r="C41" s="9" t="s">
        <v>1334</v>
      </c>
      <c r="D41" s="9" t="s">
        <v>1272</v>
      </c>
    </row>
    <row r="42" spans="1:4" ht="135" customHeight="1" x14ac:dyDescent="0.3">
      <c r="A42" s="8" t="s">
        <v>1339</v>
      </c>
      <c r="B42" s="8" t="s">
        <v>1340</v>
      </c>
      <c r="C42" s="8" t="s">
        <v>139</v>
      </c>
      <c r="D42" s="8" t="s">
        <v>1272</v>
      </c>
    </row>
    <row r="43" spans="1:4" ht="135" customHeight="1" x14ac:dyDescent="0.3">
      <c r="A43" s="9" t="s">
        <v>1341</v>
      </c>
      <c r="B43" s="9" t="s">
        <v>153</v>
      </c>
      <c r="C43" s="9" t="s">
        <v>1342</v>
      </c>
      <c r="D43" s="9" t="s">
        <v>1272</v>
      </c>
    </row>
    <row r="44" spans="1:4" ht="135" customHeight="1" x14ac:dyDescent="0.3">
      <c r="A44" s="8" t="s">
        <v>1343</v>
      </c>
      <c r="B44" s="8"/>
      <c r="C44" s="8" t="s">
        <v>153</v>
      </c>
      <c r="D44" s="8" t="s">
        <v>1272</v>
      </c>
    </row>
    <row r="45" spans="1:4" ht="135" customHeight="1" x14ac:dyDescent="0.3">
      <c r="A45" s="9" t="s">
        <v>1344</v>
      </c>
      <c r="B45" s="9"/>
      <c r="C45" s="9" t="s">
        <v>153</v>
      </c>
      <c r="D45" s="9" t="s">
        <v>1272</v>
      </c>
    </row>
    <row r="46" spans="1:4" ht="135" customHeight="1" x14ac:dyDescent="0.3">
      <c r="A46" s="8" t="s">
        <v>1345</v>
      </c>
      <c r="B46" s="8" t="s">
        <v>1346</v>
      </c>
      <c r="C46" s="8" t="s">
        <v>1347</v>
      </c>
      <c r="D46" s="8" t="s">
        <v>1272</v>
      </c>
    </row>
    <row r="47" spans="1:4" ht="135" customHeight="1" x14ac:dyDescent="0.3">
      <c r="A47" s="9" t="s">
        <v>1348</v>
      </c>
      <c r="B47" s="9" t="s">
        <v>1349</v>
      </c>
      <c r="C47" s="9" t="s">
        <v>1350</v>
      </c>
      <c r="D47" s="9" t="s">
        <v>1272</v>
      </c>
    </row>
    <row r="48" spans="1:4" ht="135" customHeight="1" x14ac:dyDescent="0.3">
      <c r="A48" s="8" t="s">
        <v>1351</v>
      </c>
      <c r="B48" s="8" t="s">
        <v>1352</v>
      </c>
      <c r="C48" s="8" t="s">
        <v>1353</v>
      </c>
      <c r="D48" s="8" t="s">
        <v>1272</v>
      </c>
    </row>
    <row r="49" spans="1:4" ht="135" customHeight="1" x14ac:dyDescent="0.3">
      <c r="A49" s="9" t="s">
        <v>1354</v>
      </c>
      <c r="B49" s="9" t="s">
        <v>1355</v>
      </c>
      <c r="C49" s="9" t="s">
        <v>1356</v>
      </c>
      <c r="D49" s="9" t="s">
        <v>1272</v>
      </c>
    </row>
    <row r="50" spans="1:4" ht="135" customHeight="1" x14ac:dyDescent="0.3">
      <c r="A50" s="8" t="s">
        <v>1357</v>
      </c>
      <c r="B50" s="8" t="s">
        <v>1358</v>
      </c>
      <c r="C50" s="8" t="s">
        <v>1359</v>
      </c>
      <c r="D50" s="8" t="s">
        <v>1272</v>
      </c>
    </row>
    <row r="51" spans="1:4" ht="135" customHeight="1" x14ac:dyDescent="0.3">
      <c r="A51" s="9" t="s">
        <v>1360</v>
      </c>
      <c r="B51" s="9" t="s">
        <v>1361</v>
      </c>
      <c r="C51" s="9" t="s">
        <v>1362</v>
      </c>
      <c r="D51" s="9" t="s">
        <v>1272</v>
      </c>
    </row>
    <row r="52" spans="1:4" ht="135" customHeight="1" x14ac:dyDescent="0.3">
      <c r="A52" s="8" t="s">
        <v>1363</v>
      </c>
      <c r="B52" s="8" t="s">
        <v>1364</v>
      </c>
      <c r="C52" s="8" t="s">
        <v>1365</v>
      </c>
      <c r="D52" s="8" t="s">
        <v>1272</v>
      </c>
    </row>
    <row r="53" spans="1:4" ht="135" customHeight="1" x14ac:dyDescent="0.3">
      <c r="A53" s="9" t="s">
        <v>1366</v>
      </c>
      <c r="B53" s="9" t="s">
        <v>1367</v>
      </c>
      <c r="C53" s="9" t="s">
        <v>1368</v>
      </c>
      <c r="D53" s="9" t="s">
        <v>1272</v>
      </c>
    </row>
    <row r="54" spans="1:4" ht="135" customHeight="1" x14ac:dyDescent="0.3">
      <c r="A54" s="8" t="s">
        <v>1369</v>
      </c>
      <c r="B54" s="8" t="s">
        <v>1370</v>
      </c>
      <c r="C54" s="8" t="s">
        <v>1371</v>
      </c>
      <c r="D54" s="8" t="s">
        <v>1272</v>
      </c>
    </row>
    <row r="55" spans="1:4" ht="135" customHeight="1" x14ac:dyDescent="0.3">
      <c r="A55" s="9" t="s">
        <v>1372</v>
      </c>
      <c r="B55" s="9" t="s">
        <v>340</v>
      </c>
      <c r="C55" s="9" t="s">
        <v>1373</v>
      </c>
      <c r="D55" s="9" t="s">
        <v>1272</v>
      </c>
    </row>
    <row r="56" spans="1:4" ht="135" customHeight="1" x14ac:dyDescent="0.3">
      <c r="A56" s="8" t="s">
        <v>1374</v>
      </c>
      <c r="B56" s="8" t="s">
        <v>1375</v>
      </c>
      <c r="C56" s="8" t="s">
        <v>1376</v>
      </c>
      <c r="D56" s="8" t="s">
        <v>1272</v>
      </c>
    </row>
    <row r="57" spans="1:4" ht="135" customHeight="1" x14ac:dyDescent="0.3">
      <c r="A57" s="9" t="s">
        <v>1377</v>
      </c>
      <c r="B57" s="9" t="s">
        <v>1378</v>
      </c>
      <c r="C57" s="9" t="s">
        <v>1379</v>
      </c>
      <c r="D57" s="9" t="s">
        <v>1272</v>
      </c>
    </row>
    <row r="58" spans="1:4" ht="135" customHeight="1" x14ac:dyDescent="0.3">
      <c r="A58" s="8" t="s">
        <v>1380</v>
      </c>
      <c r="B58" s="8" t="s">
        <v>399</v>
      </c>
      <c r="C58" s="8" t="s">
        <v>1381</v>
      </c>
      <c r="D58" s="8" t="s">
        <v>1272</v>
      </c>
    </row>
    <row r="59" spans="1:4" ht="135" customHeight="1" x14ac:dyDescent="0.3">
      <c r="A59" s="9" t="s">
        <v>1382</v>
      </c>
      <c r="B59" s="9" t="s">
        <v>402</v>
      </c>
      <c r="C59" s="9" t="s">
        <v>1383</v>
      </c>
      <c r="D59" s="9" t="s">
        <v>1272</v>
      </c>
    </row>
    <row r="60" spans="1:4" ht="135" customHeight="1" x14ac:dyDescent="0.3">
      <c r="A60" s="8" t="s">
        <v>1384</v>
      </c>
      <c r="B60" s="8" t="s">
        <v>402</v>
      </c>
      <c r="C60" s="8" t="s">
        <v>1383</v>
      </c>
      <c r="D60" s="8" t="s">
        <v>1272</v>
      </c>
    </row>
    <row r="61" spans="1:4" ht="135" customHeight="1" x14ac:dyDescent="0.3">
      <c r="A61" s="9" t="s">
        <v>1385</v>
      </c>
      <c r="B61" s="9" t="s">
        <v>423</v>
      </c>
      <c r="C61" s="9" t="s">
        <v>1386</v>
      </c>
      <c r="D61" s="9" t="s">
        <v>1272</v>
      </c>
    </row>
    <row r="62" spans="1:4" ht="135" customHeight="1" x14ac:dyDescent="0.3">
      <c r="A62" s="8" t="s">
        <v>1387</v>
      </c>
      <c r="B62" s="8" t="s">
        <v>1388</v>
      </c>
      <c r="C62" s="8" t="s">
        <v>1389</v>
      </c>
      <c r="D62" s="8" t="s">
        <v>1272</v>
      </c>
    </row>
    <row r="63" spans="1:4" ht="135" customHeight="1" x14ac:dyDescent="0.3">
      <c r="A63" s="9" t="s">
        <v>1390</v>
      </c>
      <c r="B63" s="9" t="s">
        <v>1391</v>
      </c>
      <c r="C63" s="9" t="s">
        <v>1392</v>
      </c>
      <c r="D63" s="9" t="s">
        <v>1272</v>
      </c>
    </row>
    <row r="64" spans="1:4" ht="135" customHeight="1" x14ac:dyDescent="0.3">
      <c r="A64" s="8" t="s">
        <v>1393</v>
      </c>
      <c r="B64" s="8" t="s">
        <v>1394</v>
      </c>
      <c r="C64" s="8" t="s">
        <v>1395</v>
      </c>
      <c r="D64" s="8" t="s">
        <v>1272</v>
      </c>
    </row>
    <row r="65" spans="1:4" ht="135" customHeight="1" x14ac:dyDescent="0.3">
      <c r="A65" s="9" t="s">
        <v>1396</v>
      </c>
      <c r="B65" s="9"/>
      <c r="C65" s="9" t="s">
        <v>1397</v>
      </c>
      <c r="D65" s="9" t="s">
        <v>1272</v>
      </c>
    </row>
    <row r="66" spans="1:4" ht="135" customHeight="1" x14ac:dyDescent="0.3">
      <c r="A66" s="8" t="s">
        <v>1398</v>
      </c>
      <c r="B66" s="8"/>
      <c r="C66" s="8" t="s">
        <v>1399</v>
      </c>
      <c r="D66" s="8" t="s">
        <v>1272</v>
      </c>
    </row>
    <row r="67" spans="1:4" ht="135" customHeight="1" x14ac:dyDescent="0.3">
      <c r="A67" s="9" t="s">
        <v>1400</v>
      </c>
      <c r="B67" s="9"/>
      <c r="C67" s="9" t="s">
        <v>1401</v>
      </c>
      <c r="D67" s="9" t="s">
        <v>1272</v>
      </c>
    </row>
    <row r="68" spans="1:4" ht="135" customHeight="1" x14ac:dyDescent="0.3">
      <c r="A68" s="8" t="s">
        <v>1402</v>
      </c>
      <c r="B68" s="8"/>
      <c r="C68" s="8" t="s">
        <v>1403</v>
      </c>
      <c r="D68" s="8" t="s">
        <v>1272</v>
      </c>
    </row>
    <row r="69" spans="1:4" ht="135" customHeight="1" x14ac:dyDescent="0.3">
      <c r="A69" s="9" t="s">
        <v>1404</v>
      </c>
      <c r="B69" s="9"/>
      <c r="C69" s="9" t="s">
        <v>1405</v>
      </c>
      <c r="D69" s="9" t="s">
        <v>1272</v>
      </c>
    </row>
    <row r="70" spans="1:4" ht="135" customHeight="1" x14ac:dyDescent="0.3">
      <c r="A70" s="8" t="s">
        <v>1406</v>
      </c>
      <c r="B70" s="8"/>
      <c r="C70" s="8" t="s">
        <v>1407</v>
      </c>
      <c r="D70" s="8" t="s">
        <v>1272</v>
      </c>
    </row>
    <row r="71" spans="1:4" ht="135" customHeight="1" x14ac:dyDescent="0.3">
      <c r="A71" s="9" t="s">
        <v>1408</v>
      </c>
      <c r="B71" s="9"/>
      <c r="C71" s="9" t="s">
        <v>1409</v>
      </c>
      <c r="D71" s="9" t="s">
        <v>1272</v>
      </c>
    </row>
    <row r="72" spans="1:4" ht="135" customHeight="1" x14ac:dyDescent="0.3">
      <c r="A72" s="8" t="s">
        <v>1410</v>
      </c>
      <c r="B72" s="8"/>
      <c r="C72" s="8" t="s">
        <v>1411</v>
      </c>
      <c r="D72" s="8" t="s">
        <v>1272</v>
      </c>
    </row>
    <row r="73" spans="1:4" ht="135" customHeight="1" x14ac:dyDescent="0.3">
      <c r="A73" s="9" t="s">
        <v>1412</v>
      </c>
      <c r="B73" s="9"/>
      <c r="C73" s="9" t="s">
        <v>1413</v>
      </c>
      <c r="D73" s="9" t="s">
        <v>1272</v>
      </c>
    </row>
    <row r="74" spans="1:4" ht="135" customHeight="1" x14ac:dyDescent="0.3">
      <c r="A74" s="8" t="s">
        <v>1414</v>
      </c>
      <c r="B74" s="8"/>
      <c r="C74" s="8" t="s">
        <v>1415</v>
      </c>
      <c r="D74" s="8" t="s">
        <v>1272</v>
      </c>
    </row>
    <row r="75" spans="1:4" ht="135" customHeight="1" x14ac:dyDescent="0.3">
      <c r="A75" s="9" t="s">
        <v>1416</v>
      </c>
      <c r="B75" s="9"/>
      <c r="C75" s="9" t="s">
        <v>1409</v>
      </c>
      <c r="D75" s="9" t="s">
        <v>1272</v>
      </c>
    </row>
    <row r="76" spans="1:4" ht="135" customHeight="1" x14ac:dyDescent="0.3">
      <c r="A76" s="8" t="s">
        <v>1417</v>
      </c>
      <c r="B76" s="8"/>
      <c r="C76" s="8" t="s">
        <v>1415</v>
      </c>
      <c r="D76" s="8" t="s">
        <v>1272</v>
      </c>
    </row>
    <row r="77" spans="1:4" ht="135" customHeight="1" x14ac:dyDescent="0.3">
      <c r="A77" s="9" t="s">
        <v>1418</v>
      </c>
      <c r="B77" s="9"/>
      <c r="C77" s="9" t="s">
        <v>1419</v>
      </c>
      <c r="D77" s="9" t="s">
        <v>1272</v>
      </c>
    </row>
    <row r="78" spans="1:4" ht="135" customHeight="1" x14ac:dyDescent="0.3">
      <c r="A78" s="8" t="s">
        <v>1420</v>
      </c>
      <c r="B78" s="8" t="s">
        <v>1421</v>
      </c>
      <c r="C78" s="8" t="s">
        <v>1422</v>
      </c>
      <c r="D78" s="8" t="s">
        <v>1272</v>
      </c>
    </row>
    <row r="79" spans="1:4" ht="135" customHeight="1" x14ac:dyDescent="0.3">
      <c r="A79" s="9" t="s">
        <v>1423</v>
      </c>
      <c r="B79" s="9" t="s">
        <v>1421</v>
      </c>
      <c r="C79" s="9" t="s">
        <v>1424</v>
      </c>
      <c r="D79" s="9" t="s">
        <v>1272</v>
      </c>
    </row>
    <row r="80" spans="1:4" ht="135" customHeight="1" x14ac:dyDescent="0.3">
      <c r="A80" s="8" t="s">
        <v>1425</v>
      </c>
      <c r="B80" s="8" t="s">
        <v>1426</v>
      </c>
      <c r="C80" s="8" t="s">
        <v>1427</v>
      </c>
      <c r="D80" s="8" t="s">
        <v>1272</v>
      </c>
    </row>
  </sheetData>
  <autoFilter ref="A5:D80" xr:uid="{00000000-0009-0000-0000-00000E000000}"/>
  <mergeCells count="2">
    <mergeCell ref="A1:D1"/>
    <mergeCell ref="A2:D3"/>
  </mergeCells>
  <pageMargins left="0.75" right="0.75" top="1" bottom="1" header="0.511811023622047" footer="0.5"/>
  <pageSetup paperSize="8" fitToHeight="0" orientation="landscape" horizontalDpi="300" verticalDpi="300"/>
  <headerFooter>
    <oddFooter>&amp;CHARBORLIGHT — projekt zasad, nie wdrożenie</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46D75"/>
    <pageSetUpPr fitToPage="1"/>
  </sheetPr>
  <dimension ref="A1:M19"/>
  <sheetViews>
    <sheetView showGridLines="0" zoomScale="60" zoomScaleNormal="60" workbookViewId="0">
      <pane xSplit="1" ySplit="5" topLeftCell="B6" activePane="bottomRight" state="frozen"/>
      <selection pane="topRight" activeCell="B1" sqref="B1"/>
      <selection pane="bottomLeft" activeCell="A6" sqref="A6"/>
      <selection pane="bottomRight"/>
    </sheetView>
  </sheetViews>
  <sheetFormatPr defaultColWidth="8.6640625" defaultRowHeight="14.4" x14ac:dyDescent="0.3"/>
  <cols>
    <col min="1" max="1" width="24.6640625" customWidth="1"/>
    <col min="2" max="2" width="44.6640625" customWidth="1"/>
    <col min="3" max="3" width="50.6640625" customWidth="1"/>
    <col min="4" max="4" width="55.6640625" customWidth="1"/>
    <col min="5" max="5" width="48.6640625" customWidth="1"/>
    <col min="6" max="6" width="22.6640625" customWidth="1"/>
    <col min="7" max="7" width="90.6640625" customWidth="1"/>
    <col min="8" max="8" width="65.6640625" customWidth="1"/>
    <col min="9" max="9" width="90.6640625" customWidth="1"/>
    <col min="10" max="10" width="65.6640625" customWidth="1"/>
    <col min="11" max="13" width="36.6640625" customWidth="1"/>
  </cols>
  <sheetData>
    <row r="1" spans="1:13" ht="33.75" customHeight="1" x14ac:dyDescent="0.3">
      <c r="A1" s="3" t="s">
        <v>1428</v>
      </c>
      <c r="B1" s="3"/>
      <c r="C1" s="3"/>
      <c r="D1" s="3"/>
      <c r="E1" s="3"/>
      <c r="F1" s="3"/>
      <c r="G1" s="3"/>
      <c r="H1" s="3"/>
      <c r="I1" s="3"/>
      <c r="J1" s="3"/>
      <c r="K1" s="3"/>
      <c r="L1" s="3"/>
      <c r="M1" s="3"/>
    </row>
    <row r="2" spans="1:13" ht="24.75" customHeight="1" x14ac:dyDescent="0.3">
      <c r="A2" s="2" t="s">
        <v>1429</v>
      </c>
      <c r="B2" s="2"/>
      <c r="C2" s="2"/>
      <c r="D2" s="2"/>
      <c r="E2" s="2"/>
      <c r="F2" s="2"/>
      <c r="G2" s="2"/>
      <c r="H2" s="2"/>
      <c r="I2" s="2"/>
      <c r="J2" s="2"/>
      <c r="K2" s="2"/>
      <c r="L2" s="2"/>
      <c r="M2" s="2"/>
    </row>
    <row r="3" spans="1:13" ht="24.75" customHeight="1" x14ac:dyDescent="0.3">
      <c r="A3" s="2"/>
      <c r="B3" s="2"/>
      <c r="C3" s="2"/>
      <c r="D3" s="2"/>
      <c r="E3" s="2"/>
      <c r="F3" s="2"/>
      <c r="G3" s="2"/>
      <c r="H3" s="2"/>
      <c r="I3" s="2"/>
      <c r="J3" s="2"/>
      <c r="K3" s="2"/>
      <c r="L3" s="2"/>
      <c r="M3" s="2"/>
    </row>
    <row r="5" spans="1:13" ht="48" customHeight="1" x14ac:dyDescent="0.3">
      <c r="A5" s="16" t="s">
        <v>838</v>
      </c>
      <c r="B5" s="16" t="s">
        <v>1430</v>
      </c>
      <c r="C5" s="16" t="s">
        <v>1431</v>
      </c>
      <c r="D5" s="16" t="s">
        <v>55</v>
      </c>
      <c r="E5" s="16" t="s">
        <v>1432</v>
      </c>
      <c r="F5" s="16" t="s">
        <v>1433</v>
      </c>
      <c r="G5" s="16" t="s">
        <v>58</v>
      </c>
      <c r="H5" s="16" t="s">
        <v>1434</v>
      </c>
      <c r="I5" s="16" t="s">
        <v>1435</v>
      </c>
      <c r="J5" s="16" t="s">
        <v>1436</v>
      </c>
      <c r="K5" s="16" t="s">
        <v>1437</v>
      </c>
      <c r="L5" s="16" t="s">
        <v>1438</v>
      </c>
      <c r="M5" s="16" t="s">
        <v>1439</v>
      </c>
    </row>
    <row r="6" spans="1:13" ht="159.75" customHeight="1" x14ac:dyDescent="0.3">
      <c r="A6" s="19" t="s">
        <v>66</v>
      </c>
      <c r="B6" s="19" t="s">
        <v>1440</v>
      </c>
      <c r="C6" s="19" t="s">
        <v>1441</v>
      </c>
      <c r="D6" s="19" t="s">
        <v>1442</v>
      </c>
      <c r="E6" s="19" t="s">
        <v>1443</v>
      </c>
      <c r="F6" s="19" t="s">
        <v>1444</v>
      </c>
      <c r="G6" s="19" t="s">
        <v>1445</v>
      </c>
      <c r="H6" s="19" t="s">
        <v>1446</v>
      </c>
      <c r="I6" s="19"/>
      <c r="J6" s="19" t="s">
        <v>1447</v>
      </c>
      <c r="K6" s="19"/>
      <c r="L6" s="19"/>
      <c r="M6" s="19"/>
    </row>
    <row r="7" spans="1:13" ht="159.75" customHeight="1" x14ac:dyDescent="0.3">
      <c r="A7" s="20" t="s">
        <v>77</v>
      </c>
      <c r="B7" s="20" t="s">
        <v>1448</v>
      </c>
      <c r="C7" s="20" t="s">
        <v>1449</v>
      </c>
      <c r="D7" s="20" t="s">
        <v>1450</v>
      </c>
      <c r="E7" s="20" t="s">
        <v>1443</v>
      </c>
      <c r="F7" s="20" t="s">
        <v>1444</v>
      </c>
      <c r="G7" s="20" t="s">
        <v>1445</v>
      </c>
      <c r="H7" s="20" t="s">
        <v>1451</v>
      </c>
      <c r="I7" s="20"/>
      <c r="J7" s="20" t="s">
        <v>1447</v>
      </c>
      <c r="K7" s="20"/>
      <c r="L7" s="20"/>
      <c r="M7" s="20"/>
    </row>
    <row r="8" spans="1:13" ht="159.75" customHeight="1" x14ac:dyDescent="0.3">
      <c r="A8" s="19" t="s">
        <v>84</v>
      </c>
      <c r="B8" s="19" t="s">
        <v>1452</v>
      </c>
      <c r="C8" s="19" t="s">
        <v>1453</v>
      </c>
      <c r="D8" s="19" t="s">
        <v>1454</v>
      </c>
      <c r="E8" s="19" t="s">
        <v>1455</v>
      </c>
      <c r="F8" s="19" t="s">
        <v>1456</v>
      </c>
      <c r="G8" s="19" t="s">
        <v>1457</v>
      </c>
      <c r="H8" s="19" t="s">
        <v>1458</v>
      </c>
      <c r="I8" s="19" t="s">
        <v>1459</v>
      </c>
      <c r="J8" s="19" t="s">
        <v>1447</v>
      </c>
      <c r="K8" s="19"/>
      <c r="L8" s="19"/>
      <c r="M8" s="19"/>
    </row>
    <row r="9" spans="1:13" ht="159.75" customHeight="1" x14ac:dyDescent="0.3">
      <c r="A9" s="20" t="s">
        <v>93</v>
      </c>
      <c r="B9" s="20" t="s">
        <v>1460</v>
      </c>
      <c r="C9" s="20" t="s">
        <v>1453</v>
      </c>
      <c r="D9" s="20" t="s">
        <v>1454</v>
      </c>
      <c r="E9" s="20" t="s">
        <v>1461</v>
      </c>
      <c r="F9" s="20" t="s">
        <v>1456</v>
      </c>
      <c r="G9" s="20" t="s">
        <v>1462</v>
      </c>
      <c r="H9" s="20" t="s">
        <v>1458</v>
      </c>
      <c r="I9" s="20" t="s">
        <v>1459</v>
      </c>
      <c r="J9" s="20" t="s">
        <v>1447</v>
      </c>
      <c r="K9" s="20"/>
      <c r="L9" s="20"/>
      <c r="M9" s="20"/>
    </row>
    <row r="10" spans="1:13" ht="159.75" customHeight="1" x14ac:dyDescent="0.3">
      <c r="A10" s="19" t="s">
        <v>96</v>
      </c>
      <c r="B10" s="19" t="s">
        <v>1463</v>
      </c>
      <c r="C10" s="19" t="s">
        <v>1453</v>
      </c>
      <c r="D10" s="19" t="s">
        <v>1454</v>
      </c>
      <c r="E10" s="19" t="s">
        <v>1464</v>
      </c>
      <c r="F10" s="19" t="s">
        <v>1456</v>
      </c>
      <c r="G10" s="19" t="s">
        <v>1462</v>
      </c>
      <c r="H10" s="19" t="s">
        <v>1458</v>
      </c>
      <c r="I10" s="19" t="s">
        <v>1459</v>
      </c>
      <c r="J10" s="19" t="s">
        <v>1447</v>
      </c>
      <c r="K10" s="19"/>
      <c r="L10" s="19"/>
      <c r="M10" s="19"/>
    </row>
    <row r="11" spans="1:13" ht="159.75" customHeight="1" x14ac:dyDescent="0.3">
      <c r="A11" s="20" t="s">
        <v>99</v>
      </c>
      <c r="B11" s="20" t="s">
        <v>1465</v>
      </c>
      <c r="C11" s="20" t="s">
        <v>1453</v>
      </c>
      <c r="D11" s="20" t="s">
        <v>1454</v>
      </c>
      <c r="E11" s="20" t="s">
        <v>1466</v>
      </c>
      <c r="F11" s="20" t="s">
        <v>1456</v>
      </c>
      <c r="G11" s="20" t="s">
        <v>1462</v>
      </c>
      <c r="H11" s="20" t="s">
        <v>1458</v>
      </c>
      <c r="I11" s="20" t="s">
        <v>1459</v>
      </c>
      <c r="J11" s="20" t="s">
        <v>1447</v>
      </c>
      <c r="K11" s="20"/>
      <c r="L11" s="20"/>
      <c r="M11" s="20"/>
    </row>
    <row r="12" spans="1:13" ht="159.75" customHeight="1" x14ac:dyDescent="0.3">
      <c r="A12" s="19" t="s">
        <v>102</v>
      </c>
      <c r="B12" s="19" t="s">
        <v>1467</v>
      </c>
      <c r="C12" s="19" t="s">
        <v>1453</v>
      </c>
      <c r="D12" s="19" t="s">
        <v>1454</v>
      </c>
      <c r="E12" s="19" t="s">
        <v>1468</v>
      </c>
      <c r="F12" s="19" t="s">
        <v>1456</v>
      </c>
      <c r="G12" s="19" t="s">
        <v>1462</v>
      </c>
      <c r="H12" s="19" t="s">
        <v>1458</v>
      </c>
      <c r="I12" s="19" t="s">
        <v>1459</v>
      </c>
      <c r="J12" s="19" t="s">
        <v>1447</v>
      </c>
      <c r="K12" s="19"/>
      <c r="L12" s="19"/>
      <c r="M12" s="19"/>
    </row>
    <row r="13" spans="1:13" ht="159.75" customHeight="1" x14ac:dyDescent="0.3">
      <c r="A13" s="20" t="s">
        <v>105</v>
      </c>
      <c r="B13" s="20" t="s">
        <v>1469</v>
      </c>
      <c r="C13" s="20" t="s">
        <v>1453</v>
      </c>
      <c r="D13" s="20" t="s">
        <v>1470</v>
      </c>
      <c r="E13" s="20" t="s">
        <v>1443</v>
      </c>
      <c r="F13" s="20" t="s">
        <v>1456</v>
      </c>
      <c r="G13" s="20" t="s">
        <v>1471</v>
      </c>
      <c r="H13" s="20" t="s">
        <v>1472</v>
      </c>
      <c r="I13" s="20" t="s">
        <v>1473</v>
      </c>
      <c r="J13" s="20" t="s">
        <v>1447</v>
      </c>
      <c r="K13" s="20"/>
      <c r="L13" s="20"/>
      <c r="M13" s="20"/>
    </row>
    <row r="14" spans="1:13" ht="159.75" customHeight="1" x14ac:dyDescent="0.3">
      <c r="A14" s="19" t="s">
        <v>112</v>
      </c>
      <c r="B14" s="19" t="s">
        <v>1474</v>
      </c>
      <c r="C14" s="19" t="s">
        <v>1475</v>
      </c>
      <c r="D14" s="19" t="s">
        <v>1476</v>
      </c>
      <c r="E14" s="19" t="s">
        <v>1443</v>
      </c>
      <c r="F14" s="19" t="s">
        <v>1456</v>
      </c>
      <c r="G14" s="19" t="s">
        <v>1445</v>
      </c>
      <c r="H14" s="19" t="s">
        <v>1458</v>
      </c>
      <c r="I14" s="19"/>
      <c r="J14" s="19" t="s">
        <v>1447</v>
      </c>
      <c r="K14" s="19"/>
      <c r="L14" s="19"/>
      <c r="M14" s="19"/>
    </row>
    <row r="15" spans="1:13" ht="159.75" customHeight="1" x14ac:dyDescent="0.3">
      <c r="A15" s="20" t="s">
        <v>117</v>
      </c>
      <c r="B15" s="20" t="s">
        <v>1477</v>
      </c>
      <c r="C15" s="20" t="s">
        <v>1475</v>
      </c>
      <c r="D15" s="20" t="s">
        <v>1478</v>
      </c>
      <c r="E15" s="20" t="s">
        <v>1443</v>
      </c>
      <c r="F15" s="20" t="s">
        <v>1456</v>
      </c>
      <c r="G15" s="20" t="s">
        <v>1479</v>
      </c>
      <c r="H15" s="20" t="s">
        <v>1480</v>
      </c>
      <c r="I15" s="20"/>
      <c r="J15" s="20" t="s">
        <v>1447</v>
      </c>
      <c r="K15" s="20"/>
      <c r="L15" s="20"/>
      <c r="M15" s="20"/>
    </row>
    <row r="16" spans="1:13" ht="159.75" customHeight="1" x14ac:dyDescent="0.3">
      <c r="A16" s="19" t="s">
        <v>123</v>
      </c>
      <c r="B16" s="19" t="s">
        <v>1481</v>
      </c>
      <c r="C16" s="19" t="s">
        <v>1482</v>
      </c>
      <c r="D16" s="19" t="s">
        <v>1483</v>
      </c>
      <c r="E16" s="19" t="s">
        <v>1484</v>
      </c>
      <c r="F16" s="19" t="s">
        <v>1485</v>
      </c>
      <c r="G16" s="19" t="s">
        <v>1486</v>
      </c>
      <c r="H16" s="19" t="s">
        <v>1487</v>
      </c>
      <c r="I16" s="19" t="s">
        <v>1488</v>
      </c>
      <c r="J16" s="19" t="s">
        <v>1447</v>
      </c>
      <c r="K16" s="19"/>
      <c r="L16" s="19"/>
      <c r="M16" s="19"/>
    </row>
    <row r="17" spans="1:13" ht="159.75" customHeight="1" x14ac:dyDescent="0.3">
      <c r="A17" s="20" t="s">
        <v>132</v>
      </c>
      <c r="B17" s="20" t="s">
        <v>1489</v>
      </c>
      <c r="C17" s="20" t="s">
        <v>1482</v>
      </c>
      <c r="D17" s="20" t="s">
        <v>1490</v>
      </c>
      <c r="E17" s="20" t="s">
        <v>1491</v>
      </c>
      <c r="F17" s="20" t="s">
        <v>1492</v>
      </c>
      <c r="G17" s="20" t="s">
        <v>1445</v>
      </c>
      <c r="H17" s="20" t="s">
        <v>1493</v>
      </c>
      <c r="I17" s="20" t="s">
        <v>1494</v>
      </c>
      <c r="J17" s="20" t="s">
        <v>1447</v>
      </c>
      <c r="K17" s="20"/>
      <c r="L17" s="20"/>
      <c r="M17" s="20"/>
    </row>
    <row r="18" spans="1:13" ht="159.75" customHeight="1" x14ac:dyDescent="0.3">
      <c r="A18" s="19"/>
      <c r="B18" s="19"/>
      <c r="C18" s="19"/>
      <c r="D18" s="19"/>
      <c r="E18" s="19"/>
      <c r="F18" s="19"/>
      <c r="G18" s="19"/>
      <c r="H18" s="19"/>
      <c r="I18" s="19"/>
      <c r="J18" s="19"/>
      <c r="K18" s="19"/>
      <c r="L18" s="19"/>
      <c r="M18" s="19"/>
    </row>
    <row r="19" spans="1:13" ht="159.75" customHeight="1" x14ac:dyDescent="0.3">
      <c r="A19" s="20" t="s">
        <v>1495</v>
      </c>
      <c r="B19" s="20"/>
      <c r="C19" s="20"/>
      <c r="D19" s="20"/>
      <c r="E19" s="20"/>
      <c r="F19" s="20"/>
      <c r="G19" s="20"/>
      <c r="H19" s="20"/>
      <c r="I19" s="20"/>
      <c r="J19" s="20"/>
      <c r="K19" s="20"/>
      <c r="L19" s="20"/>
      <c r="M19" s="20"/>
    </row>
  </sheetData>
  <autoFilter ref="A5:M19" xr:uid="{00000000-0009-0000-0000-00000F000000}"/>
  <mergeCells count="2">
    <mergeCell ref="A1:M1"/>
    <mergeCell ref="A2:M3"/>
  </mergeCells>
  <pageMargins left="0.3" right="0.3" top="0.4" bottom="0.4" header="0.511811023622047" footer="0.3"/>
  <pageSetup paperSize="8" fitToHeight="0" orientation="landscape" horizontalDpi="300" verticalDpi="300"/>
  <headerFooter>
    <oddFooter>&amp;LHARBORLIGHT — projekt zasad, bez wdrożenia&amp;R&amp;P /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C12"/>
  <sheetViews>
    <sheetView showGridLines="0" zoomScaleNormal="100" workbookViewId="0"/>
  </sheetViews>
  <sheetFormatPr defaultColWidth="8.6640625" defaultRowHeight="14.4" x14ac:dyDescent="0.3"/>
  <cols>
    <col min="1" max="1" width="38" customWidth="1"/>
    <col min="2" max="2" width="140" customWidth="1"/>
    <col min="3" max="3" width="100" customWidth="1"/>
  </cols>
  <sheetData>
    <row r="1" spans="1:3" ht="33.75" customHeight="1" x14ac:dyDescent="0.45">
      <c r="A1" s="4" t="s">
        <v>1496</v>
      </c>
      <c r="B1" s="4"/>
      <c r="C1" s="4"/>
    </row>
    <row r="2" spans="1:3" ht="24.75" customHeight="1" x14ac:dyDescent="0.3">
      <c r="A2" s="5" t="s">
        <v>1497</v>
      </c>
      <c r="B2" s="5"/>
      <c r="C2" s="5"/>
    </row>
    <row r="3" spans="1:3" ht="24.75" customHeight="1" x14ac:dyDescent="0.3">
      <c r="A3" s="5"/>
      <c r="B3" s="5"/>
      <c r="C3" s="5"/>
    </row>
    <row r="5" spans="1:3" ht="48" customHeight="1" x14ac:dyDescent="0.3">
      <c r="A5" s="7" t="s">
        <v>1498</v>
      </c>
      <c r="B5" s="7" t="s">
        <v>680</v>
      </c>
      <c r="C5" s="7" t="s">
        <v>1499</v>
      </c>
    </row>
    <row r="6" spans="1:3" ht="90" customHeight="1" x14ac:dyDescent="0.3">
      <c r="A6" s="8" t="s">
        <v>1500</v>
      </c>
      <c r="B6" s="8" t="s">
        <v>1501</v>
      </c>
      <c r="C6" s="8" t="s">
        <v>1502</v>
      </c>
    </row>
    <row r="7" spans="1:3" ht="90" customHeight="1" x14ac:dyDescent="0.3">
      <c r="A7" s="8" t="s">
        <v>1503</v>
      </c>
      <c r="B7" s="8" t="s">
        <v>1501</v>
      </c>
      <c r="C7" s="8" t="s">
        <v>1504</v>
      </c>
    </row>
    <row r="8" spans="1:3" ht="90" customHeight="1" x14ac:dyDescent="0.3">
      <c r="A8" s="8" t="s">
        <v>1505</v>
      </c>
      <c r="B8" s="8" t="s">
        <v>1501</v>
      </c>
      <c r="C8" s="8" t="s">
        <v>1506</v>
      </c>
    </row>
    <row r="9" spans="1:3" ht="90" customHeight="1" x14ac:dyDescent="0.3"/>
    <row r="10" spans="1:3" ht="90" customHeight="1" x14ac:dyDescent="0.3"/>
    <row r="11" spans="1:3" ht="90" customHeight="1" x14ac:dyDescent="0.3"/>
    <row r="12" spans="1:3" ht="90" customHeight="1" x14ac:dyDescent="0.3"/>
  </sheetData>
  <autoFilter ref="A5:C8" xr:uid="{00000000-0009-0000-0000-000010000000}"/>
  <mergeCells count="2">
    <mergeCell ref="A1:C1"/>
    <mergeCell ref="A2:C3"/>
  </mergeCells>
  <pageMargins left="0.75" right="0.75" top="1" bottom="1" header="0.511811023622047" footer="0.511811023622047"/>
  <pageSetup paperSize="8"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17</vt:i4>
      </vt:variant>
      <vt:variant>
        <vt:lpstr>Named Ranges</vt:lpstr>
      </vt:variant>
      <vt:variant>
        <vt:i4>33</vt:i4>
      </vt:variant>
    </vt:vector>
  </HeadingPairs>
  <TitlesOfParts>
    <vt:vector size="50" baseType="lpstr">
      <vt:lpstr>Start</vt:lpstr>
      <vt:lpstr>Budynki</vt:lpstr>
      <vt:lpstr>Czlowiek</vt:lpstr>
      <vt:lpstr>Produkcja</vt:lpstr>
      <vt:lpstr>Ustalenia - uwagi</vt:lpstr>
      <vt:lpstr>Czas budowy</vt:lpstr>
      <vt:lpstr>Transport i priorytety</vt:lpstr>
      <vt:lpstr>Premium</vt:lpstr>
      <vt:lpstr>Parametry</vt:lpstr>
      <vt:lpstr>Decyzje i konflikty</vt:lpstr>
      <vt:lpstr>Populacja i szczescie</vt:lpstr>
      <vt:lpstr>Przystan</vt:lpstr>
      <vt:lpstr>Blogoslawienstwa</vt:lpstr>
      <vt:lpstr>Odpowiedzi i zmiany</vt:lpstr>
      <vt:lpstr>Twoje wpisy v1</vt:lpstr>
      <vt:lpstr>Zrodlo</vt:lpstr>
      <vt:lpstr>Pomysly</vt:lpstr>
      <vt:lpstr>Blogoslawienstwa!Print_Area</vt:lpstr>
      <vt:lpstr>Budynki!Print_Area</vt:lpstr>
      <vt:lpstr>'Czas budowy'!Print_Area</vt:lpstr>
      <vt:lpstr>Czlowiek!Print_Area</vt:lpstr>
      <vt:lpstr>'Decyzje i konflikty'!Print_Area</vt:lpstr>
      <vt:lpstr>'Odpowiedzi i zmiany'!Print_Area</vt:lpstr>
      <vt:lpstr>Parametry!Print_Area</vt:lpstr>
      <vt:lpstr>Pomysly!Print_Area</vt:lpstr>
      <vt:lpstr>'Populacja i szczescie'!Print_Area</vt:lpstr>
      <vt:lpstr>Premium!Print_Area</vt:lpstr>
      <vt:lpstr>Produkcja!Print_Area</vt:lpstr>
      <vt:lpstr>Przystan!Print_Area</vt:lpstr>
      <vt:lpstr>Start!Print_Area</vt:lpstr>
      <vt:lpstr>'Transport i priorytety'!Print_Area</vt:lpstr>
      <vt:lpstr>'Twoje wpisy v1'!Print_Area</vt:lpstr>
      <vt:lpstr>'Ustalenia - uwagi'!Print_Area</vt:lpstr>
      <vt:lpstr>Zrodlo!Print_Area</vt:lpstr>
      <vt:lpstr>Blogoslawienstwa!Print_Titles</vt:lpstr>
      <vt:lpstr>Budynki!Print_Titles</vt:lpstr>
      <vt:lpstr>'Czas budowy'!Print_Titles</vt:lpstr>
      <vt:lpstr>Czlowiek!Print_Titles</vt:lpstr>
      <vt:lpstr>'Decyzje i konflikty'!Print_Titles</vt:lpstr>
      <vt:lpstr>'Odpowiedzi i zmiany'!Print_Titles</vt:lpstr>
      <vt:lpstr>Parametry!Print_Titles</vt:lpstr>
      <vt:lpstr>'Populacja i szczescie'!Print_Titles</vt:lpstr>
      <vt:lpstr>Premium!Print_Titles</vt:lpstr>
      <vt:lpstr>Produkcja!Print_Titles</vt:lpstr>
      <vt:lpstr>Przystan!Print_Titles</vt:lpstr>
      <vt:lpstr>Start!Print_Titles</vt:lpstr>
      <vt:lpstr>'Transport i priorytety'!Print_Titles</vt:lpstr>
      <vt:lpstr>'Twoje wpisy v1'!Print_Titles</vt:lpstr>
      <vt:lpstr>'Ustalenia - uwagi'!Print_Titles</vt:lpstr>
      <vt:lpstr>Zrodlo!Print_Titles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HARBORLIGHT — tabela budynków i analiza zasad</dc:title>
  <dc:subject>Projekt zasad: Excel, bez zmian w grze</dc:subject>
  <dc:creator>HARBORLIGHT</dc:creator>
  <dc:description>Źródło zachowane w arkuszu Zrodlo. Propozycje i założenia nie są zatwierdzonymi zasadami.</dc:description>
  <cp:lastModifiedBy>Sobczak, Krzysztof</cp:lastModifiedBy>
  <cp:revision>0</cp:revision>
  <dcterms:created xsi:type="dcterms:W3CDTF">2026-10-22T14:31:45Z</dcterms:created>
  <dcterms:modified xsi:type="dcterms:W3CDTF">2026-10-22T20:56:28Z</dcterms:modified>
  <dc:language>en-US</dc:language>
</cp:coreProperties>
</file>