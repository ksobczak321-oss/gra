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29.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28.xml" ContentType="application/vnd.openxmlformats-officedocument.spreadsheetml.worksheet+xml"/>
  <Override PartName="/xl/worksheets/sheet40.xml" ContentType="application/vnd.openxmlformats-officedocument.spreadsheetml.worksheet+xml"/>
  <Override PartName="/xl/worksheets/sheet43.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9.xml" ContentType="application/vnd.openxmlformats-officedocument.spreadsheetml.worksheet+xml"/>
  <Override PartName="/xl/worksheets/sheet45.xml" ContentType="application/vnd.openxmlformats-officedocument.spreadsheetml.worksheet+xml"/>
  <Override PartName="/xl/worksheets/sheet15.xml" ContentType="application/vnd.openxmlformats-officedocument.spreadsheetml.worksheet+xml"/>
  <Override PartName="/xl/worksheets/sheet39.xml" ContentType="application/vnd.openxmlformats-officedocument.spreadsheetml.worksheet+xml"/>
  <Override PartName="/xl/worksheets/sheet33.xml" ContentType="application/vnd.openxmlformats-officedocument.spreadsheetml.worksheet+xml"/>
  <Override PartName="/xl/worksheets/sheet37.xml" ContentType="application/vnd.openxmlformats-officedocument.spreadsheetml.worksheet+xml"/>
  <Override PartName="/xl/worksheets/sheet11.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24.xml" ContentType="application/vnd.openxmlformats-officedocument.spreadsheetml.worksheet+xml"/>
  <Override PartName="/xl/worksheets/sheet36.xml" ContentType="application/vnd.openxmlformats-officedocument.spreadsheetml.worksheet+xml"/>
  <Override PartName="/xl/worksheets/sheet44.xml" ContentType="application/vnd.openxmlformats-officedocument.spreadsheetml.worksheet+xml"/>
  <Override PartName="/xl/worksheets/sheet32.xml" ContentType="application/vnd.openxmlformats-officedocument.spreadsheetml.worksheet+xml"/>
  <Override PartName="/xl/worksheets/sheet31.xml" ContentType="application/vnd.openxmlformats-officedocument.spreadsheetml.worksheet+xml"/>
  <Override PartName="/xl/worksheets/sheet38.xml" ContentType="application/vnd.openxmlformats-officedocument.spreadsheetml.worksheet+xml"/>
  <Override PartName="/xl/worksheets/sheet6.xml" ContentType="application/vnd.openxmlformats-officedocument.spreadsheetml.worksheet+xml"/>
  <Override PartName="/xl/worksheets/sheet21.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23.xml" ContentType="application/vnd.openxmlformats-officedocument.spreadsheetml.worksheet+xml"/>
  <Override PartName="/xl/worksheets/sheet9.xml" ContentType="application/vnd.openxmlformats-officedocument.spreadsheetml.worksheet+xml"/>
  <Override PartName="/xl/worksheets/sheet22.xml" ContentType="application/vnd.openxmlformats-officedocument.spreadsheetml.worksheet+xml"/>
  <Override PartName="/xl/worksheets/sheet14.xml" ContentType="application/vnd.openxmlformats-officedocument.spreadsheetml.worksheet+xml"/>
  <Override PartName="/xl/worksheets/sheet35.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5.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26.xml" ContentType="application/vnd.openxmlformats-officedocument.drawing+xml"/>
  <Override PartName="/xl/drawings/drawing25.xml" ContentType="application/vnd.openxmlformats-officedocument.drawing+xml"/>
  <Override PartName="/xl/drawings/drawing24.xml" ContentType="application/vnd.openxmlformats-officedocument.drawing+xml"/>
  <Override PartName="/xl/drawings/drawing23.xml" ContentType="application/vnd.openxmlformats-officedocument.drawing+xml"/>
  <Override PartName="/xl/drawings/drawing22.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xml" ContentType="application/vnd.openxmlformats-officedocument.drawing+xml"/>
  <Override PartName="/xl/drawings/drawing30.xml" ContentType="application/vnd.openxmlformats-officedocument.drawing+xml"/>
  <Override PartName="/xl/drawings/drawing36.xml" ContentType="application/vnd.openxmlformats-officedocument.drawing+xml"/>
  <Override PartName="/xl/drawings/drawing32.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1.xml" ContentType="application/vnd.openxmlformats-officedocument.drawing+xml"/>
  <Override PartName="/xl/drawings/drawing8.xml" ContentType="application/vnd.openxmlformats-officedocument.drawing+xml"/>
  <Override PartName="/xl/drawings/drawing19.xml" ContentType="application/vnd.openxmlformats-officedocument.drawing+xml"/>
  <Override PartName="/xl/drawings/drawing33.xml" ContentType="application/vnd.openxmlformats-officedocument.drawing+xml"/>
  <Override PartName="/xl/drawings/drawing40.xml" ContentType="application/vnd.openxmlformats-officedocument.drawing+xml"/>
  <Override PartName="/xl/drawings/drawing9.xml" ContentType="application/vnd.openxmlformats-officedocument.drawing+xml"/>
  <Override PartName="/xl/drawings/drawing35.xml" ContentType="application/vnd.openxmlformats-officedocument.drawing+xml"/>
  <Override PartName="/xl/drawings/drawing11.xml" ContentType="application/vnd.openxmlformats-officedocument.drawing+xml"/>
  <Override PartName="/xl/drawings/drawing42.xml" ContentType="application/vnd.openxmlformats-officedocument.drawing+xml"/>
  <Override PartName="/xl/drawings/drawing16.xml" ContentType="application/vnd.openxmlformats-officedocument.drawing+xml"/>
  <Override PartName="/xl/drawings/drawing13.xml" ContentType="application/vnd.openxmlformats-officedocument.drawing+xml"/>
  <Override PartName="/xl/drawings/drawing43.xml" ContentType="application/vnd.openxmlformats-officedocument.drawing+xml"/>
  <Override PartName="/xl/drawings/drawing27.xml" ContentType="application/vnd.openxmlformats-officedocument.drawing+xml"/>
  <Override PartName="/xl/drawings/drawing31.xml" ContentType="application/vnd.openxmlformats-officedocument.drawing+xml"/>
  <Override PartName="/xl/drawings/drawing21.xml" ContentType="application/vnd.openxmlformats-officedocument.drawing+xml"/>
  <Override PartName="/xl/drawings/drawing20.xml" ContentType="application/vnd.openxmlformats-officedocument.drawing+xml"/>
  <Override PartName="/xl/drawings/drawing15.xml" ContentType="application/vnd.openxmlformats-officedocument.drawing+xml"/>
  <Override PartName="/xl/drawings/drawing34.xml" ContentType="application/vnd.openxmlformats-officedocument.drawing+xml"/>
  <Override PartName="/xl/drawings/drawing44.xml" ContentType="application/vnd.openxmlformats-officedocument.drawing+xml"/>
  <Override PartName="/xl/drawings/drawing3.xml" ContentType="application/vnd.openxmlformats-officedocument.drawing+xml"/>
  <Override PartName="/xl/drawings/drawing28.xml" ContentType="application/vnd.openxmlformats-officedocument.drawing+xml"/>
  <Override PartName="/xl/drawings/vmlDrawing1.vml" ContentType="application/vnd.openxmlformats-officedocument.vmlDrawing"/>
  <Override PartName="/xl/drawings/drawing18.xml" ContentType="application/vnd.openxmlformats-officedocument.drawing+xml"/>
  <Override PartName="/xl/drawings/drawing29.xml" ContentType="application/vnd.openxmlformats-officedocument.drawing+xml"/>
  <Override PartName="/xl/drawings/drawing7.xml" ContentType="application/vnd.openxmlformats-officedocument.drawing+xml"/>
  <Override PartName="/xl/drawings/drawing12.xml" ContentType="application/vnd.openxmlformats-officedocument.drawing+xml"/>
  <Override PartName="/xl/drawings/drawing14.xml" ContentType="application/vnd.openxmlformats-officedocument.drawing+xml"/>
  <Override PartName="/xl/drawings/drawing17.xml" ContentType="application/vnd.openxmlformats-officedocument.drawing+xml"/>
  <Override PartName="/xl/drawings/drawing2.xml" ContentType="application/vnd.openxmlformats-officedocument.drawing+xml"/>
  <Override PartName="/xl/drawings/drawing10.xml" ContentType="application/vnd.openxmlformats-officedocument.drawing+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sheetId="1" state="visible" r:id="rId3"/>
    <sheet name="Zmiany v8" sheetId="2" state="visible" r:id="rId4"/>
    <sheet name="Frontend v8" sheetId="3" state="visible" r:id="rId5"/>
    <sheet name="Decyzje v7" sheetId="4" state="visible" r:id="rId6"/>
    <sheet name="Budynki" sheetId="5" state="visible" r:id="rId7"/>
    <sheet name="Czlowiek" sheetId="6" state="visible" r:id="rId8"/>
    <sheet name="Atrakcje" sheetId="7" state="visible" r:id="rId9"/>
    <sheet name="Atrakcje - kalkulator" sheetId="8" state="visible" r:id="rId10"/>
    <sheet name="Sciezki" sheetId="9" state="visible" r:id="rId11"/>
    <sheet name="Sciezki - transport" sheetId="10" state="visible" r:id="rId12"/>
    <sheet name="Efekty i notyfikacje" sheetId="11" state="visible" r:id="rId13"/>
    <sheet name="Sprawdzenia v8" sheetId="12" state="visible" r:id="rId14"/>
    <sheet name="Premium" sheetId="13" state="visible" r:id="rId15"/>
    <sheet name="Premium - czas" sheetId="14" state="visible" r:id="rId16"/>
    <sheet name="Premium - transport" sheetId="15" state="visible" r:id="rId17"/>
    <sheet name="Premium - budynek" sheetId="16" state="visible" r:id="rId18"/>
    <sheet name="Social i polecenia" sheetId="17" state="visible" r:id="rId19"/>
    <sheet name="Platformy" sheetId="18" state="visible" r:id="rId20"/>
    <sheet name="Zadania latarni" sheetId="19" state="visible" r:id="rId21"/>
    <sheet name="Zadania przyklady" sheetId="20" state="visible" r:id="rId22"/>
    <sheet name="Zadania - zegary" sheetId="21" state="visible" r:id="rId23"/>
    <sheet name="Ekspedycje" sheetId="22" state="visible" r:id="rId24"/>
    <sheet name="Ekspedycje - poziomy" sheetId="23" state="visible" r:id="rId25"/>
    <sheet name="Bilans V3" sheetId="24" state="visible" r:id="rId26"/>
    <sheet name="Produkcja" sheetId="25" state="visible" r:id="rId27"/>
    <sheet name="Czas budowy" sheetId="26" state="visible" r:id="rId28"/>
    <sheet name="Transport i priorytety" sheetId="27" state="visible" r:id="rId29"/>
    <sheet name="Parametry" sheetId="28" state="visible" r:id="rId30"/>
    <sheet name="Decyzje i konflikty" sheetId="29" state="visible" r:id="rId31"/>
    <sheet name="Ustalenia - uwagi" sheetId="30" state="visible" r:id="rId32"/>
    <sheet name="Populacja i szczescie" sheetId="31" state="visible" r:id="rId33"/>
    <sheet name="Przystan" sheetId="32" state="visible" r:id="rId34"/>
    <sheet name="Blogoslawienstwa" sheetId="33" state="visible" r:id="rId35"/>
    <sheet name="Odpowiedzi i zmiany" sheetId="34" state="visible" r:id="rId36"/>
    <sheet name="Pomysly" sheetId="35" state="visible" r:id="rId37"/>
    <sheet name="Twoje wpisy v1" sheetId="36" state="visible" r:id="rId38"/>
    <sheet name="Zrodlo" sheetId="37" state="visible" r:id="rId39"/>
    <sheet name="Zrodlo v3" sheetId="38" state="visible" r:id="rId40"/>
    <sheet name="Twoje wpisy v4" sheetId="39" state="visible" r:id="rId41"/>
    <sheet name="Twoje wpisy v6" sheetId="40" state="visible" r:id="rId42"/>
    <sheet name="Rejestr historyczny v6" sheetId="41" state="visible" r:id="rId43"/>
    <sheet name="Na pozniej" sheetId="42" state="visible" r:id="rId44"/>
    <sheet name="Planowanie Premium" sheetId="43" state="visible" r:id="rId45"/>
    <sheet name="Narracje latarni" sheetId="44" state="visible" r:id="rId46"/>
    <sheet name="Rejestr historyczny v7" sheetId="45" state="visible" r:id="rId47"/>
  </sheets>
  <definedNames>
    <definedName function="false" hidden="false" localSheetId="6" name="_xlnm.Print_Titles" vbProcedure="false">Atrakcje!$1:$5</definedName>
    <definedName function="false" hidden="true" localSheetId="6" name="_xlnm._FilterDatabase" vbProcedure="false">Atrakcje!$A$5:$H$25</definedName>
    <definedName function="false" hidden="false" localSheetId="7" name="_xlnm.Print_Titles" vbProcedure="false">'Atrakcje - kalkulator'!$1:$5</definedName>
    <definedName function="false" hidden="true" localSheetId="7" name="_xlnm._FilterDatabase" vbProcedure="false">'Atrakcje - kalkulator'!$A$5:$K$105</definedName>
    <definedName function="false" hidden="false" localSheetId="23" name="_xlnm.Print_Area" vbProcedure="false">'Bilans V3'!$A$1:$C$19</definedName>
    <definedName function="false" hidden="false" localSheetId="23" name="_xlnm.Print_Titles" vbProcedure="false">'Bilans V3'!$1:$5</definedName>
    <definedName function="false" hidden="true" localSheetId="23" name="_xlnm._FilterDatabase" vbProcedure="false">'Bilans V3'!$A$5:$C$19</definedName>
    <definedName function="false" hidden="false" localSheetId="32" name="_xlnm.Print_Area" vbProcedure="false">Blogoslawienstwa!$A$1:$C$10</definedName>
    <definedName function="false" hidden="false" localSheetId="32" name="_xlnm.Print_Titles" vbProcedure="false">Blogoslawienstwa!$1:$5</definedName>
    <definedName function="false" hidden="true" localSheetId="32" name="_xlnm._FilterDatabase" vbProcedure="false">Blogoslawienstwa!$A$5:$C$10</definedName>
    <definedName function="false" hidden="false" localSheetId="4" name="_xlnm.Print_Area" vbProcedure="false">Budynki!$A$1:$O$18</definedName>
    <definedName function="false" hidden="false" localSheetId="4" name="_xlnm.Print_Titles" vbProcedure="false">Budynki!$1:$5</definedName>
    <definedName function="false" hidden="true" localSheetId="4" name="_xlnm._FilterDatabase" vbProcedure="false">Budynki!$A$5:$O$18</definedName>
    <definedName function="false" hidden="false" localSheetId="25" name="_xlnm.Print_Area" vbProcedure="false">'Czas budowy'!$A$1:$AA$79</definedName>
    <definedName function="false" hidden="false" localSheetId="25" name="_xlnm.Print_Titles" vbProcedure="false">'Czas budowy'!$1:$5</definedName>
    <definedName function="false" hidden="true" localSheetId="25" name="_xlnm._FilterDatabase" vbProcedure="false">'Czas budowy'!$A$5:$AA$79</definedName>
    <definedName function="false" hidden="false" localSheetId="5" name="_xlnm.Print_Area" vbProcedure="false">Czlowiek!$A$1:$E$38</definedName>
    <definedName function="false" hidden="false" localSheetId="5" name="_xlnm.Print_Titles" vbProcedure="false">Czlowiek!$1:$5</definedName>
    <definedName function="false" hidden="true" localSheetId="5" name="_xlnm._FilterDatabase" vbProcedure="false">Czlowiek!$A$5:$E$40</definedName>
    <definedName function="false" hidden="false" localSheetId="28" name="_xlnm.Print_Area" vbProcedure="false">'Decyzje i konflikty'!$A$1:$G$45</definedName>
    <definedName function="false" hidden="false" localSheetId="28" name="_xlnm.Print_Titles" vbProcedure="false">'Decyzje i konflikty'!$1:$5</definedName>
    <definedName function="false" hidden="true" localSheetId="28" name="_xlnm._FilterDatabase" vbProcedure="false">'Decyzje i konflikty'!$A$5:$G$45</definedName>
    <definedName function="false" hidden="false" localSheetId="3" name="_xlnm.Print_Area" vbProcedure="false">'Decyzje v7'!$A$1:$D$22</definedName>
    <definedName function="false" hidden="false" localSheetId="3" name="_xlnm.Print_Titles" vbProcedure="false">'Decyzje v7'!$1:$5</definedName>
    <definedName function="false" hidden="true" localSheetId="3" name="_xlnm._FilterDatabase" vbProcedure="false">'Decyzje v7'!$A$5:$D$22</definedName>
    <definedName function="false" hidden="false" localSheetId="10" name="_xlnm.Print_Titles" vbProcedure="false">'Efekty i notyfikacje'!$1:$5</definedName>
    <definedName function="false" hidden="true" localSheetId="10" name="_xlnm._FilterDatabase" vbProcedure="false">'Efekty i notyfikacje'!$A$5:$F$24</definedName>
    <definedName function="false" hidden="false" localSheetId="21" name="_xlnm.Print_Area" vbProcedure="false">Ekspedycje!$A$1:$D$17</definedName>
    <definedName function="false" hidden="false" localSheetId="21" name="_xlnm.Print_Titles" vbProcedure="false">Ekspedycje!$1:$5</definedName>
    <definedName function="false" hidden="true" localSheetId="21" name="_xlnm._FilterDatabase" vbProcedure="false">Ekspedycje!$A$5:$D$17</definedName>
    <definedName function="false" hidden="false" localSheetId="22" name="_xlnm.Print_Area" vbProcedure="false">'Ekspedycje - poziomy'!$A$1:$G$19</definedName>
    <definedName function="false" hidden="false" localSheetId="22" name="_xlnm.Print_Titles" vbProcedure="false">'Ekspedycje - poziomy'!$1:$5</definedName>
    <definedName function="false" hidden="true" localSheetId="22" name="_xlnm._FilterDatabase" vbProcedure="false">'Ekspedycje - poziomy'!$A$5:$G$19</definedName>
    <definedName function="false" hidden="false" localSheetId="2" name="_xlnm.Print_Titles" vbProcedure="false">'Frontend v8'!$1:$5</definedName>
    <definedName function="false" hidden="true" localSheetId="2" name="_xlnm._FilterDatabase" vbProcedure="false">'Frontend v8'!$A$5:$D$29</definedName>
    <definedName function="false" hidden="false" localSheetId="41" name="_xlnm.Print_Area" vbProcedure="false">'Na pozniej'!$A$1:$D$12</definedName>
    <definedName function="false" hidden="false" localSheetId="41" name="_xlnm.Print_Titles" vbProcedure="false">'Na pozniej'!$1:$5</definedName>
    <definedName function="false" hidden="true" localSheetId="41" name="_xlnm._FilterDatabase" vbProcedure="false">'Na pozniej'!$A$5:$D$12</definedName>
    <definedName function="false" hidden="false" localSheetId="43" name="_xlnm.Print_Area" vbProcedure="false">'Narracje latarni'!$A$1:$C$105</definedName>
    <definedName function="false" hidden="false" localSheetId="43" name="_xlnm.Print_Titles" vbProcedure="false">'Narracje latarni'!$1:$5</definedName>
    <definedName function="false" hidden="true" localSheetId="43" name="_xlnm._FilterDatabase" vbProcedure="false">'Narracje latarni'!$A$5:$C$105</definedName>
    <definedName function="false" hidden="false" localSheetId="33" name="_xlnm.Print_Area" vbProcedure="false">'Odpowiedzi i zmiany'!$A$1:$C$15</definedName>
    <definedName function="false" hidden="false" localSheetId="33" name="_xlnm.Print_Titles" vbProcedure="false">'Odpowiedzi i zmiany'!$1:$5</definedName>
    <definedName function="false" hidden="true" localSheetId="33" name="_xlnm._FilterDatabase" vbProcedure="false">'Odpowiedzi i zmiany'!$A$5:$C$15</definedName>
    <definedName function="false" hidden="false" localSheetId="27" name="_xlnm.Print_Area" vbProcedure="false">Parametry!$A$1:$F$66</definedName>
    <definedName function="false" hidden="false" localSheetId="27" name="_xlnm.Print_Titles" vbProcedure="false">Parametry!$1:$5</definedName>
    <definedName function="false" hidden="true" localSheetId="27" name="_xlnm._FilterDatabase" vbProcedure="false">Parametry!$A$5:$F$83</definedName>
    <definedName function="false" hidden="false" localSheetId="42" name="_xlnm.Print_Area" vbProcedure="false">'Planowanie Premium'!$A$1:$I$10</definedName>
    <definedName function="false" hidden="false" localSheetId="42" name="_xlnm.Print_Titles" vbProcedure="false">'Planowanie Premium'!$1:$5</definedName>
    <definedName function="false" hidden="true" localSheetId="42" name="_xlnm._FilterDatabase" vbProcedure="false">'Planowanie Premium'!$A$5:$I$10</definedName>
    <definedName function="false" hidden="false" localSheetId="17" name="_xlnm.Print_Area" vbProcedure="false">Platformy!$A$1:$G$16</definedName>
    <definedName function="false" hidden="false" localSheetId="17" name="_xlnm.Print_Titles" vbProcedure="false">Platformy!$1:$5</definedName>
    <definedName function="false" hidden="true" localSheetId="17" name="_xlnm._FilterDatabase" vbProcedure="false">Platformy!$A$5:$G$16</definedName>
    <definedName function="false" hidden="false" localSheetId="34" name="_xlnm.Print_Area" vbProcedure="false">Pomysly!$A$1:$C$8</definedName>
    <definedName function="false" hidden="true" localSheetId="34" name="_xlnm._FilterDatabase" vbProcedure="false">Pomysly!$A$5:$C$8</definedName>
    <definedName function="false" hidden="false" localSheetId="30" name="_xlnm.Print_Area" vbProcedure="false">'Populacja i szczescie'!$A$1:$O$18</definedName>
    <definedName function="false" hidden="false" localSheetId="30" name="_xlnm.Print_Titles" vbProcedure="false">'Populacja i szczescie'!$1:$5</definedName>
    <definedName function="false" hidden="true" localSheetId="30" name="_xlnm._FilterDatabase" vbProcedure="false">'Populacja i szczescie'!$A$5:$E$14</definedName>
    <definedName function="false" hidden="false" localSheetId="12" name="_xlnm.Print_Area" vbProcedure="false">Premium!$A$1:$G$27</definedName>
    <definedName function="false" hidden="false" localSheetId="12" name="_xlnm.Print_Titles" vbProcedure="false">Premium!$1:$5</definedName>
    <definedName function="false" hidden="true" localSheetId="12" name="_xlnm._FilterDatabase" vbProcedure="false">Premium!$A$5:$G$27</definedName>
    <definedName function="false" hidden="false" localSheetId="15" name="_xlnm.Print_Area" vbProcedure="false">'Premium - budynek'!$A$1:$T$8</definedName>
    <definedName function="false" hidden="false" localSheetId="15" name="_xlnm.Print_Titles" vbProcedure="false">'Premium - budynek'!$1:$5</definedName>
    <definedName function="false" hidden="true" localSheetId="15" name="_xlnm._FilterDatabase" vbProcedure="false">'Premium - budynek'!$A$5:$T$8</definedName>
    <definedName function="false" hidden="false" localSheetId="13" name="_xlnm.Print_Area" vbProcedure="false">'Premium - czas'!$A$1:$J$25</definedName>
    <definedName function="false" hidden="false" localSheetId="13" name="_xlnm.Print_Titles" vbProcedure="false">'Premium - czas'!$1:$5</definedName>
    <definedName function="false" hidden="true" localSheetId="13" name="_xlnm._FilterDatabase" vbProcedure="false">'Premium - czas'!$A$5:$J$25</definedName>
    <definedName function="false" hidden="false" localSheetId="14" name="_xlnm.Print_Area" vbProcedure="false">'Premium - transport'!$A$1:$K$18</definedName>
    <definedName function="false" hidden="false" localSheetId="14" name="_xlnm.Print_Titles" vbProcedure="false">'Premium - transport'!$1:$5</definedName>
    <definedName function="false" hidden="true" localSheetId="14" name="_xlnm._FilterDatabase" vbProcedure="false">'Premium - transport'!$A$5:$K$18</definedName>
    <definedName function="false" hidden="false" localSheetId="24" name="_xlnm.Print_Area" vbProcedure="false">Produkcja!$A$1:$F$15</definedName>
    <definedName function="false" hidden="false" localSheetId="24" name="_xlnm.Print_Titles" vbProcedure="false">Produkcja!$1:$5</definedName>
    <definedName function="false" hidden="true" localSheetId="24" name="_xlnm._FilterDatabase" vbProcedure="false">Produkcja!$A$5:$F$15</definedName>
    <definedName function="false" hidden="false" localSheetId="31" name="_xlnm.Print_Area" vbProcedure="false">Przystan!$A$1:$H$18</definedName>
    <definedName function="false" hidden="false" localSheetId="31" name="_xlnm.Print_Titles" vbProcedure="false">Przystan!$1:$5</definedName>
    <definedName function="false" hidden="true" localSheetId="31" name="_xlnm._FilterDatabase" vbProcedure="false">Przystan!$A$5:$H$18</definedName>
    <definedName function="false" hidden="false" localSheetId="40" name="_xlnm.Print_Area" vbProcedure="false">'Rejestr historyczny v6'!$A$1:$F$205</definedName>
    <definedName function="false" hidden="false" localSheetId="40" name="_xlnm.Print_Titles" vbProcedure="false">'Rejestr historyczny v6'!$1:$5</definedName>
    <definedName function="false" hidden="true" localSheetId="40" name="_xlnm._FilterDatabase" vbProcedure="false">'Rejestr historyczny v6'!$A$5:$F$205</definedName>
    <definedName function="false" hidden="false" localSheetId="8" name="_xlnm.Print_Titles" vbProcedure="false">Sciezki!$1:$5</definedName>
    <definedName function="false" hidden="true" localSheetId="8" name="_xlnm._FilterDatabase" vbProcedure="false">Sciezki!$A$5:$K$11</definedName>
    <definedName function="false" hidden="false" localSheetId="9" name="_xlnm.Print_Titles" vbProcedure="false">'Sciezki - transport'!$1:$5</definedName>
    <definedName function="false" hidden="true" localSheetId="9" name="_xlnm._FilterDatabase" vbProcedure="false">'Sciezki - transport'!$A$5:$M$29</definedName>
    <definedName function="false" hidden="false" localSheetId="16" name="_xlnm.Print_Area" vbProcedure="false">'Social i polecenia'!$A$1:$E$10</definedName>
    <definedName function="false" hidden="false" localSheetId="16" name="_xlnm.Print_Titles" vbProcedure="false">'Social i polecenia'!$1:$5</definedName>
    <definedName function="false" hidden="true" localSheetId="16" name="_xlnm._FilterDatabase" vbProcedure="false">'Social i polecenia'!$A$5:$E$11</definedName>
    <definedName function="false" hidden="false" localSheetId="11" name="_xlnm.Print_Titles" vbProcedure="false">'Sprawdzenia v8'!$1:$5</definedName>
    <definedName function="false" hidden="true" localSheetId="11" name="_xlnm._FilterDatabase" vbProcedure="false">'Sprawdzenia v8'!$A$5:$E$236</definedName>
    <definedName function="false" hidden="false" localSheetId="0" name="_xlnm.Print_Area" vbProcedure="false">Start!$A$1:$F$29</definedName>
    <definedName function="false" hidden="false" localSheetId="0" name="_xlnm.Print_Titles" vbProcedure="false">Start!$1:$5</definedName>
    <definedName function="false" hidden="true" localSheetId="0" name="_xlnm._FilterDatabase" vbProcedure="false">Start!$A$5:$F$34</definedName>
    <definedName function="false" hidden="false" localSheetId="26" name="_xlnm.Print_Area" vbProcedure="false">'Transport i priorytety'!$A$1:$D$19</definedName>
    <definedName function="false" hidden="false" localSheetId="26" name="_xlnm.Print_Titles" vbProcedure="false">'Transport i priorytety'!$1:$5</definedName>
    <definedName function="false" hidden="true" localSheetId="26" name="_xlnm._FilterDatabase" vbProcedure="false">'Transport i priorytety'!$A$5:$D$24</definedName>
    <definedName function="false" hidden="false" localSheetId="35" name="_xlnm.Print_Area" vbProcedure="false">'Twoje wpisy v1'!$A$1:$D$80</definedName>
    <definedName function="false" hidden="false" localSheetId="35" name="_xlnm.Print_Titles" vbProcedure="false">'Twoje wpisy v1'!$1:$5</definedName>
    <definedName function="false" hidden="true" localSheetId="35" name="_xlnm._FilterDatabase" vbProcedure="false">'Twoje wpisy v1'!$A$5:$D$80</definedName>
    <definedName function="false" hidden="false" localSheetId="38" name="_xlnm.Print_Area" vbProcedure="false">'Twoje wpisy v4'!$A$1:$D$42</definedName>
    <definedName function="false" hidden="true" localSheetId="38" name="_xlnm._FilterDatabase" vbProcedure="false">'Twoje wpisy v4'!$A$5:$D$42</definedName>
    <definedName function="false" hidden="false" localSheetId="39" name="_xlnm.Print_Area" vbProcedure="false">'Twoje wpisy v6'!$A$1:$D$90</definedName>
    <definedName function="false" hidden="false" localSheetId="39" name="_xlnm.Print_Titles" vbProcedure="false">'Twoje wpisy v6'!$1:$5</definedName>
    <definedName function="false" hidden="true" localSheetId="39" name="_xlnm._FilterDatabase" vbProcedure="false">'Twoje wpisy v6'!$A$5:$D$90</definedName>
    <definedName function="false" hidden="false" localSheetId="29" name="_xlnm.Print_Area" vbProcedure="false">'Ustalenia - uwagi'!$A$1:$F$222</definedName>
    <definedName function="false" hidden="false" localSheetId="29" name="_xlnm.Print_Titles" vbProcedure="false">'Ustalenia - uwagi'!$1:$5</definedName>
    <definedName function="false" hidden="true" localSheetId="29" name="_xlnm._FilterDatabase" vbProcedure="false">'Ustalenia - uwagi'!$A$5:$F$270</definedName>
    <definedName function="false" hidden="false" localSheetId="20" name="_xlnm.Print_Area" vbProcedure="false">'Zadania - zegary'!$A$1:$K$18</definedName>
    <definedName function="false" hidden="false" localSheetId="20" name="_xlnm.Print_Titles" vbProcedure="false">'Zadania - zegary'!$1:$5</definedName>
    <definedName function="false" hidden="true" localSheetId="20" name="_xlnm._FilterDatabase" vbProcedure="false">'Zadania - zegary'!$A$5:$K$18</definedName>
    <definedName function="false" hidden="false" localSheetId="18" name="_xlnm.Print_Area" vbProcedure="false">'Zadania latarni'!$A$1:$G$26</definedName>
    <definedName function="false" hidden="false" localSheetId="18" name="_xlnm.Print_Titles" vbProcedure="false">'Zadania latarni'!$1:$5</definedName>
    <definedName function="false" hidden="true" localSheetId="18" name="_xlnm._FilterDatabase" vbProcedure="false">'Zadania latarni'!$A$5:$G$28</definedName>
    <definedName function="false" hidden="false" localSheetId="19" name="_xlnm.Print_Area" vbProcedure="false">'Zadania przyklady'!$A$1:$AH$19</definedName>
    <definedName function="false" hidden="false" localSheetId="19" name="_xlnm.Print_Titles" vbProcedure="false">'Zadania przyklady'!$1:$5</definedName>
    <definedName function="false" hidden="true" localSheetId="19" name="_xlnm._FilterDatabase" vbProcedure="false">'Zadania przyklady'!$A$5:$AH$19</definedName>
    <definedName function="false" hidden="false" localSheetId="1" name="_xlnm.Print_Titles" vbProcedure="false">'Zmiany v8'!$1:$5</definedName>
    <definedName function="false" hidden="true" localSheetId="1" name="_xlnm._FilterDatabase" vbProcedure="false">'Zmiany v8'!$A$5:$E$53</definedName>
    <definedName function="false" hidden="false" localSheetId="36" name="_xlnm.Print_Area" vbProcedure="false">Zrodlo!$A$1:$F$97</definedName>
    <definedName function="false" hidden="false" localSheetId="36" name="_xlnm.Print_Titles" vbProcedure="false">Zrodlo!$1:$5</definedName>
    <definedName function="false" hidden="true" localSheetId="36" name="_xlnm._FilterDatabase" vbProcedure="false">Zrodlo!$A$5:$M$19</definedName>
    <definedName function="false" hidden="false" localSheetId="37" name="_xlnm.Print_Area" vbProcedure="false">'Zrodlo v3'!$A$1:$C$43</definedName>
    <definedName function="false" hidden="false" localSheetId="37" name="_xlnm.Print_Titles" vbProcedure="false">'Zrodlo v3'!$1:$5</definedName>
    <definedName function="false" hidden="true" localSheetId="37" name="_xlnm._FilterDatabase" vbProcedure="false">'Zrodlo v3'!$A$5:$C$43</definedName>
  </definedNames>
  <calcPr iterateCount="100" refMode="A1" iterate="false" iterateDelta="0.0001"/>
  <extLst>
    <ext xmlns:loext="http://schemas.libreoffice.org/" uri="{7626C862-2A13-11E5-B345-FEFF819CDC9F}">
      <loext:extCalcPr stringRefSyntax="ExcelA1"/>
    </ext>
  </extLst>
</workbook>
</file>

<file path=xl/comments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Aktualne ustalenia v2</author>
    <author>Analiza v2</author>
  </authors>
  <commentList>
    <comment ref="I6"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U004 [AKTUALNE; PRZESTÓJ DO DOPRECYZOWANIA]: Poziom gracza=poziom Ratusza.
Ratusz nie zatrudnia pracowników.
U005 [AKTUALNE; PRZESTÓJ DO DOPRECYZOWANIA]: Pozostałe budynki mogą mieć najwyżej poziom Ratusza.
Podniesienie ratusza odblokowuje możliwość rozbudowy, nie wykonuje jej za gracza.
U006 [AKTUALNE; PRZESTÓJ DO DOPRECYZOWANIA]: Teoretyczny limit mieszkańców=24×poziom Ratusza.
PrzykładRatusz4→96;Ratusz6→144. To limit, nie automatyczna liczba osób.
U010 [POTWIERDZONE V2]: Limit każdego miejsca pracy=12×POZIOM TEGO BUDYNKU,ograniczony faktyczną pulą wolnych.
Drwale1:max12;Ratusz2bezdrwali2nicniezmienia;drwale2:max24.
U042 [DO UJEDNOLICENIA PO NOWEJ ZASADZIE]: Pracujący1moneta/h;bezrobotny i osoba w drodze0.
Nowo:blokada produkcji powoduje brak pracy. Podatek/+1przyblokadzie wymagają doprecyzowania.
U045 [AKTUALNE; PRZESTÓJ DO DOPRECYZOWANIA]: Dokładna średnia0%:brak zmian; dodatnia:przyrost;ujemna:ubytek.
Ubytek zawsze nazywamy odejściem,nie śmiercią.
U048 [AKTUALNE; PRZESTÓJ DO DOPRECYZOWANIA]: Co najmniej6osób; maksymalnie24×ratusz; przy minimum gra nadal grywalna.
Rozbudowa domu/ratusza nie dodaje ludzi natychmiast.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U063 [POTWIERDZONE V2]: Każdegoz6zasobów: Ratusz/Dom500L;Magazyn/Targ300L;Przystań400L.
Kolejka+10%całejceny.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U069 [POTWIERDZONE V2]: Ratusz i Dom:łącznie2T=Ttransportu+Tbudowy.
Zastępuje3T.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U090 [ZAAKCEPTOWANE]: Ratusz2→Magazyn2→Ratusz3→Magazyn3→Ratusz4 ze względu na miejsce na pełny koszt.
5000materiałów kosztuRatusza3 nie mieści się wMagazynie1(4000);7500Ratusza4nie wMagazynie2(6000).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Kolejka [NOWE]: Zakolejkowany budynek kosztuje o 10% więcej niż zlecony bez kolejki.
Pełny koszt z dopłatą musi być w chwili zamówienia i zostaje zarezerwowany; zakres dopłaty, zaokrąglenie i zwiększenie fizycznych dostaw wymagają jawnej interpretacji.
Budowy [POTWIERDZONE]: Ratusz L daje L aktywnych rozbudów i L pozycji kolejki; kolejka wymaga surowców już przy zlecaniu.
Dopłata +10% jest nowa; oferty premium zebrane osobno.
Postęp budowy [NOWE]: Panel pokazuje potrzebną i dostarczoną ilość każdego materiału, np. 60/100, oraz ETA transportu i budowy przy bieżących priorytetach.
Nie utożsamiać z ilością w magazynie: to postęp dostawy na budowę.
Czas [ZMIENIONE]: Łączny czas ratusza i domu wraca do 2T = przewóz T + budowa T.
Zastępuje 3T.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7"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U007 [AKTUALNE; PRZESTÓJ DO DOPRECYZOWANIA]: Dom daje24×swój poziom miejsc mieszkalnych.
Ratusz i Dom mają niezależne limity; Ratusz4,Dom3→limit96,miejsca72.
U008 [AKTUALNE; PRZESTÓJ DO DOPRECYZOWANIA]: PrzeludnienieU=max(0,P−24×poziom Domu). Każdej osobie naliczamy−Upp/h.
78osób/72miejsca→−6pp/h każdemu; kara sumuje się z innymi stawkami.
U009 [AKTUALNE; PRZESTÓJ DO DOPRECYZOWANIA]: Nowe miejsca po ukończeniu Domu zatrzymują przyszłą karę w pokrytym zakresie, bez zwracania utraconego szczęścia.
Nie ma natychmiastowego dodania ludzi po rozbudowie.
U010 [POTWIERDZONE V2]: Limit każdego miejsca pracy=12×POZIOM TEGO BUDYNKU,ograniczony faktyczną pulą wolnych.
Drwale1:max12;Ratusz2bezdrwali2nicniezmienia;drwale2:max24.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U063 [POTWIERDZONE V2]: Każdegoz6zasobów: Ratusz/Dom500L;Magazyn/Targ300L;Przystań400L.
Kolejka+10%całejceny.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U069 [POTWIERDZONE V2]: Ratusz i Dom:łącznie2T=Ttransportu+Tbudowy.
Zastępuje3T.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U089 [NOWE]: Dom ma dodatkowo powiadamiać o przeludnieniu.
Propozycja reagowania na zmianę stanu/liczbyosób,nie alarm co klatkę;częstotliwość przypomnień nieustalona.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Dom [NOWE]: Z panelu domu widać wszystkich ludzi i przydziały oraz można wysyłać do kaplicy lub latarni.
Na starcie 12 osób znajduje się w domu.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[ZMIENIONE]: Łączny czas ratusza i domu wraca do 2T = przewóz T + budowa T.
Zastępuje 3T.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Nowi ludzie [NOWE]: Przyrost populacji zawsze dodaje człowieka do domu.
Nie przypisuje go od razu do gospodarki. Maksimum ratusza, nie domu.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8"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U016 [POTWIERDZONE W ROZMOWIE]: Produkcja/os./h według poziomu:10,12,13,14…;L1=10,L&gt;=2:L+10.
Głód×0.5;latarnia×2;całeosobnesztuki.
U017 [AKTUALNE; PRZESTÓJ DO DOPRECYZOWANIA]: Zwolnienie odrzuca niedokończoną część sztuki tego pracownika.
Gotowy towar pozostaje w lokalnym magazynie.
U018 [AKTUALNE; PRZESTÓJ DO DOPRECYZOWANIA]: Farma produkuje osobne zboże, nie gotową żywność.
Zboże wymaga przewozu centralnie przed zużyciem przez młyn.
U022 [AKTUALNE; PRZESTÓJ DO DOPRECYZOWANIA]: Pojemność bufora każdego producenta=200×poziom Ratusza.
Wcześniej uzgodniono zależność od ratusza; nie zmieniono jej na własny poziom producenta.
U023 [AKTUALNE; PRZESTÓJ DO DOPRECYZOWANIA]: Pełny bufor zatrzymuje produkcję i daje jego załodze−10szczęścia od razu.
To offset, nie−10pp na godzinę.
U024 [AKTUALNE; PRZESTÓJ DO DOPRECYZOWANIA]: Kolejne−10 co24h ciągłego zapełnienia, maksymalnie−50:−20po24h,−30po48h,−40po72h,−50po96h.
Po zwolnieniu miejsca ta osobna kara znika.
U025 [AKTUALNE; PRZESTÓJ DO DOPRECYZOWANIA / NOWE DLA PORTU]: Powiadomienie przy zapełnieniu magazynu/bufora, także głównego.
Nowy port ma mieć notyfikację pełnego magazynu; nie spam co klatkę.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U061 [AKTUALNE; PRZESTÓJ DO DOPRECYZOWANIA]: Norma240×obecny poziom/dobę. Koszt30%drewna,30%kamienia,50%własnego produktu.
72Ldrewna+72Lkamienia+120Lproduktu;nakładające się materiały sumujemy.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U091 [ROZSTRZYGNIĘTE V2]: Własny poziom producenta zwiększa limit12×L oraz wydajność10,12,13,14…
Ratusz nadalwarunkiem rozbudowy;lokalnypojemnik200×ratuszpozostaje.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Produkcja [POTWIERDZONE W ODPOWIEDZI]: Wydajność na osobę na poziomach 1,2,3,4: dokładnie 10,12,13,14 szt./h.
Wybrany ciąg zastępuje ogólny sprzeczny zapis +10%; po poziomie 2 wzrost o 1 na poziom.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9"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U016 [POTWIERDZONE W ROZMOWIE]: Produkcja/os./h według poziomu:10,12,13,14…;L1=10,L&gt;=2:L+10.
Głód×0.5;latarnia×2;całeosobnesztuki.
U017 [AKTUALNE; PRZESTÓJ DO DOPRECYZOWANIA]: Zwolnienie odrzuca niedokończoną część sztuki tego pracownika.
Gotowy towar pozostaje w lokalnym magazynie.
U019 [AKTUALNE; PRZESTÓJ DO DOPRECYZOWANIA]: 2zboża z magazynu centralnego→1Food do lokalnego bufora młyna.
Brak surowca lub miejsca zatrzymuje produkcję.
U022 [AKTUALNE; PRZESTÓJ DO DOPRECYZOWANIA]: Pojemność bufora każdego producenta=200×poziom Ratusza.
Wcześniej uzgodniono zależność od ratusza; nie zmieniono jej na własny poziom producenta.
U023 [AKTUALNE; PRZESTÓJ DO DOPRECYZOWANIA]: Pełny bufor zatrzymuje produkcję i daje jego załodze−10szczęścia od razu.
To offset, nie−10pp na godzinę.
U024 [AKTUALNE; PRZESTÓJ DO DOPRECYZOWANIA]: Kolejne−10 co24h ciągłego zapełnienia, maksymalnie−50:−20po24h,−30po48h,−40po72h,−50po96h.
Po zwolnieniu miejsca ta osobna kara znika.
U025 [AKTUALNE; PRZESTÓJ DO DOPRECYZOWANIA / NOWE DLA PORTU]: Powiadomienie przy zapełnieniu magazynu/bufora, także głównego.
Nowy port ma mieć notyfikację pełnego magazynu; nie spam co klatkę.
U031 [AKTUALNE; PRZESTÓJ DO DOPRECYZOWANIA]: Każdy mieszkaniec automatycznie je1Food/h, niezależnie od zatrudnienia.
Tylko magazyn centralny. Food lokalny, targowy lub portowy nie karmi bez dowozu.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U061 [AKTUALNE; PRZESTÓJ DO DOPRECYZOWANIA]: Norma240×obecny poziom/dobę. Koszt30%drewna,30%kamienia,50%własnego produktu.
72Ldrewna+72Lkamienia+120Lproduktu;nakładające się materiały sumujemy.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U091 [ROZSTRZYGNIĘTE V2]: Własny poziom producenta zwiększa limit12×L oraz wydajność10,12,13,14…
Ratusz nadalwarunkiem rozbudowy;lokalnypojemnik200×ratuszpozostaje.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Produkcja [POTWIERDZONE W ODPOWIEDZI]: Wydajność na osobę na poziomach 1,2,3,4: dokładnie 10,12,13,14 szt./h.
Wybrany ciąg zastępuje ogólny sprzeczny zapis +10%; po poziomie 2 wzrost o 1 na poziom.
Przestój [NOWE; DO DOPRECYZOWANIA]: Brak surowca lub miejsca zatrzymuje produkcję i powoduje karę za brak pracy.
Próg po 12 h zgodnie z dotychczasową karą; nie ustalono naliczania podatku i bonusu pracy ani nakładania z karą pełnego magazynu.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0"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U016 [POTWIERDZONE W ROZMOWIE]: Produkcja/os./h według poziomu:10,12,13,14…;L1=10,L&gt;=2:L+10.
Głód×0.5;latarnia×2;całeosobnesztuki.
U017 [AKTUALNE; PRZESTÓJ DO DOPRECYZOWANIA]: Zwolnienie odrzuca niedokończoną część sztuki tego pracownika.
Gotowy towar pozostaje w lokalnym magazynie.
U021 [AKTUALNE; PRZESTÓJ DO DOPRECYZOWANIA]: Drwale produkują drewno; kamieniołom kamień.
Skończona produkcja trafia do bufora przy budynku.
U022 [AKTUALNE; PRZESTÓJ DO DOPRECYZOWANIA]: Pojemność bufora każdego producenta=200×poziom Ratusza.
Wcześniej uzgodniono zależność od ratusza; nie zmieniono jej na własny poziom producenta.
U023 [AKTUALNE; PRZESTÓJ DO DOPRECYZOWANIA]: Pełny bufor zatrzymuje produkcję i daje jego załodze−10szczęścia od razu.
To offset, nie−10pp na godzinę.
U024 [AKTUALNE; PRZESTÓJ DO DOPRECYZOWANIA]: Kolejne−10 co24h ciągłego zapełnienia, maksymalnie−50:−20po24h,−30po48h,−40po72h,−50po96h.
Po zwolnieniu miejsca ta osobna kara znika.
U025 [AKTUALNE; PRZESTÓJ DO DOPRECYZOWANIA / NOWE DLA PORTU]: Powiadomienie przy zapełnieniu magazynu/bufora, także głównego.
Nowy port ma mieć notyfikację pełnego magazynu; nie spam co klatkę.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U061 [AKTUALNE; PRZESTÓJ DO DOPRECYZOWANIA]: Norma240×obecny poziom/dobę. Koszt30%drewna,30%kamienia,50%własnego produktu.
72Ldrewna+72Lkamienia+120Lproduktu;nakładające się materiały sumujemy.
U062 [AKTUALNE; PRZESTÓJ DO DOPRECYZOWANIA]: Drwale192Ldrewna+72Lkamienia;kamieniołom72Ldrewna+192Lkamienia.
To nie dodatkowe podwójne naliczenie; suma składnika bazowego i produktu.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U091 [ROZSTRZYGNIĘTE V2]: Własny poziom producenta zwiększa limit12×L oraz wydajność10,12,13,14…
Ratusz nadalwarunkiem rozbudowy;lokalnypojemnik200×ratuszpozostaje.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Produkcja [POTWIERDZONE W ODPOWIEDZI]: Wydajność na osobę na poziomach 1,2,3,4: dokładnie 10,12,13,14 szt./h.
Wybrany ciąg zastępuje ogólny sprzeczny zapis +10%; po poziomie 2 wzrost o 1 na poziom.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1"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U016 [POTWIERDZONE W ROZMOWIE]: Produkcja/os./h według poziomu:10,12,13,14…;L1=10,L&gt;=2:L+10.
Głód×0.5;latarnia×2;całeosobnesztuki.
U017 [AKTUALNE; PRZESTÓJ DO DOPRECYZOWANIA]: Zwolnienie odrzuca niedokończoną część sztuki tego pracownika.
Gotowy towar pozostaje w lokalnym magazynie.
U020 [AKTUALNE; PRZESTÓJ DO DOPRECYZOWANIA]: 2drewna z magazynu centralnego→1deska do lokalnego bufora tartaku.
Brak surowca lub miejsca zatrzymuje produkcję.
U022 [AKTUALNE; PRZESTÓJ DO DOPRECYZOWANIA]: Pojemność bufora każdego producenta=200×poziom Ratusza.
Wcześniej uzgodniono zależność od ratusza; nie zmieniono jej na własny poziom producenta.
U023 [AKTUALNE; PRZESTÓJ DO DOPRECYZOWANIA]: Pełny bufor zatrzymuje produkcję i daje jego załodze−10szczęścia od razu.
To offset, nie−10pp na godzinę.
U024 [AKTUALNE; PRZESTÓJ DO DOPRECYZOWANIA]: Kolejne−10 co24h ciągłego zapełnienia, maksymalnie−50:−20po24h,−30po48h,−40po72h,−50po96h.
Po zwolnieniu miejsca ta osobna kara znika.
U025 [AKTUALNE; PRZESTÓJ DO DOPRECYZOWANIA / NOWE DLA PORTU]: Powiadomienie przy zapełnieniu magazynu/bufora, także głównego.
Nowy port ma mieć notyfikację pełnego magazynu; nie spam co klatkę.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U061 [AKTUALNE; PRZESTÓJ DO DOPRECYZOWANIA]: Norma240×obecny poziom/dobę. Koszt30%drewna,30%kamienia,50%własnego produktu.
72Ldrewna+72Lkamienia+120Lproduktu;nakładające się materiały sumujemy.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U091 [ROZSTRZYGNIĘTE V2]: Własny poziom producenta zwiększa limit12×L oraz wydajność10,12,13,14…
Ratusz nadalwarunkiem rozbudowy;lokalnypojemnik200×ratuszpozostaje.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Produkcja [POTWIERDZONE W ODPOWIEDZI]: Wydajność na osobę na poziomach 1,2,3,4: dokładnie 10,12,13,14 szt./h.
Wybrany ciąg zastępuje ogólny sprzeczny zapis +10%; po poziomie 2 wzrost o 1 na poziom.
Przestój [NOWE; DO DOPRECYZOWANIA]: Brak surowca lub miejsca zatrzymuje produkcję i powoduje karę za brak pracy.
Próg po 12 h zgodnie z dotychczasową karą; nie ustalono naliczania podatku i bonusu pracy ani nakładania z karą pełnego magazynu.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2"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U016 [POTWIERDZONE W ROZMOWIE]: Produkcja/os./h według poziomu:10,12,13,14…;L1=10,L&gt;=2:L+10.
Głód×0.5;latarnia×2;całeosobnesztuki.
U017 [AKTUALNE; PRZESTÓJ DO DOPRECYZOWANIA]: Zwolnienie odrzuca niedokończoną część sztuki tego pracownika.
Gotowy towar pozostaje w lokalnym magazynie.
U021 [AKTUALNE; PRZESTÓJ DO DOPRECYZOWANIA]: Drwale produkują drewno; kamieniołom kamień.
Skończona produkcja trafia do bufora przy budynku.
U022 [AKTUALNE; PRZESTÓJ DO DOPRECYZOWANIA]: Pojemność bufora każdego producenta=200×poziom Ratusza.
Wcześniej uzgodniono zależność od ratusza; nie zmieniono jej na własny poziom producenta.
U023 [AKTUALNE; PRZESTÓJ DO DOPRECYZOWANIA]: Pełny bufor zatrzymuje produkcję i daje jego załodze−10szczęścia od razu.
To offset, nie−10pp na godzinę.
U024 [AKTUALNE; PRZESTÓJ DO DOPRECYZOWANIA]: Kolejne−10 co24h ciągłego zapełnienia, maksymalnie−50:−20po24h,−30po48h,−40po72h,−50po96h.
Po zwolnieniu miejsca ta osobna kara znika.
U025 [AKTUALNE; PRZESTÓJ DO DOPRECYZOWANIA / NOWE DLA PORTU]: Powiadomienie przy zapełnieniu magazynu/bufora, także głównego.
Nowy port ma mieć notyfikację pełnego magazynu; nie spam co klatkę.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U061 [AKTUALNE; PRZESTÓJ DO DOPRECYZOWANIA]: Norma240×obecny poziom/dobę. Koszt30%drewna,30%kamienia,50%własnego produktu.
72Ldrewna+72Lkamienia+120Lproduktu;nakładające się materiały sumujemy.
U062 [AKTUALNE; PRZESTÓJ DO DOPRECYZOWANIA]: Drwale192Ldrewna+72Lkamienia;kamieniołom72Ldrewna+192Lkamienia.
To nie dodatkowe podwójne naliczenie; suma składnika bazowego i produktu.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U091 [ROZSTRZYGNIĘTE V2]: Własny poziom producenta zwiększa limit12×L oraz wydajność10,12,13,14…
Ratusz nadalwarunkiem rozbudowy;lokalnypojemnik200×ratuszpozostaje.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Produkcja [POTWIERDZONE W ODPOWIEDZI]: Wydajność na osobę na poziomach 1,2,3,4: dokładnie 10,12,13,14 szt./h.
Wybrany ciąg zastępuje ogólny sprzeczny zapis +10%; po poziomie 2 wzrost o 1 na poziom.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3"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U025 [AKTUALNE; PRZESTÓJ DO DOPRECYZOWANIA / NOWE DLA PORTU]: Powiadomienie przy zapełnieniu magazynu/bufora, także głównego.
Nowy port ma mieć notyfikację pełnego magazynu; nie spam co klatkę.
U026 [AKTUALNE; PRZESTÓJ DO DOPRECYZOWANIA]: Poziom1:1000na każdy z5 materiałów, nie więcej niż4000łącznie.
Monety są osobno w skarbcu.
U027 [AKTUALNE; PRZESTÓJ DO DOPRECYZOWANIA]: Każdy kolejny poziom mnoży oba limity×1.5, z zaokrągleniem w dół.
Poziom2:1500/6000;poziom3:2250/9000;poziom4:3375/13500.
U028 [POTWIERDZONE V2]: Ładunek60szt./kurs na1poziomie;pełnykurs5min,jeden materiał.
Nie60szt./h. Nie czeka na pełny ładunek.
U029 [POTWIERDZONE / FORMUŁA MODELOWA]: Pojemność tragarza rośnie10%/poziom własnego magazynu,targu lub portu.
W modelu floor(60×1.1^(L−1));60,66,72…
U030 [POTWIERDZONE V2]: Magazynierzy noszą produkcję i budowy;targ i port mają własne załogi w obie strony.
Przepływ przetwórstwa przez centralę.
U031 [AKTUALNE; PRZESTÓJ DO DOPRECYZOWANIA]: Każdy mieszkaniec automatycznie je1Food/h, niezależnie od zatrudnienia.
Tylko magazyn centralny. Food lokalny, targowy lub portowy nie karmi bez dowozu.
U032 [POTWIERDZONE V2]: Rezerwa Food=50×poziom magazynu;nie wynosić jej do celów innych niż żywienie.
Ludzie mogą zjadaćrezerwę.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U054 [POTWIERDZONE V2]: Targ ma własną załogę w obie strony,z takimi samymi zasadami ładunku i wzrostu jakmagazyn.
Dawna blokadadostaw1hniezostała usunięta.
U055 [POTWIERDZONE V2]: Towar z targu odnosi wyłącznie załoga targu. Zapas24hodprzyniesienia przepada;wynik wymiany ma nowe24h.
Zastępuje odbiór magazynierami;nie otrzymujemytowaruwcentrali natychmiast.
U060 [ZASADA UZGODNIONA / NAGRODA NIEUSTALONA]: Kolejny dzień logowania zwiększa lojalność do10dni; bonus lojalnościowy zostanie zdefiniowany później.
Nie wymyślono nagród. Poprzedni model używał dni Warszawy; szczegóły konta są przyszłe.
U063 [POTWIERDZONE V2]: Każdegoz6zasobów: Ratusz/Dom500L;Magazyn/Targ300L;Przystań400L.
Kolejka+10%całejceny.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U090 [ZAAKCEPTOWANE]: Ratusz2→Magazyn2→Ratusz3→Magazyn3→Ratusz4 ze względu na miejsce na pełny koszt.
5000materiałów kosztuRatusza3 nie mieści się wMagazynie1(4000);7500Ratusza4nie wMagazynie2(6000).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Transport [POTWIERDZONE W ODPOWIEDZI]: Cały kurs z powrotem trwa 5 min. Bazowy ładunek na poziomie 1 to 60 sztuk jednego produktu.
100 wymaga dwóch kursów 60 i 40. Nie czeka na pełny ładunek i nie miesza produktów. To zastępuje wcześniejsze 60 szt./h.
Pojemność tragarza [POTWIERDZONE; ZAOKRĄGLENIE DO DECYZJI]: Kolejny poziom zwiększa ilość materiału, którą tragarz może zabrać, o 10%; takie same zasady w targu i porcie.
Sposób wzrostu liniowy/składany oraz zaokrąglenie całych sztuk nie zostały dopisane jako pewne ustalenia.
Priorytety [NOWE]: Domyślnie najpierw zaopatrzenie magazynu, później budowy; gracz może zmieniać priorytety kategorii, producenta i konkretnej budowy.
ETA ma wynikać z aktualnych priorytetów i już dostarczonych partii.
Transport żywności [NOWE; PRÓG DO UJEDNOLICENIA]: Jeden tragarz ma nosić żywność, gdy jest wyprodukowana, a centrala spadnie poniżej progu.
Nowa rezerwa to 50 × poziom magazynu, ale opis tragarza nadal używa 50. Nie wolno stworzyć pracownika, gdy obsada wynosi 0.
Rezerwa [ZMIENIONE]: Minimum pożywienia chronionego przed wynoszeniem = 50 × poziom magazynu.
Ludzie mogą zjadać rezerwę; transport żywności nie jest akcją ręcznego karmienia.
Koszt [ZMIENIONE]: Rozbudowa magazynu: 300 × obecny poziom każdego z 6 zasobów.
Zastępuje 500; 5 materiałów jadą na budowę, monety ze skarbca.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Targ [ZMIENIONE]: Targ ma własnych ludzi; tylko oni donoszą na targ i odwożą z targu do magazynu.
Zastępuje odbiór wyniku wymiany przez magazynierów. Towar musi być na targu, aby go wymienić.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4"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U025 [AKTUALNE; PRZESTÓJ DO DOPRECYZOWANIA / NOWE DLA PORTU]: Powiadomienie przy zapełnieniu magazynu/bufora, także głównego.
Nowy port ma mieć notyfikację pełnego magazynu; nie spam co klatkę.
U032 [POTWIERDZONE V2]: Rezerwa Food=50×poziom magazynu;nie wynosić jej do celów innych niż żywienie.
Ludzie mogą zjadaćrezerwę.
U049 [POTWIERDZONE W ROZMOWIE]: Cała gospodarka liczyczas zegarowy również offline.
Zastępuje zatrzymywanie po ukryciu/zamknięciu karty. Guziki przyspieszenia powiązane z czasowymi premiami.
U050 [AKTUALNE; PRZESTÓJ DO DOPRECYZOWANIA]: Targ dostępny od poziomu gracza2.
Przystań od4; odblokowanie następuje z poziomu ratusza.
U051 [AKTUALNE; PRZESTÓJ DO DOPRECYZOWANIA]: Wymiana dowolnej ilości, ale tylko w grupach:drewno/kamień/zboże lub deski/Food.
Brak wymiany między grupami; brak kupowania za pieniądze.
U052 [AKTUALNE; PRZESTÓJ DO DOPRECYZOWANIA]: Nominalnie1:1;marża10%,np.10drewna→9kamienia.
Nie stosujemy wcześniejszego sprzecznego przykładu deski→kamień.
U053 [AKTUALNE; PRZESTÓJ DO DOPRECYZOWANIA]: Pojemność1000na1,1500na2,2250na3…;każdy poziom×1.5.
Jeden limit łączny własnego targu, nie1000każdego materiału.
U054 [POTWIERDZONE V2]: Targ ma własną załogę w obie strony,z takimi samymi zasadami ładunku i wzrostu jakmagazyn.
Dawna blokadadostaw1hniezostała usunięta.
U055 [POTWIERDZONE V2]: Towar z targu odnosi wyłącznie załoga targu. Zapas24hodprzyniesienia przepada;wynik wymiany ma nowe24h.
Zastępuje odbiór magazynierami;nie otrzymujemytowaruwcentrali natychmiast.
U060 [ZASADA UZGODNIONA / NAGRODA NIEUSTALONA]: Kolejny dzień logowania zwiększa lojalność do10dni; bonus lojalnościowy zostanie zdefiniowany później.
Nie wymyślono nagród. Poprzedni model używał dni Warszawy; szczegóły konta są przyszłe.
U063 [POTWIERDZONE V2]: Każdegoz6zasobów: Ratusz/Dom500L;Magazyn/Targ300L;Przystań400L.
Kolejka+10%całejceny.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Transport [POTWIERDZONE W ODPOWIEDZI]: Cały kurs z powrotem trwa 5 min. Bazowy ładunek na poziomie 1 to 60 sztuk jednego produktu.
100 wymaga dwóch kursów 60 i 40. Nie czeka na pełny ładunek i nie miesza produktów. To zastępuje wcześniejsze 60 szt./h.
Pojemność tragarza [POTWIERDZONE; ZAOKRĄGLENIE DO DECYZJI]: Kolejny poziom zwiększa ilość materiału, którą tragarz może zabrać, o 10%; takie same zasady w targu i porcie.
Sposób wzrostu liniowy/składany oraz zaokrąglenie całych sztuk nie zostały dopisane jako pewne ustalenia.
Koszt [ZMIENIONE]: Rozbudowa targu: 300 × obecny poziom każdego z 6 zasobów.
Zastępuje 500.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Targ [ZMIENIONE]: Targ ma własnych ludzi; tylko oni donoszą na targ i odwożą z targu do magazynu.
Zastępuje odbiór wyniku wymiany przez magazynierów. Towar musi być na targu, aby go wymienić.
Targ: wygaśnięcie [NOWE]: Towar na targu znika po 24 h od przyniesienia; wynik wymiany także znika po własnych 24 h.
Nie określono osobno zasad dzielenia/łączenia partii ani wpływu premium na wiek.
Targ: wymiana [POTWIERDZONE W NAJNOWSZEJ ODPOWIEDZI]: Targ pozostaje wymianą bez monet w dwóch grupach i z marżą10%.
140/150 to nowe portowe ceny przetworzonych, nie oferta pieniężna targu.
Ranking [NOWE]: W ustawieniach ranking według wyniku: poziom ratusza × ilość złota.
Brak osobnych reguł remisu, częstotliwości aktualizacji i ochrony przed manipulacją stanem skarbca.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5"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U025 [AKTUALNE; PRZESTÓJ DO DOPRECYZOWANIA / NOWE DLA PORTU]: Powiadomienie przy zapełnieniu magazynu/bufora, także głównego.
Nowy port ma mieć notyfikację pełnego magazynu; nie spam co klatkę.
U030 [POTWIERDZONE V2]: Magazynierzy noszą produkcję i budowy;targ i port mają własne załogi w obie strony.
Przepływ przetwórstwa przez centralę.
U032 [POTWIERDZONE V2]: Rezerwa Food=50×poziom magazynu;nie wynosić jej do celów innych niż żywienie.
Ludzie mogą zjadaćrezerwę.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U063 [POTWIERDZONE V2]: Każdegoz6zasobów: Ratusz/Dom500L;Magazyn/Targ300L;Przystań400L.
Kolejka+10%całejceny.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U081 [NOWE]: Od ratusza4 kupno i sprzedaż wszystkich5materiałów za monety;tylko pełne100.
Nie oznacza kupowania samych monet za monety.
U082 [OSTATNIA KOREKTA ROZMOWY]: Port za100:podstawowe40sprzedaż/50kupno;przetworzone140/150.
Zastępuje70/80;Targ pozostaje bezpieniędzy.
U083 [POTWIERDZONE LINIOWO]: Drugaikolejnakupionapaczka100wostatnich3h:+10%cenybazowej za każdy kolejny stopień.
50,55,60…;150,165,180…;licznikglobalny/perproduktnieokreślony.
U084 [POTWIERDZONE V2]: Portsprzedaż:centrala→port+port→statek;płatność/notyfikacja przy wypłynięciu. Zakup:płatność przy przypłynięciu,rozładunek i powrót towarów do centrali.
Załoga własna,zasadyjakmagazyn;statek mapojemnośćportu.
U085 [NOWE]: Pojemność portu jak magazynu:1000każdego/4000łącznie na1,potem×1.5.
Nie naliczono nieustalonej opłaty jako ceny budowy.
U088 [NOWE DOPRECYZOWANIE]: Zawsze powiadomienie o ukończeniu budowy.
Dotychczas takżezlecenie,start i dostawa;nowealarmyopisanojakoprojekt,nie wdrożenie.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Transport [POTWIERDZONE W ODPOWIEDZI]: Cały kurs z powrotem trwa 5 min. Bazowy ładunek na poziomie 1 to 60 sztuk jednego produktu.
100 wymaga dwóch kursów 60 i 40. Nie czeka na pełny ładunek i nie miesza produktów. To zastępuje wcześniejsze 60 szt./h.
Pojemność tragarza [POTWIERDZONE; ZAOKRĄGLENIE DO DECYZJI]: Kolejny poziom zwiększa ilość materiału, którą tragarz może zabrać, o 10%; takie same zasady w targu i porcie.
Sposób wzrostu liniowy/składany oraz zaokrąglenie całych sztuk nie zostały dopisane jako pewne ustalenia.
Koszt [ZMIENIONE]: Rozbudowa przystani: 400 × obecny poziom każdego z 6 zasobów.
Zastępuje 500.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Port: operacje [WYJAŚNIONE]: Sprzedaż: z centrali do portu, potem na statek, własną załogą. Przy wypłynięciu statku notyfikacja i zapłata.
Przy zakupie zapłata przy przypłynięciu, potem rozładunek i transport do centrali. Przed dowozem zakup nie jest wydawalny centralnie.
Statek [NOWE]: Statek ma pojemność magazynu portu.
Port ma limit na każdy materiał i łączny; statek powinien respektować oba albo wymagać potwierdzenia jednego globalnego limitu.
Port: ceny [ZMIENIONE I POTWIERDZONE]: Za100 podstawowych sprzedaż40/kupno50; za100 przetworzonych sprzedaż140/kupno150.
Nowe140/150 zastępuje wcześniejsze portowe70/80; podstawowe pozostają40/50.
Port: podwyżki [WYJAŚNIONE CZĘŚCIOWO]: Rosnące ceny zakupów w ostatnich 3 h liczyć liniowo, nie składanie.
Druga i kolejne paczki +10% ceny bazowej; globalność/per materiał i zaokrąglenie nieustalone.
Port: wygaśnięcie [ZMIENIONE]: Towar nieodebrany w 24 h przepada.
Zastępuje wcześniejszą opłatę 10 monet; nie należy naliczać obu konsekwencji.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6"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U043 [AKTUALNE; PRZESTÓJ DO DOPRECYZOWANIA]: Głód nie obniża podatku; premia kaplicy daje×2podatku na10h.
Kaplica podwaja tylko istniejący podatek pracujących.
U049 [POTWIERDZONE W ROZMOWIE]: Cała gospodarka liczyczas zegarowy również offline.
Zastępuje zatrzymywanie po ukryciu/zamknięciu karty. Guziki przyspieszenia powiązane z czasowymi premiami.
U056 [AKTUALNE; PRZESTÓJ DO DOPRECYZOWANIA]: Na poziomie1 bez pasywnego plusa/minusa. Po rozbudowie doN:+10×Nszczęścia wszystkim i podatek×2przez10h.
Premia za ukończenie rozbudowy; kolejna odświeża okres, bez nakładania mnożnika do×4.
U057 [WCZEŚNIEJ UZGODNIONE / NOWE SZCZEGÓŁY ODŁOŻONE]: Ręczne użycie:+50każdego zasobu,+20szczęścia wszystkim na1h.
Przynależność wyjaśniona: Kaplica = błogosławieństwo, Latarnia = zwiedzanie. Liczba darmowych użyć błogosławieństwa = poziom kaplicy; nowe odstępy i oferty Premium są odłożone.
U058 [ODŁOŻONE]: Nowe odstępy+25%,zakup/challenge/share/reklama i natychmiastowe użycie.
Konflikt z godzinnym efektem bez nakładania zostawiony na później zgodnie z instrukcją.
U059 [ODŁOŻONE]: Nowa notatka:60sreklamy skraca pozostały czas o połowę, maks.2na1hgry.
Nie wybieramy resetu, czasu okna, początku cooldownu ani harmonogramu.
U060 [ZASADA UZGODNIONA / NAGRODA NIEUSTALONA]: Kolejny dzień logowania zwiększa lojalność do10dni; bonus lojalnościowy zostanie zdefiniowany później.
Nie wymyślono nagród. Poprzedni model używał dni Warszawy; szczegóły konta są przyszłe.
U064 [TYMCZASOWE]: N×(180monet+20drewna+60kamienia+10desek),Nnowy poziom.
Cena nie była docelowo ustalona;do przewozu90×N.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U071 [POTWIERDZONE W ROZMOWIE]: Kaplica:T+3T×(N−1),Nnowy poziom;1→2:4T,2→3:7T,3→4:10T.
Nie używamy obecnego poziomu wczłonie N−1.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[POTWIERDZONE W ODPOWIEDZI]: Łącznie T + 3T × (nowy poziom −1). Rozbudowy 1→2,2→3,3→4: 4T,7T,10T.
W mnożniku użyto nowego poziomu, nie starego.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Kaplica i latarnia [WYJAŚNIONE]: Błogosławieństwo należy do kaplicy; zwiedzanie do latarni. Oba prowadzą do bonusu/premii.
Czas i efekt pojedynczej wizyty nie są tym samym co automatyczna premia rozbudowy.
Ranking [NOWE]: W ustawieniach ranking według wyniku: poziom ratusza × ilość złota.
Brak osobnych reguł remisu, częstotliwości aktualizacji i ochrony przed manipulacją stanem skarbca.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7"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U049 [POTWIERDZONE W ROZMOWIE]: Cała gospodarka liczyczas zegarowy również offline.
Zastępuje zatrzymywanie po ukryciu/zamknięciu karty. Guziki przyspieszenia powiązane z czasowymi premiami.
U057 [WCZEŚNIEJ UZGODNIONE / NOWE SZCZEGÓŁY ODŁOŻONE]: Ręczne użycie:+50każdego zasobu,+20szczęścia wszystkim na1h.
Przynależność wyjaśniona: Kaplica = błogosławieństwo, Latarnia = zwiedzanie. Liczba darmowych użyć błogosławieństwa = poziom kaplicy; nowe odstępy i oferty Premium są odłożone.
U058 [ODŁOŻONE]: Nowe odstępy+25%,zakup/challenge/share/reklama i natychmiastowe użycie.
Konflikt z godzinnym efektem bez nakładania zostawiony na później zgodnie z instrukcją.
U059 [ODŁOŻONE]: Nowa notatka:60sreklamy skraca pozostały czas o połowę, maks.2na1hgry.
Nie wybieramy resetu, czasu okna, początku cooldownu ani harmonogramu.
U060 [ZASADA UZGODNIONA / NAGRODA NIEUSTALONA]: Kolejny dzień logowania zwiększa lojalność do10dni; bonus lojalnościowy zostanie zdefiniowany później.
Nie wymyślono nagród. Poprzedni model używał dni Warszawy; szczegóły konta są przyszłe.
U065 [AKTUALNE; PRZESTÓJ DO DOPRECYZOWANIA]: 500każdego zasobu razem zmonetami/złotem;dla pierwszejbudowy500, dalej500×obecny poziom.
Użytkownik zdecydował zachować koszt500pomimo długiego zbierania. Do transportu2500×max(1,L).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U072 [POTWIERDZONE W ROZMOWIE]: Latarnia:łącznie5T=Ttransportu+4Tbudowy.
Zastępuje6T.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U079 [POTWIERDZONE V2]: Latarnia ustawia skuteczne szczęście KAŻDEGO na100%,nie dodaje+100. Produkcja×2.
Obie premie24h×N;podatki/transportbezmnożnika.
U080 [AKTUALNE; PRZESTÓJ DO DOPRECYZOWANIA]: Kolejna rozbudowa odświeża czas, a nie mnożnik produkcji do×4.
Premia zaczyna się po ukończeniu;nowe błogosławieństwaODŁOŻONE.
U088 [NOWE DOPRECYZOWANIE]: Zawsze powiadomienie o ukończeniu budowy.
Dotychczas takżezlecenie,start i dostawa;nowealarmyopisanojakoprojekt,nie wdrożenie.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[POTWIERDZONE W ODPOWIEDZI]: Łącznie 5T = transport T + budowanie 4T.
Zastępuje sprzeczny nagłówek 6T.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Kaplica i latarnia [WYJAŚNIONE]: Błogosławieństwo należy do kaplicy; zwiedzanie do latarni. Oba prowadzą do bonusu/premii.
Czas i efekt pojedynczej wizyty nie są tym samym co automatyczna premia rozbudowy.
Latarnia: szczęście [ZMIENIONE]: Podczas premii wszyscy mają ustawione 100% szczęścia, nie dodane +100 pp.
Obie premie nadal 24 h × osiągnięty poziom; produkcja ×2; powrót do osobistych wartości po zakończeniu wymaga doprecyzowania.
Ranking [NOWE]: W ustawieniach ranking według wyniku: poziom ratusza × ilość złota.
Brak osobnych reguł remisu, częstotliwości aktualizacji i ochrony przed manipulacją stanem skarbca.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6"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7"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8"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9"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0"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1"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2"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3"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4"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5"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6"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7"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6"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7"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8"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9"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0"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1"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2"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3"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4"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5"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6"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7"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6"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7"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8"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9"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0"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1"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2"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3"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4"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5"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6"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7"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List>
</comments>
</file>

<file path=xl/sharedStrings.xml><?xml version="1.0" encoding="utf-8"?>
<sst xmlns="http://schemas.openxmlformats.org/spreadsheetml/2006/main" count="8911" uniqueCount="3915">
  <si>
    <t xml:space="preserve">HARBORLIGHT V8 • pełne zasady i zmiany interfejsu</t>
  </si>
  <si>
    <t xml:space="preserve">Źródło: niezmieniony HARBORLIGHT7-zasady.xlsx, 17 decyzji D01–D17 oraz WSZYSTKIE późniejsze zaakceptowane zmiany frontendu i gospodarki. Nowe arkusze: Zmiany v8, Frontend v8, Atrakcje, Atrakcje - kalkulator, Sciezki, Sciezki - transport, Efekty i notyfikacje, Sprawdzenia v8. Archiwalne źródła i 48 komentarzy użytkownika zachowano. Nowsze decyzje w Zmiany v8 mają pierwszeństwo.</t>
  </si>
  <si>
    <t xml:space="preserve">Obszar</t>
  </si>
  <si>
    <t xml:space="preserve">Co zmieniono</t>
  </si>
  <si>
    <t xml:space="preserve">Gdzie sprawdzić</t>
  </si>
  <si>
    <t xml:space="preserve">Główna tabela</t>
  </si>
  <si>
    <t xml:space="preserve">12 budynków + asset Człowiek; własne bufory producentów, dotychczasowe limity pracy i najnowsze widoki bez podatków.</t>
  </si>
  <si>
    <t xml:space="preserve">Budynki</t>
  </si>
  <si>
    <t xml:space="preserve">Czasy</t>
  </si>
  <si>
    <t xml:space="preserve">Pełny bazowy kurs 5 min; ścieżki przyspieszają kursy i od poziomu 3 zwiększają ładunek. Budynki 2T; latarnia 5T; kaplica 4T/7T/10T.</t>
  </si>
  <si>
    <t xml:space="preserve">Czas budowy: 74 warianty (37 etapów × bazowy/kolejka).</t>
  </si>
  <si>
    <t xml:space="preserve">Kolejka</t>
  </si>
  <si>
    <t xml:space="preserve">Pełny koszt przy zleceniu +10%; dopłata materiałowa zmienia liczbę kursów i czas.</t>
  </si>
  <si>
    <t xml:space="preserve">Normalnie L budów + L miejsc kolejki. Czekanie w kolejce jest wyłączone z estymat.</t>
  </si>
  <si>
    <t xml:space="preserve">Zatrudnienie</t>
  </si>
  <si>
    <t xml:space="preserve">Limit 12 × własny poziom, produkcja 10/12/13/14…, 5 min do pracy. Podatki naliczane bez zmian, ale informacja o nich usunięta z UI.</t>
  </si>
  <si>
    <t xml:space="preserve">Czlowiek / Produkcja</t>
  </si>
  <si>
    <t xml:space="preserve">Offline</t>
  </si>
  <si>
    <t xml:space="preserve">Cała gospodarka działa również offline: podatki, jedzenie, szczęście, populacja, produkcja, transport i budowa.</t>
  </si>
  <si>
    <t xml:space="preserve">Transport i priorytety; Czlowiek</t>
  </si>
  <si>
    <t xml:space="preserve">Front usunąć znaczki czasu </t>
  </si>
  <si>
    <t xml:space="preserve">Koszty</t>
  </si>
  <si>
    <t xml:space="preserve">Magazyn/Targ: 300 L każdego zasobu; Port: 400 L; Ratusz/Dom: 500 L; Latarnia: 500 × max(1, L).</t>
  </si>
  <si>
    <t xml:space="preserve">Parametry / Czas budowy</t>
  </si>
  <si>
    <t xml:space="preserve">Transport</t>
  </si>
  <si>
    <t xml:space="preserve">Do trzech trwałych numerowanych priorytetów, w tym Construction. Podział kursów 8/2 losowe, 5/3/2 losowe lub 5/3/2. Ratunkowe Food zachowuje ochronę.</t>
  </si>
  <si>
    <t xml:space="preserve">Transport i priorytety / Czlowiek. Ratunkowy próg Food oraz rezerwa 50 × poziom magazynu są potwierdzone w V5.</t>
  </si>
  <si>
    <t xml:space="preserve">Ceny</t>
  </si>
  <si>
    <t xml:space="preserve">Port: podstawowe 40/50, produkty 140/150 za 100; podwyżki zakupowe +10% liniowo. Ostatnia korekta dotyczy PORTU, nie TARGU.</t>
  </si>
  <si>
    <t xml:space="preserve">Przystan; Targ: bez monet, marża 10%.</t>
  </si>
  <si>
    <t xml:space="preserve">Terminy</t>
  </si>
  <si>
    <t xml:space="preserve">Towar w porcie/targu nieodebrany przez 24 h przepada; portowa opłata 10 monet została zniesiona.</t>
  </si>
  <si>
    <t xml:space="preserve">Terminy zegarowe, również offline.</t>
  </si>
  <si>
    <t xml:space="preserve">Premie i wizyty</t>
  </si>
  <si>
    <t xml:space="preserve">Płatne błogosławieństwo: 100 × poziom kaplicy monet; +50 każdego zasobu i +20 pp na 1 h. Kolejne płatne użycie 4 h od KOŃCA efektu: 12:00–13:00 → następne 17:00. Nie można nakładać aktywnych błogosławieństw. Premie od powrotu: uczestnik 100% na 24 h i blokada ponownej wizyty przez te same 24 h; każda osobno wysłana grupa daje populacji +10 pp przez 6 h. Premie grup sumują się w czasie nakładania.</t>
  </si>
  <si>
    <t xml:space="preserve">Czlowiek / Blogoslawienstwa / Decyzje v7 D01–D02, D15.</t>
  </si>
  <si>
    <t xml:space="preserve">Premium</t>
  </si>
  <si>
    <t xml:space="preserve">25/50/75/100% pozostałej fazy budowania, bez transportu. Cena = MAX(5, FLOOR(zaoszczędzone sekundy / 60)) monet. Transport jest osobno rozliczany za potrzebne kursy. Pełny zakup budynku od poziomu gracza 4: wszystkie materiały według proporcjonalnych bazowych cen zakupu portu ×1,25 + nominalne monety budynku + natychmiastowy transport (10 monet za każdy potrzebny kurs, także niepełny). Nic nie pobieramy z własnych materiałów. Gotowe po 10 s; bez wymogu rzeczywistych tragarzy.</t>
  </si>
  <si>
    <t xml:space="preserve">Premium / trzy kalkulatory / Planowanie Premium.</t>
  </si>
  <si>
    <t xml:space="preserve">Front w każdej bnudowli możliwość skrócenia CZASU budowy z kosztem oraz możliwość zakupu budyunku z kosztem </t>
  </si>
  <si>
    <t xml:space="preserve">Ludzie i ranking</t>
  </si>
  <si>
    <t xml:space="preserve">Najpierw dom i ludzie w drodze; potem największa załoga. Remis: port → targ → tartak → kamieniołom → drwale → farma → młyn → magazyn. Zwiedzający i uczestnicy modlitwy chronieni; jeżeli brak osoby uprawnionej, odejście nie zachodzi. Minimum 6. Ranking = Ratusz × monety, aktualizowany co pełną godzinę.</t>
  </si>
  <si>
    <t xml:space="preserve">Czlowiek / Populacja i szczescie.</t>
  </si>
  <si>
    <t xml:space="preserve">tu nie ma konfliktu opisałem już zabieraz najpierw z domu, później z miejsca gdzie jesty najwiecej w przypadku remisu kolejność, port, bazar,  tartak, kamieniołom drwal, farma młyn transport, musisz kreatywnie chronić produkcji I transportu żywności </t>
  </si>
  <si>
    <t xml:space="preserve">Twoje wpisy</t>
  </si>
  <si>
    <t xml:space="preserve">Zachowano wszystkie 75 tekstowych różnic, również notatki w komórkach, nie tylko komentarze Excel.</t>
  </si>
  <si>
    <t xml:space="preserve">Twoje wpisy v1 / Odpowiedzi i zmiany</t>
  </si>
  <si>
    <t xml:space="preserve">Niewybrane szczegóły</t>
  </si>
  <si>
    <t xml:space="preserve">D01–D17 zamknięte. Na później: integracje kont/płatności, social, reklamy, docelowy balans ekspedycji, osobna modlitwa i wartości nagród lojalności.</t>
  </si>
  <si>
    <t xml:space="preserve">Decyzje v7 / Na pozniej.</t>
  </si>
  <si>
    <t xml:space="preserve">Nowe pomysły z repozytorium</t>
  </si>
  <si>
    <t xml:space="preserve">Ekspedycje i wyzwania latarni otrzymały nowe reguły; sterowanie labiryntem/piłeczką pozostaje do opisania.</t>
  </si>
  <si>
    <t xml:space="preserve">Zadania latarni / Ekspedycje / Zrodlo v3.</t>
  </si>
  <si>
    <t xml:space="preserve">Zadania latarni</t>
  </si>
  <si>
    <t xml:space="preserve">Zawsze 3 oferty, tylko 1 aktywne zadanie. Podświetlony postęp każdego produktu w obu widokach; pozostałe wyszarzone. Po sukcesie fajerwerki, wibracja telefonu i opcjonalny Share on Facebook za 500 monet.</t>
  </si>
  <si>
    <t xml:space="preserve">Zadania latarni / Zadania przyklady / Zadania - zegary / Narracje latarni.</t>
  </si>
  <si>
    <t xml:space="preserve">Ekspedycje</t>
  </si>
  <si>
    <t xml:space="preserve">50 monet po pierwszym poziomie; każda dalsza wygrana podwaja pulę, a przegrana ją zeruje. Dodatkowe ruchy/czas: monety lub reklama ≤30 s.</t>
  </si>
  <si>
    <t xml:space="preserve">Ekspedycje / Ekspedycje - poziomy.</t>
  </si>
  <si>
    <t xml:space="preserve">Social i polecenia</t>
  </si>
  <si>
    <t xml:space="preserve">Nagrody społecznościowe: 1000/500 monet; polecenie: 1000 monet oraz 500 wszystkiego w 3. aktywnym dniu; 1000 monet za każdy 3. post na FB.</t>
  </si>
  <si>
    <t xml:space="preserve">Social i polecenia / Platformy.</t>
  </si>
  <si>
    <t xml:space="preserve">Balans i niejasności</t>
  </si>
  <si>
    <t xml:space="preserve">Nagrody skalowane od L3 i przechowywane przy braku miejsca; minimum przyspieszenia 5 monet; ekspedycje podwajają pulę. Duże zadania nadal mogą wymagać wcześniejszych zapasów.</t>
  </si>
  <si>
    <t xml:space="preserve">Bilans V3; zamknięte kwestie oznaczono wynikiem.</t>
  </si>
  <si>
    <t xml:space="preserve">Nowe koszty V5</t>
  </si>
  <si>
    <t xml:space="preserve">Młyn, drwale, tartak, kamieniołom: koszt ×2; farma bez zmian. Czasy i kolejka +10% przeliczone.</t>
  </si>
  <si>
    <t xml:space="preserve">Budynki / Czas budowy</t>
  </si>
  <si>
    <t xml:space="preserve">Wymaganie interfejsu</t>
  </si>
  <si>
    <t xml:space="preserve">Angielskie etykiety liczb, statusy, ETA transportu i budowy; bez podatków; Resources = zapas lokalny / centralny; zarządzanie budową tylko ratusz, pracownikami tylko dom.</t>
  </si>
  <si>
    <t xml:space="preserve">Frontend v8 / Zmiany v8; stare notatki w kolumnach E/F są źródłowe.</t>
  </si>
  <si>
    <t xml:space="preserve">Dom i nowe osoby</t>
  </si>
  <si>
    <t xml:space="preserve">Pula domu = liczba mieszkańców przy odnowieniu, w pełnych pp, raz na 24 h. Ręczne punkty dodają H; nie kasują kar ani ich liczników. O 23 h 58 min automat rozdaje wyłącznie resztę, po 1 pp najniższemu H; remis losowy. Pula nie jest wydawana drugi raz. Każdy nowy mieszkaniec ma zamrożone 0% szczęścia przez pierwsze 24 h, również podczas premii; później zwykłe naliczanie od 0%. Początkowych 12 osób nie obejmuje zamrożenie.</t>
  </si>
  <si>
    <t xml:space="preserve">Czlowiek / Decyzje v7 D03–D04, D13</t>
  </si>
  <si>
    <t xml:space="preserve">Pakiet i prognozy</t>
  </si>
  <si>
    <t xml:space="preserve">Pakiet: 1000 × poziom ratusza monet za 24 h; +4 aktywne budowy, dowolna kolejka, planowanie dostaw. Dopłata kolejki +10% pozostaje; ponowny zakup przedłuża ważność. W aktywnym pakiecie plan ma koszt kolejki +10% (każdy składnik w górę), plus opłatę 25% bazowej portowej wartości zakupu braków centralnych. Baza 300 kamienia, centrala 200 → wymagane 330, brak 130; bufor producenta nie jest centralą. Materiały muszą rzeczywiście dotrzeć.</t>
  </si>
  <si>
    <t xml:space="preserve">Premium / Planowanie Premium</t>
  </si>
  <si>
    <t xml:space="preserve">Status wdrożenia</t>
  </si>
  <si>
    <t xml:space="preserve">Reguły w V8 są zatwierdzone. Prototyp frontendowy ma lokalny zapis; konta, OAuth, płatności i reklamy nie są integrowane. Końcowy commit, publikację i wyniki testów gry zapisujemy w docs/IMPLEMENTATION-LOG.md.</t>
  </si>
  <si>
    <t xml:space="preserve">Szczegóły wdrożenia i testów: docs/IMPLEMENTATION-LOG.md; Na pozniej.</t>
  </si>
  <si>
    <t xml:space="preserve">Atrakcje</t>
  </si>
  <si>
    <t xml:space="preserve">20 dekoracji/wydarzeń, 5 ofert co 24 h; Y×L monet; premia dla L osób na 6 h; przyzwyczajanie osobno na rodzaj.</t>
  </si>
  <si>
    <t xml:space="preserve">Atrakcje / Atrakcje - kalkulator</t>
  </si>
  <si>
    <t xml:space="preserve">Ścieżki</t>
  </si>
  <si>
    <t xml:space="preserve">100 odcinków 0–5, każdy krok 100 kamienia; pełny poziom daje +10% szybkości, od 3 dodatkową ładowność.</t>
  </si>
  <si>
    <t xml:space="preserve">Sciezki / Sciezki - transport</t>
  </si>
  <si>
    <t xml:space="preserve">Efekty</t>
  </si>
  <si>
    <t xml:space="preserve">Błogosławieństwa, premie i kary w powiadomieniach oraz u góry karty Town Hall; zmiany bez spamu.</t>
  </si>
  <si>
    <t xml:space="preserve">Efekty i notyfikacje</t>
  </si>
  <si>
    <t xml:space="preserve">Nowy gracz / testy</t>
  </si>
  <si>
    <t xml:space="preserve">Osobny link nowego gracza z normalnym startem; dotychczasowy podgląd ma jednorazowy pełny magazyn i minimum 10 000 monet.</t>
  </si>
  <si>
    <t xml:space="preserve">Frontend v8 / Zmiany v8</t>
  </si>
  <si>
    <t xml:space="preserve">Archiwum</t>
  </si>
  <si>
    <t xml:space="preserve">36 zakładek źródła zachowanych; dawne rejestry i wpisy źródłowe są historią. Aktualny rejestr poprawiono i rozszerzono.</t>
  </si>
  <si>
    <t xml:space="preserve">Rejestr historyczny v7 / Rejestr historyczny v6</t>
  </si>
  <si>
    <t xml:space="preserve">ZMIANY V8 • komplet późniejszych uzgodnień</t>
  </si>
  <si>
    <t xml:space="preserve">Rozmowa po Excelu 7; zaakceptowany pakiet frontend v11 oraz późniejszy pakiet zatwierdzony „go”. Nowsza decyzja zastępuje poprzednią wersję tego samego widoku. Nowsze usunięcie podatków oraz zapasy lokalne/centralne na kartach Resources zastępują wcześniejsze wersje tych samych elementów.</t>
  </si>
  <si>
    <t xml:space="preserve">ID</t>
  </si>
  <si>
    <t xml:space="preserve">Asset / widok</t>
  </si>
  <si>
    <t xml:space="preserve">Ostateczna zasada</t>
  </si>
  <si>
    <t xml:space="preserve">Uwagi / źródło</t>
  </si>
  <si>
    <t xml:space="preserve">V8-001</t>
  </si>
  <si>
    <t xml:space="preserve">Wersja</t>
  </si>
  <si>
    <t xml:space="preserve">Wszystkie</t>
  </si>
  <si>
    <t xml:space="preserve">V8 opiera się na niezmienionym pliku V7 i późniejszych uzgodnieniach. 17 decyzji D01–D17 nadal obowiązuje poza jawnymi nowszymi korektami.</t>
  </si>
  <si>
    <t xml:space="preserve">Decyzje v 7 są zachowane; źródła historyczne nie są nowymi wymaganiami.</t>
  </si>
  <si>
    <t xml:space="preserve">V8-002</t>
  </si>
  <si>
    <t xml:space="preserve">Start</t>
  </si>
  <si>
    <t xml:space="preserve">Nowy gracz</t>
  </si>
  <si>
    <t xml:space="preserve">Ratusz 1, Dom 1, 12 mieszkańców w domu, 0 pracowników, 0% szczęścia; każdy z 6 zasobów po 100. Ścieżki: wszystkie 100 odcinków na 0.</t>
  </si>
  <si>
    <t xml:space="preserve">Normalny start nie przyznaje testowego magazynu ani 10 000 monet.</t>
  </si>
  <si>
    <t xml:space="preserve">V8-003</t>
  </si>
  <si>
    <t xml:space="preserve">Podgląd testowy</t>
  </si>
  <si>
    <t xml:space="preserve">W dotychczasowym podglądzie jednorazowo uzupełniamy centralę do limitu na rodzaj i łącznie oraz do minimum 10 000 monet; większe saldo i postęp zachowane.</t>
  </si>
  <si>
    <t xml:space="preserve">Znacznik zapisu zapobiega ponownemu grantowi po odświeżeniu. To migracja piaskownicy, nie zasada startu.</t>
  </si>
  <si>
    <t xml:space="preserve">V8-004</t>
  </si>
  <si>
    <t xml:space="preserve">Oddzielny nowy gracz</t>
  </si>
  <si>
    <t xml:space="preserve">Link profile=new-player używa oddzielnego zapisu i normalnych wartości startowych. Nie kasuje bieżącej wyspy; późniejsze otwarcie kontynuuje zapis tego profilu.</t>
  </si>
  <si>
    <t xml:space="preserve">Link i stan wdrożenia: docs/IMPLEMENTATION-LOG.md.</t>
  </si>
  <si>
    <t xml:space="preserve">V8-005</t>
  </si>
  <si>
    <t xml:space="preserve">Produkcja</t>
  </si>
  <si>
    <t xml:space="preserve">Pięciu producentów</t>
  </si>
  <si>
    <t xml:space="preserve">Lokalny magazyn = 200 × WŁASNY poziom producenta. Następny poziom ma 200 × (L+1). Wczytanie nie usuwa starszej nadwyżki.</t>
  </si>
  <si>
    <t xml:space="preserve">Zastępuje zależność lokalnego bufora od ratusza.</t>
  </si>
  <si>
    <t xml:space="preserve">V8-006</t>
  </si>
  <si>
    <t xml:space="preserve">Ludzie</t>
  </si>
  <si>
    <t xml:space="preserve">Osiem miejsc pracy</t>
  </si>
  <si>
    <t xml:space="preserve">Limit pozostaje 12 × własny poziom zakładu; przydział jest ograniczony wspólną pulą wolnych osób w domu.</t>
  </si>
  <si>
    <t xml:space="preserve">Wyświetlanie trzech liczb nie zmienia poziomu wyznaczającego limit.</t>
  </si>
  <si>
    <t xml:space="preserve">V8-007</t>
  </si>
  <si>
    <t xml:space="preserve">Frontend</t>
  </si>
  <si>
    <t xml:space="preserve">Wszystkie budynki</t>
  </si>
  <si>
    <t xml:space="preserve">U góry panelu status odpowiedni do funkcji. Producent: Producing / Waiting for workers / Storage full / Waiting for resources.</t>
  </si>
  <si>
    <t xml:space="preserve">Status odświeża się według rzeczywistego stanu.</t>
  </si>
  <si>
    <t xml:space="preserve">V8-008</t>
  </si>
  <si>
    <t xml:space="preserve">Producing wskazuje produkt, liczbę najbliższych sztuk i czas ich złożenia w lokalnym magazynie.</t>
  </si>
  <si>
    <t xml:space="preserve">Uwzględnia rzeczywiste fazy pracy, dojście, głód, surowiec wejściowy i wolne miejsce.</t>
  </si>
  <si>
    <t xml:space="preserve">V8-009</t>
  </si>
  <si>
    <t xml:space="preserve">Storage</t>
  </si>
  <si>
    <t xml:space="preserve">Trzy wartości: In stock / Current cap. / Next level cap. Krótkie podpisy znajdują się pod każdą liczbą.</t>
  </si>
  <si>
    <t xml:space="preserve">Np. 50 / 200 / 400; ostatnia liczba oznacza najbliższe ulepszenie, nie końcowy limit gry.</t>
  </si>
  <si>
    <t xml:space="preserve">V8-010</t>
  </si>
  <si>
    <t xml:space="preserve">Workers</t>
  </si>
  <si>
    <t xml:space="preserve">Trzy wartości: Assigned / Free at home / Max workers; małe +/− korzystają z rzeczywistej dostępności mieszkańców.</t>
  </si>
  <si>
    <t xml:space="preserve">Np. 5 / 0 / 12. Osoba wracająca lub idąca nie jest wolna w domu.</t>
  </si>
  <si>
    <t xml:space="preserve">V8-011</t>
  </si>
  <si>
    <t xml:space="preserve">Podatki</t>
  </si>
  <si>
    <t xml:space="preserve">Usuń wszystkie informacje o podatkach z interfejsu: nagłówka, ratusza, kart budynków, zarządzania ludźmi i objaśnień. Sam rachunek podatków pozostaje bez zmiany.</t>
  </si>
  <si>
    <t xml:space="preserve">Silnik nadal: 1 moneta/os./h po dotarciu, także przy przestoju; kaplica czasowo ×2. Excel dokumentuje tę regułę.</t>
  </si>
  <si>
    <t xml:space="preserve">V8-012</t>
  </si>
  <si>
    <t xml:space="preserve">Kompaktowy układ</t>
  </si>
  <si>
    <t xml:space="preserve">Level jest mniejszym polem po lewej; Storage po prawej, pod nim Workers. Po usunięciu podatków nie zostaje pole Taxes.</t>
  </si>
  <si>
    <t xml:space="preserve">Najnowsze usunięcie podatków zastępuje wcześniejszy pomysł Taxes pod Level.</t>
  </si>
  <si>
    <t xml:space="preserve">V8-013</t>
  </si>
  <si>
    <t xml:space="preserve">House</t>
  </si>
  <si>
    <t xml:space="preserve">Housing capacity pokazuje populację, limit ratusza, miejsca do spania i przyrost/spadek. Opisy Housing capacity oraz House happiness są pod i.</t>
  </si>
  <si>
    <t xml:space="preserve">Pula, terminy i przyciski domu pozostają widoczne.</t>
  </si>
  <si>
    <t xml:space="preserve">V8-014</t>
  </si>
  <si>
    <t xml:space="preserve">Budowa i ludzie</t>
  </si>
  <si>
    <t xml:space="preserve">Construction and queue oraz licznik występują tylko w Town Hall; Manage all workers tylko z House. Lokalne +/− zostają w miejscach pracy.</t>
  </si>
  <si>
    <t xml:space="preserve">Residents pozostaje informacyjnym przeglądem z przejściem do domu.</t>
  </si>
  <si>
    <t xml:space="preserve">V8-015</t>
  </si>
  <si>
    <t xml:space="preserve">Building upgrade</t>
  </si>
  <si>
    <t xml:space="preserve">Pięciu producentów ma Upgrade, małe osobne czasy transportu i budowy oraz sąsiednią ramkę Premium z dwoma dotychczasowymi przyciskami.</t>
  </si>
  <si>
    <t xml:space="preserve">Buy building package / Deliver local stock now. Opisy Coins/Instant pod i; bez osobnej dolnej sekcji Premium u producentów.</t>
  </si>
  <si>
    <t xml:space="preserve">V8-016</t>
  </si>
  <si>
    <t xml:space="preserve">ETA</t>
  </si>
  <si>
    <t xml:space="preserve">Etykieta budowy na wyspie ma dwa wiersze: Transport · ETA oraz Construction · ETA. Czasy uwzględniają aktualną obsadę i rozkład dostaw.</t>
  </si>
  <si>
    <t xml:space="preserve">Bez zbierania materiałów i oczekiwania w kolejce; brak wykonalnej estymaty ma jawną przyczynę.</t>
  </si>
  <si>
    <t xml:space="preserve">V8-017</t>
  </si>
  <si>
    <t xml:space="preserve">Warehouse</t>
  </si>
  <si>
    <t xml:space="preserve">Każdy magazynier ma widoczne przypisanie, towar, liczbę sztuk, źródło → cel i pozostały czas; osobno dojście i oczekiwanie.</t>
  </si>
  <si>
    <t xml:space="preserve">Odwołanie nie przypisuje starego ładunku nowej osobie. Rozpoczęty ładunek dochodzi dokładnie raz.</t>
  </si>
  <si>
    <t xml:space="preserve">V8-018</t>
  </si>
  <si>
    <t xml:space="preserve">Priorytety</t>
  </si>
  <si>
    <t xml:space="preserve">Towary i Construction</t>
  </si>
  <si>
    <t xml:space="preserve">Można zaznaczyć maksymalnie 3 priorytety spośród pięciu produktów oraz Construction. Aktywne są podświetlone i numerowane 1/2/3.</t>
  </si>
  <si>
    <t xml:space="preserve">Construction uczestniczy w tej samej puli i podziale kursów, nie jest dodatkowym czwartym priorytetem.</t>
  </si>
  <si>
    <t xml:space="preserve">V8-019</t>
  </si>
  <si>
    <t xml:space="preserve">Podział kursów</t>
  </si>
  <si>
    <t xml:space="preserve">1 priorytet: 8 kursów +2 losowe; 2: 5 pierwszego +3 drugiego +2 losowe; 3: 5/3/2. Bloki 10 rzeczywistych kursów powtarzają się bezterminowo.</t>
  </si>
  <si>
    <t xml:space="preserve">Losowe wybierają dostępne pozostałe źródła; brak wybranego towaru nie zatrzymuje dostępnej pracy. Ratunkowe Food zachowuje ochronę.</t>
  </si>
  <si>
    <t xml:space="preserve">V8-020</t>
  </si>
  <si>
    <t xml:space="preserve">Zapis</t>
  </si>
  <si>
    <t xml:space="preserve">Wybór, kolejność, pozycja cyklu i stan losowania są zapisywane. Zmiana priorytetów nie przerywa załadowanego kursu.</t>
  </si>
  <si>
    <t xml:space="preserve">Nie ma wyłączenia po 10 kursach.</t>
  </si>
  <si>
    <t xml:space="preserve">V8-021</t>
  </si>
  <si>
    <t xml:space="preserve">Zadania</t>
  </si>
  <si>
    <t xml:space="preserve">Jedno aktywne</t>
  </si>
  <si>
    <t xml:space="preserve">Zawsze 3 oferty, ale wykonywać można 1 zadanie. Aktywna karta podświetlona w obu widokach, pozostałe wyszarzone bez startu ani wpłaty.</t>
  </si>
  <si>
    <t xml:space="preserve">Pozostałe wymagania i nagrody można obejrzeć.</t>
  </si>
  <si>
    <t xml:space="preserve">V8-022</t>
  </si>
  <si>
    <t xml:space="preserve">Postęp i migracja</t>
  </si>
  <si>
    <t xml:space="preserve">Każdy wymagany produkt pokazuje dostarczone / wymagane na liście i po prawej. Zachowujemy stare wpłaty, termin oraz zapisany mnożnik.</t>
  </si>
  <si>
    <t xml:space="preserve">Ukończenie lub wygaśnięcie zwalnia aktywne miejsce.</t>
  </si>
  <si>
    <t xml:space="preserve">V8-023</t>
  </si>
  <si>
    <t xml:space="preserve">Norma</t>
  </si>
  <si>
    <t xml:space="preserve">Wymagania pozostają 12 × własny poziom producenta × wydajność/os./h × wylosowane godziny; bez chwilowych bonusów.</t>
  </si>
  <si>
    <t xml:space="preserve">Nie zmieniamy istniejących wymagań z powodu nowych podpisów czy stanu obsady.</t>
  </si>
  <si>
    <t xml:space="preserve">V8-024</t>
  </si>
  <si>
    <t xml:space="preserve">Animacje</t>
  </si>
  <si>
    <t xml:space="preserve">Świat</t>
  </si>
  <si>
    <t xml:space="preserve">Woda, dym, wiatrak, mewy, mieszkańcy, zwierzęta, chmury i budowa poruszają się przy włączonej opcji gry.</t>
  </si>
  <si>
    <t xml:space="preserve">Świadome włączenie animacji ma pierwszeństwo przed systemowym ograniczeniem ruchu i jest zapisywane; stare pause/speed nie zamrażają obrazu.</t>
  </si>
  <si>
    <t xml:space="preserve">V8-025</t>
  </si>
  <si>
    <t xml:space="preserve">Nagłówek</t>
  </si>
  <si>
    <t xml:space="preserve">Marka, Level i lewy górny początek nawigacji mają oddzielne obszary; stary obraz i złote obramowanie nie przebijają.</t>
  </si>
  <si>
    <t xml:space="preserve">Układ na komputerze i telefonie.</t>
  </si>
  <si>
    <t xml:space="preserve">V8-026</t>
  </si>
  <si>
    <t xml:space="preserve">Resources</t>
  </si>
  <si>
    <t xml:space="preserve">Dolny pasek</t>
  </si>
  <si>
    <t xml:space="preserve">Przełącza cały rząd Buildings na dokładnie 5 produktów: Wood, Planks, Stone, Grain, Food. Monety nie są szóstym produktem.</t>
  </si>
  <si>
    <t xml:space="preserve">Buildings przywraca rząd budynków.</t>
  </si>
  <si>
    <t xml:space="preserve">V8-027</t>
  </si>
  <si>
    <t xml:space="preserve">Górny licznik</t>
  </si>
  <si>
    <t xml:space="preserve">Mały numerek nad produktem to liczba faktycznie pracujących w jego zakładzie, po dojściu i bez blokady produkcji.</t>
  </si>
  <si>
    <t xml:space="preserve">Głodny pracownik produkujący z połową wydajności nadal jest aktywny.</t>
  </si>
  <si>
    <t xml:space="preserve">V8-028</t>
  </si>
  <si>
    <t xml:space="preserve">Dolne liczby</t>
  </si>
  <si>
    <t xml:space="preserve">Pod produktem: zapas u producenta / zapas tego samego produktu w magazynie głównym.</t>
  </si>
  <si>
    <t xml:space="preserve">Zastępuje wolnych w domu / limit pracy tylko na kartach Resources; Workers zachowuje swoje trzy wartości.</t>
  </si>
  <si>
    <t xml:space="preserve">V8-029</t>
  </si>
  <si>
    <t xml:space="preserve">Kliknięcie</t>
  </si>
  <si>
    <t xml:space="preserve">Wood→Lumber Camp; Planks→Sawmill; Stone→Quarry; Grain→Farm; Food→Windmill.</t>
  </si>
  <si>
    <t xml:space="preserve">Ten sam panel i stan co kliknięcie budynku na wyspie.</t>
  </si>
  <si>
    <t xml:space="preserve">V8-030</t>
  </si>
  <si>
    <t xml:space="preserve">Ukończenie</t>
  </si>
  <si>
    <t xml:space="preserve">Ukończenie zadania otwiera popup z fajerwerkami; telefon otrzymuje krótką wibrację, jeśli urządzenie ją obsługuje.</t>
  </si>
  <si>
    <t xml:space="preserve">Nagroda zadania jest przyznana przed opcjonalnym ekranem społecznościowym.</t>
  </si>
  <si>
    <t xml:space="preserve">V8-031</t>
  </si>
  <si>
    <t xml:space="preserve">Share on Facebook</t>
  </si>
  <si>
    <t xml:space="preserve">Po ukończeniu ekran Share your achievement: Share on Facebook lub Skip. Kliknięcie Share przyznaje 500 monet, jeden raz na ukończone zadanie.</t>
  </si>
  <si>
    <t xml:space="preserve">NOWA odpowiedź użytkownika: 500 monet. Na razie bez integracji Facebook i bez deklarowania rzeczywistej publikacji.</t>
  </si>
  <si>
    <t xml:space="preserve">V8-032</t>
  </si>
  <si>
    <t xml:space="preserve">Skip i powtórzenia</t>
  </si>
  <si>
    <t xml:space="preserve">Skip zachowuje całą normalną nagrodę. Odświeżenie ani ponowne kliknięcie Share nie przyznaje ponownie premii za to samo zadanie.</t>
  </si>
  <si>
    <t xml:space="preserve">Bonus za zadanie jest odrębny od starszych premii za grę/poziom/posty i polecenia.</t>
  </si>
  <si>
    <t xml:space="preserve">V8-033</t>
  </si>
  <si>
    <t xml:space="preserve">Katalog i pasek</t>
  </si>
  <si>
    <t xml:space="preserve">Decorations przełącza dolny pasek na 5 atrakcji z katalogu 20 dekoracji i wydarzeń; nie otwiera dotychczasowego okna listy.</t>
  </si>
  <si>
    <t xml:space="preserve">Cyrk i teatr są wydarzeniami, nie budynkami produkcyjnymi.</t>
  </si>
  <si>
    <t xml:space="preserve">V8-034</t>
  </si>
  <si>
    <t xml:space="preserve">Rotacja</t>
  </si>
  <si>
    <t xml:space="preserve">Zestaw 5 ofert zmienia się co 24 h czasu zegarowego i zachowuje termin po odświeżeniu oraz offline. Pięć nowych rodzajów różni się od poprzedniej piątki.</t>
  </si>
  <si>
    <t xml:space="preserve">Nie losujemy nowych cen ani okna czasu przy każdym kliknięciu karty.</t>
  </si>
  <si>
    <t xml:space="preserve">V8-035</t>
  </si>
  <si>
    <t xml:space="preserve">Y i cena</t>
  </si>
  <si>
    <t xml:space="preserve">Dla oferty Y jest całkowitą liczbą 5…100. Cena = Y × aktualny poziom ratusza L monet.</t>
  </si>
  <si>
    <t xml:space="preserve">Y oferty jest zapisane do jej wymiany; koszt reaguje na osiągnięty poziom ratusza.</t>
  </si>
  <si>
    <t xml:space="preserve">V8-036</t>
  </si>
  <si>
    <t xml:space="preserve">Szczęście</t>
  </si>
  <si>
    <t xml:space="preserve">Jedno użycie daje Y × współczynnik przyzwyczajenia pp dla L mieszkańców przez 6 h. Szczęście nadal indywidualne, ograniczone do ±100, a populacja jest średnią.</t>
  </si>
  <si>
    <t xml:space="preserve">Wybór implementacyjny: najmniej szczęśliwi niezamrożeni mieszkańcy; remisy według ID. Gdy populacja mniejsza od L, najwyżej tyle osób, ile istnieje.</t>
  </si>
  <si>
    <t xml:space="preserve">V8-037</t>
  </si>
  <si>
    <t xml:space="preserve">Przyzwyczajanie</t>
  </si>
  <si>
    <t xml:space="preserve">Każdy rodzaj ma własny licznik: 100%, 75%, 50%, 25%, 0% początkowej premii. Przy 0 zakup zablokowany bez pobrania monet.</t>
  </si>
  <si>
    <t xml:space="preserve">Koszt nie maleje. Użycia innych atrakcji nie zwiększają tego licznika.</t>
  </si>
  <si>
    <t xml:space="preserve">V8-038</t>
  </si>
  <si>
    <t xml:space="preserve">Przerwa i kumulacja</t>
  </si>
  <si>
    <t xml:space="preserve">Po 24 h bez zakupu TEJ atrakcji wraca pełna skuteczność. Każde skuteczne użycie ma osobny zegar 6 h; nakładające się premie sumują się przed ograniczeniem H.</t>
  </si>
  <si>
    <t xml:space="preserve">Dokładny składnik Y×współczynnik może być ułamkowy; prezentacja szczęścia jest zaokrąglona w górę do pełnego procentu.</t>
  </si>
  <si>
    <t xml:space="preserve">V8-039</t>
  </si>
  <si>
    <t xml:space="preserve">Odcinki i poziomy</t>
  </si>
  <si>
    <t xml:space="preserve">Jest 100 odcinków; start poziom 0, maksimum 5. Paths odsłania dolny poziomy pasek z poziomami i postępem, np. 37/100.</t>
  </si>
  <si>
    <t xml:space="preserve">Nie tworzymy 100 osobnych budynków gospodarczych.</t>
  </si>
  <si>
    <t xml:space="preserve">V8-040</t>
  </si>
  <si>
    <t xml:space="preserve">Brama poziomu</t>
  </si>
  <si>
    <t xml:space="preserve">Aby ulepszać do poziomu N, wszystkie 100 odcinków musi mieć co najmniej N−1. Częściowe ulepszenie nie uruchamia premii N.</t>
  </si>
  <si>
    <t xml:space="preserve">Ukończony poziom = minimum poziomów wszystkich odcinków.</t>
  </si>
  <si>
    <t xml:space="preserve">V8-041</t>
  </si>
  <si>
    <t xml:space="preserve">Koszt i czas</t>
  </si>
  <si>
    <t xml:space="preserve">Jedno ulepszenie jednego odcinka o poziom kosztuje 100 kamienia z centrali i działa po kliknięciu. Cały poziom: 10 000; 0→5: 50 000 kamienia.</t>
  </si>
  <si>
    <t xml:space="preserve">Nie ma wymagania jednorazowego zgromadzenia 10 000 — gracz kupuje pojedyncze odcinki.</t>
  </si>
  <si>
    <t xml:space="preserve">V8-042</t>
  </si>
  <si>
    <t xml:space="preserve">Szybkość</t>
  </si>
  <si>
    <t xml:space="preserve">Ukończone poziomy 1/2/3/4/5: szybkość kursów +10/+20/+30/+40/+50%. Czas kursu = bazowy czas / (1+0,1×poziom).</t>
  </si>
  <si>
    <t xml:space="preserve">Poziom 1: 300/1,1 s; nie odejmujemy po prostu 10% czasu.</t>
  </si>
  <si>
    <t xml:space="preserve">V8-043</t>
  </si>
  <si>
    <t xml:space="preserve">Ładowność</t>
  </si>
  <si>
    <t xml:space="preserve">Od ukończonego poziomu 3 dodatkowa pojemność: +10%, poziom 4 +20%, poziom 5 +30%; liczba sztuk całkowita w dół.</t>
  </si>
  <si>
    <t xml:space="preserve">Ładunek własnego poziomu miejsca pracy oraz premia dróg to odrębne mnożniki.</t>
  </si>
  <si>
    <t xml:space="preserve">V8-044</t>
  </si>
  <si>
    <t xml:space="preserve">Zakres</t>
  </si>
  <si>
    <t xml:space="preserve">Premie działają na kursy tragarzy magazynu, targu i portu, także dostawy materiałów budowy.</t>
  </si>
  <si>
    <t xml:space="preserve">Nie skracają rejsu statku, dojścia do pracy/powrotu, pobytu w latarni ani zegarów konsumpcji. Nie dają dodatkowego pasywnego H.</t>
  </si>
  <si>
    <t xml:space="preserve">V8-045</t>
  </si>
  <si>
    <t xml:space="preserve">Town Hall</t>
  </si>
  <si>
    <t xml:space="preserve">Na górze karty ratusza lista wszystkich aktywnych błogosławieństw, premii i kar: źródło, wartość, odbiorcy i czas albo warunek zakończenia.</t>
  </si>
  <si>
    <t xml:space="preserve">Premie dróg są stałe, czasowe atrakcje mają własne terminy. Informacje o podatkach pozostają ukryte w UI.</t>
  </si>
  <si>
    <t xml:space="preserve">V8-046</t>
  </si>
  <si>
    <t xml:space="preserve">Powiadomienia</t>
  </si>
  <si>
    <t xml:space="preserve">Każde uruchomienie, zmiana i zakończenie efektu ma wpis w powiadomieniach; bez wielokrotnego wpisu co klatkę/odświeżenie.</t>
  </si>
  <si>
    <t xml:space="preserve">Dotyczy wszystkich źródeł: domu, jedzenia/pracy, głodu/bezrobocia, przestoju, przeludnienia, kaplicy, latarni, atrakcji i dróg.</t>
  </si>
  <si>
    <t xml:space="preserve">V8-047</t>
  </si>
  <si>
    <t xml:space="preserve">Migracja</t>
  </si>
  <si>
    <t xml:space="preserve">Ścieżki wcześniejszego zapisu</t>
  </si>
  <si>
    <t xml:space="preserve">Nowy gracz ma wszystkie odcinki na 0. Wcześniej kupione odcinki ścieżek zachowują wydany kamień jako odpowiadające im odcinki poziomu 1.</t>
  </si>
  <si>
    <t xml:space="preserve">Migracja zachowuje płatny postęp starej wyspy; nie przyznaje całego poziomu, jeśli nie ukończono wszystkich 100 odcinków.</t>
  </si>
  <si>
    <t xml:space="preserve">V8-048</t>
  </si>
  <si>
    <t xml:space="preserve">Stan</t>
  </si>
  <si>
    <t xml:space="preserve">Język i zapis</t>
  </si>
  <si>
    <t xml:space="preserve">Aktywny interfejs po angielsku. Zachowujemy istniejące zasoby, mieszkańców, budowy, ładunki i zadania; osobne profile nie nadpisują sobie zapisów.</t>
  </si>
  <si>
    <t xml:space="preserve">Oryginalny Excel 7 pozostaje niezmieniony. Prawdziwe konta, OAuth, płatności i reklamy nadal wymagają osobnych integracji.</t>
  </si>
  <si>
    <t xml:space="preserve">FRONTEND V8 • finalne zachowanie interfejsu</t>
  </si>
  <si>
    <t xml:space="preserve">Krótkie angielskie podpisy w grze, polski opis zasad. Późniejsza instrukcja usuwa Taxes ze wszystkich widoków i zastępuje dolne free/max na Resources zapasami lokalny/centralny. Rachunek podatków pozostaje bez zmiany.</t>
  </si>
  <si>
    <t xml:space="preserve">Widok</t>
  </si>
  <si>
    <t xml:space="preserve">Element / podpis</t>
  </si>
  <si>
    <t xml:space="preserve">Wartości i zachowanie</t>
  </si>
  <si>
    <t xml:space="preserve">Reguła / wyjątek</t>
  </si>
  <si>
    <t xml:space="preserve">Panel producenta</t>
  </si>
  <si>
    <t xml:space="preserve">Level</t>
  </si>
  <si>
    <t xml:space="preserve">Mniejsze pole po lewej.</t>
  </si>
  <si>
    <t xml:space="preserve">Pole Taxes zostało usunięte.</t>
  </si>
  <si>
    <t xml:space="preserve">In stock / Current cap. / Next level cap.</t>
  </si>
  <si>
    <t xml:space="preserve">Zapas lokalny / 200 × L / 200 × (L+1).</t>
  </si>
  <si>
    <t xml:space="preserve">Miejsce pracy</t>
  </si>
  <si>
    <t xml:space="preserve">Assigned / Free at home / Max workers</t>
  </si>
  <si>
    <t xml:space="preserve">Trzy podpisy pod liczbami, np. 5 / 0 / 12.</t>
  </si>
  <si>
    <t xml:space="preserve">+/−</t>
  </si>
  <si>
    <t xml:space="preserve">Przydział z faktycznie dostępnych osób.</t>
  </si>
  <si>
    <t xml:space="preserve">Droga trwa 5 min; brak wolnych osób blokuje plus.</t>
  </si>
  <si>
    <t xml:space="preserve">Każdy budynek</t>
  </si>
  <si>
    <t xml:space="preserve">Status</t>
  </si>
  <si>
    <t xml:space="preserve">Produkcja, blokada albo status odpowiedni do funkcji.</t>
  </si>
  <si>
    <t xml:space="preserve">Przy produkcji: produkt, ilość oraz ETA złożenia w lokalnym magazynie.</t>
  </si>
  <si>
    <t xml:space="preserve">Wszystkie widoki</t>
  </si>
  <si>
    <t xml:space="preserve">Bez wyświetlania podatków i ich opisu.</t>
  </si>
  <si>
    <t xml:space="preserve">Rachunek i premia kaplicy pozostają bez zmiany.</t>
  </si>
  <si>
    <t xml:space="preserve">Housing capacity</t>
  </si>
  <si>
    <t xml:space="preserve">Populacja / limit ratusza / łóżka / przyrost lub spadek.</t>
  </si>
  <si>
    <t xml:space="preserve">Opisy znajdują się pod i.</t>
  </si>
  <si>
    <t xml:space="preserve">House happiness</t>
  </si>
  <si>
    <t xml:space="preserve">Pula i zegar widoczne; opis pod i.</t>
  </si>
  <si>
    <t xml:space="preserve">Manage all workers otwierane wyłącznie tutaj.</t>
  </si>
  <si>
    <t xml:space="preserve">Construction and queue</t>
  </si>
  <si>
    <t xml:space="preserve">Jedyny panel z licznikiem i zarządzaniem kolejką.</t>
  </si>
  <si>
    <t xml:space="preserve">Inne budynki zachowują własny Upgrade.</t>
  </si>
  <si>
    <t xml:space="preserve">Active effects</t>
  </si>
  <si>
    <t xml:space="preserve">Aktywne błogosławieństwa, premie i kary u góry karty.</t>
  </si>
  <si>
    <t xml:space="preserve">Źródło, wartość, odbiorcy, czas lub warunek zakończenia; bez podatków.</t>
  </si>
  <si>
    <t xml:space="preserve">Producent</t>
  </si>
  <si>
    <t xml:space="preserve">Upgrade, dwa małe czasy i sąsiednia ramka Premium z dwoma przyciskami.</t>
  </si>
  <si>
    <t xml:space="preserve">Buy building package / Deliver local stock now. Opisy Coins/Instant pod i.</t>
  </si>
  <si>
    <t xml:space="preserve">Etykieta budynku</t>
  </si>
  <si>
    <t xml:space="preserve">Transport · ETA / Construction · ETA</t>
  </si>
  <si>
    <t xml:space="preserve">Dwa osobne wiersze przy budowanym obiekcie.</t>
  </si>
  <si>
    <t xml:space="preserve">Obecne ustawienia dostaw; brak wykonalnej estymaty ma wyjaśnienie.</t>
  </si>
  <si>
    <t xml:space="preserve">Warehouse workers</t>
  </si>
  <si>
    <t xml:space="preserve">Osoba, ładunek, ilość, źródło → cel i pozostały czas.</t>
  </si>
  <si>
    <t xml:space="preserve">Dojście i bezczynność są odróżnione od dostawy.</t>
  </si>
  <si>
    <t xml:space="preserve">Transport priority</t>
  </si>
  <si>
    <t xml:space="preserve">Pięć produktów oraz Construction; najwyżej trzy wybrane, z numerami 1/2/3.</t>
  </si>
  <si>
    <t xml:space="preserve">Powtarzane bezterminowo: 8/2, 5/3/2 albo 5/3/2.</t>
  </si>
  <si>
    <t xml:space="preserve">Pięć kart produktów</t>
  </si>
  <si>
    <t xml:space="preserve">Wood / Planks / Stone / Grain / Food.</t>
  </si>
  <si>
    <t xml:space="preserve">Klik otwiera producenta; Buildings przywraca budynki.</t>
  </si>
  <si>
    <t xml:space="preserve">Górny numerek</t>
  </si>
  <si>
    <t xml:space="preserve">Faktycznie pracujący w zakładzie producenta.</t>
  </si>
  <si>
    <t xml:space="preserve">Po dojściu, bez blokady. Głodny, ale produkujący pracownik nadal się liczy.</t>
  </si>
  <si>
    <t xml:space="preserve">Dolna para</t>
  </si>
  <si>
    <t xml:space="preserve">Zapas lokalny / zapas tego produktu w centrali.</t>
  </si>
  <si>
    <t xml:space="preserve">Np. 50 / 800; to już nie wolni / limit pracy.</t>
  </si>
  <si>
    <t xml:space="preserve">Tasks</t>
  </si>
  <si>
    <t xml:space="preserve">Active / postęp</t>
  </si>
  <si>
    <t xml:space="preserve">Jedno aktywne zadanie z postępem każdego produktu w obu widokach.</t>
  </si>
  <si>
    <t xml:space="preserve">Pozostałe dwie karty są szare; nie można rozpocząć ani zasilać drugiej.</t>
  </si>
  <si>
    <t xml:space="preserve">Task complete</t>
  </si>
  <si>
    <t xml:space="preserve">Share your achievement</t>
  </si>
  <si>
    <t xml:space="preserve">Fajerwerki, krótka wibracja telefonu, Share on Facebook / Skip.</t>
  </si>
  <si>
    <t xml:space="preserve">500 monet raz na zadanie. Pominięcie zachowuje zwykłą nagrodę.</t>
  </si>
  <si>
    <t xml:space="preserve">Decorations</t>
  </si>
  <si>
    <t xml:space="preserve">Pięć kart atrakcji</t>
  </si>
  <si>
    <t xml:space="preserve">Dolny poziomy pasek; 5 z katalogu 20, rotacja co 24 h.</t>
  </si>
  <si>
    <t xml:space="preserve">Cena, premia, liczba osób, czas i przyzwyczajenie.</t>
  </si>
  <si>
    <t xml:space="preserve">Paths</t>
  </si>
  <si>
    <t xml:space="preserve">Pięć poziomów</t>
  </si>
  <si>
    <t xml:space="preserve">Dolny poziomy pasek poziomów 1–5, każdy z postępem 0–100.</t>
  </si>
  <si>
    <t xml:space="preserve">Następny poziom zablokowany do ukończenia całej setki poprzedniego.</t>
  </si>
  <si>
    <t xml:space="preserve">Marka / Level / nawigacja</t>
  </si>
  <si>
    <t xml:space="preserve">Oddzielne obszary bez przebijania starych obrazów.</t>
  </si>
  <si>
    <t xml:space="preserve">Komputer i telefon.</t>
  </si>
  <si>
    <t xml:space="preserve">Settings</t>
  </si>
  <si>
    <t xml:space="preserve">Animations and highlights</t>
  </si>
  <si>
    <t xml:space="preserve">Jawne włączenie nadpisuje systemowe reduced-motion i jest zapisywane.</t>
  </si>
  <si>
    <t xml:space="preserve">Woda, dym, postacie, wiatrak, mewy, zwierzęta, chmury i budowa.</t>
  </si>
  <si>
    <t xml:space="preserve">New player</t>
  </si>
  <si>
    <t xml:space="preserve">profile=new-player</t>
  </si>
  <si>
    <t xml:space="preserve">Oddzielny zapis, normalny start po 100 zasobów i 12 osób.</t>
  </si>
  <si>
    <t xml:space="preserve">Nie usuwa wyspy testowej; bez grantu 10 000 monet.</t>
  </si>
  <si>
    <t xml:space="preserve">DECYZJE V7 • 17 odpowiedzi zamkniętych</t>
  </si>
  <si>
    <t xml:space="preserve">Komplet rozstrzygnięć użytkownika z 23.10.2026 po analizie pliku 6. Wszystkie D01–D17 są zaakceptowane. Osobno pozostają jawnie odłożone tematy; nie blokują wydania tego arkusza.</t>
  </si>
  <si>
    <t xml:space="preserve">Temat</t>
  </si>
  <si>
    <t xml:space="preserve">Zatwierdzona zasada</t>
  </si>
  <si>
    <t xml:space="preserve">Źródło / zastosowanie</t>
  </si>
  <si>
    <t xml:space="preserve">D01</t>
  </si>
  <si>
    <t xml:space="preserve">Długość premii populacji po latarni</t>
  </si>
  <si>
    <t xml:space="preserve">Premie od powrotu: uczestnik 100% na 24 h i blokada ponownej wizyty przez te same 24 h; każda osobno wysłana grupa daje populacji +10 pp przez 6 h. Premie grup sumują się w czasie nakładania.</t>
  </si>
  <si>
    <t xml:space="preserve">Odpowiedź użytkownika 23.10.2026; Czlowiek!C31, Blogoslawienstwa!B9, Decyzje i konflikty!G41, rozmowa23.10</t>
  </si>
  <si>
    <t xml:space="preserve">D02</t>
  </si>
  <si>
    <t xml:space="preserve">Limit zwiedzania i płatne pakiety</t>
  </si>
  <si>
    <t xml:space="preserve">Darmowo 2 × poziom latarni wejść w ruchomych 24 h. Do 3 dodatkowych pakietów/24 h, każdy daje 2L wejść; cena 300 × numer pakietu (2, 3, 4) × L. Pakiet nie zwiększa liczby miejsc jednocześnie.</t>
  </si>
  <si>
    <t xml:space="preserve">Odpowiedź użytkownika 23.10.2026; Premium!G27, rozmowa23.10</t>
  </si>
  <si>
    <t xml:space="preserve">D03</t>
  </si>
  <si>
    <t xml:space="preserve">Dom: efekt ręcznie rozdawanego szczęścia</t>
  </si>
  <si>
    <t xml:space="preserve">Punkty domu dodają pełne pp do H; kary i ich liczniki pozostają. Przykład: −50 +1 = −49%.</t>
  </si>
  <si>
    <t xml:space="preserve">Odpowiedź użytkownika 23.10.2026; Budynki!K7</t>
  </si>
  <si>
    <t xml:space="preserve">D04</t>
  </si>
  <si>
    <t xml:space="preserve">Dom: pula i automat23h58</t>
  </si>
  <si>
    <t xml:space="preserve">Pula domu = liczba mieszkańców przy odnowieniu, w pełnych pp, raz na 24 h. Ręczne punkty dodają H; nie kasują kar ani ich liczników. O 23 h 58 min automat rozdaje wyłącznie resztę, po 1 pp najniższemu H; remis losowy. Pula nie jest wydawana drugi raz.</t>
  </si>
  <si>
    <t xml:space="preserve">D05</t>
  </si>
  <si>
    <t xml:space="preserve">Zadania: trzy rozmiary czy kolejka dowolnych rozmiarów</t>
  </si>
  <si>
    <t xml:space="preserve">Zawsze 3 zadania. Początkowo małe/średnie/duże; kolejne losowego rozmiaru trafiają na koniec FIFO, dopuszczalne 3 małe lub 3 duże. Nowe po sukcesie natychmiast.</t>
  </si>
  <si>
    <t xml:space="preserve">Odpowiedź użytkownika 23.10.2026; Zadania latarni!C6, Zadania latarni!G19, Decyzje i konflikty!G33</t>
  </si>
  <si>
    <t xml:space="preserve">D06</t>
  </si>
  <si>
    <t xml:space="preserve">Zadania: kotwica zegara i natychmiastowe odnowienie</t>
  </si>
  <si>
    <t xml:space="preserve">Trzy niezależne łańcuchy. Początkowy termin 6 h. Pierwsze ukończenie kotwiczy kolejne odnowienia do tej godziny następnego dnia (Europe/Warsaw). Wcześniejszy sukces natychmiast daje następcę z zachowaniem tej samej dobowej kotwicy; termin nie resetuje się do kolejnych 6 h.</t>
  </si>
  <si>
    <t xml:space="preserve">Odpowiedź użytkownika 23.10.2026; Zadania latarni!G12, Zadania latarni!G18, Decyzje i konflikty!G35</t>
  </si>
  <si>
    <t xml:space="preserve">D07</t>
  </si>
  <si>
    <t xml:space="preserve">Zadania: wzór opłacalnej nagrody</t>
  </si>
  <si>
    <t xml:space="preserve">Stare zakresy stanowią bazę na poziomie ratusza 3: małe 100–200, średnie do 400, duże do 600 monet oraz 50–1000 każdego rodzaju towaru. Inne poziomy: współczynnik 12 × L × p(L) / 468; całe ilości w dół, minimum 1. Rodzajów nagrody: 1/2/3 dla małego/średniego/dużego. Mnożnik szybkiej reakcji dopiero od tej bazy.</t>
  </si>
  <si>
    <t xml:space="preserve">Odpowiedź użytkownika 23.10.2026; Zadania latarni!G25, Zadania latarni!G13, Zadania przyklady</t>
  </si>
  <si>
    <t xml:space="preserve">D08</t>
  </si>
  <si>
    <t xml:space="preserve">Zadania: liczba rodzajów nagrody</t>
  </si>
  <si>
    <t xml:space="preserve">Nagroda towarowa małego: 1 rodzaj; średniego: 2 różne; dużego: 3 różne. Zakres dotyczy każdego rodzaju.</t>
  </si>
  <si>
    <t xml:space="preserve">Odpowiedź użytkownika 23.10.2026; Zadania latarni!E14, Decyzje i konflikty!G36</t>
  </si>
  <si>
    <t xml:space="preserve">D09</t>
  </si>
  <si>
    <t xml:space="preserve">Pakiet budowlany: czas działania</t>
  </si>
  <si>
    <t xml:space="preserve">Pakiet: 1000 × poziom ratusza monet za 24 h; +4 aktywne budowy, dowolna kolejka, planowanie dostaw. Dopłata kolejki +10% pozostaje; ponowny zakup przedłuża ważność.</t>
  </si>
  <si>
    <t xml:space="preserve">Odpowiedź użytkownika 23.10.2026; Premium!G18, Premium!A18:E22</t>
  </si>
  <si>
    <t xml:space="preserve">D10</t>
  </si>
  <si>
    <t xml:space="preserve">Planowanie przyszłej budowy: dopłaty i brakujące materiały</t>
  </si>
  <si>
    <t xml:space="preserve">W aktywnym pakiecie plan ma koszt kolejki +10% (każdy składnik w górę), plus opłatę 25% bazowej portowej wartości zakupu braków centralnych. Baza 300 kamienia, centrala 200 → wymagane 330, brak 130; bufor producenta nie jest centralą. Materiały muszą rzeczywiście dotrzeć.</t>
  </si>
  <si>
    <t xml:space="preserve">Odpowiedź użytkownika 23.10.2026; Budynki!J6, Premium!G22, Ustalenia - uwagi!V2-016</t>
  </si>
  <si>
    <t xml:space="preserve">D11</t>
  </si>
  <si>
    <t xml:space="preserve">Kupno budynku: co kończy się natychmiast</t>
  </si>
  <si>
    <t xml:space="preserve">Pełny zakup budynku od poziomu gracza 4: wszystkie materiały według proporcjonalnych bazowych cen zakupu portu ×1,25 + nominalne monety budynku + natychmiastowy transport (10 monet za każdy potrzebny kurs, także niepełny). Nic nie pobieramy z własnych materiałów. Gotowe po 10 s; bez wymogu rzeczywistych tragarzy.</t>
  </si>
  <si>
    <t xml:space="preserve">Odpowiedź użytkownika 23.10.2026; Premium!G16, Decyzje i konflikty!G24, Premium!C16</t>
  </si>
  <si>
    <t xml:space="preserve">D12</t>
  </si>
  <si>
    <t xml:space="preserve">Przyspieszenie: opłata0→5</t>
  </si>
  <si>
    <t xml:space="preserve">25/50/75/100% pozostałej fazy budowania, bez transportu. Cena = MAX(5, FLOOR(zaoszczędzone sekundy / 60)) monet. Transport jest osobno rozliczany za potrzebne kursy.</t>
  </si>
  <si>
    <t xml:space="preserve">Odpowiedź użytkownika 23.10.2026; Premium - czas!J6, Premium!G8</t>
  </si>
  <si>
    <t xml:space="preserve">D13</t>
  </si>
  <si>
    <t xml:space="preserve">Nowi mieszkańcy:0%przez24h</t>
  </si>
  <si>
    <t xml:space="preserve">Każdy nowy mieszkaniec ma zamrożone 0% szczęścia przez pierwsze 24 h, również podczas premii; później zwykłe naliczanie od 0%. Początkowych 12 osób nie obejmuje zamrożenie.</t>
  </si>
  <si>
    <t xml:space="preserve">Odpowiedź użytkownika 23.10.2026; Decyzje i konflikty!G42, Czlowiek!B34:D34</t>
  </si>
  <si>
    <t xml:space="preserve">D14</t>
  </si>
  <si>
    <t xml:space="preserve">Przestój: granica−50</t>
  </si>
  <si>
    <t xml:space="preserve">Przestój: podatek płynie, brak +1 pp/h za pracę i brak dodatkowej kary bezrobocia. Kara −10 od początku, kolejne −10 co 24 h, maksymalnie −50 z samego przestoju. Inne kary mogą obniżyć całe H poniżej −50. Reset licznika w drodze do domu.</t>
  </si>
  <si>
    <t xml:space="preserve">Odpowiedź użytkownika 23.10.2026; Czlowiek!D25:D26, Decyzje i konflikty!G39, Twoje wpisy v4!C31</t>
  </si>
  <si>
    <t xml:space="preserve">D15</t>
  </si>
  <si>
    <t xml:space="preserve">Płatne błogosławieństwo: początek4h</t>
  </si>
  <si>
    <t xml:space="preserve">Płatne błogosławieństwo: 100 × poziom kaplicy monet; +50 każdego zasobu i +20 pp na 1 h. Kolejne płatne użycie 4 h od KOŃCA efektu: 12:00–13:00 → następne 17:00. Nie można nakładać aktywnych błogosławieństw.</t>
  </si>
  <si>
    <t xml:space="preserve">Odpowiedź użytkownika 23.10.2026; Decyzje i konflikty!G18, Decyzje i konflikty!G44, Premium!B23:D23</t>
  </si>
  <si>
    <t xml:space="preserve">D16</t>
  </si>
  <si>
    <t xml:space="preserve">Port: zakres licznika podwyżek</t>
  </si>
  <si>
    <t xml:space="preserve">Osobny licznik dla KAŻDEGO produktu w ruchomych 3 h. Kolejne paczki zakupu po 100 podnoszą cenę liniowo o 10% ceny bazowej. Cena zamrożona przy kliknięciu zamówienia; kupno 100 drewna nie podnosi ceny kamienia.</t>
  </si>
  <si>
    <t xml:space="preserve">Odpowiedź użytkownika 23.10.2026; Decyzje i konflikty!G15, Przystan!A2</t>
  </si>
  <si>
    <t xml:space="preserve">D17</t>
  </si>
  <si>
    <t xml:space="preserve">Kaplica: cena rozbudowy</t>
  </si>
  <si>
    <t xml:space="preserve">Zatwierdzono: nowy poziom N × (180 monet + 20 drewna + 60 kamienia + 10 desek). To koszt rozbudowy, odrębny od ceny użycia błogosławieństwa.</t>
  </si>
  <si>
    <t xml:space="preserve">Odpowiedź użytkownika 23.10.2026; Decyzje i konflikty!Q14, Budynki!E16</t>
  </si>
  <si>
    <t xml:space="preserve">BUDYNKI V8 • aktualne reguły</t>
  </si>
  <si>
    <t xml:space="preserve">12 budynków + asset Człowiek. Aktualne zasady: V7 + Zmiany v8. Kolumna K i komentarze są zachowaną historią użytkownika. Bufory producentów: 200 × własny poziom. Rachunek podatków zachowany, ich informacje usunięte z interfejsu. Czasy porównawcze zależą od parametrów: transport + budowa, bez zbierania i czekania w kolejce.</t>
  </si>
  <si>
    <t xml:space="preserve">Budynek / asset</t>
  </si>
  <si>
    <t xml:space="preserve">Po co jest</t>
  </si>
  <si>
    <t xml:space="preserve">Co daje rozbudowa</t>
  </si>
  <si>
    <t xml:space="preserve">Koszt bazowy</t>
  </si>
  <si>
    <t xml:space="preserve">Czas łączny</t>
  </si>
  <si>
    <t xml:space="preserve">Notyfikacje</t>
  </si>
  <si>
    <t xml:space="preserve">Uwagi i reguły</t>
  </si>
  <si>
    <t xml:space="preserve">Twoje wpisy źródłowe — historia</t>
  </si>
  <si>
    <t xml:space="preserve">Źródło zmian</t>
  </si>
  <si>
    <t xml:space="preserve">1→2 transport+budowa</t>
  </si>
  <si>
    <t xml:space="preserve">2→3 transport+budowa</t>
  </si>
  <si>
    <t xml:space="preserve">3→4 transport+budowa</t>
  </si>
  <si>
    <t xml:space="preserve">Ratusz</t>
  </si>
  <si>
    <t xml:space="preserve">Wyznacza poziom gry i limity rozwoju; skarbiec monet. U góry karty pokazuje aktywne błogosławieństwa, premie i kary.</t>
  </si>
  <si>
    <t xml:space="preserve">Brak własnych pracowników.</t>
  </si>
  <si>
    <t xml:space="preserve">Maksymalna populacja 24×L, wyższy limit ulepszeń, L budów + L miejsc kolejki. Lokalny magazyn producenta zależy od jego własnego poziomu, nie od ratusza.</t>
  </si>
  <si>
    <t xml:space="preserve">500×L KAŻDEGO z 6 zasobów</t>
  </si>
  <si>
    <t xml:space="preserve">2T = T transportu + T budowy</t>
  </si>
  <si>
    <t xml:space="preserve">Uzgodnione w V8; prototyp frontendowy. Szczegóły bieżącego wdrożenia i testów: docs/IMPLEMENTATION-LOG.md. Backend i integracje: Na pozniej.</t>
  </si>
  <si>
    <t xml:space="preserve">ZAWSZE: ukończenie budowy. Wcześniej także zlecenie/start/dostawa. Premie/kary: powiadomienie przy aktywacji, zmianie i końcu oraz aktywna lista u góry Town Hall.</t>
  </si>
  <si>
    <t xml:space="preserve">Ranking = poziom ratusza × monety. L budów + L miejsc kolejki; zlecenia zakolejkowane mają koszt wyższy o 10%. Ranking: aktualizacja o każdej pełnej godzinie według zastanego stanu ratusza i monet.</t>
  </si>
  <si>
    <t xml:space="preserve">Budowa:
Ratusz na poziomie 1 daje możliwość 1 rozbudowy w tym samym czasie i (o ile mam surowce) jednej zakolejkowanej, ale na tą zakolejkowaną muszę mieć surowce w momencie zlecania. Ratusz na poziomie 2 daje prawo do 2 budów I dwóch obiektów w kolejce pod tym samym warunkiem. Budynki zakolejkowane są o 10 % droższe niż te budowane bez kolejki. Później dopiszemy co oferuje premium (na pewno jedną z opcji będzie skróć czas budowy) </t>
  </si>
  <si>
    <t xml:space="preserve">Budynki!wiersz 6; potwierdzenia w Odpowiedzi i zmiany</t>
  </si>
  <si>
    <t xml:space="preserve">Dom</t>
  </si>
  <si>
    <t xml:space="preserve">Zapewnia miejsca mieszkalne, osobno od maksymalnego limitu ratusza.</t>
  </si>
  <si>
    <t xml:space="preserve">Miejsca: 24 × poziom domu; zmniejszenie kary przeludnienia. Panel pokazuje ludzi i przydziały oraz pozwala wysyłać wizyty do kaplicy i latarni. Manage all workers dostępne wyłącznie z domu. Cztery wskaźniki: populacja, limit ratusza, łóżka, przyrost/spadek; opisy pod i.</t>
  </si>
  <si>
    <t xml:space="preserve">ZAWSZE: ukończenie budowy. Wcześniej także zlecenie/start/dostawa. NOWE: przeludnienie; proponujemy na zmianę stanu, nie co klatkę. Premie/kary: powiadomienie przy aktywacji, zmianie i końcu oraz aktywna lista u góry Town Hall.</t>
  </si>
  <si>
    <t xml:space="preserve">Kara przeludnienia: max(0, P − 24 × poziom domu) pp/h każdej osobie. Nowi mieszkańcy zawsze trafiają do domu. Pula domu = liczba mieszkańców przy odnowieniu, w pełnych pp, raz na 24 h. Ręczne punkty dodają H; nie kasują kar ani ich liczników. O 23 h 58 min automat rozdaje wyłącznie resztę, po 1 pp najniższemu H; remis losowy. Pula nie jest wydawana drugi raz.</t>
  </si>
  <si>
    <t xml:space="preserve">Premium od L4: 25/50/75/100% pozostałej fazy budowania, bez transportu. Cena = MAX(5, FLOOR(zaoszczędzone sekundy / 60)) monet. Transport jest osobno rozliczany za potrzebne kursy. Pełny zakup budynku od poziomu gracza 4: wszystkie materiały według proporcjonalnych bazowych cen zakupu portu ×1,25 + nominalne monety budynku + natychmiastowy transport (10 monet za każdy potrzebny kurs, także niepełny). Nic nie pobieramy z własnych materiałów. Gotowe po 10 s; bez wymogu rzeczywistych tragarzy.</t>
  </si>
  <si>
    <t xml:space="preserve">Z poziomu domu widzę wszystkich ludzi gdzie są dopisani, mogę ich stąd wysyłać do kaplicy lub na latarnię. Mogę podejrzeć szczęście każdego mieszkańca indywidualnie. Dom dostaje 1 x na 24 h doładowanie szczęscia równe 1 pp x aktualna ilość mieszkańców, z poziomu domu mogę to szczęście dać indywidualnej osobie, czylui jeżeli mam 24 osoby podnieść jej szczęscie z 0 do 24 albo dać wszystkim po 1 pp., automat (tem co nada wszystkim) działa po 23h i 58 min i później przychodzi nowa pula. Doładiowanie szczęscia nadpisuje kary za bezrobocie i wszelkie inne.</t>
  </si>
  <si>
    <t xml:space="preserve">Budynki!wiersz 7; potwierdzenia w Odpowiedzi i zmiany</t>
  </si>
  <si>
    <t xml:space="preserve">Farma</t>
  </si>
  <si>
    <t xml:space="preserve">Produkuje zboże do młyna, budowy i wymiany.</t>
  </si>
  <si>
    <t xml:space="preserve">Start: 0; limit 12 × WŁASNY poziom budynku, ograniczony liczbą istniejących dostępnych ludzi. Ratusz tylko ogranicza poziom rozbudowy.</t>
  </si>
  <si>
    <t xml:space="preserve">Własny poziom daje limit 12 × L pracowników i wydajność na osobę/h: 10, 12, 13, 14…; L1 = 10, L ≥ 2: L + 10. Bufor lokalny: 200 × własny poziom producenta.</t>
  </si>
  <si>
    <t xml:space="preserve">L×(72 drewna+72 kamienia+120 zboża)</t>
  </si>
  <si>
    <t xml:space="preserve">ZAWSZE: ukończenie budowy. Wcześniej także zlecenie/start/dostawa. Powiadomienie o pełnym magazynie. Premie/kary: powiadomienie przy aktywacji, zmianie i końcu oraz aktywna lista u góry Town Hall.</t>
  </si>
  <si>
    <t xml:space="preserve">Do wszystkich produkcyjnych, zwiększenie levelu zwiększa produkcję na 1 h, dla levelu 1 jest to 10 szt / h dla levelu 2 będzie to 12, dla levelu 3 -13 dla 4 - 14 etc 
W premium dla wszystkich produkcyjnych możłiwość natychmiastowego transportu do magazynu  oneclickiem. </t>
  </si>
  <si>
    <t xml:space="preserve">Budynki!wiersz 8; potwierdzenia w Odpowiedzi i zmiany</t>
  </si>
  <si>
    <t xml:space="preserve">Młyn</t>
  </si>
  <si>
    <t xml:space="preserve">Przetwarza 2 zboża z centrali→1 żywność do lokalnego bufora.</t>
  </si>
  <si>
    <t xml:space="preserve">2L×(72 drewna+72 kamienia+120 żywności)</t>
  </si>
  <si>
    <t xml:space="preserve">Budynki!wiersz 9; potwierdzenia w Odpowiedzi i zmiany</t>
  </si>
  <si>
    <t xml:space="preserve">Drwale</t>
  </si>
  <si>
    <t xml:space="preserve">Produkują drewno do tartaku i budowy.</t>
  </si>
  <si>
    <t xml:space="preserve">2L×(192 drewna+72 kamienia)</t>
  </si>
  <si>
    <t xml:space="preserve">Budynki!wiersz 10; potwierdzenia w Odpowiedzi i zmiany</t>
  </si>
  <si>
    <t xml:space="preserve">Tartak</t>
  </si>
  <si>
    <t xml:space="preserve">Przetwarza 2 drewna z centrali→1 deskę do lokalnego bufora.</t>
  </si>
  <si>
    <t xml:space="preserve">2L×(72 drewna+72 kamienia+120 desek)</t>
  </si>
  <si>
    <t xml:space="preserve">Budynki!wiersz 11; potwierdzenia w Odpowiedzi i zmiany</t>
  </si>
  <si>
    <t xml:space="preserve">Kamieniołom</t>
  </si>
  <si>
    <t xml:space="preserve">Produkuje kamień do budowy i wymiany.</t>
  </si>
  <si>
    <t xml:space="preserve">2L×(72 drewna+192 kamienia)</t>
  </si>
  <si>
    <t xml:space="preserve">Budynki!wiersz 12; potwierdzenia w Odpowiedzi i zmiany</t>
  </si>
  <si>
    <t xml:space="preserve">Magazyn</t>
  </si>
  <si>
    <t xml:space="preserve">Przechowuje materiały; własna załoga nosi produkcję do centrali i materiały na budowy. Ludzie jedzą z centrali automatycznie.</t>
  </si>
  <si>
    <t xml:space="preserve">Limit załogi: 12 × własny L; ładunek na kurs +10%/poziom. Pojemność ×1.5/poziom; magazyn/port: 1000 na rodzaj i 4000 łącznie na poziomie 1; targ: 1000 łącznie na poziomie 1.</t>
  </si>
  <si>
    <t xml:space="preserve">300 × L każdego z 6 zasobów; w kolejce ×1,1.</t>
  </si>
  <si>
    <t xml:space="preserve">Rezerwa i próg ratunkowego Food: 50 × poziom magazynu. Gdy Food jest poniżej minimum, a czeka w młynie, nie można ręcznie wycofać całej obsady transportu. ETA budowy przeliczamy po zmianie priorytetów. Podgląd każdej osoby: ładunek, źródło→cel i ETA. Trzy trwałe priorytety spośród produktów i Construction, podział kursów 8/2, 5/3/2 lub 5/3/2.</t>
  </si>
  <si>
    <t xml:space="preserve">Transport. Nie rozróżniamy odległości, transport produków zawsze trwa 5 min z/do magazynu x capacity tragarza czyli jeżeli tragarz bierze 60 a potrzebuje przenieść 100 to I tak musi wykonać 2 kursy w jednym bierze 60 w drugim 40, tragarz nie może brać 2 produktow na raz, nie może czekać na towar. Jak klikam rozbudowa np drwala podświetla sie napis ile potrzeba surowców a ile zostało już dostarczonych np 60 /100 i estymowany czas zakońćzenia budowy czyli suma czasu transportu przy aktualnych ustawieniach priorytetów, i budowy. Z poziomu magazynu domyślne prirytety jest najpierw zaopatrz magazyn pózniej budowy, można je zmieniać, dodatkowo też można zmienić ustalić prio na konkretne gospodarstwo bądz konretną budowę, 1 tragarz zawsze będzie nosił żywność o ile jest wyprodukowana a w magazynie jest mniej niż 50 
Premium szybszy transport do puntu odbioru</t>
  </si>
  <si>
    <t xml:space="preserve">Budynki!wiersz 13; potwierdzenia w Odpowiedzi i zmiany</t>
  </si>
  <si>
    <t xml:space="preserve">Targ</t>
  </si>
  <si>
    <t xml:space="preserve">Od poziomu gracza 2: wymiana w grupach drewno/kamień/zboże lub deski/żywność, nominalnie 1:1 z marżą 10%. Bez kupowania za monety.</t>
  </si>
  <si>
    <t xml:space="preserve">Własna załoga w obu kierunkach. Barter w 2 grupach, marża 10%, bez monet. Pozostaje blokada dostaw 1 h; zapas przepada po 24 h od przyniesienia/wymiany.</t>
  </si>
  <si>
    <t xml:space="preserve">Premium transport oneclick
Ceny grupa 2 140/150</t>
  </si>
  <si>
    <t xml:space="preserve">Budynki!wiersz 14; potwierdzenia w Odpowiedzi i zmiany</t>
  </si>
  <si>
    <t xml:space="preserve">Przystań</t>
  </si>
  <si>
    <t xml:space="preserve">Od poziomu gracza 4: kupno i sprzedaż pięciu materiałów za monety. Wyłącznie pełne paczki 100. Monety są środkiem płatności, nie osobnym towarem.</t>
  </si>
  <si>
    <t xml:space="preserve">400 × L każdego z 6 zasobów; w kolejce ×1,1.</t>
  </si>
  <si>
    <t xml:space="preserve">Kliknięcie kup/sprzedaj: pobranie monet lub rezerwacja towaru. Sprzedaż: dwa etapy transportu, wypłata przy wypłynięciu; rejs 5 min. Osobny licznik dla KAŻDEGO produktu w ruchomych 3 h. Kolejne paczki zakupu po 100 podnoszą cenę liniowo o 10% ceny bazowej. Cena zamrożona przy kliknięciu zamówienia; kupno 100 drewna nie podnosi ceny kamienia.</t>
  </si>
  <si>
    <t xml:space="preserve">Tempo załogi jak w magazynie, premium jak w magazynie </t>
  </si>
  <si>
    <t xml:space="preserve">Budynki!wiersz 15; potwierdzenia w Odpowiedzi i zmiany</t>
  </si>
  <si>
    <t xml:space="preserve">Kaplica</t>
  </si>
  <si>
    <t xml:space="preserve">Daje premie szczęścia i podatków po rozbudowie; dotychczas była miejscem ręcznych błogosławieństw.</t>
  </si>
  <si>
    <t xml:space="preserve">Brak etatów; wizyty nie są zatrudnieniem.</t>
  </si>
  <si>
    <t xml:space="preserve">+1 użycie dotychczasowego błogosławieństwa; rozbudowa do N: +10 × N szczęścia, podatki ×2 na 10 h. Kaplica = błogosławieństwo.</t>
  </si>
  <si>
    <t xml:space="preserve">T transportu + 3T × (N − 1) budowy; N = nowy poziom. Łącznie: 4T, 7T, 10T…</t>
  </si>
  <si>
    <t xml:space="preserve">ZAWSZE: ukończenie budowy. Wcześniej także zlecenie/start/dostawa. Uruchomienie premii i ręczne błogosławieństwo. Premie/kary: powiadomienie przy aktywacji, zmianie i końcu oraz aktywna lista u góry Town Hall.</t>
  </si>
  <si>
    <t xml:space="preserve">Budynki!wiersz 16; potwierdzenia w Odpowiedzi i zmiany</t>
  </si>
  <si>
    <t xml:space="preserve">Latarnia</t>
  </si>
  <si>
    <t xml:space="preserve">Daje premie szczęścia i produkcji po ukończeniu poziomu.</t>
  </si>
  <si>
    <t xml:space="preserve">Rozbudowa: szczęście 100% i produkcja ×2 przez 24 h × nowy poziom; podatki bez mnożnika. Premie od powrotu: uczestnik 100% na 24 h i blokada ponownej wizyty przez te same 24 h; każda osobno wysłana grupa daje populacji +10 pp przez 6 h. Premie grup sumują się w czasie nakładania.</t>
  </si>
  <si>
    <t xml:space="preserve">500×max(1, L) KAŻDEGO z 6 zasobów. Pierwsza budowa 0→1:500 każdego.</t>
  </si>
  <si>
    <t xml:space="preserve">5T = T transportu + 4T budowy</t>
  </si>
  <si>
    <t xml:space="preserve">ZAWSZE: ukończenie budowy. Wcześniej także zlecenie/start/dostawa. Uruchomienie premii latarni. Premie/kary: powiadomienie przy aktywacji, zmianie i końcu oraz aktywna lista u góry Town Hall.</t>
  </si>
  <si>
    <t xml:space="preserve">Pobyt 4 h, bez czasu dojścia i możliwości wycofania. Wyłącznie wolne osoby z domu; jednocześnie 2 × poziom latarni miejsc. Darmowo 2 × poziom latarni wejść w ruchomych 24 h. Do 3 dodatkowych pakietów/24 h, każdy daje 2L wejść; cena 300 × numer pakietu (2, 3, 4) × L. Pakiet nie zwiększa liczby miejsc jednocześnie. Po premii powrót do wcześniejszego osobistego stanu. Każdy nowy mieszkaniec ma zamrożone 0% szczęścia przez pierwsze 24 h, również podczas premii; później zwykłe naliczanie od 0%. Początkowych 12 osób nie obejmuje zamrożenie.</t>
  </si>
  <si>
    <t xml:space="preserve">Nowe błogosławieństwo: kasa/challenge/udostępnienie/reklama. Zgodnie z decyzją użytkownika szczegóły ODŁOŻONE. Brak cen ani zatwierdzonej integracji.</t>
  </si>
  <si>
    <t xml:space="preserve">Budynki!wiersz 17; potwierdzenia w Odpowiedzi i zmiany</t>
  </si>
  <si>
    <t xml:space="preserve">CZŁOWIEK — ASSET</t>
  </si>
  <si>
    <t xml:space="preserve">Je, pracuje, produkuje/nosi, płaci podatki; własna historia szczęścia.</t>
  </si>
  <si>
    <t xml:space="preserve">12 na starcie w domu; min. 6, max. 24 × Ratusz; jedno zatrudnienie, limit 12 × własny poziom budynku.</t>
  </si>
  <si>
    <t xml:space="preserve">Nie ulepsza się osoby poziomem; zmieniają się warunki życia i pracy.</t>
  </si>
  <si>
    <t xml:space="preserve">Utrzymanie: 1 Food/os./h; kupowania ludzi nie ustalono.</t>
  </si>
  <si>
    <t xml:space="preserve">Demografia zależy od średniego H, liczona zegarowo także offline.</t>
  </si>
  <si>
    <t xml:space="preserve">Odejście, nigdy śmierć; nowy mieszkaniec zawsze w domu. Premie/kary: powiadomienie przy aktywacji, zmianie i końcu oraz aktywna lista u góry Town Hall.</t>
  </si>
  <si>
    <t xml:space="preserve">+1 za jedzenie, +1 za pracę; po 12 h braku danego warunku −5; oba braki −10/h. Przeludnienie i osobne kary pełnego bufora. Podatki 1/h; wizyty po zdefiniowaniu.</t>
  </si>
  <si>
    <t xml:space="preserve">Brak oferty sprzedaży osób.</t>
  </si>
  <si>
    <t xml:space="preserve">Odejścia:najpierwDom,potemnajwiększazałoga;remisywgpriorytetów;patrzCzlowiek.</t>
  </si>
  <si>
    <t xml:space="preserve">Czlowiek/Ustalenia/Populacja; potwierdzeniaoffline.</t>
  </si>
  <si>
    <t xml:space="preserve">Nie dotyczy.</t>
  </si>
  <si>
    <t xml:space="preserve">CZŁOWIEK • zaktualizowany asset</t>
  </si>
  <si>
    <t xml:space="preserve">Pełne zasady człowieka po 17 decyzjach: indywidualne szczęście, praca i podatek od dotarcia, brak bonusu pracy przy przestoju, osobne kary, pula domu, zwiedzanie, zamrożenie nowych osób i gospodarka offline. V8 dodaje czasowe atrakcje dla wybranych osób; podatki nadal naliczane, ich informacji nie pokazujemy w UI. Workers ma podpisane Assigned / Free at home / Max workers.</t>
  </si>
  <si>
    <t xml:space="preserve">Stan / obszar</t>
  </si>
  <si>
    <t xml:space="preserve">Zasada</t>
  </si>
  <si>
    <t xml:space="preserve">Wzór / liczby</t>
  </si>
  <si>
    <t xml:space="preserve">Konsekwencje</t>
  </si>
  <si>
    <t xml:space="preserve">Rola assetu</t>
  </si>
  <si>
    <t xml:space="preserve">Każda osoba ma trwałe ID, własne szczęście, stan pracy/pobytu i niezależne liczniki głodu oraz bezrobocia.</t>
  </si>
  <si>
    <t xml:space="preserve">12 na starcie; minimum 6; maksimum 24 × poziom ratusza.</t>
  </si>
  <si>
    <t xml:space="preserve">Nowe osoby trafiają do domu. Ubytek oznacza odejście, nie śmierć.</t>
  </si>
  <si>
    <t xml:space="preserve">UZGODNIONE; NOWE DOPRECYZOWANIA</t>
  </si>
  <si>
    <t xml:space="preserve">Start i dom</t>
  </si>
  <si>
    <t xml:space="preserve">Na starcie wszyscy ludzie są w domu, bez przypisania do gospodarki. Z domu widać ich przydziały; można kierować do kaplicy i latarni.</t>
  </si>
  <si>
    <t xml:space="preserve">12 w domu, 0 pracowników we wszystkich budynkach; każdy zasób na starcie 100.</t>
  </si>
  <si>
    <t xml:space="preserve">Przed pierwszym przydziałem nie ma produkcji ani podatków, ale ludzie jedzą.</t>
  </si>
  <si>
    <t xml:space="preserve">UZGODNIONE / NOWE</t>
  </si>
  <si>
    <t xml:space="preserve">Limit miejsca pracy</t>
  </si>
  <si>
    <t xml:space="preserve">Limit zależy od poziomu konkretnego miejsca pracy, nie samego ratusza. Jedna wspólna pula wolnych ludzi.</t>
  </si>
  <si>
    <t xml:space="preserve">0…12 × poziom budynku; nowy przydział ograniczony faktycznie wolnymi osobami w domu.</t>
  </si>
  <si>
    <t xml:space="preserve">Ratusz 2 i drwale 1: limit drwali nadal 12. Drwale 2: limit 24, jeżeli tylu wolnych istnieje. Nie wolno ulepszyć ponad ratusz.</t>
  </si>
  <si>
    <t xml:space="preserve">ZMIENIONE I WYJAŚNIONE</t>
  </si>
  <si>
    <t xml:space="preserve">Jedzenie</t>
  </si>
  <si>
    <t xml:space="preserve">Każdy je automatycznie wyłącznie z magazynu centralnego, niezależnie od pracy lub drogi.</t>
  </si>
  <si>
    <t xml:space="preserve">1 Food/os./h zegarowej.</t>
  </si>
  <si>
    <t xml:space="preserve">Lokalny młyn, targ i port nie karmią bez przewiezienia do centrali. Rezerwę można zjadać.</t>
  </si>
  <si>
    <t xml:space="preserve">UZGODNIONE; CZAS ZEGAROWY</t>
  </si>
  <si>
    <t xml:space="preserve">Rezerwa jedzenia</t>
  </si>
  <si>
    <t xml:space="preserve">Rezerwa na żywienie rośnie z poziomem magazynu. Operacje nieżywieniowe mają ją zachować.</t>
  </si>
  <si>
    <t xml:space="preserve">Minimum Food = 50 × poziom magazynu.</t>
  </si>
  <si>
    <t xml:space="preserve">Potwierdzone minimum i próg ratunkowego transportu:50 × poziom magazynu. Przy gotowym Food w młynie nie można ręcznie wycofać wszystkich magazynierów, gdy centrala jest poniżej minimum.</t>
  </si>
  <si>
    <t xml:space="preserve">ROZSTRZYGNIĘTE V5</t>
  </si>
  <si>
    <t xml:space="preserve">Praca producenta</t>
  </si>
  <si>
    <t xml:space="preserve">Wydajność na osobę wynika z własnego poziomu producenta.</t>
  </si>
  <si>
    <t xml:space="preserve">Poziomy 1,2,3,4: dokładnie 10,12,13,14 szt./h; dalej +1 szt./h na poziom.</t>
  </si>
  <si>
    <t xml:space="preserve">Wybrany dosłowny ciąg zastępuje sprzeczny ogólny zapis +10%. Głód ×0,5, premia latarni ×2.</t>
  </si>
  <si>
    <t xml:space="preserve">POTWIERDZONE W ODPOWIEDZI</t>
  </si>
  <si>
    <t xml:space="preserve">Całe sztuki</t>
  </si>
  <si>
    <t xml:space="preserve">Każdy pracownik nalicza własny postęp; niedokończone części różnych osób nie łączą się. Zwolnienie odrzuca jego niedokończoną sztukę.</t>
  </si>
  <si>
    <t xml:space="preserve">Na poziomie 1: jedna sztuka/6 min; po 7 min 1, po 13 min 2. Na wyższych poziomach odstęp = 3600 / wydajność sekund.</t>
  </si>
  <si>
    <t xml:space="preserve">Gotowy produkt zostaje w lokalnym buforze i wymaga transportu.</t>
  </si>
  <si>
    <t xml:space="preserve">UZGODNIONE; DOSTOSOWANE DO WYDAJNOŚCI</t>
  </si>
  <si>
    <t xml:space="preserve">Przeróbka</t>
  </si>
  <si>
    <t xml:space="preserve">Młyn i tartak zużywają surowce centralne; zboże i drewno idą przez magazyn.</t>
  </si>
  <si>
    <t xml:space="preserve">2 zboża → 1 Food; 2 drewna → 1 deska.</t>
  </si>
  <si>
    <t xml:space="preserve">Brak wejścia lub miejsca powoduje przestój i karę według reguły przestoju; przypisani pracownicy nadal płacą podatek. Nie dokładamy drugiej kary bezrobocia za tę samą blokadę.</t>
  </si>
  <si>
    <t xml:space="preserve">DOPRECYZOWANE V5</t>
  </si>
  <si>
    <t xml:space="preserve">Tragarz wiezie jeden rodzaj towaru, nie czeka na pełne obłożenie. Pojemność to ładunek na kurs, nie sztuki na godzinę.</t>
  </si>
  <si>
    <t xml:space="preserve">Poziom 1: 60 szt./kurs; pełny kurs z powrotem 5 min; pojemność rośnie o 10% na poziom miejsca pracy.</t>
  </si>
  <si>
    <t xml:space="preserve">100 jednego towaru wymaga dwóch kursów: 60 i 40. Magazyn, targ i port stosują takie same bazowe zasady; własne załogi. Ścieżki po ukończeniu całego poziomu zwiększają szybkość; od poziomu 3 również ładunek.</t>
  </si>
  <si>
    <t xml:space="preserve">POTWIERDZONE V7: FLOOR(60 × 1,1^(L−1))</t>
  </si>
  <si>
    <t xml:space="preserve">Podatek przy pracy</t>
  </si>
  <si>
    <t xml:space="preserve">Podatek zaczyna się po dojściu do zakładu i płynie także podczas przestoju, dopóki osoba pozostaje przypisana. Bezrobotny, idący do pracy, wracający i zwiedzający nie płaci.</t>
  </si>
  <si>
    <t xml:space="preserve">1 moneta/os./h zegarowej; podczas premii kaplicy 2.</t>
  </si>
  <si>
    <t xml:space="preserve">Brak surowca lub miejsca nie zatrzymuje podatku. Kara przestoju obniża szczęście przypisanych osób. Premia kaplicy nadal podwaja podatek. V8: wartość i opis podatku ukryte we wszystkich widokach gry; to zmiana prezentacji, nie rachunku.</t>
  </si>
  <si>
    <t xml:space="preserve">POTWIERDZONE V5</t>
  </si>
  <si>
    <t xml:space="preserve">Je i pracuje</t>
  </si>
  <si>
    <t xml:space="preserve">Sumują się bonus jedzenia i bonus pracy.</t>
  </si>
  <si>
    <t xml:space="preserve">+1 pp/h za jedzenie +1 pp/h za pracę = +2 pp/h.</t>
  </si>
  <si>
    <t xml:space="preserve">Od osobistego 0% po 10 h takiego stanu ma 20%.</t>
  </si>
  <si>
    <t xml:space="preserve">UZGODNIONE</t>
  </si>
  <si>
    <t xml:space="preserve">Je, bez pracy do 12 h</t>
  </si>
  <si>
    <t xml:space="preserve">Jedzenie daje bonus; pierwszy ciągły okres bezrobocia nie jest jeszcze karany.</t>
  </si>
  <si>
    <t xml:space="preserve">+1 pp/h.</t>
  </si>
  <si>
    <t xml:space="preserve">Po 10 h pracy i jedzenia ma 20%; następne 12 h jedzenia bez pracy daje 32%.</t>
  </si>
  <si>
    <t xml:space="preserve">Je, bez pracy ponad 12 h</t>
  </si>
  <si>
    <t xml:space="preserve">Po okresie bez kary dochodzi kara bezrobocia.</t>
  </si>
  <si>
    <t xml:space="preserve">+1 za jedzenie −5 za bezrobocie = −4 pp/h.</t>
  </si>
  <si>
    <t xml:space="preserve">Po powyższym 32% następna godzina bezrobocia daje 28%.</t>
  </si>
  <si>
    <t xml:space="preserve">Nie je do 12 h, pracuje</t>
  </si>
  <si>
    <t xml:space="preserve">Nie dostaje bonusu jedzenia, dostaje bonus pracy; jeszcze bez kary głodu.</t>
  </si>
  <si>
    <t xml:space="preserve">+1 pp/h; wydajność pracy 50% od początku głodu.</t>
  </si>
  <si>
    <t xml:space="preserve">Podatek pracującego nie zmniejsza się z powodu głodu.</t>
  </si>
  <si>
    <t xml:space="preserve">Nie je ponad 12 h, pracuje</t>
  </si>
  <si>
    <t xml:space="preserve">Po okresie bez kary dochodzi kara głodu.</t>
  </si>
  <si>
    <t xml:space="preserve">+1 za pracę −5 za głód = −4 pp/h.</t>
  </si>
  <si>
    <t xml:space="preserve">Wydajność 50%; podatek pracującego nadal 1 moneta/h przed premią kaplicy.</t>
  </si>
  <si>
    <t xml:space="preserve">Nie je i nie pracuje</t>
  </si>
  <si>
    <t xml:space="preserve">Głód i bezrobocie liczą się niezależnie i sumują.</t>
  </si>
  <si>
    <t xml:space="preserve">0 pp/h, gdy oba braki &lt;12 h; −5 pp/h, gdy tylko jeden przekroczył próg; −10 pp/h, gdy oba.</t>
  </si>
  <si>
    <t xml:space="preserve">Brak produkcji i podatku. Progi nie muszą wystąpić jednocześnie.</t>
  </si>
  <si>
    <t xml:space="preserve">Resety</t>
  </si>
  <si>
    <t xml:space="preserve">Jedzenie resetuje tylko głód, a podjęcie pracy tylko bezrobocie. Brak naliczania kary wstecz.</t>
  </si>
  <si>
    <t xml:space="preserve">Każdy brak ma osobne 12 ciągłych godzin bez kary.</t>
  </si>
  <si>
    <t xml:space="preserve">Reset licznika braku nie zwraca utraconego szczęścia. Oddzielny licznik przestoju resetuje się w drodze do domu. Nie oznacza to resetu osobistego szczęścia do 0%.</t>
  </si>
  <si>
    <t xml:space="preserve">UZUPEŁNIONE V5</t>
  </si>
  <si>
    <t xml:space="preserve">Droga do pracy</t>
  </si>
  <si>
    <t xml:space="preserve">Po wysłaniu do nowego miejsca pracy osoba idzie przez ustalony czas.</t>
  </si>
  <si>
    <t xml:space="preserve">5 min do pracy.</t>
  </si>
  <si>
    <t xml:space="preserve">Praca i podatek zaczynają się dopiero po dotarciu do zakładu. W drodze osoba nie produkuje ani nie płaci podatku.</t>
  </si>
  <si>
    <t xml:space="preserve">Powrót do domu</t>
  </si>
  <si>
    <t xml:space="preserve">Zwolniony zawsze wraca do domu; dopiero po powrocie może być ponownie przydzielony.</t>
  </si>
  <si>
    <t xml:space="preserve">5 min do domu.</t>
  </si>
  <si>
    <t xml:space="preserve">Nie pracuje, nie płaci podatku; je i jest liczony jako bezrobotny od zwolnienia. Zachowuje ID oraz szczęście.</t>
  </si>
  <si>
    <t xml:space="preserve">Przestój gospodarczy</t>
  </si>
  <si>
    <t xml:space="preserve">Brak surowca lub miejsca zatrzymuje produkcję. Przypisane osoby płacą podatek i otrzymują jedną karę przestoju według reguły poniżej.</t>
  </si>
  <si>
    <t xml:space="preserve">−10 od początku blokady; kolejne−10 co 24 h; granica−50 z tego tytułu.</t>
  </si>
  <si>
    <t xml:space="preserve">ROZSTRZYGNIĘTE V7 D14</t>
  </si>
  <si>
    <t xml:space="preserve">Blokada lokalnego magazynu</t>
  </si>
  <si>
    <t xml:space="preserve">Kara dotyczy tylko przypisanych ludzi w przedsiębiorstwie i tylko okresu, gdy lokalny bufor faktycznie blokuje produkcję.</t>
  </si>
  <si>
    <t xml:space="preserve">−10 od razu; po 24 h −20, 48 h −30, 72 h −40, 96 h i dalej −50.</t>
  </si>
  <si>
    <t xml:space="preserve">Limit −50 dotyczy wyłącznie tej kary; np. −40 z innych przyczyn i −20 za przestój daje −60%.</t>
  </si>
  <si>
    <t xml:space="preserve">ROZSTRZYGNIĘTE V7</t>
  </si>
  <si>
    <t xml:space="preserve">Przeludnienie</t>
  </si>
  <si>
    <t xml:space="preserve">Brak miejsca w domu zmniejsza szczęście każdej osoby; limit populacji nadal wyznacza ratusz.</t>
  </si>
  <si>
    <t xml:space="preserve">U = max(0, populacja − 24 × poziom domu); każdemu −U pp/h.</t>
  </si>
  <si>
    <t xml:space="preserve">78 osób i 72 miejsca → −6 pp/h każdej osobie. Zapewnienie miejsc zatrzymuje przyszłą karę, bez zwrotu utraconych punktów.</t>
  </si>
  <si>
    <t xml:space="preserve">Kaplica: premia poziomu</t>
  </si>
  <si>
    <t xml:space="preserve">Rozbudowa do N daje bonus szczęścia i podatków; poziom 1 bez pasywnej premii.</t>
  </si>
  <si>
    <t xml:space="preserve">+10 × N szczęścia wszystkim i podatki ×2 przez 10 h zegarowych.</t>
  </si>
  <si>
    <t xml:space="preserve">Premia czasowa, nie +10 × N pp co godzinę. Kolejna rozbudowa odświeża okres, nie robi podatków ×4.</t>
  </si>
  <si>
    <t xml:space="preserve">Kaplica: błogosławieństwo</t>
  </si>
  <si>
    <t xml:space="preserve">Ręczne błogosławieństwo należy do kaplicy; latarnia oferuje zwiedzanie.</t>
  </si>
  <si>
    <t xml:space="preserve">Bezpłatne użycia zależne od poziomu pozostają. Reklamy, challenge i social odłożone.</t>
  </si>
  <si>
    <t xml:space="preserve">ROZSTRZYGNIĘTE V7 D15</t>
  </si>
  <si>
    <t xml:space="preserve">Latarnia: premia poziomu</t>
  </si>
  <si>
    <t xml:space="preserve">W czasie premii wszyscy mają maksymalne szczęście, a produkcja materiałów jest podwojona.</t>
  </si>
  <si>
    <t xml:space="preserve">Szczęście USTAWIONE NA100%, nie +100; produkcja ×2. Obie premie 24 h × N.</t>
  </si>
  <si>
    <t xml:space="preserve">Po zakończeniu wymuszonej premii przywracamy osobisty stan sprzed niej. Każdy nowy mieszkaniec ma zamrożone 0% szczęścia przez pierwsze 24 h, również podczas premii; później zwykłe naliczanie od 0%. Początkowych 12 osób nie obejmuje zamrożenie.</t>
  </si>
  <si>
    <t xml:space="preserve">Latarnia: zwiedzanie</t>
  </si>
  <si>
    <t xml:space="preserve">Pobyt 4 h, bez czasu dojścia i możliwości wycofania. Wyłącznie wolne osoby z domu; jednocześnie 2 × poziom latarni miejsc. Zwiedzający nie produkuje, nie płaci podatku i je normalnie.</t>
  </si>
  <si>
    <t xml:space="preserve">ROZSTRZYGNIĘTE V7 D01–D02</t>
  </si>
  <si>
    <t xml:space="preserve">Średnia i prezentacja</t>
  </si>
  <si>
    <t xml:space="preserve">Osobiste wartości ograniczamy do −100…+100%, następnie liczymy średnią populacji.</t>
  </si>
  <si>
    <t xml:space="preserve">H wyspy = suma H osób / populacja.</t>
  </si>
  <si>
    <t xml:space="preserve">Prezentacja zaokrąglona w górę, rachunek na dokładnych wartościach. Po wymuszonej premii latarni wracamy do stanu sprzed niej.</t>
  </si>
  <si>
    <t xml:space="preserve">Tempo demografii</t>
  </si>
  <si>
    <t xml:space="preserve">Dodatnia dokładna średnia daje przyrost, ujemna odejścia, 0% brak zmiany.</t>
  </si>
  <si>
    <t xml:space="preserve">±25%: 1/12 h; ±50%: 1/6 h; ±75%: około 1/1 h 43 min; ±100%: 1/h.</t>
  </si>
  <si>
    <t xml:space="preserve">Odejścia mają symetryczne tempo do przyrostu. Minimum 6; maksimum 24 × ratusz, nie pojemność domu.</t>
  </si>
  <si>
    <t xml:space="preserve">UZGODNIONE I POTWIERDZONE</t>
  </si>
  <si>
    <t xml:space="preserve">Nowy mieszkaniec</t>
  </si>
  <si>
    <t xml:space="preserve">Nowa osoba trafia do domu bez automatycznego przydziału.</t>
  </si>
  <si>
    <t xml:space="preserve">Konsumpcja i praca działają także w pierwszej dobie; zamrożone jest wyłącznie H. Po zakończeniu nie naliczamy szczęścia wstecz za okres zamrożenia.</t>
  </si>
  <si>
    <t xml:space="preserve">ROZSTRZYGNIĘTE V7 D13</t>
  </si>
  <si>
    <t xml:space="preserve">Odejście mieszkańca</t>
  </si>
  <si>
    <t xml:space="preserve">Najpierw odchodzą osoby z domu. Jeśli ich brak, z gospodarstwa o największej obsadzie.</t>
  </si>
  <si>
    <t xml:space="preserve">Najpierw dom i ludzie w drodze; potem największa załoga. Remis: port → targ → tartak → kamieniołom → drwale → farma → młyn → magazyn. Zwiedzający i uczestnicy modlitwy chronieni; jeżeli brak osoby uprawnionej, odejście nie zachodzi. Minimum 6.</t>
  </si>
  <si>
    <t xml:space="preserve">Przymusowe odejście i zakaz ręcznego wycofania ostatniego tragarza to odrębne reguły. Załadowany towar nie znika z mieszkańcem.</t>
  </si>
  <si>
    <t xml:space="preserve">Czas świata</t>
  </si>
  <si>
    <t xml:space="preserve">Wszystkie procesy działają w czasie rzeczywistym zegarowym także po zamknięciu karty i wylogowaniu.</t>
  </si>
  <si>
    <t xml:space="preserve">Produkcja, jedzenie, szczęście, podatki, budowy i zegary także offline.</t>
  </si>
  <si>
    <t xml:space="preserve">Usunąć stop/play/przewijanie; normalny czas rzeczywisty oraz rozliczanie offline.</t>
  </si>
  <si>
    <t xml:space="preserve">POTWIERDZONE V7</t>
  </si>
  <si>
    <t xml:space="preserve">Ranking</t>
  </si>
  <si>
    <t xml:space="preserve">Ranking w ustawieniach według poziomu i posiadanych monet.</t>
  </si>
  <si>
    <t xml:space="preserve">Wynik = poziom ratusza × ilość złota.</t>
  </si>
  <si>
    <t xml:space="preserve">Aktualizacja o każdej pełnej godzinie zegarowej według zastanego stanu. Remisy nie są opisane.</t>
  </si>
  <si>
    <t xml:space="preserve">CZĘSTOTLIWOŚĆ POTWIERDZONA V5</t>
  </si>
  <si>
    <t xml:space="preserve">Pula szczęścia domu</t>
  </si>
  <si>
    <t xml:space="preserve">Pełne pp; odnowienie 24 h, automat 23 h 58 min.</t>
  </si>
  <si>
    <t xml:space="preserve">Nie kasuje przyczyn kar. Każdy nowy mieszkaniec ma zamrożone 0% szczęścia przez pierwsze 24 h, również podczas premii; później zwykłe naliczanie od 0%. Początkowych 12 osób nie obejmuje zamrożenie.</t>
  </si>
  <si>
    <t xml:space="preserve">ROZSTRZYGNIĘTE V7 D03–D04</t>
  </si>
  <si>
    <t xml:space="preserve">Każdy zakup dodaje czasową premię wybranym mieszkańcom, nie całej średniej automatycznie.</t>
  </si>
  <si>
    <t xml:space="preserve">Y×współczynnik pp dla L osób przez 6 h; L=aktualny poziom ratusza.</t>
  </si>
  <si>
    <t xml:space="preserve">Przyzwyczajanie osobno; limit osobistego H nadal100; zamrożenie nowej osoby zachowane.</t>
  </si>
  <si>
    <t xml:space="preserve">POTWIERDZONE V8</t>
  </si>
  <si>
    <t xml:space="preserve">Informacja o efektach</t>
  </si>
  <si>
    <t xml:space="preserve">Wszystkie aktywne premie i kary mają źródło, wartość, odbiorców i czas/warunek zakończenia.</t>
  </si>
  <si>
    <t xml:space="preserve">Powiadomienia + góra Town Hall.</t>
  </si>
  <si>
    <t xml:space="preserve">Wpis na zmianę stanu, nie co klatkę.</t>
  </si>
  <si>
    <t xml:space="preserve">ATRAKCJE • 20 dekoracji i wydarzeń</t>
  </si>
  <si>
    <t xml:space="preserve">Pięć ofert zmienia się co 24 h. Y jest całkowite od 5 do 100 i zapisane w ofercie. Cena: Y × bieżący poziom ratusza L. Premia: Y × współczynnik przyzwyczajenia pp dla L osób przez 6 h. Każdy rodzaj ma osobny licznik; reset po 24 h bez jego zakupu. Przy zerowej premii zakup zablokowany.</t>
  </si>
  <si>
    <t xml:space="preserve">Nazwa w grze</t>
  </si>
  <si>
    <t xml:space="preserve">Znaczenie</t>
  </si>
  <si>
    <t xml:space="preserve">Typ</t>
  </si>
  <si>
    <t xml:space="preserve">Cena</t>
  </si>
  <si>
    <t xml:space="preserve">Efekt</t>
  </si>
  <si>
    <t xml:space="preserve">Czas</t>
  </si>
  <si>
    <t xml:space="preserve">flower-beds</t>
  </si>
  <si>
    <t xml:space="preserve">Flower beds</t>
  </si>
  <si>
    <t xml:space="preserve">Rabaty kwiatowe</t>
  </si>
  <si>
    <t xml:space="preserve">Dekoracja</t>
  </si>
  <si>
    <t xml:space="preserve">Y × L monet</t>
  </si>
  <si>
    <t xml:space="preserve">Y × współczynnik pp dla L osób</t>
  </si>
  <si>
    <t xml:space="preserve">100% →75% →50% →25% →0%; osobny reset 24 h</t>
  </si>
  <si>
    <t xml:space="preserve">village-benches</t>
  </si>
  <si>
    <t xml:space="preserve">Village benches</t>
  </si>
  <si>
    <t xml:space="preserve">Ławki we wsi</t>
  </si>
  <si>
    <t xml:space="preserve">lantern-strings</t>
  </si>
  <si>
    <t xml:space="preserve">Lantern strings</t>
  </si>
  <si>
    <t xml:space="preserve">Girlandy lampionów</t>
  </si>
  <si>
    <t xml:space="preserve">harbor-flags</t>
  </si>
  <si>
    <t xml:space="preserve">Harbor flags</t>
  </si>
  <si>
    <t xml:space="preserve">Flagi przystani</t>
  </si>
  <si>
    <t xml:space="preserve">village-fountain</t>
  </si>
  <si>
    <t xml:space="preserve">Village fountain</t>
  </si>
  <si>
    <t xml:space="preserve">Fontanna wiejska</t>
  </si>
  <si>
    <t xml:space="preserve">garden-pond</t>
  </si>
  <si>
    <t xml:space="preserve">Garden pond</t>
  </si>
  <si>
    <t xml:space="preserve">Oczko ogrodowe</t>
  </si>
  <si>
    <t xml:space="preserve">wooden-sculptures</t>
  </si>
  <si>
    <t xml:space="preserve">Wooden sculptures</t>
  </si>
  <si>
    <t xml:space="preserve">Drewniane rzeźby</t>
  </si>
  <si>
    <t xml:space="preserve">seaside-mural</t>
  </si>
  <si>
    <t xml:space="preserve">Seaside mural</t>
  </si>
  <si>
    <t xml:space="preserve">Mural nad morzem</t>
  </si>
  <si>
    <t xml:space="preserve">lighthouse-garden</t>
  </si>
  <si>
    <t xml:space="preserve">Lighthouse garden</t>
  </si>
  <si>
    <t xml:space="preserve">Ogród przy latarni</t>
  </si>
  <si>
    <t xml:space="preserve">ornamental-sails</t>
  </si>
  <si>
    <t xml:space="preserve">Ornamental sails</t>
  </si>
  <si>
    <t xml:space="preserve">Ozdobne żagle</t>
  </si>
  <si>
    <t xml:space="preserve">travelling-circus</t>
  </si>
  <si>
    <t xml:space="preserve">Travelling circus</t>
  </si>
  <si>
    <t xml:space="preserve">Wędrowny cyrk</t>
  </si>
  <si>
    <t xml:space="preserve">Wydarzenie</t>
  </si>
  <si>
    <t xml:space="preserve">theatre-troupe</t>
  </si>
  <si>
    <t xml:space="preserve">Theatre troupe</t>
  </si>
  <si>
    <t xml:space="preserve">Grupa teatralna</t>
  </si>
  <si>
    <t xml:space="preserve">folk-concert</t>
  </si>
  <si>
    <t xml:space="preserve">Folk concert</t>
  </si>
  <si>
    <t xml:space="preserve">Koncert ludowy</t>
  </si>
  <si>
    <t xml:space="preserve">puppet-show</t>
  </si>
  <si>
    <t xml:space="preserve">Puppet show</t>
  </si>
  <si>
    <t xml:space="preserve">Teatr lalek</t>
  </si>
  <si>
    <t xml:space="preserve">harvest-festival</t>
  </si>
  <si>
    <t xml:space="preserve">Harvest festival</t>
  </si>
  <si>
    <t xml:space="preserve">Dożynki</t>
  </si>
  <si>
    <t xml:space="preserve">fishing-contest</t>
  </si>
  <si>
    <t xml:space="preserve">Fishing contest</t>
  </si>
  <si>
    <t xml:space="preserve">Zawody wędkarskie</t>
  </si>
  <si>
    <t xml:space="preserve">storytelling-evening</t>
  </si>
  <si>
    <t xml:space="preserve">Storytelling evening</t>
  </si>
  <si>
    <t xml:space="preserve">Wieczór opowieści</t>
  </si>
  <si>
    <t xml:space="preserve">village-dance</t>
  </si>
  <si>
    <t xml:space="preserve">Village dance</t>
  </si>
  <si>
    <t xml:space="preserve">Wiejska potańcówka</t>
  </si>
  <si>
    <t xml:space="preserve">fireworks-night</t>
  </si>
  <si>
    <t xml:space="preserve">Fireworks night</t>
  </si>
  <si>
    <t xml:space="preserve">Noc fajerwerków</t>
  </si>
  <si>
    <t xml:space="preserve">harbor-fair</t>
  </si>
  <si>
    <t xml:space="preserve">Harbor fair</t>
  </si>
  <si>
    <t xml:space="preserve">Jarmark portowy</t>
  </si>
  <si>
    <t xml:space="preserve">ATRAKCJE • cena i przyzwyczajanie</t>
  </si>
  <si>
    <t xml:space="preserve">Niebieskie pola A/B/C: poziom ratusza L, ofertowe Y i numer użycia. F zawiera dokładny składnik szczęścia; G prezentację w pełnych pp, zaokrągloną w górę. Osobiste H nadal ograniczamy do ±100%. Wiersze są niezależnymi przykładami, a nie cenami jednej oferty.</t>
  </si>
  <si>
    <t xml:space="preserve">Ratusz L</t>
  </si>
  <si>
    <t xml:space="preserve">Y</t>
  </si>
  <si>
    <t xml:space="preserve">Użycie typu</t>
  </si>
  <si>
    <t xml:space="preserve">Współczynnik</t>
  </si>
  <si>
    <t xml:space="preserve">Cena nominalna</t>
  </si>
  <si>
    <t xml:space="preserve">Dokładna premia pp</t>
  </si>
  <si>
    <t xml:space="preserve">Prezentacja pp</t>
  </si>
  <si>
    <t xml:space="preserve">Maks.osób</t>
  </si>
  <si>
    <t xml:space="preserve">Czas h</t>
  </si>
  <si>
    <t xml:space="preserve">Dostępność</t>
  </si>
  <si>
    <t xml:space="preserve">Uwagi</t>
  </si>
  <si>
    <t xml:space="preserve">Każdy rodzaj ma osobny licznik; każdy zakup ma własne 6 h. Przy zerowej skuteczności nominalna cena z E nie jest pobierana.</t>
  </si>
  <si>
    <t xml:space="preserve">ŚCIEŻKI • 100 odcinków, poziomy 0–5</t>
  </si>
  <si>
    <t xml:space="preserve">Na starcie jest 100 odcinków na poziomie 0. Kliknięcie ulepsza jeden odcinek o jeden poziom za 100 kamienia. Poziom N jest dostępny dopiero, gdy wszystkie odcinki mają N−1. Ukończony poziom to minimum poziomów wszystkich odcinków; dopiero wtedy działa premia. Drogi nie dodają pasywnego szczęścia.</t>
  </si>
  <si>
    <t xml:space="preserve">Ukończony poziom</t>
  </si>
  <si>
    <t xml:space="preserve">Odcinki ukończone</t>
  </si>
  <si>
    <t xml:space="preserve">Cena kroku</t>
  </si>
  <si>
    <t xml:space="preserve">Koszt całego poziomu</t>
  </si>
  <si>
    <t xml:space="preserve">Koszt od 0</t>
  </si>
  <si>
    <t xml:space="preserve">Bonus szybkości</t>
  </si>
  <si>
    <t xml:space="preserve">Mnożnik szybkości</t>
  </si>
  <si>
    <t xml:space="preserve">Bonus ładunku</t>
  </si>
  <si>
    <t xml:space="preserve">Mnożnik ładunku</t>
  </si>
  <si>
    <t xml:space="preserve">Kurs bazowy s</t>
  </si>
  <si>
    <t xml:space="preserve">Warunek</t>
  </si>
  <si>
    <t xml:space="preserve">Premia po ukończeniu 100/100 tego poziomu. Zakup następnego poziomu wymaga pełnej setki poprzedniego.</t>
  </si>
  <si>
    <t xml:space="preserve">ŚCIEŻKI • działanie na czas i ładunek</t>
  </si>
  <si>
    <t xml:space="preserve">Ładunek = FLOOR(FLOOR(60 × 1,1^(własny L−1)) × mnożnik dróg). Czas kursu = 300 / (1 + 0,1 × poziom dróg). Głód osobno zmniejsza szybkość do połowy. B to poziom dróg, A to własny poziom miejsca pracy. Cena Premium nadal wynosi 10 monet za potrzebny kurs.</t>
  </si>
  <si>
    <t xml:space="preserve">Własny L</t>
  </si>
  <si>
    <t xml:space="preserve">Drogi 0…5</t>
  </si>
  <si>
    <t xml:space="preserve">Bazowy ładunek</t>
  </si>
  <si>
    <t xml:space="preserve">Mnożnik dróg</t>
  </si>
  <si>
    <t xml:space="preserve">Ładunek wynik</t>
  </si>
  <si>
    <t xml:space="preserve">Kurs nakarmiony s</t>
  </si>
  <si>
    <t xml:space="preserve">Kurs głodny s</t>
  </si>
  <si>
    <t xml:space="preserve">Towar do przewozu</t>
  </si>
  <si>
    <t xml:space="preserve">Potrzebne kursy</t>
  </si>
  <si>
    <t xml:space="preserve">Transport s</t>
  </si>
  <si>
    <t xml:space="preserve">Premium monety</t>
  </si>
  <si>
    <t xml:space="preserve">Założenia</t>
  </si>
  <si>
    <t xml:space="preserve">Jedna osoba, jeden rodzaj towaru, 100 gotowych sztuk, bez konkurujących kursów. Rejs statku i droga do pracy nie są skracane.</t>
  </si>
  <si>
    <t xml:space="preserve">EFEKTY • powiadomienia i góra Town Hall</t>
  </si>
  <si>
    <t xml:space="preserve">Każdy efekt ma źródło, wartość, odbiorców oraz czas albo warunek zakończenia. Powiadomienia pojawiają się przy aktywacji, zmianie i końcu, bez powtórzeń przy odświeżaniu. Ratusz pokazuje aktywne efekty; jednorazowe zdarzenia pozostają w historii. Informacji o podatkach nie pokazujemy w UI.</t>
  </si>
  <si>
    <t xml:space="preserve">Źródło</t>
  </si>
  <si>
    <t xml:space="preserve">Wartość / skutek</t>
  </si>
  <si>
    <t xml:space="preserve">Kogo dotyczy</t>
  </si>
  <si>
    <t xml:space="preserve">Czas / koniec</t>
  </si>
  <si>
    <t xml:space="preserve">Powiadomienie</t>
  </si>
  <si>
    <t xml:space="preserve">Widoczność</t>
  </si>
  <si>
    <t xml:space="preserve">+1 pp/os./h</t>
  </si>
  <si>
    <t xml:space="preserve">Najedzeni mieszkańcy</t>
  </si>
  <si>
    <t xml:space="preserve">Dopóki mają posiłek</t>
  </si>
  <si>
    <t xml:space="preserve">Zmiana stanu karmienia</t>
  </si>
  <si>
    <t xml:space="preserve">Tak; bez informacji podatkowych</t>
  </si>
  <si>
    <t xml:space="preserve">Praca</t>
  </si>
  <si>
    <t xml:space="preserve">Osoby po dotarciu, faktycznie pracujące</t>
  </si>
  <si>
    <t xml:space="preserve">Dopóki pracują bez blokady</t>
  </si>
  <si>
    <t xml:space="preserve">Start, koniec lub zmiana liczby osób</t>
  </si>
  <si>
    <t xml:space="preserve">Tak</t>
  </si>
  <si>
    <t xml:space="preserve">Głód</t>
  </si>
  <si>
    <t xml:space="preserve">Po 12 h: −5 pp/os./h; wydajność od razu ×0,5</t>
  </si>
  <si>
    <t xml:space="preserve">Głodni mieszkańcy; zamrożenie H zachowane</t>
  </si>
  <si>
    <t xml:space="preserve">Do posiłku; licznik głodu jest resetowany</t>
  </si>
  <si>
    <t xml:space="preserve">Początek, próg kary, koniec</t>
  </si>
  <si>
    <t xml:space="preserve">Bezrobocie</t>
  </si>
  <si>
    <t xml:space="preserve">Po 12 h: −5 pp/os./h</t>
  </si>
  <si>
    <t xml:space="preserve">Niepracujący; oddzielny licznik</t>
  </si>
  <si>
    <t xml:space="preserve">Do podjęcia pracy</t>
  </si>
  <si>
    <t xml:space="preserve">Przestój</t>
  </si>
  <si>
    <t xml:space="preserve">−10 pp od razu, potem −10 co 24 h; minimum −50 tego składnika</t>
  </si>
  <si>
    <t xml:space="preserve">Przypisani do zablokowanego producenta</t>
  </si>
  <si>
    <t xml:space="preserve">Do odblokowania lub zwolnienia</t>
  </si>
  <si>
    <t xml:space="preserve">Zmiana blokady albo stopnia kary</t>
  </si>
  <si>
    <t xml:space="preserve">−1 pp/os./h za każdą osobę bez łóżka</t>
  </si>
  <si>
    <t xml:space="preserve">Cała populacja</t>
  </si>
  <si>
    <t xml:space="preserve">Do zapewnienia miejsc; zależne od braków</t>
  </si>
  <si>
    <t xml:space="preserve">Początek, zmiana liczby braków, koniec</t>
  </si>
  <si>
    <t xml:space="preserve">Pula domu</t>
  </si>
  <si>
    <t xml:space="preserve">Ręczny przydział dodatnich pp; automat reszty po 23 h 58 min</t>
  </si>
  <si>
    <t xml:space="preserve">Wybrani / najmniej szczęśliwi</t>
  </si>
  <si>
    <t xml:space="preserve">Punkty trwałe, pula odnawiana co 24 h</t>
  </si>
  <si>
    <t xml:space="preserve">Przydział, automat, odnowienie</t>
  </si>
  <si>
    <t xml:space="preserve">Zdarzenia w historii; bez fikcyjnego czasu wygaśnięcia</t>
  </si>
  <si>
    <t xml:space="preserve">Kaplica: rozbudowa</t>
  </si>
  <si>
    <t xml:space="preserve">+10 × osiągnięty poziom pp</t>
  </si>
  <si>
    <t xml:space="preserve">Populacja</t>
  </si>
  <si>
    <t xml:space="preserve">10 h</t>
  </si>
  <si>
    <t xml:space="preserve">Początek, odświeżenie, koniec</t>
  </si>
  <si>
    <t xml:space="preserve">Tak; podatki mechanicznie ×2, lecz opis ukryty w UI</t>
  </si>
  <si>
    <t xml:space="preserve">+50 każdego zasobu oraz +20 pp</t>
  </si>
  <si>
    <t xml:space="preserve">1 h; kolejne płatne 4 h po końcu</t>
  </si>
  <si>
    <t xml:space="preserve">Początek, koniec</t>
  </si>
  <si>
    <t xml:space="preserve">Latarnia: rozbudowa</t>
  </si>
  <si>
    <t xml:space="preserve">100% H i produkcja materiałów ×2</t>
  </si>
  <si>
    <t xml:space="preserve">Populacja; nowe osoby nadal 0% przez 24 h</t>
  </si>
  <si>
    <t xml:space="preserve">24 h × osiągnięty poziom</t>
  </si>
  <si>
    <t xml:space="preserve">Latarnia: uczestnik wizyty</t>
  </si>
  <si>
    <t xml:space="preserve">100% H</t>
  </si>
  <si>
    <t xml:space="preserve">Uczestnicy po powrocie</t>
  </si>
  <si>
    <t xml:space="preserve">24 h od powrotu; wizyta trwa 4 h</t>
  </si>
  <si>
    <t xml:space="preserve">Powrót, koniec</t>
  </si>
  <si>
    <t xml:space="preserve">Latarnia: premia grupy</t>
  </si>
  <si>
    <t xml:space="preserve">+10 pp dla populacji</t>
  </si>
  <si>
    <t xml:space="preserve">6 h od powrotu każdej grupy</t>
  </si>
  <si>
    <t xml:space="preserve">Każdy powrót i koniec premii grupy</t>
  </si>
  <si>
    <t xml:space="preserve">Tak; niezależne premie grup sumują się</t>
  </si>
  <si>
    <t xml:space="preserve">Atrakcja</t>
  </si>
  <si>
    <t xml:space="preserve">Y × współczynnik przyzwyczajenia pp</t>
  </si>
  <si>
    <t xml:space="preserve">L wybranych mieszkańców</t>
  </si>
  <si>
    <t xml:space="preserve">6 h, osobno dla każdego zakupu</t>
  </si>
  <si>
    <t xml:space="preserve">Przyzwyczajenie</t>
  </si>
  <si>
    <t xml:space="preserve">100 / 75 / 50 / 25 / 0% początkowej skuteczności</t>
  </si>
  <si>
    <t xml:space="preserve">Konkretny rodzaj atrakcji</t>
  </si>
  <si>
    <t xml:space="preserve">Reset po 24 h bez jej zakupu</t>
  </si>
  <si>
    <t xml:space="preserve">Zmiana stopnia, reset</t>
  </si>
  <si>
    <t xml:space="preserve">Parametr oferty, nie dodatkowa osobna kara H</t>
  </si>
  <si>
    <t xml:space="preserve">Ścieżki: szybkość</t>
  </si>
  <si>
    <t xml:space="preserve">+10% za ukończony poziom</t>
  </si>
  <si>
    <t xml:space="preserve">Tragarze magazynu, targu i portu</t>
  </si>
  <si>
    <t xml:space="preserve">Bezterminowo</t>
  </si>
  <si>
    <t xml:space="preserve">Ukończenie 100/100 poziomu</t>
  </si>
  <si>
    <t xml:space="preserve">Ścieżki: ładunek</t>
  </si>
  <si>
    <t xml:space="preserve">Poziom 3: +10%, 4: +20%, 5: +30%</t>
  </si>
  <si>
    <t xml:space="preserve">Ukończenie całego poziomu</t>
  </si>
  <si>
    <t xml:space="preserve">Premia reakcji zadania</t>
  </si>
  <si>
    <t xml:space="preserve">×3 przed 15 s; ×2 przed 5 min; później ×1</t>
  </si>
  <si>
    <t xml:space="preserve">Nagroda przyjętego zadania</t>
  </si>
  <si>
    <t xml:space="preserve">Do sukcesu albo wygaśnięcia</t>
  </si>
  <si>
    <t xml:space="preserve">Utrwalenie i zakończenie</t>
  </si>
  <si>
    <t xml:space="preserve">Share zadania</t>
  </si>
  <si>
    <t xml:space="preserve">+500 monet, jeden raz</t>
  </si>
  <si>
    <t xml:space="preserve">Skarbiec gracza</t>
  </si>
  <si>
    <t xml:space="preserve">Jednorazowe zdarzenie</t>
  </si>
  <si>
    <t xml:space="preserve">Po skutecznym kliknięciu Share</t>
  </si>
  <si>
    <t xml:space="preserve">Powiadomienie; nie jest pasywnym efektem</t>
  </si>
  <si>
    <t xml:space="preserve">Wygaśnięcie zadania</t>
  </si>
  <si>
    <t xml:space="preserve">Utrata nieodwracalnych wpłat</t>
  </si>
  <si>
    <t xml:space="preserve">Zadanie</t>
  </si>
  <si>
    <t xml:space="preserve">W chwili terminu</t>
  </si>
  <si>
    <t xml:space="preserve">Raz na wygasłe ID</t>
  </si>
  <si>
    <t xml:space="preserve">SPRAWDZENIA V8 • przeliczone przykłady</t>
  </si>
  <si>
    <t xml:space="preserve">TRUE w kolumnie D oznacza zgodność wyniku formuły z niezależnie obliczoną wartością oczekiwaną. Przed publikacją wszystkie formuły przeliczono w LibreOffice. Walidator sprawdza brak błędów i pustych wyników, zachowanie komentarzy i źródeł oraz niezmienioną sumę SHA-256 pliku V7.</t>
  </si>
  <si>
    <t xml:space="preserve">Sprawdzenie</t>
  </si>
  <si>
    <t xml:space="preserve">Wynik formuły</t>
  </si>
  <si>
    <t xml:space="preserve">Oczekiwane</t>
  </si>
  <si>
    <t xml:space="preserve">Zgodne</t>
  </si>
  <si>
    <t xml:space="preserve">Źródło V7 — liczba osób</t>
  </si>
  <si>
    <t xml:space="preserve">Własny limit pracy</t>
  </si>
  <si>
    <t xml:space="preserve">Podatek — silnik bez zmiany</t>
  </si>
  <si>
    <t xml:space="preserve">UIbez podatków, rachunek nadal 1 moneta.</t>
  </si>
  <si>
    <t xml:space="preserve">Premia Share 500</t>
  </si>
  <si>
    <t xml:space="preserve">Katalog 20</t>
  </si>
  <si>
    <t xml:space="preserve">Widoczne oferty 5</t>
  </si>
  <si>
    <t xml:space="preserve">Rotacja 24 h</t>
  </si>
  <si>
    <t xml:space="preserve">Przerwa 24 h</t>
  </si>
  <si>
    <t xml:space="preserve">Premia 6 h</t>
  </si>
  <si>
    <t xml:space="preserve">Drogi 0:szybkość</t>
  </si>
  <si>
    <t xml:space="preserve">Drogi 0:ładunek</t>
  </si>
  <si>
    <t xml:space="preserve">Drogi 0:kosztod 0</t>
  </si>
  <si>
    <t xml:space="preserve">Drogi 1:szybkość</t>
  </si>
  <si>
    <t xml:space="preserve">Drogi 1:ładunek</t>
  </si>
  <si>
    <t xml:space="preserve">Drogi 1:kosztod 0</t>
  </si>
  <si>
    <t xml:space="preserve">Drogi 2:szybkość</t>
  </si>
  <si>
    <t xml:space="preserve">Drogi 2:ładunek</t>
  </si>
  <si>
    <t xml:space="preserve">Drogi 2:kosztod 0</t>
  </si>
  <si>
    <t xml:space="preserve">Drogi 3:szybkość</t>
  </si>
  <si>
    <t xml:space="preserve">Drogi 3:ładunek</t>
  </si>
  <si>
    <t xml:space="preserve">Drogi 3:kosztod 0</t>
  </si>
  <si>
    <t xml:space="preserve">Drogi 4:szybkość</t>
  </si>
  <si>
    <t xml:space="preserve">Drogi 4:ładunek</t>
  </si>
  <si>
    <t xml:space="preserve">Drogi 4:kosztod 0</t>
  </si>
  <si>
    <t xml:space="preserve">Drogi 5:szybkość</t>
  </si>
  <si>
    <t xml:space="preserve">Drogi 5:ładunek</t>
  </si>
  <si>
    <t xml:space="preserve">Drogi 5:kosztod 0</t>
  </si>
  <si>
    <t xml:space="preserve">Wszystkie 5 poziomów — kamień</t>
  </si>
  <si>
    <t xml:space="preserve">Pierwszepoziom+10%nie−10%czasu</t>
  </si>
  <si>
    <t xml:space="preserve">AtrakcjaL1Y5 u 1:cena</t>
  </si>
  <si>
    <t xml:space="preserve">AtrakcjaL1Y5 u 1:premia</t>
  </si>
  <si>
    <t xml:space="preserve">AtrakcjaL1Y5 u 2:cena</t>
  </si>
  <si>
    <t xml:space="preserve">AtrakcjaL1Y5 u 2:premia</t>
  </si>
  <si>
    <t xml:space="preserve">AtrakcjaL1Y5 u 3:cena</t>
  </si>
  <si>
    <t xml:space="preserve">AtrakcjaL1Y5 u 3:premia</t>
  </si>
  <si>
    <t xml:space="preserve">AtrakcjaL1Y5 u 4:cena</t>
  </si>
  <si>
    <t xml:space="preserve">AtrakcjaL1Y5 u 4:premia</t>
  </si>
  <si>
    <t xml:space="preserve">AtrakcjaL1Y5 u 5:cena</t>
  </si>
  <si>
    <t xml:space="preserve">AtrakcjaL1Y5 u 5:premia</t>
  </si>
  <si>
    <t xml:space="preserve">AtrakcjaL1Y25 u 1:cena</t>
  </si>
  <si>
    <t xml:space="preserve">AtrakcjaL1Y25 u 1:premia</t>
  </si>
  <si>
    <t xml:space="preserve">AtrakcjaL1Y25 u 2:cena</t>
  </si>
  <si>
    <t xml:space="preserve">AtrakcjaL1Y25 u 2:premia</t>
  </si>
  <si>
    <t xml:space="preserve">AtrakcjaL1Y25 u 3:cena</t>
  </si>
  <si>
    <t xml:space="preserve">AtrakcjaL1Y25 u 3:premia</t>
  </si>
  <si>
    <t xml:space="preserve">AtrakcjaL1Y25 u 4:cena</t>
  </si>
  <si>
    <t xml:space="preserve">AtrakcjaL1Y25 u 4:premia</t>
  </si>
  <si>
    <t xml:space="preserve">AtrakcjaL1Y25 u 5:cena</t>
  </si>
  <si>
    <t xml:space="preserve">AtrakcjaL1Y25 u 5:premia</t>
  </si>
  <si>
    <t xml:space="preserve">AtrakcjaL1Y50 u 1:cena</t>
  </si>
  <si>
    <t xml:space="preserve">AtrakcjaL1Y50 u 1:premia</t>
  </si>
  <si>
    <t xml:space="preserve">AtrakcjaL1Y50 u 2:cena</t>
  </si>
  <si>
    <t xml:space="preserve">AtrakcjaL1Y50 u 2:premia</t>
  </si>
  <si>
    <t xml:space="preserve">AtrakcjaL1Y50 u 3:cena</t>
  </si>
  <si>
    <t xml:space="preserve">AtrakcjaL1Y50 u 3:premia</t>
  </si>
  <si>
    <t xml:space="preserve">AtrakcjaL1Y50 u 4:cena</t>
  </si>
  <si>
    <t xml:space="preserve">AtrakcjaL1Y50 u 4:premia</t>
  </si>
  <si>
    <t xml:space="preserve">AtrakcjaL1Y50 u 5:cena</t>
  </si>
  <si>
    <t xml:space="preserve">AtrakcjaL1Y50 u 5:premia</t>
  </si>
  <si>
    <t xml:space="preserve">AtrakcjaL1Y100 u 1:cena</t>
  </si>
  <si>
    <t xml:space="preserve">AtrakcjaL1Y100 u 1:premia</t>
  </si>
  <si>
    <t xml:space="preserve">AtrakcjaL1Y100 u 2:cena</t>
  </si>
  <si>
    <t xml:space="preserve">AtrakcjaL1Y100 u 2:premia</t>
  </si>
  <si>
    <t xml:space="preserve">AtrakcjaL1Y100 u 3:cena</t>
  </si>
  <si>
    <t xml:space="preserve">AtrakcjaL1Y100 u 3:premia</t>
  </si>
  <si>
    <t xml:space="preserve">AtrakcjaL1Y100 u 4:cena</t>
  </si>
  <si>
    <t xml:space="preserve">AtrakcjaL1Y100 u 4:premia</t>
  </si>
  <si>
    <t xml:space="preserve">AtrakcjaL1Y100 u 5:cena</t>
  </si>
  <si>
    <t xml:space="preserve">AtrakcjaL1Y100 u 5:premia</t>
  </si>
  <si>
    <t xml:space="preserve">AtrakcjaL2Y5 u 1:cena</t>
  </si>
  <si>
    <t xml:space="preserve">AtrakcjaL2Y5 u 1:premia</t>
  </si>
  <si>
    <t xml:space="preserve">AtrakcjaL2Y5 u 2:cena</t>
  </si>
  <si>
    <t xml:space="preserve">AtrakcjaL2Y5 u 2:premia</t>
  </si>
  <si>
    <t xml:space="preserve">AtrakcjaL2Y5 u 3:cena</t>
  </si>
  <si>
    <t xml:space="preserve">AtrakcjaL2Y5 u 3:premia</t>
  </si>
  <si>
    <t xml:space="preserve">AtrakcjaL2Y5 u 4:cena</t>
  </si>
  <si>
    <t xml:space="preserve">AtrakcjaL2Y5 u 4:premia</t>
  </si>
  <si>
    <t xml:space="preserve">AtrakcjaL2Y5 u 5:cena</t>
  </si>
  <si>
    <t xml:space="preserve">AtrakcjaL2Y5 u 5:premia</t>
  </si>
  <si>
    <t xml:space="preserve">AtrakcjaL2Y25 u 1:cena</t>
  </si>
  <si>
    <t xml:space="preserve">AtrakcjaL2Y25 u 1:premia</t>
  </si>
  <si>
    <t xml:space="preserve">AtrakcjaL2Y25 u 2:cena</t>
  </si>
  <si>
    <t xml:space="preserve">AtrakcjaL2Y25 u 2:premia</t>
  </si>
  <si>
    <t xml:space="preserve">AtrakcjaL2Y25 u 3:cena</t>
  </si>
  <si>
    <t xml:space="preserve">AtrakcjaL2Y25 u 3:premia</t>
  </si>
  <si>
    <t xml:space="preserve">AtrakcjaL2Y25 u 4:cena</t>
  </si>
  <si>
    <t xml:space="preserve">AtrakcjaL2Y25 u 4:premia</t>
  </si>
  <si>
    <t xml:space="preserve">AtrakcjaL2Y25 u 5:cena</t>
  </si>
  <si>
    <t xml:space="preserve">AtrakcjaL2Y25 u 5:premia</t>
  </si>
  <si>
    <t xml:space="preserve">AtrakcjaL2Y50 u 1:cena</t>
  </si>
  <si>
    <t xml:space="preserve">AtrakcjaL2Y50 u 1:premia</t>
  </si>
  <si>
    <t xml:space="preserve">AtrakcjaL2Y50 u 2:cena</t>
  </si>
  <si>
    <t xml:space="preserve">AtrakcjaL2Y50 u 2:premia</t>
  </si>
  <si>
    <t xml:space="preserve">AtrakcjaL2Y50 u 3:cena</t>
  </si>
  <si>
    <t xml:space="preserve">AtrakcjaL2Y50 u 3:premia</t>
  </si>
  <si>
    <t xml:space="preserve">AtrakcjaL2Y50 u 4:cena</t>
  </si>
  <si>
    <t xml:space="preserve">AtrakcjaL2Y50 u 4:premia</t>
  </si>
  <si>
    <t xml:space="preserve">AtrakcjaL2Y50 u 5:cena</t>
  </si>
  <si>
    <t xml:space="preserve">AtrakcjaL2Y50 u 5:premia</t>
  </si>
  <si>
    <t xml:space="preserve">AtrakcjaL2Y100 u 1:cena</t>
  </si>
  <si>
    <t xml:space="preserve">AtrakcjaL2Y100 u 1:premia</t>
  </si>
  <si>
    <t xml:space="preserve">AtrakcjaL2Y100 u 2:cena</t>
  </si>
  <si>
    <t xml:space="preserve">AtrakcjaL2Y100 u 2:premia</t>
  </si>
  <si>
    <t xml:space="preserve">AtrakcjaL2Y100 u 3:cena</t>
  </si>
  <si>
    <t xml:space="preserve">AtrakcjaL2Y100 u 3:premia</t>
  </si>
  <si>
    <t xml:space="preserve">AtrakcjaL2Y100 u 4:cena</t>
  </si>
  <si>
    <t xml:space="preserve">AtrakcjaL2Y100 u 4:premia</t>
  </si>
  <si>
    <t xml:space="preserve">AtrakcjaL2Y100 u 5:cena</t>
  </si>
  <si>
    <t xml:space="preserve">AtrakcjaL2Y100 u 5:premia</t>
  </si>
  <si>
    <t xml:space="preserve">AtrakcjaL3Y5 u 1:cena</t>
  </si>
  <si>
    <t xml:space="preserve">AtrakcjaL3Y5 u 1:premia</t>
  </si>
  <si>
    <t xml:space="preserve">AtrakcjaL3Y5 u 2:cena</t>
  </si>
  <si>
    <t xml:space="preserve">AtrakcjaL3Y5 u 2:premia</t>
  </si>
  <si>
    <t xml:space="preserve">AtrakcjaL3Y5 u 3:cena</t>
  </si>
  <si>
    <t xml:space="preserve">AtrakcjaL3Y5 u 3:premia</t>
  </si>
  <si>
    <t xml:space="preserve">AtrakcjaL3Y5 u 4:cena</t>
  </si>
  <si>
    <t xml:space="preserve">AtrakcjaL3Y5 u 4:premia</t>
  </si>
  <si>
    <t xml:space="preserve">AtrakcjaL3Y5 u 5:cena</t>
  </si>
  <si>
    <t xml:space="preserve">AtrakcjaL3Y5 u 5:premia</t>
  </si>
  <si>
    <t xml:space="preserve">AtrakcjaL3Y25 u 1:cena</t>
  </si>
  <si>
    <t xml:space="preserve">AtrakcjaL3Y25 u 1:premia</t>
  </si>
  <si>
    <t xml:space="preserve">AtrakcjaL3Y25 u 2:cena</t>
  </si>
  <si>
    <t xml:space="preserve">AtrakcjaL3Y25 u 2:premia</t>
  </si>
  <si>
    <t xml:space="preserve">AtrakcjaL3Y25 u 3:cena</t>
  </si>
  <si>
    <t xml:space="preserve">AtrakcjaL3Y25 u 3:premia</t>
  </si>
  <si>
    <t xml:space="preserve">AtrakcjaL3Y25 u 4:cena</t>
  </si>
  <si>
    <t xml:space="preserve">AtrakcjaL3Y25 u 4:premia</t>
  </si>
  <si>
    <t xml:space="preserve">AtrakcjaL3Y25 u 5:cena</t>
  </si>
  <si>
    <t xml:space="preserve">AtrakcjaL3Y25 u 5:premia</t>
  </si>
  <si>
    <t xml:space="preserve">AtrakcjaL3Y50 u 1:cena</t>
  </si>
  <si>
    <t xml:space="preserve">AtrakcjaL3Y50 u 1:premia</t>
  </si>
  <si>
    <t xml:space="preserve">AtrakcjaL3Y50 u 2:cena</t>
  </si>
  <si>
    <t xml:space="preserve">AtrakcjaL3Y50 u 2:premia</t>
  </si>
  <si>
    <t xml:space="preserve">AtrakcjaL3Y50 u 3:cena</t>
  </si>
  <si>
    <t xml:space="preserve">AtrakcjaL3Y50 u 3:premia</t>
  </si>
  <si>
    <t xml:space="preserve">AtrakcjaL3Y50 u 4:cena</t>
  </si>
  <si>
    <t xml:space="preserve">AtrakcjaL3Y50 u 4:premia</t>
  </si>
  <si>
    <t xml:space="preserve">AtrakcjaL3Y50 u 5:cena</t>
  </si>
  <si>
    <t xml:space="preserve">AtrakcjaL3Y50 u 5:premia</t>
  </si>
  <si>
    <t xml:space="preserve">AtrakcjaL3Y100 u 1:cena</t>
  </si>
  <si>
    <t xml:space="preserve">AtrakcjaL3Y100 u 1:premia</t>
  </si>
  <si>
    <t xml:space="preserve">AtrakcjaL3Y100 u 2:cena</t>
  </si>
  <si>
    <t xml:space="preserve">AtrakcjaL3Y100 u 2:premia</t>
  </si>
  <si>
    <t xml:space="preserve">AtrakcjaL3Y100 u 3:cena</t>
  </si>
  <si>
    <t xml:space="preserve">AtrakcjaL3Y100 u 3:premia</t>
  </si>
  <si>
    <t xml:space="preserve">AtrakcjaL3Y100 u 4:cena</t>
  </si>
  <si>
    <t xml:space="preserve">AtrakcjaL3Y100 u 4:premia</t>
  </si>
  <si>
    <t xml:space="preserve">AtrakcjaL3Y100 u 5:cena</t>
  </si>
  <si>
    <t xml:space="preserve">AtrakcjaL3Y100 u 5:premia</t>
  </si>
  <si>
    <t xml:space="preserve">AtrakcjaL5Y5 u 1:cena</t>
  </si>
  <si>
    <t xml:space="preserve">AtrakcjaL5Y5 u 1:premia</t>
  </si>
  <si>
    <t xml:space="preserve">AtrakcjaL5Y5 u 2:cena</t>
  </si>
  <si>
    <t xml:space="preserve">AtrakcjaL5Y5 u 2:premia</t>
  </si>
  <si>
    <t xml:space="preserve">AtrakcjaL5Y5 u 3:cena</t>
  </si>
  <si>
    <t xml:space="preserve">AtrakcjaL5Y5 u 3:premia</t>
  </si>
  <si>
    <t xml:space="preserve">AtrakcjaL5Y5 u 4:cena</t>
  </si>
  <si>
    <t xml:space="preserve">AtrakcjaL5Y5 u 4:premia</t>
  </si>
  <si>
    <t xml:space="preserve">AtrakcjaL5Y5 u 5:cena</t>
  </si>
  <si>
    <t xml:space="preserve">AtrakcjaL5Y5 u 5:premia</t>
  </si>
  <si>
    <t xml:space="preserve">AtrakcjaL5Y25 u 1:cena</t>
  </si>
  <si>
    <t xml:space="preserve">AtrakcjaL5Y25 u 1:premia</t>
  </si>
  <si>
    <t xml:space="preserve">AtrakcjaL5Y25 u 2:cena</t>
  </si>
  <si>
    <t xml:space="preserve">AtrakcjaL5Y25 u 2:premia</t>
  </si>
  <si>
    <t xml:space="preserve">AtrakcjaL5Y25 u 3:cena</t>
  </si>
  <si>
    <t xml:space="preserve">AtrakcjaL5Y25 u 3:premia</t>
  </si>
  <si>
    <t xml:space="preserve">AtrakcjaL5Y25 u 4:cena</t>
  </si>
  <si>
    <t xml:space="preserve">AtrakcjaL5Y25 u 4:premia</t>
  </si>
  <si>
    <t xml:space="preserve">AtrakcjaL5Y25 u 5:cena</t>
  </si>
  <si>
    <t xml:space="preserve">AtrakcjaL5Y25 u 5:premia</t>
  </si>
  <si>
    <t xml:space="preserve">AtrakcjaL5Y50 u 1:cena</t>
  </si>
  <si>
    <t xml:space="preserve">AtrakcjaL5Y50 u 1:premia</t>
  </si>
  <si>
    <t xml:space="preserve">AtrakcjaL5Y50 u 2:cena</t>
  </si>
  <si>
    <t xml:space="preserve">AtrakcjaL5Y50 u 2:premia</t>
  </si>
  <si>
    <t xml:space="preserve">AtrakcjaL5Y50 u 3:cena</t>
  </si>
  <si>
    <t xml:space="preserve">AtrakcjaL5Y50 u 3:premia</t>
  </si>
  <si>
    <t xml:space="preserve">AtrakcjaL5Y50 u 4:cena</t>
  </si>
  <si>
    <t xml:space="preserve">AtrakcjaL5Y50 u 4:premia</t>
  </si>
  <si>
    <t xml:space="preserve">AtrakcjaL5Y50 u 5:cena</t>
  </si>
  <si>
    <t xml:space="preserve">AtrakcjaL5Y50 u 5:premia</t>
  </si>
  <si>
    <t xml:space="preserve">AtrakcjaL5Y100 u 1:cena</t>
  </si>
  <si>
    <t xml:space="preserve">AtrakcjaL5Y100 u 1:premia</t>
  </si>
  <si>
    <t xml:space="preserve">AtrakcjaL5Y100 u 2:cena</t>
  </si>
  <si>
    <t xml:space="preserve">AtrakcjaL5Y100 u 2:premia</t>
  </si>
  <si>
    <t xml:space="preserve">AtrakcjaL5Y100 u 3:cena</t>
  </si>
  <si>
    <t xml:space="preserve">AtrakcjaL5Y100 u 3:premia</t>
  </si>
  <si>
    <t xml:space="preserve">AtrakcjaL5Y100 u 4:cena</t>
  </si>
  <si>
    <t xml:space="preserve">AtrakcjaL5Y100 u 4:premia</t>
  </si>
  <si>
    <t xml:space="preserve">AtrakcjaL5Y100 u 5:cena</t>
  </si>
  <si>
    <t xml:space="preserve">AtrakcjaL5Y100 u 5:premia</t>
  </si>
  <si>
    <t xml:space="preserve">AtrakcjaL10Y5 u 1:cena</t>
  </si>
  <si>
    <t xml:space="preserve">AtrakcjaL10Y5 u 1:premia</t>
  </si>
  <si>
    <t xml:space="preserve">AtrakcjaL10Y5 u 2:cena</t>
  </si>
  <si>
    <t xml:space="preserve">AtrakcjaL10Y5 u 2:premia</t>
  </si>
  <si>
    <t xml:space="preserve">AtrakcjaL10Y5 u 3:cena</t>
  </si>
  <si>
    <t xml:space="preserve">AtrakcjaL10Y5 u 3:premia</t>
  </si>
  <si>
    <t xml:space="preserve">AtrakcjaL10Y5 u 4:cena</t>
  </si>
  <si>
    <t xml:space="preserve">AtrakcjaL10Y5 u 4:premia</t>
  </si>
  <si>
    <t xml:space="preserve">AtrakcjaL10Y5 u 5:cena</t>
  </si>
  <si>
    <t xml:space="preserve">AtrakcjaL10Y5 u 5:premia</t>
  </si>
  <si>
    <t xml:space="preserve">AtrakcjaL10Y25 u 1:cena</t>
  </si>
  <si>
    <t xml:space="preserve">AtrakcjaL10Y25 u 1:premia</t>
  </si>
  <si>
    <t xml:space="preserve">AtrakcjaL10Y25 u 2:cena</t>
  </si>
  <si>
    <t xml:space="preserve">AtrakcjaL10Y25 u 2:premia</t>
  </si>
  <si>
    <t xml:space="preserve">AtrakcjaL10Y25 u 3:cena</t>
  </si>
  <si>
    <t xml:space="preserve">AtrakcjaL10Y25 u 3:premia</t>
  </si>
  <si>
    <t xml:space="preserve">AtrakcjaL10Y25 u 4:cena</t>
  </si>
  <si>
    <t xml:space="preserve">AtrakcjaL10Y25 u 4:premia</t>
  </si>
  <si>
    <t xml:space="preserve">AtrakcjaL10Y25 u 5:cena</t>
  </si>
  <si>
    <t xml:space="preserve">AtrakcjaL10Y25 u 5:premia</t>
  </si>
  <si>
    <t xml:space="preserve">AtrakcjaL10Y50 u 1:cena</t>
  </si>
  <si>
    <t xml:space="preserve">AtrakcjaL10Y50 u 1:premia</t>
  </si>
  <si>
    <t xml:space="preserve">AtrakcjaL10Y50 u 2:cena</t>
  </si>
  <si>
    <t xml:space="preserve">AtrakcjaL10Y50 u 2:premia</t>
  </si>
  <si>
    <t xml:space="preserve">AtrakcjaL10Y50 u 3:cena</t>
  </si>
  <si>
    <t xml:space="preserve">AtrakcjaL10Y50 u 3:premia</t>
  </si>
  <si>
    <t xml:space="preserve">AtrakcjaL10Y50 u 4:cena</t>
  </si>
  <si>
    <t xml:space="preserve">AtrakcjaL10Y50 u 4:premia</t>
  </si>
  <si>
    <t xml:space="preserve">AtrakcjaL10Y50 u 5:cena</t>
  </si>
  <si>
    <t xml:space="preserve">AtrakcjaL10Y50 u 5:premia</t>
  </si>
  <si>
    <t xml:space="preserve">AtrakcjaL10Y100 u 1:cena</t>
  </si>
  <si>
    <t xml:space="preserve">AtrakcjaL10Y100 u 1:premia</t>
  </si>
  <si>
    <t xml:space="preserve">AtrakcjaL10Y100 u 2:cena</t>
  </si>
  <si>
    <t xml:space="preserve">AtrakcjaL10Y100 u 2:premia</t>
  </si>
  <si>
    <t xml:space="preserve">AtrakcjaL10Y100 u 3:cena</t>
  </si>
  <si>
    <t xml:space="preserve">AtrakcjaL10Y100 u 3:premia</t>
  </si>
  <si>
    <t xml:space="preserve">AtrakcjaL10Y100 u 4:cena</t>
  </si>
  <si>
    <t xml:space="preserve">AtrakcjaL10Y100 u 4:premia</t>
  </si>
  <si>
    <t xml:space="preserve">AtrakcjaL10Y100 u 5:cena</t>
  </si>
  <si>
    <t xml:space="preserve">AtrakcjaL10Y100 u 5:premia</t>
  </si>
  <si>
    <t xml:space="preserve">Budowaratusza 1→2 bezdróg</t>
  </si>
  <si>
    <t xml:space="preserve">5 rodzajów×ceil(500/60)=45 kursów;6 osób 8 fal×5 min×2=80 min.</t>
  </si>
  <si>
    <t xml:space="preserve">Latarnianie 2T</t>
  </si>
  <si>
    <t xml:space="preserve">Wiersz latarni wskazywany automatycznie według nazwy.</t>
  </si>
  <si>
    <t xml:space="preserve">PREMIUM V7 • ceny i warunki</t>
  </si>
  <si>
    <t xml:space="preserve">Jedna pula monet (złoto), kupionych i zarobionych. 1 PLN = 10 monet jest ceną zakupu, bez wypłaty na pieniądze. Ceny w prototypie nie oznaczają uruchomienia rzeczywistych płatności. Poniżej uwzględniono D09–D12 i D15.</t>
  </si>
  <si>
    <t xml:space="preserve">Akcja</t>
  </si>
  <si>
    <t xml:space="preserve">Wzór / stawka</t>
  </si>
  <si>
    <t xml:space="preserve">Przelicznik płatności</t>
  </si>
  <si>
    <t xml:space="preserve">1 PLN = 10 monet.</t>
  </si>
  <si>
    <t xml:space="preserve">Cena w PLN = cena w monetach / 10.</t>
  </si>
  <si>
    <t xml:space="preserve">Ustalono przelicznik; nie zdefiniowano wypłaty monet na PLN.</t>
  </si>
  <si>
    <t xml:space="preserve">POTWIERDZONE</t>
  </si>
  <si>
    <t xml:space="preserve">Waluta</t>
  </si>
  <si>
    <t xml:space="preserve">Monety = złoto; jedna pula kupiona i zarobiona.</t>
  </si>
  <si>
    <t xml:space="preserve">1 PLN = 10 monet; brak prawa wymiany monet na PLN.</t>
  </si>
  <si>
    <t xml:space="preserve">Zarobione monety mogą kupować te same usługi co kupione.</t>
  </si>
  <si>
    <t xml:space="preserve">monety = złoto jest jedna waluta w grze </t>
  </si>
  <si>
    <t xml:space="preserve">Przyspieszenie 25%</t>
  </si>
  <si>
    <t xml:space="preserve">MAX(5, FLOOR(pozostała budowa [s] × procent / 60)) monet.</t>
  </si>
  <si>
    <t xml:space="preserve">Transport rozliczany osobno za kursy; wyświetlamy czas i cenę przed kliknięciem.</t>
  </si>
  <si>
    <t xml:space="preserve">ROZSTRZYGNIĘTE V7 D12</t>
  </si>
  <si>
    <t xml:space="preserve">jeżeli budowa czegoś trwa 60 min zostało 50 do wybudowania chce przyspieszyć o połowę czyli o 25 min to musze zapłacić 25 monet tak samo dla innych procentów, sekundy zzaokrąglasz w dół</t>
  </si>
  <si>
    <t xml:space="preserve">Przyspieszenie 50%</t>
  </si>
  <si>
    <t xml:space="preserve">Przyspieszenie 75%</t>
  </si>
  <si>
    <t xml:space="preserve">Budowa natychmiast z zasobami</t>
  </si>
  <si>
    <t xml:space="preserve">Natychmiastowe zakończenie pozostałej fazy budowania (100%). Transport pozostaje osobną usługą.</t>
  </si>
  <si>
    <t xml:space="preserve">cały czas potrzebny przeliczony jak wyżej na monety </t>
  </si>
  <si>
    <t xml:space="preserve">Transport całego bufora producenta (dostępne od levelu 4)</t>
  </si>
  <si>
    <t xml:space="preserve">Natychmiastowe wysłanie całego gotowego lokalnego zapasu do centrali.</t>
  </si>
  <si>
    <t xml:space="preserve">10 monet × liczba kursów potrzebnych do przewozu.</t>
  </si>
  <si>
    <t xml:space="preserve">Potwierdzone: kursy = ROUNDUP(ilość / ładunek, 0). Ostatni niepełny kurs jest płatny. Dla 100 sztuk i ładunku 60 potrzeba 2 kursów, więc cena wynosi 20 monet.</t>
  </si>
  <si>
    <t xml:space="preserve">Magazyn → budowa  (dostępne od levelu 4)</t>
  </si>
  <si>
    <t xml:space="preserve">Natychmiastowy przewóz materiałów centralnych na konkretną budowę.</t>
  </si>
  <si>
    <t xml:space="preserve">10 monet × SUMA CEILING(ilość każdego materiału / ładunek).</t>
  </si>
  <si>
    <t xml:space="preserve">Jedno zlecenie obejmuje wymagane, dostępne materiały dla wybranej budowy; monety bez transportu.</t>
  </si>
  <si>
    <t xml:space="preserve">w menu budowy widze ile trwa transport I ile trwa sama budowa mogę za montety przyspieszyć oba, sama budowa jak wyżej, logika ceny natychmiastowego transportu, system liczy ilość kursów tragarza x 10 monet za kurs </t>
  </si>
  <si>
    <t xml:space="preserve">Magazyn ↔ targ  (dostępne od levelu 4)</t>
  </si>
  <si>
    <t xml:space="preserve">Takie samo rozliczenie transportu towarów w obu kierunkach.</t>
  </si>
  <si>
    <t xml:space="preserve">10 monet za potrzebny kurs właściwej załogi, osobno dla każdego materiału.</t>
  </si>
  <si>
    <t xml:space="preserve">Transport Premium nie omija blokady 1 h ani nie tworzy towarów i wolnego miejsca; zachowujemy terminy partii.</t>
  </si>
  <si>
    <t xml:space="preserve">STAWKA POTWIERDZONA</t>
  </si>
  <si>
    <t xml:space="preserve">analogicznie jak wyżej </t>
  </si>
  <si>
    <t xml:space="preserve">Magazyn ↔ port  (dostępne od levelu 4)</t>
  </si>
  <si>
    <t xml:space="preserve">Dwie opłaty: przewóz centrala↔port oraz osobny załadunek/rozładunek port↔statek, każdy według liczby kursów.</t>
  </si>
  <si>
    <t xml:space="preserve">dwie opłaty jedna za transoport do portu druga za załadunek </t>
  </si>
  <si>
    <t xml:space="preserve">Kup budynek bez surowców  (dostępne od levelu 4)</t>
  </si>
  <si>
    <t xml:space="preserve">ROUNDUP(1,25 × portowa wartość pełnych materiałów + nominalne monety + 10 × SUMA CEIL(materiał/ładunek), 0).</t>
  </si>
  <si>
    <t xml:space="preserve">Gotowe po 10 sekundach. Materiały w cenie pełnego zakupu nie są pobierane z własnych zapasów. Nie doliczamy wcześniejszej opłaty za minuty.</t>
  </si>
  <si>
    <t xml:space="preserve">ROZSTRZYGNIĘTE V7 D11</t>
  </si>
  <si>
    <t xml:space="preserve">koszt transportu natychmiastowego + materiały droższe niż w porcie o 25 % </t>
  </si>
  <si>
    <t xml:space="preserve">Monety w koszcie kupowanego budynku</t>
  </si>
  <si>
    <t xml:space="preserve">Monety zapisane w koszcie budynku doliczamy osobno w wymaganej wysokości.</t>
  </si>
  <si>
    <t xml:space="preserve">Nominalne monety + pełne materiały ×1,25 + natychmiastowy transport; gotowe w 10 s.</t>
  </si>
  <si>
    <t xml:space="preserve">Potwierdzone: monety nie są materiałem kupowanym w porcie i nie podlegają dopłacie 25%.</t>
  </si>
  <si>
    <t xml:space="preserve">Pakiet budowlany</t>
  </si>
  <si>
    <t xml:space="preserve">1000 × poziom Ratusza monet / 24 h.</t>
  </si>
  <si>
    <t xml:space="preserve">Kolejka nadal +10%; kolejny zakup przedłuża ważność.</t>
  </si>
  <si>
    <t xml:space="preserve">ROZSTRZYGNIĘTE V7 D09</t>
  </si>
  <si>
    <t xml:space="preserve">ustawmy koszt pakietu na 1000 monet </t>
  </si>
  <si>
    <t xml:space="preserve">Błogosławieństwa Premium</t>
  </si>
  <si>
    <t xml:space="preserve">100 × poziom Kaplicy monet. Następne 4 h od końca godzinnego efektu.</t>
  </si>
  <si>
    <t xml:space="preserve">Bezpłatne użycia zależne od poziomu pozostają; zakaz nakładania aktywnych efektów.</t>
  </si>
  <si>
    <t xml:space="preserve">Pakiet +4 aktywne budowy</t>
  </si>
  <si>
    <t xml:space="preserve">W czasie pakietu limit aktywnych budów = poziom ratusza +4.</t>
  </si>
  <si>
    <t xml:space="preserve">1000 × poziom Ratusza monet / 24 h, łącznie w pakiecie.</t>
  </si>
  <si>
    <t xml:space="preserve">Zwykłe opłacone budowy wymagają materiałów; zakupy bez surowców to osobna nowa oferta. Dodatkowe sloty nie produkują materiałów ani nie tworzą transportu.</t>
  </si>
  <si>
    <t xml:space="preserve">WCZEŚNIEJ UZGODNIONY ZAKRES</t>
  </si>
  <si>
    <t xml:space="preserve">Dowolnie długa kolejka</t>
  </si>
  <si>
    <t xml:space="preserve">Podczas pakietu brak zwykłego limitu długości kolejki.</t>
  </si>
  <si>
    <t xml:space="preserve">Dowolna kolejka w aktywnym pakiecie; koszt każdego zakolejkowanego projektu +10%.</t>
  </si>
  <si>
    <t xml:space="preserve">Pełny koszt zwykłej kolejki rezerwowany przy zleceniu. Prognoza wymaga dodatkowej opłaty.</t>
  </si>
  <si>
    <t xml:space="preserve">WCZEŚNIEJ UZGODNIONE + NOWA DOPŁATA</t>
  </si>
  <si>
    <t xml:space="preserve">Planowanie z estymaty dostaw</t>
  </si>
  <si>
    <t xml:space="preserve">25% bazowej portowej wartości braków centralnych po +10% kosztu kolejki.</t>
  </si>
  <si>
    <t xml:space="preserve">Wymaga aktywnego pakietu. Nie kupuje ani nie tworzy brakujących materiałów.</t>
  </si>
  <si>
    <t xml:space="preserve">ROZSTRZYGNIĘTE V7 D10</t>
  </si>
  <si>
    <t xml:space="preserve">opisane w innym miejscu </t>
  </si>
  <si>
    <t xml:space="preserve">Płatne błogosławieństwo</t>
  </si>
  <si>
    <t xml:space="preserve">Błogosławieństwo za challenge</t>
  </si>
  <si>
    <t xml:space="preserve">Dodatkowe użycie po wyzwaniu.</t>
  </si>
  <si>
    <t xml:space="preserve">Limity i nagrody nieustalone.</t>
  </si>
  <si>
    <t xml:space="preserve">Treść i warunki challenge nieustalone. Wpływ na aktywny efekt i cooldown nieustalony.</t>
  </si>
  <si>
    <t xml:space="preserve">ODŁOŻONE</t>
  </si>
  <si>
    <t xml:space="preserve">Błogosławieństwo za social</t>
  </si>
  <si>
    <t xml:space="preserve">Dodatkowe użycie za udostępnienie, np. FB/Instagram.</t>
  </si>
  <si>
    <t xml:space="preserve">Limity nieustalone.</t>
  </si>
  <si>
    <t xml:space="preserve">Sposób weryfikacji nieustalony. Wpływ na aktywny efekt i cooldown nieustalony.</t>
  </si>
  <si>
    <t xml:space="preserve">Reklama i oczekiwanie</t>
  </si>
  <si>
    <t xml:space="preserve">Notatka: reklama 60 s skraca pozostałe czekanie o połowę; do 2 reklam na godzinę gry.</t>
  </si>
  <si>
    <t xml:space="preserve">2/h w źródle; pełne warunki odłożone.</t>
  </si>
  <si>
    <t xml:space="preserve">Nagroda po reklamie — szczegóły nieustalone. Zgodność z aktywnym efektem, rodzaj godziny i reset nieustalone.</t>
  </si>
  <si>
    <t xml:space="preserve">Premia za zwiedzanie</t>
  </si>
  <si>
    <t xml:space="preserve">Pobyt 4 h, bez czasu dojścia i możliwości wycofania. Wyłącznie wolne osoby z domu; jednocześnie 2 × poziom latarni miejsc. Darmowo 2 × poziom latarni wejść w ruchomych 24 h. Do 3 dodatkowych pakietów/24 h, każdy daje 2L wejść; cena 300 × numer pakietu (2, 3, 4) × L. Pakiet nie zwiększa liczby miejsc jednocześnie.</t>
  </si>
  <si>
    <t xml:space="preserve">Miejsca, pula wejść i indywidualna blokada to trzy osobne limity. Zwiedzający je, nie pracuje i nie płaci podatku.</t>
  </si>
  <si>
    <t xml:space="preserve">2x poziom na 24 h dostępna zawsze dla wszystkich bez dopłat, Możliwosć dokupienia nie wiecej niż 3 pakietów, czyli w sumie 4 na 24 h, koszt dodatkowego 300xnumer pakietu w dobie x level czyli jestem na levelu 6 cche dodatkowe zwiedzanie, pierwsze dodatkowe, drugie w ostatniej dobie, 6 x 2 x 300= 3600</t>
  </si>
  <si>
    <t xml:space="preserve">PRZYSPIESZENIA • kalkulator ceny</t>
  </si>
  <si>
    <t xml:space="preserve">25/50/75/100% pozostałej fazy budowania, bez transportu. Cena = MAX(5, FLOOR(zaoszczędzone sekundy / 60)) monet. Transport jest osobno rozliczany za potrzebne kursy. Niebieskie pola są edytowalne. Minimum 5 obowiązuje także przy 1–4 pełnych minutach, a nie wyłącznie wyniku zero.</t>
  </si>
  <si>
    <t xml:space="preserve">Pozostała budowa [min]</t>
  </si>
  <si>
    <t xml:space="preserve">Skrócenie</t>
  </si>
  <si>
    <t xml:space="preserve">Zaoszczędzony czas [min]</t>
  </si>
  <si>
    <t xml:space="preserve">Pozostało [min]</t>
  </si>
  <si>
    <t xml:space="preserve">Cena [monety]</t>
  </si>
  <si>
    <t xml:space="preserve">Cena zakupu monet [PLN]</t>
  </si>
  <si>
    <t xml:space="preserve">Cena minimalna zawsze 5 monet; pełne zaoszczędzone minuty zaokrąglamy w dół.</t>
  </si>
  <si>
    <t xml:space="preserve">jeżeli kalkulacja pozostałego czasu wskazuje że cena przyspieszenia wynosi 0 kasuj na stałe 5</t>
  </si>
  <si>
    <t xml:space="preserve">Opcja 100%; sprawdzenie granicy minimum.</t>
  </si>
  <si>
    <t xml:space="preserve">TRANSPORT PREMIUM • kursy i cena</t>
  </si>
  <si>
    <t xml:space="preserve">Potwierdzone: każdy potrzebny kurs jest płatny, również ostatni niepełny. Cena = SUMA(ROUNDUP(ilość rodzaju / ładunek)) × liczba odcinków × 10 monet. Dwa rodzaje nie dzielą kursu. Liczba pracowników zmienia czas, a nie liczbę płatnych kursów. Zakres jednego kliknięcia i etapu port–statek pozostaje otwarty. V8: ładunek przykładów uwzględnia premię ścieżek z Parametry (domyślnie0); liczba kursów i cena przeliczają się razem.</t>
  </si>
  <si>
    <t xml:space="preserve">Trasa / przykład</t>
  </si>
  <si>
    <t xml:space="preserve">Towar A [szt.]</t>
  </si>
  <si>
    <t xml:space="preserve">Towar B [szt.]</t>
  </si>
  <si>
    <t xml:space="preserve">Ładunek/kurs</t>
  </si>
  <si>
    <t xml:space="preserve">Liczba odcinków</t>
  </si>
  <si>
    <t xml:space="preserve">Kursy A</t>
  </si>
  <si>
    <t xml:space="preserve">Kursy B</t>
  </si>
  <si>
    <t xml:space="preserve">Kursy razem</t>
  </si>
  <si>
    <t xml:space="preserve">Monety</t>
  </si>
  <si>
    <t xml:space="preserve">Produkcja → magazyn: 40</t>
  </si>
  <si>
    <t xml:space="preserve">Cena zależy od potrzebnych kursów. Przykład 2 odcinków nie przesądza zakresu jednego kliknięcia portowego; doprecyzować załadunek i rozładunek.</t>
  </si>
  <si>
    <t xml:space="preserve">Produkcja → magazyn: 60</t>
  </si>
  <si>
    <t xml:space="preserve">Produkcja → magazyn: 100</t>
  </si>
  <si>
    <t xml:space="preserve">Magazyn → budowa: 180</t>
  </si>
  <si>
    <t xml:space="preserve">Magazyn → budowa: 181</t>
  </si>
  <si>
    <t xml:space="preserve">Dwa rodzaje po 100</t>
  </si>
  <si>
    <t xml:space="preserve">Magazyn → targ</t>
  </si>
  <si>
    <t xml:space="preserve">Targ → magazyn</t>
  </si>
  <si>
    <t xml:space="preserve">Magazyn → port</t>
  </si>
  <si>
    <t xml:space="preserve">Port → magazyn</t>
  </si>
  <si>
    <t xml:space="preserve">Dwa odcinki portowe — model</t>
  </si>
  <si>
    <t xml:space="preserve">Ładunek wyższego poziomu</t>
  </si>
  <si>
    <t xml:space="preserve">Brak towaru</t>
  </si>
  <si>
    <t xml:space="preserve">PEŁNY ZAKUP • gotowe w 10 sekund</t>
  </si>
  <si>
    <t xml:space="preserve">Pełny zakup budynku od poziomu gracza 4: wszystkie materiały według proporcjonalnych bazowych cen zakupu portu ×1,25 + nominalne monety budynku + natychmiastowy transport (10 monet za każdy potrzebny kurs, także niepełny). Nic nie pobieramy z własnych materiałów. Gotowe po 10 s; bez wymogu rzeczywistych tragarzy. Końcową cenę usługi prezentujemy w pełnych monetach, zaokrąglając w górę tak jak w zatwierdzonym kalkulatorze. Kolumny I/O są wyłącznie odrzuconym porównaniem paczek po 100. Ładunek wyceny uwzględnia aktualny parametr ścieżek, ale budynek nadal jest gotowy po10s.</t>
  </si>
  <si>
    <t xml:space="preserve">Przykład</t>
  </si>
  <si>
    <t xml:space="preserve">Monety w koszcie</t>
  </si>
  <si>
    <t xml:space="preserve">Drewno</t>
  </si>
  <si>
    <t xml:space="preserve">Kamień</t>
  </si>
  <si>
    <t xml:space="preserve">Zboże</t>
  </si>
  <si>
    <t xml:space="preserve">Food</t>
  </si>
  <si>
    <t xml:space="preserve">Deski</t>
  </si>
  <si>
    <t xml:space="preserve">Port: wycena proporcjonalna — aktualna</t>
  </si>
  <si>
    <t xml:space="preserve">Paczki 100 — wariant odrzucony</t>
  </si>
  <si>
    <t xml:space="preserve">Materiały +25% — zatwierdzone</t>
  </si>
  <si>
    <t xml:space="preserve">Poziom magazynu</t>
  </si>
  <si>
    <t xml:space="preserve">Ładunek na kurs</t>
  </si>
  <si>
    <t xml:space="preserve">Natychmiastowy transport [monety]</t>
  </si>
  <si>
    <t xml:space="preserve">Pełny zakup — cena aktualna</t>
  </si>
  <si>
    <t xml:space="preserve">Odrzucone paczki 100 — porównanie</t>
  </si>
  <si>
    <t xml:space="preserve">PLN — aktualna wycena</t>
  </si>
  <si>
    <t xml:space="preserve">Kursy materiałów razem</t>
  </si>
  <si>
    <t xml:space="preserve">Gotowe po [s]</t>
  </si>
  <si>
    <t xml:space="preserve">Wpis źródłowy — historia</t>
  </si>
  <si>
    <t xml:space="preserve">100 drewna +100 Food</t>
  </si>
  <si>
    <t xml:space="preserve">Pełne materiały, żadnego pobrania własnych zasobów. Osobno nominalne monety i transport. Brak dopłaty za minuty; gotowe po 10 s. Poziom 1 magazynu to parametr wyceny, nie poziom odblokowania usługi (ta od Ratusza 4).</t>
  </si>
  <si>
    <t xml:space="preserve">tak jest dobrze</t>
  </si>
  <si>
    <t xml:space="preserve">Farma 1→2</t>
  </si>
  <si>
    <t xml:space="preserve">Ratusz 1→2</t>
  </si>
  <si>
    <t xml:space="preserve">NAGRODY SPOŁECZNOŚCIOWE • kwoty i warunki</t>
  </si>
  <si>
    <t xml:space="preserve">Kwoty zapisane według użytkownika. Limity, potwierdzanie publikacji i nakładanie nagród nie są zdefiniowane. Przeliczenie na PLN pokazuje cenę zakupu takiej liczby monet, nie możliwość ich wypłaty. Platformy mają osobną zakładkę.</t>
  </si>
  <si>
    <t xml:space="preserve">Nagroda</t>
  </si>
  <si>
    <t xml:space="preserve">Otwarte szczegóły</t>
  </si>
  <si>
    <t xml:space="preserve">Wartość zakupu monet [PLN]</t>
  </si>
  <si>
    <t xml:space="preserve">Pochwalenie się, że gram</t>
  </si>
  <si>
    <t xml:space="preserve">Publikacja informująca o grze.</t>
  </si>
  <si>
    <t xml:space="preserve">Nie ustalono kanałów, limitu na konto, powtórzeń ani sposobu potwierdzania publikacji.</t>
  </si>
  <si>
    <t xml:space="preserve">Informacja o następnym poziomie</t>
  </si>
  <si>
    <t xml:space="preserve">Publikacja po rzeczywistym osiągnięciu kolejnego poziomu ratusza.</t>
  </si>
  <si>
    <t xml:space="preserve">Jedna nagroda na osiągnięty poziom jest propozycją; zasady wielu platform i usuwania postów są nieustalone.</t>
  </si>
  <si>
    <t xml:space="preserve">Polecenie: nowe logowanie</t>
  </si>
  <si>
    <t xml:space="preserve">Polecona osoba rzeczywiście się zaloguje.</t>
  </si>
  <si>
    <t xml:space="preserve">Nie określono, czy nagrodę dostaje tylko polecający czy także polecony; źródłowo roboczo zapisano nagrodę polecającego. Kryterium nowego konta i limit poleceń nieustalone.</t>
  </si>
  <si>
    <t xml:space="preserve">Polecenie: trzeci aktywny dzień</t>
  </si>
  <si>
    <t xml:space="preserve">500 każdego zasobu</t>
  </si>
  <si>
    <t xml:space="preserve">Polecona osoba jest aktywna w trzecim dniu.</t>
  </si>
  <si>
    <t xml:space="preserve">Do ustalenia: trzeci dzień od rejestracji czy trzy dni aktywności, minimalna aktywność, odbiorca premii, czy „każdy zasób” obejmuje monety oraz jak przyjąć materiały przy pełnej centrali.</t>
  </si>
  <si>
    <t xml:space="preserve">Zależne od zakresu „wszystkiego”</t>
  </si>
  <si>
    <t xml:space="preserve">Każdy trzeci post na Facebooku</t>
  </si>
  <si>
    <t xml:space="preserve">Nagroda za trzeci, szósty, dziewiąty itd. kwalifikowany post.</t>
  </si>
  <si>
    <t xml:space="preserve">Nie określono okresu, limitu, wymagań treści ani tego, czy posty „gram” i „kolejny poziom” liczą się do tej samej serii. Zgodność konkretnej akcji z regulaminem platformy wymaga weryfikacji.</t>
  </si>
  <si>
    <t xml:space="preserve">Ukończenie zadania: Share on Facebook</t>
  </si>
  <si>
    <t xml:space="preserve">Kliknięcie opcjonalnego Share po rzeczywistym ukończeniu zadania; jeden raz na ID ukończonego zadania.</t>
  </si>
  <si>
    <t xml:space="preserve">Bez integracjiFB. Skip nie odbiera nagrody. To osobna akcja od pozostałych kwot w tej tabeli.</t>
  </si>
  <si>
    <t xml:space="preserve">PLATFORMY • kandydaci do publikacji graczy</t>
  </si>
  <si>
    <t xml:space="preserve">Lista serwisów podobnych lub uzupełniających Facebooka. Nie potwierdzono aktualnego brzmienia ich zasad: dostęp do próbowanych oficjalnych źródeł blokowało HTTP 403. Adresy służą do późniejszej weryfikacji programu nagród, nie stanowią potwierdzenia jego dopuszczalności.</t>
  </si>
  <si>
    <t xml:space="preserve">Platforma</t>
  </si>
  <si>
    <t xml:space="preserve">Pasujący format</t>
  </si>
  <si>
    <t xml:space="preserve">Zastosowanie</t>
  </si>
  <si>
    <t xml:space="preserve">Istotna zasada / kwestia do sprawdzenia</t>
  </si>
  <si>
    <t xml:space="preserve">Oficjalne adresy</t>
  </si>
  <si>
    <t xml:space="preserve">Status źródła</t>
  </si>
  <si>
    <t xml:space="preserve">Uwagi o nagrodach</t>
  </si>
  <si>
    <t xml:space="preserve">Facebook</t>
  </si>
  <si>
    <t xml:space="preserve">Post, informacja o poziomie, polecenie z linkiem.</t>
  </si>
  <si>
    <t xml:space="preserve">Nie dopisujemy automatycznych masowych publikacji ani publikacji do cudzych grup.</t>
  </si>
  <si>
    <t xml:space="preserve">Reguły promocji Facebooka znane z dotychczasowej dokumentacji ograniczają użycie prywatnych osi czasu i znajomych do udziału w promocjach, np. „udostępnij, aby dostać nagrodę”. Wymaga sprawdzenia aktualnych warunków przed wdrożeniem nagrody za post.</t>
  </si>
  <si>
    <t xml:space="preserve">https://www.facebook.com/policies_center/pages_groups_events</t>
  </si>
  <si>
    <t xml:space="preserve">Aktualne warunki niepotwierdzone online. Dostęp do próbowanych źródeł blokowało HTTP 403; nie wszystkie adresy odpytywano oddzielnie.</t>
  </si>
  <si>
    <t xml:space="preserve">Kwoty 1000 / 500 / 1000 za każdy 3. post są propozycją ekonomii gry; wykonalność programu promocyjnego nie została potwierdzona.</t>
  </si>
  <si>
    <t xml:space="preserve">Instagram</t>
  </si>
  <si>
    <t xml:space="preserve">Grafika wyspy, post, relacja lub krótki film Reels.</t>
  </si>
  <si>
    <t xml:space="preserve">Kandydat do ręcznego udostępnienia przez gracza.</t>
  </si>
  <si>
    <t xml:space="preserve">Sprawdzić wytyczne promocji, prawidłowe oznaczanie i zasady przeciw sztucznemu pozyskiwaniu aktywności. Nie zakładać, że polubienia lub obserwacje mogą być obowiązkowym warunkiem.</t>
  </si>
  <si>
    <t xml:space="preserve">https://help.instagram.com/179379842258600</t>
  </si>
  <si>
    <t xml:space="preserve">Nagrody dla tej platformy i sposób weryfikacji do ustalenia.</t>
  </si>
  <si>
    <t xml:space="preserve">Threads</t>
  </si>
  <si>
    <t xml:space="preserve">Krótki wpis i zrzut wyspy; link polecający.</t>
  </si>
  <si>
    <t xml:space="preserve">Kandydat do dobrowolnej publikacji.</t>
  </si>
  <si>
    <t xml:space="preserve">Obowiązują zasady Meta przeciw spamowi; sprawdzić aktualną możliwość i zasady nagradzania publikacji.</t>
  </si>
  <si>
    <t xml:space="preserve">https://transparency.meta.com/policies/community-standards/spam/</t>
  </si>
  <si>
    <t xml:space="preserve">Nagrody nie zostały automatycznie skopiowane z Facebooka.</t>
  </si>
  <si>
    <t xml:space="preserve">TikTok</t>
  </si>
  <si>
    <t xml:space="preserve">Krótki film z wyspą, budową albo ekspedycją.</t>
  </si>
  <si>
    <t xml:space="preserve">Kandydat do treści tworzonych przez graczy.</t>
  </si>
  <si>
    <t xml:space="preserve">Wytyczne integralności i autentyczności obejmują sztuczną aktywność. Zasady nagradzanych filmów oraz oznaczania zachęt wymagają weryfikacji.</t>
  </si>
  <si>
    <t xml:space="preserve">https://www.tiktok.com/community-guidelines/en/integrity-authenticity/</t>
  </si>
  <si>
    <t xml:space="preserve">Nie uzależniać nagrody od liczby sztucznych wyświetleń, komentarzy czy obserwujących.</t>
  </si>
  <si>
    <t xml:space="preserve">YouTube / Shorts</t>
  </si>
  <si>
    <t xml:space="preserve">Krótki film lub dłuższy pokaz gry.</t>
  </si>
  <si>
    <t xml:space="preserve">Kandydat do materiałów graczy.</t>
  </si>
  <si>
    <t xml:space="preserve">YouTube ma odrębne zasady fake engagement oraz konkursów. Wynagradzanie za manipulowanie wyświetleniami, polubieniami lub innymi wskaźnikami jest ryzykowne; sprawdzić aktualne warunki konkretnego programu.</t>
  </si>
  <si>
    <t xml:space="preserve">https://support.google.com/youtube/answer/3399767?hl=en
https://support.google.com/youtube/answer/1620498?hl=en</t>
  </si>
  <si>
    <t xml:space="preserve">Treść i dobrowolne polecenie odróżnić od kupowania aktywności.</t>
  </si>
  <si>
    <t xml:space="preserve">Discord</t>
  </si>
  <si>
    <t xml:space="preserve">Własny serwer gry i kanał do pokazywania wysp.</t>
  </si>
  <si>
    <t xml:space="preserve">Dobry kandydat do społeczności gry.</t>
  </si>
  <si>
    <t xml:space="preserve">Zasady Discorda zabraniają spamu i manipulowania platformą. Publikacja tylko w przeznaczonych do tego kanałach oraz zgodnie z zasadami konkretnego serwera.</t>
  </si>
  <si>
    <t xml:space="preserve">https://discord.com/guidelines</t>
  </si>
  <si>
    <t xml:space="preserve">Bez masowych wiadomości prywatnych lub botów rozsyłających polecenia.</t>
  </si>
  <si>
    <t xml:space="preserve">Reddit</t>
  </si>
  <si>
    <t xml:space="preserve">Wpisy o postępach gry, grafice i dziennik rozwoju.</t>
  </si>
  <si>
    <t xml:space="preserve">Kandydat warunkowy: właściwy subreddit i zgoda moderatorów.</t>
  </si>
  <si>
    <t xml:space="preserve">Reddit i poszczególne subreddity mają zasady dotyczące spamu, autopromocji oraz manipulacji głosami. Nagroda za powielane wpisy promocyjne wymaga szczególnej weryfikacji.</t>
  </si>
  <si>
    <t xml:space="preserve">https://support.reddithelp.com/hc/en-us/articles/360043504051-Spam</t>
  </si>
  <si>
    <t xml:space="preserve">Nie zakładać prawa do reklamowania gry w dowolnej społeczności.</t>
  </si>
  <si>
    <t xml:space="preserve">X</t>
  </si>
  <si>
    <t xml:space="preserve">Krótki post, obraz wyspy i link polecający.</t>
  </si>
  <si>
    <t xml:space="preserve">Kandydat do dobrowolnego udostępniania.</t>
  </si>
  <si>
    <t xml:space="preserve">Sprawdzić zasady promocji i manipulacji platformą; powtarzane identyczne wpisy oraz zduplikowane konta nie powinny generować nagród.</t>
  </si>
  <si>
    <t xml:space="preserve">https://help.x.com/en/rules-and-policies/platform-manipulation
https://help.x.com/en/rules-and-policies/x-contest-rules</t>
  </si>
  <si>
    <t xml:space="preserve">Próg i ewentualny limit nagrody do ustalenia.</t>
  </si>
  <si>
    <t xml:space="preserve">Bluesky</t>
  </si>
  <si>
    <t xml:space="preserve">Post z obrazem wyspy i linkiem.</t>
  </si>
  <si>
    <t xml:space="preserve">Wytyczne społeczności obejmują spam i zakłócanie działania. Sprawdzić zasady promocji przed uruchomieniem programu nagród.</t>
  </si>
  <si>
    <t xml:space="preserve">https://bsky.social/about/support/community-guidelines</t>
  </si>
  <si>
    <t xml:space="preserve">Nie zakładać automatycznej weryfikacji publikacji bez osobnego projektu.</t>
  </si>
  <si>
    <t xml:space="preserve">Mastodon</t>
  </si>
  <si>
    <t xml:space="preserve">Post z wyspą na wybranym serwerze.</t>
  </si>
  <si>
    <t xml:space="preserve">Kandydat warunkowy: reguły wybranego serwera.</t>
  </si>
  <si>
    <t xml:space="preserve">Mastodon jest siecią wielu serwerów. Zasady reklamy, promocji i spamu zależą od instancji; nie ma jednego zezwolenia obejmującego całą sieć.</t>
  </si>
  <si>
    <t xml:space="preserve">https://joinmastodon.org/
https://joinmastodon.org/covenant</t>
  </si>
  <si>
    <t xml:space="preserve">Nagrody i dopuszczalne serwery do ustalenia.</t>
  </si>
  <si>
    <t xml:space="preserve">Snapchat</t>
  </si>
  <si>
    <t xml:space="preserve">Dobrowolna relacja lub krótki film o grze.</t>
  </si>
  <si>
    <t xml:space="preserve">Kandydat do wizualnej prezentacji postępu.</t>
  </si>
  <si>
    <t xml:space="preserve">Sprawdzić wytyczne społeczności, zasady promocji i treści sponsorowanych; nie zakładać, że masowe rozsyłanie zaproszeń będzie dozwolone.</t>
  </si>
  <si>
    <t xml:space="preserve">https://values.snap.com/policy/policy-community-guidelines</t>
  </si>
  <si>
    <t xml:space="preserve">Kwoty oraz sposób weryfikacji relacji do ustalenia.</t>
  </si>
  <si>
    <t xml:space="preserve">ZADANIA LATARNI V8 • jedno aktywne, postęp i celebracja</t>
  </si>
  <si>
    <t xml:space="preserve">Wymagania według własnego poziomu producenta; nagrody skalowane względem Ratusza 3. Trzy zadania pozostają niezależne. Oryginalne dopiski w G zachowano historycznie; poniżej aktualne rozstrzygnięcia.</t>
  </si>
  <si>
    <t xml:space="preserve">Panel</t>
  </si>
  <si>
    <t xml:space="preserve">Zawsze 3 zadania. Początkowo małe/średnie/duże; kolejne losowego rozmiaru trafiają na koniec FIFO, dopuszczalne 3 małe lub 3 duże. Nowe po sukcesie natychmiast. Jednocześnie wykonywane tylko1; pozostałe oferty wyszarzone.</t>
  </si>
  <si>
    <t xml:space="preserve">3 miejsca; start S/M/L, potem dowolne rozmiary FIFO.</t>
  </si>
  <si>
    <t xml:space="preserve">Nagrody zawsze widoczne, koszty i nagrody zamrożone przy wygenerowaniu.</t>
  </si>
  <si>
    <t xml:space="preserve">Losowanie</t>
  </si>
  <si>
    <t xml:space="preserve">Koszty, wymagane produkty i nagrody losujemy przy pojawieniu się zadania.</t>
  </si>
  <si>
    <t xml:space="preserve">Małe: 2 produkty; średnie: 2–3; duże: 4</t>
  </si>
  <si>
    <t xml:space="preserve">W przykładach losujemy różne rodzaje spośród drewna, kamienia, zboża, żywności i desek. Rodzaje nagród i koszty powinny być stałe przez życie zadania.</t>
  </si>
  <si>
    <t xml:space="preserve">Norma produkcyjna</t>
  </si>
  <si>
    <t xml:space="preserve">Koszt rodzaju i liczymy z maksymalnej obsady obecnego poziomu jego producenta, niezależnie od faktycznej obsady.</t>
  </si>
  <si>
    <t xml:space="preserve">R_i = 12 × L_i × p(L_i); p(1)=10, p(L≥2)=L+10; koszt_i = R_i × h</t>
  </si>
  <si>
    <t xml:space="preserve">Własny aktualny poziom KAŻDEGO producenta; bez chwilowych bonusów, głodu i faktycznej obsady.</t>
  </si>
  <si>
    <t xml:space="preserve">maksymalny teoretycznie możliwy wynikający z poziomu budynku </t>
  </si>
  <si>
    <t xml:space="preserve">Małe</t>
  </si>
  <si>
    <t xml:space="preserve">Wymagane są dwa produkty, w ilości odpowiadającej 2–6 h maksymalnej produkcji.</t>
  </si>
  <si>
    <t xml:space="preserve">2 rodzaje; h∈[2,6]</t>
  </si>
  <si>
    <t xml:space="preserve">L1: 12 osób × 10 szt./h = 120 szt./h, więc 240–720 każdego rodzaju.</t>
  </si>
  <si>
    <t xml:space="preserve">Średnie</t>
  </si>
  <si>
    <t xml:space="preserve">Wymagane są dwa lub trzy produkty, w ilości odpowiadającej 3–8 h maksymalnej produkcji, nie mniej niż bieżące małe.</t>
  </si>
  <si>
    <t xml:space="preserve">2–3 rodzaje; h∈[3,8]</t>
  </si>
  <si>
    <t xml:space="preserve">Przy generowaniu h_średnie ≥ największe h aktualnych małych (jeśli są). Istniejące zadania pozostają zamrożone.</t>
  </si>
  <si>
    <t xml:space="preserve">Duże</t>
  </si>
  <si>
    <t xml:space="preserve">Wymagane są cztery produkty, w ilości odpowiadającej 4–10 h maksymalnej produkcji, nie mniej niż bieżące średnie.</t>
  </si>
  <si>
    <t xml:space="preserve">4 rodzaje; h∈[4,10]</t>
  </si>
  <si>
    <t xml:space="preserve">Przy generowaniu h_duże ≥ największe h aktualnych średnich (jeśli są). Nie jest to obietnica zebrania od zera w czasie zadania.</t>
  </si>
  <si>
    <t xml:space="preserve">Ramy losowania</t>
  </si>
  <si>
    <t xml:space="preserve">Pierwsze 6 h → po pierwszym sukcesie dzienna kotwica, osobna dla każdego z 3 łańcuchów.</t>
  </si>
  <si>
    <t xml:space="preserve">Przykład: ukończenie 13:12, następne 14:00 → kolejne od razu, termin nadal następnego dnia 13:12. Europe/Warsaw; dzień zmiany czasu może mieć 23/25 h.</t>
  </si>
  <si>
    <t xml:space="preserve">ustalenia zaczynasz z 3 zadaniami jak user skończy pierwsze to ustawiasz czas np 13:12 I zawsze o tej robisz zadanie, drugie zrobił o 17:19 etc etc </t>
  </si>
  <si>
    <t xml:space="preserve">Nagroda w monetach</t>
  </si>
  <si>
    <t xml:space="preserve">Skala = 12 × L_Ratusza × p(L_Ratusza) / 468.</t>
  </si>
  <si>
    <t xml:space="preserve">Zakresy bazowe odnoszą się do L3. Wśród WSZYSTKICH aktualnych ofert obowiązuje kolejność bazowych nagród monetowych: małe &lt; średnie &lt; duże. Już pokazanych nagród nie zmieniamy. Losujemy wyłącznie spośród rozmiarów, których aktualny skalowany zakres pozwala zachować tę kolejność. Po zmianie poziomu niektóre rozmiary mogą chwilowo nie pasować; nie obiecano jednakowych prawdopodobieństw rozmiarów.</t>
  </si>
  <si>
    <t xml:space="preserve">tak ale ta granica jest dyunamicznie wyznaczana że z aktualnie wylosowanych średnia nie może być niższa niż mała etc, wiec w najgorszym scanraiuszu mała 100, średnia 101, duża 102</t>
  </si>
  <si>
    <t xml:space="preserve">Nagroda towarowa</t>
  </si>
  <si>
    <t xml:space="preserve">Małe: 1 losowy rodzaj; średnie: 2 różne; duże: 3 różne. Każdy rodzaj bazowo 50–1000 na L3, skalowany i zamrożony przy pojawieniu.</t>
  </si>
  <si>
    <t xml:space="preserve">Na L3 przed ×2/×3: 50–1000 KAŻDEGO wybranego rodzaju.</t>
  </si>
  <si>
    <t xml:space="preserve">Nagroda najpierw wypełnia centralę do limitów; nadmiar czeka w buforze i automatycznie dosypuje się przy zużyciu lub rozbudowie, z powiadomieniem. Nic nie przepada z braku miejsca.</t>
  </si>
  <si>
    <t xml:space="preserve">Premia szybkiej reakcji</t>
  </si>
  <si>
    <t xml:space="preserve">Kliknięcie zadania w pierwszych 15 sekundach daje nagrodę ×3; później do 5 minut daje ×2; następnie ×1.</t>
  </si>
  <si>
    <t xml:space="preserve">Wiek przy pierwszym kliknięciu: &lt;15 s → ×3; 15 s ≤ wiek &lt;300 s → ×2; od 300 s → ×1.</t>
  </si>
  <si>
    <t xml:space="preserve">Potwierdzone: ×3 ma pierwszeństwo, nie mnoży się przez ×2. Mnożnik zapisuje pierwsze kliknięcie zadania.</t>
  </si>
  <si>
    <t xml:space="preserve">Utrwalenie premii</t>
  </si>
  <si>
    <t xml:space="preserve">Pierwsze kliknięcie konkretnego zadania zapisuje mnożnik aż do jego ukończenia; późniejszy upływ czasu nie zmniejsza zapisanego mnożnika.</t>
  </si>
  <si>
    <t xml:space="preserve">Nagroda końcowa = bazowa nagroda × utrwalony mnożnik</t>
  </si>
  <si>
    <t xml:space="preserve">Nagroda po pełnej wpłacie przed aktualnym terminem łańcucha. Samo kliknięcie nie daje nagrody; wpłaty po przedawnieniu przepadają.</t>
  </si>
  <si>
    <t xml:space="preserve">Termin</t>
  </si>
  <si>
    <t xml:space="preserve">Niezależny termin każdego łańcucha; po pierwszym sukcesie kotwica dobowa.</t>
  </si>
  <si>
    <t xml:space="preserve">Zegar działa offline; po powrocie nie dostaje się nowego okna ×3 za zadanie, które pojawiło się wcześniej offline.</t>
  </si>
  <si>
    <t xml:space="preserve">Zastępowanie zadań</t>
  </si>
  <si>
    <t xml:space="preserve">Nowe zadanie na końcu kolejki, zachowuje ID łańcucha i jego kotwicę.</t>
  </si>
  <si>
    <t xml:space="preserve">Po wygaśnięciu łańcuch odnawia się przy kolejnej dobowej kotwicy; przed pierwszym sukcesem pozostaje cykl początkowych 6 h.</t>
  </si>
  <si>
    <t xml:space="preserve">tak zrób tak </t>
  </si>
  <si>
    <t xml:space="preserve">Porównanie rozmiarów po odnowieniu</t>
  </si>
  <si>
    <t xml:space="preserve">Nowy rozmiar losowy. Warunki godzinowe sprawdzamy przy generowaniu: średnie nie mniej godzin niż aktualne małe, duże nie mniej niż aktualne średnie. Nowe małe może wymagać WIĘCEJ GODZIN lub większej liczby materiałów niż stare średnie; ta możliwość NIE dotyczy nagrody monetowej. Starych wymagań i nagród nie przepisujemy.</t>
  </si>
  <si>
    <t xml:space="preserve">Koszty i nagrody istniejących zadań nie zmieniają się.</t>
  </si>
  <si>
    <t xml:space="preserve">FIFO nie zmienia etykiet. Możliwe 3 małe lub 3 duże. Globalna kolejność małe &lt; średnie &lt; duże dotyczy bazowych nagród MONETOWYCH, a warunki godzinowe sprawdzamy przy generowaniu. Jeśli skalowany zakres nagrody danego rozmiaru nie pasuje do istniejących ofert, losujemy inny możliwy rozmiar.</t>
  </si>
  <si>
    <t xml:space="preserve">tak akceptuje to </t>
  </si>
  <si>
    <t xml:space="preserve">Wpłaty</t>
  </si>
  <si>
    <t xml:space="preserve">Można wpłacać wymagane towary partiami. Towar trafia bezpośrednio z magazynu centralnego do zadania, bez tragarza.</t>
  </si>
  <si>
    <t xml:space="preserve">Każdy składnik ma licznik dostarczono/wymagane, np. 100/200</t>
  </si>
  <si>
    <t xml:space="preserve">Wpłata nie jest pożyczką ani tymczasową rezerwacją: jest nieodwracalna. W przykładzie nie wpłacamy powyżej pozostałego wymagania.</t>
  </si>
  <si>
    <t xml:space="preserve">Przedawnienie</t>
  </si>
  <si>
    <t xml:space="preserve">Po upływie terminu niewykonane zadanie przepada wraz ze wszystkimi dotychczasowymi wpłatami.</t>
  </si>
  <si>
    <t xml:space="preserve">Zwrot wpłat = 0</t>
  </si>
  <si>
    <t xml:space="preserve">Wymagane wyraźne ostrzeżenie i pokazanie czasu pozostałego przed potwierdzeniem wpłaty; powiadomienia to projekt interfejsu.</t>
  </si>
  <si>
    <t xml:space="preserve">Żywność na zadania</t>
  </si>
  <si>
    <t xml:space="preserve">Wpłaty i inne cele niż karmienie chronią Food = 50 × poziom magazynu. W zadaniach używamy tylko nadwyżki; ludzie mogą zjadać rezerwę.</t>
  </si>
  <si>
    <t xml:space="preserve">Food dostępne na wpłatę = MAX(0, Food w centrali − 50 × poziom magazynu).</t>
  </si>
  <si>
    <t xml:space="preserve">Rezerwa przeznaczona wyłącznie na karmienie.</t>
  </si>
  <si>
    <t xml:space="preserve">chronimy food, można wpłacić tylko to co jest ponad limit </t>
  </si>
  <si>
    <t xml:space="preserve">Nagroda i pojemność</t>
  </si>
  <si>
    <t xml:space="preserve">Bufor nadmiaru nagród; automatyczne uzupełnianie i notyfikacja.</t>
  </si>
  <si>
    <t xml:space="preserve">Pieniądze trafiają do skarbca; limity materiałów nie dotyczą monet.</t>
  </si>
  <si>
    <t xml:space="preserve">uzupełniasz najpierw magazyn główny ewentualny nadmiar dosypujesz w miarę zużywania lub podonoszenia poziomu magazynu informujesz gracza notyfikacją </t>
  </si>
  <si>
    <t xml:space="preserve">Powiadomienia o aktywacji i mnożniku, wpłacie, ukończeniu i wygaśnięciu. Ukończenie: popup z fajerwerkami, krótka wibracja telefonu i opcjonalny ekran Share your achievement.</t>
  </si>
  <si>
    <t xml:space="preserve">Zawsze widoczne: tytuł, rozmiar, nagroda, mnożnik, czas i postęp</t>
  </si>
  <si>
    <t xml:space="preserve">Nie dodajemy wymyślonego czasu przypomnienia ani automatycznych wpłat.</t>
  </si>
  <si>
    <t xml:space="preserve">Skalowanie</t>
  </si>
  <si>
    <t xml:space="preserve">ROZSTRZYGNIĘTE V7 D07</t>
  </si>
  <si>
    <t xml:space="preserve">L1: 120/468; L2: 288/468; L3: 1; L4: 672/468.</t>
  </si>
  <si>
    <t xml:space="preserve">Skalowanie nie gwarantuje zwrotu portowej wartości wszystkich wpłat; jest zatwierdzonym wzorem nagród.</t>
  </si>
  <si>
    <t xml:space="preserve">podnieśmy tak samo nagrody niech sie opłaca proporcjonalnie do opłacalności np na 3 poziomie </t>
  </si>
  <si>
    <t xml:space="preserve">Produkcja maksymalna a realny czas</t>
  </si>
  <si>
    <t xml:space="preserve">UWAGA BALANSOWA</t>
  </si>
  <si>
    <t xml:space="preserve">Pełna załoga 12 × L w każdym z 2–4 zakładów nie może być założona jednocześnie przy jednej wspólnej populacji.</t>
  </si>
  <si>
    <t xml:space="preserve">L1: 12 osób na start, maks. 24; duże: 4 zakłady × 12 = 48 stanowisk</t>
  </si>
  <si>
    <t xml:space="preserve">Norma określa wymagania, nie realny czas zebrania przy wspólnej populacji. Zbierania, karmienia i wcześniejszych rozbudów nie doliczamy do tabeli czasu budowy.</t>
  </si>
  <si>
    <t xml:space="preserve">wyjasnione powyżej</t>
  </si>
  <si>
    <t xml:space="preserve">Aktywność</t>
  </si>
  <si>
    <t xml:space="preserve">Tylko jedno aktywne zadanie. Active i postęp każdego produktu w obu widokach; pozostałe oferty szare, bez startu/wpłaty.</t>
  </si>
  <si>
    <t xml:space="preserve">Wymagania i nagrody można nadal obejrzeć.</t>
  </si>
  <si>
    <t xml:space="preserve">Stare wpłaty, terminy i utrwalone mnożniki zachowane.</t>
  </si>
  <si>
    <t xml:space="preserve">Bonus udostępnienia</t>
  </si>
  <si>
    <t xml:space="preserve">Share on Facebook przyznaje500monet raz na ukończone zadanie; Skip zachowuje zwykłą nagrodę.</t>
  </si>
  <si>
    <t xml:space="preserve">Bez integracjiFacebook; kliknięcie prototypowego przycisku, nie potwierdzenie publikacji.</t>
  </si>
  <si>
    <t xml:space="preserve">Najnowsza odpowiedź użytkownika:500monet.</t>
  </si>
  <si>
    <t xml:space="preserve">ZADANIA V7 • zamrożone przykłady po skalowaniu</t>
  </si>
  <si>
    <t xml:space="preserve">12 przykładów S/M/L na poziomach 1–4; dla czytelności wszystkie własne poziomy producentów i Ratusza równe D. Nagrody bazują na L3: skala G/468. 1/2/3 rodzaje nagród. W towarach kolumny AA–AF pokazują dodatkowe rodzaje; mnożnik ×2/×3 obejmuje wszystkie. Kolumna W dotyczy wyłącznie pierwszego, 6-godzinnego terminu, nie dobowych następców.</t>
  </si>
  <si>
    <t xml:space="preserve">Zestaw</t>
  </si>
  <si>
    <t xml:space="preserve">Rozmiar</t>
  </si>
  <si>
    <t xml:space="preserve">Nazwa / narracja</t>
  </si>
  <si>
    <t xml:space="preserve">Poziom producentów</t>
  </si>
  <si>
    <t xml:space="preserve">Maks. ludzi/producent</t>
  </si>
  <si>
    <t xml:space="preserve">Szt./os./h</t>
  </si>
  <si>
    <t xml:space="preserve">Maks. szt./h</t>
  </si>
  <si>
    <t xml:space="preserve">Norma godzin/rodzaj</t>
  </si>
  <si>
    <t xml:space="preserve">Liczba rodzajów</t>
  </si>
  <si>
    <t xml:space="preserve">Wpłaty: format</t>
  </si>
  <si>
    <t xml:space="preserve">Złoto bazowe</t>
  </si>
  <si>
    <t xml:space="preserve">Towar nagrody</t>
  </si>
  <si>
    <t xml:space="preserve">Ilość bazowa</t>
  </si>
  <si>
    <t xml:space="preserve">Złoto ×2</t>
  </si>
  <si>
    <t xml:space="preserve">Złoto ×3</t>
  </si>
  <si>
    <t xml:space="preserve">Towar ×2</t>
  </si>
  <si>
    <t xml:space="preserve">Towar ×3</t>
  </si>
  <si>
    <t xml:space="preserve">Termin [h]</t>
  </si>
  <si>
    <t xml:space="preserve">Skala nagród względem L3</t>
  </si>
  <si>
    <t xml:space="preserve">Monety bazowe na L3</t>
  </si>
  <si>
    <t xml:space="preserve">Nagroda: drugi rodzaj</t>
  </si>
  <si>
    <t xml:space="preserve">Drugi: baza na L3</t>
  </si>
  <si>
    <t xml:space="preserve">Drugi: ilość po skalowaniu</t>
  </si>
  <si>
    <t xml:space="preserve">Nagroda: trzeci rodzaj</t>
  </si>
  <si>
    <t xml:space="preserve">Trzeci: baza na L3</t>
  </si>
  <si>
    <t xml:space="preserve">Trzeci: ilość po skalowaniu</t>
  </si>
  <si>
    <t xml:space="preserve">Pierwszy: baza na L3</t>
  </si>
  <si>
    <t xml:space="preserve">Liczba rodzajów nagrody</t>
  </si>
  <si>
    <t xml:space="preserve">Naprawa poręczy na schodach</t>
  </si>
  <si>
    <t xml:space="preserve">0/480 drewno; 0/480 kamień</t>
  </si>
  <si>
    <t xml:space="preserve">kamień</t>
  </si>
  <si>
    <t xml:space="preserve">Skala nagród z L3, bez chwilowej premii produkcji. Nagrody wszystkich rodzajów w R/AC/AF; ×2/×3 obejmuje każdą. Wymagania w J:N dotyczą własnych poziomów producentów, tu równych dla przykładu. Pierwszy termin 6 h; następcy według kotwicy dobowej.</t>
  </si>
  <si>
    <t xml:space="preserve">—</t>
  </si>
  <si>
    <t xml:space="preserve">Remont barierek dla zwiedzających</t>
  </si>
  <si>
    <t xml:space="preserve">0/960 deski; 0/960 kamień</t>
  </si>
  <si>
    <t xml:space="preserve">drewno</t>
  </si>
  <si>
    <t xml:space="preserve">Generalny remont galerii widokowej</t>
  </si>
  <si>
    <t xml:space="preserve">0/1080 zboże; 0/1080 drewno; 0/1080 deski; 0/1080 żywność</t>
  </si>
  <si>
    <t xml:space="preserve">zboże</t>
  </si>
  <si>
    <t xml:space="preserve">Łatanie podestu wejściowego</t>
  </si>
  <si>
    <t xml:space="preserve">0/864 deski; 0/864 drewno</t>
  </si>
  <si>
    <t xml:space="preserve">Wymiana osłon lampy</t>
  </si>
  <si>
    <t xml:space="preserve">0/2016 zboże; 0/2016 żywność</t>
  </si>
  <si>
    <t xml:space="preserve">Odbudowa zaplecza latarników</t>
  </si>
  <si>
    <t xml:space="preserve">0/2880 kamień; 0/2880 deski; 0/2880 żywność; 0/2880 drewno</t>
  </si>
  <si>
    <t xml:space="preserve">Zabezpieczenie ścieżki do latarni</t>
  </si>
  <si>
    <t xml:space="preserve">0/2808 kamień; 0/2808 żywność</t>
  </si>
  <si>
    <t xml:space="preserve">deski</t>
  </si>
  <si>
    <t xml:space="preserve">Naprawa schodów na galerię</t>
  </si>
  <si>
    <t xml:space="preserve">0/3744 drewno; 0/3744 żywność</t>
  </si>
  <si>
    <t xml:space="preserve">żywność</t>
  </si>
  <si>
    <t xml:space="preserve">Renowacja wieży po sztormie</t>
  </si>
  <si>
    <t xml:space="preserve">0/4212 żywność; 0/4212 kamień; 0/4212 drewno; 0/4212 zboże</t>
  </si>
  <si>
    <t xml:space="preserve">Zaopatrzenie ekipy przeglądowej</t>
  </si>
  <si>
    <t xml:space="preserve">0/4032 drewno; 0/4032 żywność</t>
  </si>
  <si>
    <t xml:space="preserve">Odtworzenie pomostu widokowego</t>
  </si>
  <si>
    <t xml:space="preserve">0/4032 żywność; 0/4032 drewno</t>
  </si>
  <si>
    <t xml:space="preserve">Przygotowanie latarni do sezonu</t>
  </si>
  <si>
    <t xml:space="preserve">0/4032 drewno; 0/4032 żywność; 0/4032 deski; 0/4032 kamień</t>
  </si>
  <si>
    <t xml:space="preserve">dopisz zadania musi być ich ze 100 </t>
  </si>
  <si>
    <t xml:space="preserve">LATARNIA • niezależne zegary i raty</t>
  </si>
  <si>
    <t xml:space="preserve">Przykłady pierwszego 6-godzinnego terminu, kliknięcia i nieodwracalnych rat. Po pierwszym sukcesie każdy łańcuch przechodzi na dobową kotwicę. Mnożnik utrwala pierwsze kliknięcie: &lt;15 s ×3; 15–&lt;300 s ×2; od300 s ×1. Nie jest resetowany po wczytaniu zapisu.</t>
  </si>
  <si>
    <t xml:space="preserve">Wiek przy pierwszym kliknięciu [s]</t>
  </si>
  <si>
    <t xml:space="preserve">Pozostało w chwili kliknięcia [min]</t>
  </si>
  <si>
    <t xml:space="preserve">Utrwalony mnożnik</t>
  </si>
  <si>
    <t xml:space="preserve">Wymagane</t>
  </si>
  <si>
    <t xml:space="preserve">Wpłacono</t>
  </si>
  <si>
    <t xml:space="preserve">Brakuje</t>
  </si>
  <si>
    <t xml:space="preserve">Następna rata</t>
  </si>
  <si>
    <t xml:space="preserve">Stan po racie</t>
  </si>
  <si>
    <t xml:space="preserve">Zwrot po terminie</t>
  </si>
  <si>
    <t xml:space="preserve">Małe — szybkie przyjęcie</t>
  </si>
  <si>
    <t xml:space="preserve">Rata pobierana z centrali bez transportu; po terminie wpłaty przepadają. Zerowy stan po przedawnieniu oznacza utratę wpłat, nie wypłatę graczowi.</t>
  </si>
  <si>
    <t xml:space="preserve">Średnie — szybkie przyjęcie</t>
  </si>
  <si>
    <t xml:space="preserve">Duże — zwykłe przyjęcie</t>
  </si>
  <si>
    <t xml:space="preserve">Granica 15 sekund</t>
  </si>
  <si>
    <t xml:space="preserve">Granica 5 minut</t>
  </si>
  <si>
    <t xml:space="preserve">Zadanie przedawnione</t>
  </si>
  <si>
    <t xml:space="preserve">Przykłady dobowych kotwic</t>
  </si>
  <si>
    <t xml:space="preserve">Łańcuch A: pierwszy sukces</t>
  </si>
  <si>
    <t xml:space="preserve">23.10 13:12</t>
  </si>
  <si>
    <t xml:space="preserve">24.10 13:12</t>
  </si>
  <si>
    <t xml:space="preserve">Następca natychmiast; kotwica dzienna.</t>
  </si>
  <si>
    <t xml:space="preserve">A: kolejny sukces tego samego dnia</t>
  </si>
  <si>
    <t xml:space="preserve">23.10 14:00</t>
  </si>
  <si>
    <t xml:space="preserve">Nowe zadanie natychmiast; deadline pozostaje.</t>
  </si>
  <si>
    <t xml:space="preserve">Łańcuch B: niezależny sukces</t>
  </si>
  <si>
    <t xml:space="preserve">23.10 17:19</t>
  </si>
  <si>
    <t xml:space="preserve">24.10 17:19</t>
  </si>
  <si>
    <t xml:space="preserve">Nie resetuje łańcucha A.</t>
  </si>
  <si>
    <t xml:space="preserve">A: wygaśnięcie</t>
  </si>
  <si>
    <t xml:space="preserve">25.10 13:12</t>
  </si>
  <si>
    <t xml:space="preserve">Utrata wpłat, następca z nowym terminem dobowym.</t>
  </si>
  <si>
    <t xml:space="preserve">Zmiana czasu zimowego</t>
  </si>
  <si>
    <t xml:space="preserve">25 godzin rzeczywistych, ta sama godzina Europe/Warsaw.</t>
  </si>
  <si>
    <t xml:space="preserve">EKSPEDYCJE • przebieg i nagrody</t>
  </si>
  <si>
    <t xml:space="preserve">Panel poniżej zadań po prawej. Nagrody wyłącznie w monetach. Plansze, sterowanie, trudność, koszty dodatkowego czasu/ruchów i zasady jednosekundowego kodu pozostają do późniejszego opisania.</t>
  </si>
  <si>
    <t xml:space="preserve">Umiejscowienie</t>
  </si>
  <si>
    <t xml:space="preserve">Po prawej stronie, pod bieżącymi zadaniami latarni.</t>
  </si>
  <si>
    <t xml:space="preserve">Zawsze dostępnych kilka ekspedycji. Konkretna liczba i rotacja nieustalone.</t>
  </si>
  <si>
    <t xml:space="preserve">POTWIERDZONE; LICZBA OTWARTA</t>
  </si>
  <si>
    <t xml:space="preserve">Rodzaje gry</t>
  </si>
  <si>
    <t xml:space="preserve">Plansza z labiryntem i piłeczką do przeprowadzenia do środka albo dobieranie takich samych puzzli.</t>
  </si>
  <si>
    <t xml:space="preserve">Dokładne sterowanie, plansze i zasady użytkownik opisze później.</t>
  </si>
  <si>
    <t xml:space="preserve">POTWIERDZONE; SZCZEGÓŁY PÓŹNIEJ</t>
  </si>
  <si>
    <t xml:space="preserve">Wyłącznie złoto / monety.</t>
  </si>
  <si>
    <t xml:space="preserve">Ekspedycja nie przyznaje materiałów ani szczęścia. Nazwa waluty do ujednolicenia.</t>
  </si>
  <si>
    <t xml:space="preserve">Pierwszy wygrany poziom</t>
  </si>
  <si>
    <t xml:space="preserve">50 monet w nieodebranej puli.</t>
  </si>
  <si>
    <t xml:space="preserve">Można wypłacić pulę na wyspę albo postawić ją na dalszą grę.</t>
  </si>
  <si>
    <t xml:space="preserve">Każda kolejna wygrana</t>
  </si>
  <si>
    <t xml:space="preserve">Podwaja całą dotychczasową pulę.</t>
  </si>
  <si>
    <t xml:space="preserve">Poziom n: 50 × 2^(n−1) monet. To nowa łączna pula, nie dodatkowa nagroda dodawana do poprzedniej.</t>
  </si>
  <si>
    <t xml:space="preserve">Wypłata</t>
  </si>
  <si>
    <t xml:space="preserve">Przeniesienie aktualnej puli do gry na wyspie.</t>
  </si>
  <si>
    <t xml:space="preserve">Po wypłacie ekspedycja powinna zamknąć serię; to logiczna propozycja, nie zatwierdzony osobny szczegół. Nie określono restartów i opłaty wejściowej.</t>
  </si>
  <si>
    <t xml:space="preserve">WYBÓR WYPŁATY POTWIERDZONY</t>
  </si>
  <si>
    <t xml:space="preserve">Przegrana</t>
  </si>
  <si>
    <t xml:space="preserve">Utrata całej niewypłaconej puli danej serii.</t>
  </si>
  <si>
    <t xml:space="preserve">Nie ma podstaw do odbierania istniejących wcześniej monet z wyspy. Płatności za dodatkowe ruchy/czas nie są nagrodą i zasady ich zwrotu nie zostały określone.</t>
  </si>
  <si>
    <t xml:space="preserve">POTWIERDZONE; WYDATKI DO DOPRECYZOWANIA</t>
  </si>
  <si>
    <t xml:space="preserve">Ograniczenie poziomu</t>
  </si>
  <si>
    <t xml:space="preserve">Limit czasu albo liczby ruchów.</t>
  </si>
  <si>
    <t xml:space="preserve">Ilości i trudność poszczególnych poziomów nieustalone. Zatrzymywanie podczas reklam i po zamknięciu karty wymaga osobnej reguły.</t>
  </si>
  <si>
    <t xml:space="preserve">POTWIERDZONE; LIMITY OTWARTE</t>
  </si>
  <si>
    <t xml:space="preserve">Dodatkowy czas lub ruchy</t>
  </si>
  <si>
    <t xml:space="preserve">Zakup monetami albo obejrzenie reklamy.</t>
  </si>
  <si>
    <t xml:space="preserve">Nie ustalono ceny, przyrostu czasu/ruchów, liczby zakupów, momentu zakupu ani czy można uratować już przegraną próbę.</t>
  </si>
  <si>
    <t xml:space="preserve">POTWIERDZONE; CENNIK OTWARTY</t>
  </si>
  <si>
    <t xml:space="preserve">Reklama ekspedycji</t>
  </si>
  <si>
    <t xml:space="preserve">Najpierw materiał o własnej grze, później reklamy zewnętrzne; maksymalnie 30 sekund.</t>
  </si>
  <si>
    <t xml:space="preserve">To reguła reklam ekspedycyjnych. Wcześniejsze odłożone reklamy kaplicy miały 60 s; nie zastępować ich bez decyzji.</t>
  </si>
  <si>
    <t xml:space="preserve">Jednosekundowy przekaz</t>
  </si>
  <si>
    <t xml:space="preserve">Reklama ma zawierać przez 1 sekundę przekaz do późniejszego wpisania.</t>
  </si>
  <si>
    <t xml:space="preserve">Przekaz pokazywany przez 1 sekundę; treść, miejsce wpisania, warunek uznania reklamy i ewentualna nagroda zostaną opisane później.</t>
  </si>
  <si>
    <t xml:space="preserve">POMYSŁ ZACHOWANY; DZIAŁANIE PÓŹNIEJ</t>
  </si>
  <si>
    <t xml:space="preserve">Brak limitu poziomów</t>
  </si>
  <si>
    <t xml:space="preserve">Obecny opis nie wyznacza końca serii.</t>
  </si>
  <si>
    <t xml:space="preserve">Podwajanie jest wykładnicze: poziom 10 = 25 600, poziom 20 = 26 214 400 monet. Limit, trudność i koszt ratowania mogą być potrzebne do balansu.</t>
  </si>
  <si>
    <t xml:space="preserve">UWAGA BALANSOWA, NIE NOWA REGUŁA</t>
  </si>
  <si>
    <t xml:space="preserve">EKSPEDYCJE • podwajanie puli</t>
  </si>
  <si>
    <t xml:space="preserve">Pula = 50 × 2^(n−1). Każda wygrana podwaja aktualną pulę; nie dodajemy wszystkich poprzednich pul. Wypłata trafia na wyspę. Przegrana odbiera niewypłaconą pulę serii. Maksymalna liczba poziomów nie została ustalona.</t>
  </si>
  <si>
    <t xml:space="preserve">Wygrany poziom</t>
  </si>
  <si>
    <t xml:space="preserve">Pula do wypłaty [monety]</t>
  </si>
  <si>
    <t xml:space="preserve">Przyrost względem poprzedniego</t>
  </si>
  <si>
    <t xml:space="preserve">Po przegranej kolejnego</t>
  </si>
  <si>
    <t xml:space="preserve">Cena zakupu takiej liczby monet [PLN]</t>
  </si>
  <si>
    <t xml:space="preserve">Dodatkowy czas/ruchy</t>
  </si>
  <si>
    <t xml:space="preserve">Monety lub reklama ≤30 s; cena i ilość do ustalenia.</t>
  </si>
  <si>
    <t xml:space="preserve">Przeliczenie PLN opisuje cenę zakupu monet, nie wypłatę pieniędzy. Nagroda poziomu 20 pokazuje ryzyko wykładniczego wzrostu.</t>
  </si>
  <si>
    <t xml:space="preserve">BILANS • konsekwencje zatwierdzonych zasad</t>
  </si>
  <si>
    <t xml:space="preserve">Nie zmieniamy zatwierdzonych wartości. Początkowe zadania mają6h; po pierwszym sukcesie obowiązuje dobowa kotwica. Normy wymagań i wspólna populacja nadal oznaczają potrzebę wcześniejszych zapasów.</t>
  </si>
  <si>
    <t xml:space="preserve">Liczby / konsekwencje</t>
  </si>
  <si>
    <t xml:space="preserve">Status / uwaga</t>
  </si>
  <si>
    <t xml:space="preserve">Społecznościowe 1000 monet</t>
  </si>
  <si>
    <t xml:space="preserve">Przy 1 PLN = 10 monet nagroda odpowiada cenie zakupu 100 PLN. Przy 12 pracujących to 83 h 20 min podatków; nagrodę można wydać na 1000 min skrócenia budowy.</t>
  </si>
  <si>
    <t xml:space="preserve">To porównanie siły nabywczej, nie wypłata prawdziwych pieniędzy.</t>
  </si>
  <si>
    <t xml:space="preserve">Społecznościowe 500 monet</t>
  </si>
  <si>
    <t xml:space="preserve">Równowartość ceny zakupu 50 PLN; przy 12 pracujących: 41 h 40 min podatków.</t>
  </si>
  <si>
    <t xml:space="preserve">Do ustalenia częstotliwość i kumulacja.</t>
  </si>
  <si>
    <t xml:space="preserve">Transport a opłacalność</t>
  </si>
  <si>
    <t xml:space="preserve">200 Food przy ładunku 60 to 4 kursy = 40 monet; bazowa wartość zakupu to 300 monet. Przewóz 200 drewna również kosztuje 40 monet, ale zakup tylko 100.</t>
  </si>
  <si>
    <t xml:space="preserve">Cena przewozu zależy od objętości, nie wartości produktu; to spójne z cennikiem użytkownika.</t>
  </si>
  <si>
    <t xml:space="preserve">Ekspedycja poziom 10</t>
  </si>
  <si>
    <t xml:space="preserve">25 600 monet; przy 12 pracujących: 2133 h 20 min podatków.</t>
  </si>
  <si>
    <t xml:space="preserve">Jeżeli seria powtarzalna i łatwa, nagrody mogą dominować nad ekonomią wyspy.</t>
  </si>
  <si>
    <t xml:space="preserve">Minimalna szansa dalszej wygranej</t>
  </si>
  <si>
    <t xml:space="preserve">Ryzykując pulę B o podwojenie, oczekiwana pula po próbie to 2pB. Arytmetyczny próg rentowności p = 50%, przed kosztami ratunku.</t>
  </si>
  <si>
    <t xml:space="preserve">To analiza balansu; nie zakładamy losowości ani stawki prawdopodobieństwa w zręcznościowej minigrze.</t>
  </si>
  <si>
    <t xml:space="preserve">L1: małe: 6 h = 720 na rodzaj, nie 1440; 1440 to suma dwóch rodzajów. Duże: 10 h = 1200 na rodzaj &gt; 1000 pojemności typu w magazynie L1; raty umożliwiają wykonanie bez jednoczesnego zapasu całego kosztu.</t>
  </si>
  <si>
    <t xml:space="preserve">UWAGA DO BALANSU</t>
  </si>
  <si>
    <t xml:space="preserve">L2: małe: 6 h = 1728 na rodzaj &gt; 1500 pojemności typu magazynu L2; wymagane raty nie są błędem, lecz muszą być czytelne.</t>
  </si>
  <si>
    <t xml:space="preserve">Początkowe zadanie z normą8–10h może wymagać wcześniejszych zapasów przy6hterminie. Po pierwszym sukcesie następcy trzymają niezależnądobowąkotwicę.</t>
  </si>
  <si>
    <t xml:space="preserve">Nagrody skalujemy odL3 relacją12L×p(L)/468. Tenwzór nie gwarantuje zwrotu portowejwartościwszystkichwpłat.</t>
  </si>
  <si>
    <t xml:space="preserve">ZATWIERDZONE D07; świadoma konsekwencja balansu.</t>
  </si>
  <si>
    <t xml:space="preserve">Duże zadanie L1 od zera</t>
  </si>
  <si>
    <t xml:space="preserve">Minimum: 4 rodzaje × 4 h × 12 osób × 10/h = 1920 produktów. Przy 12 osobach to co najmniej 16 h sumarycznej pracy producentów, przed jedzeniem, zużyciem wejściowym 2:1 i transportem. Termin zadania wynosi 6 h.</t>
  </si>
  <si>
    <t xml:space="preserve">Zadanie jest celem na wcześniejsze zapasy lub wymaga oceny kosztów.</t>
  </si>
  <si>
    <t xml:space="preserve">Nagroda towarowa ×3</t>
  </si>
  <si>
    <t xml:space="preserve">Bazowe 1000 ×3 = 3000 sztuk jednego towaru; magazyn poziomu 1 mieści 1000 każdego rodzaju i 4000 łącznie.</t>
  </si>
  <si>
    <t xml:space="preserve">Niezależne odnowienia a trudność</t>
  </si>
  <si>
    <t xml:space="preserve">D05zamknięte; noweśrednie/duże respektująaktualnemniejsze, starezadaniabez zmian.</t>
  </si>
  <si>
    <t xml:space="preserve">Niepełna minuta</t>
  </si>
  <si>
    <t xml:space="preserve">Dla45s,60s i4minskrócenia cena5monet; dopiero powyżej5pełnychminut rośnie.</t>
  </si>
  <si>
    <t xml:space="preserve">ROZSTRZYGNIĘTE D12:MAX(5,FLOOR(minuty)).</t>
  </si>
  <si>
    <t xml:space="preserve">Serie publikacji</t>
  </si>
  <si>
    <t xml:space="preserve">Bez limitu powtarzania i definicji kwalifikowanego posta kwoty za każdy 3. post tworzą nieograniczony przychód.</t>
  </si>
  <si>
    <t xml:space="preserve">Zasady nagradzania oraz weryfikacja platform pozostają otwarte.</t>
  </si>
  <si>
    <t xml:space="preserve">PRODUKCJA I ŁADUNEK • korzyść własnego poziomu</t>
  </si>
  <si>
    <t xml:space="preserve">Użytkownik potwierdził dokładnie 10, 12, 13, 14… zamiast ogólnego +10%. Poziom producenta wpływa na wydajność i limit 12 × L; Ratusz jest warunkiem rozbudowy. Ładunek dotyczy własnego poziomu budynku transportowego; głód obniża efektywną wydajność transportu o połowę. V8: lokalna pojemność =200×własny poziom producenta; kolumnaE uwzględnia poziom ścieżek ze scenariusza Parametry.</t>
  </si>
  <si>
    <t xml:space="preserve">Poziom budynku</t>
  </si>
  <si>
    <t xml:space="preserve">Wydajność/os./h</t>
  </si>
  <si>
    <t xml:space="preserve">Wydajność głodnego/os./h</t>
  </si>
  <si>
    <t xml:space="preserve">Limit załogi</t>
  </si>
  <si>
    <t xml:space="preserve">Ładunek magazyn/targ/port</t>
  </si>
  <si>
    <t xml:space="preserve">Każda osoba osobno; całe sztuki i własna faza pracy. Młyn/tartak nadal 2:1. Bufor lokalny nadal 200×własny poziom producenta.</t>
  </si>
  <si>
    <t xml:space="preserve">NOWE CZASY • liczymy kursy, nie sztuki na godzinę</t>
  </si>
  <si>
    <t xml:space="preserve">74 warianty transportu i budowy. Młyn/drwale/tartak/kamieniołom koszt×2; farma bez zmian; kolejka+10%. Uwzględniono edytowalny ukończony poziom dróg (Parametry; domyślnie0), jego szybkość i ładunek. 6 dostępnych nakarmionych tragarzy. Bez zbierania i czekania; rzeczywisty scheduler może mieć dodatkowe konkurujące kursy.</t>
  </si>
  <si>
    <t xml:space="preserve">Budynek</t>
  </si>
  <si>
    <t xml:space="preserve">Etap</t>
  </si>
  <si>
    <t xml:space="preserve">Tryb kosztu</t>
  </si>
  <si>
    <t xml:space="preserve">Obecny L</t>
  </si>
  <si>
    <t xml:space="preserve">Nowy N</t>
  </si>
  <si>
    <t xml:space="preserve">Dostępni tragarze</t>
  </si>
  <si>
    <t xml:space="preserve">Ładunek/os./kurs</t>
  </si>
  <si>
    <t xml:space="preserve">Kursy drewno</t>
  </si>
  <si>
    <t xml:space="preserve">Kursy kamień</t>
  </si>
  <si>
    <t xml:space="preserve">Kursy zboże</t>
  </si>
  <si>
    <t xml:space="preserve">Kursy Food</t>
  </si>
  <si>
    <t xml:space="preserve">Kursy deski</t>
  </si>
  <si>
    <t xml:space="preserve">Fale</t>
  </si>
  <si>
    <t xml:space="preserve">Transport T [min]</t>
  </si>
  <si>
    <t xml:space="preserve">Łącznie ×T</t>
  </si>
  <si>
    <t xml:space="preserve">Sama budowa [min]</t>
  </si>
  <si>
    <t xml:space="preserve">Razem [min]</t>
  </si>
  <si>
    <t xml:space="preserve">Materiały razem</t>
  </si>
  <si>
    <t xml:space="preserve">1→2</t>
  </si>
  <si>
    <t xml:space="preserve">Bez kolejki</t>
  </si>
  <si>
    <t xml:space="preserve">Tylko ta budowa; 6 dostępnych nakarmionych tragarzy; poziom magazynu według F. Poziom ścieżek z Parametry; domyślnie0. Rywalizujące kursy i priorytety w grze mogą wydłużyć ETA.</t>
  </si>
  <si>
    <t xml:space="preserve">Kolejka +10%</t>
  </si>
  <si>
    <t xml:space="preserve">2→3</t>
  </si>
  <si>
    <t xml:space="preserve">3→4</t>
  </si>
  <si>
    <t xml:space="preserve">0→1</t>
  </si>
  <si>
    <t xml:space="preserve">LOGISTYKA • ujednolicone nowe zasady</t>
  </si>
  <si>
    <t xml:space="preserve">V8: fizyczne kursy, drogi 0–5, trzy trwałe priorytety towarów/Construction i podgląd rzeczywistych tragarzy. Całość działa zegarowo także offline; rejs statku i dojście do pracy to osobne zegary.</t>
  </si>
  <si>
    <t xml:space="preserve">Uwaga</t>
  </si>
  <si>
    <t xml:space="preserve">Kurs</t>
  </si>
  <si>
    <t xml:space="preserve">Bazowo pełny kurs z powrotem 5 min. Ścieżki: czas = 5/(1+0,1×ukończony poziom). Jeden rodzaj na kurs. Ładunek z własnego poziomu magazynu/targu/portu, dodatkowo premia ścieżek od poziomu3.</t>
  </si>
  <si>
    <t xml:space="preserve">Nie wolno liczyć ceil(sumy materiałów/C); liczymy SUMĘ ceil(każdy rodzaj/C).</t>
  </si>
  <si>
    <t xml:space="preserve">Niepełny ładunek</t>
  </si>
  <si>
    <t xml:space="preserve">Towar pobiera od razu; nie czeka, aż uzbiera pełny ładunek C. 100 szt. przy C=60 wymaga 2 kursów: 60+40.</t>
  </si>
  <si>
    <t xml:space="preserve">Gotowe zasoby w estymacie; przy rzeczywistej produkcji częściowe kursy mogą zwiększyć ich liczbę.</t>
  </si>
  <si>
    <t xml:space="preserve">Droga przetwórstwa</t>
  </si>
  <si>
    <t xml:space="preserve">Zboże i drewno zawsze przez magazyn centralny przed zużyciem przez młyn/tartak.</t>
  </si>
  <si>
    <t xml:space="preserve">Nie ma darmowego bezpośredniego bufora farma→młyn lub drwale→tartak.</t>
  </si>
  <si>
    <t xml:space="preserve">Rezerwa żywności</t>
  </si>
  <si>
    <t xml:space="preserve">50 × poziom magazynu na potrzeby ludzi. Wysyłka/rezerwacja nieżywieniowa chroni to minimum; ludzie mogą je zjadać.</t>
  </si>
  <si>
    <t xml:space="preserve">Sam bufor nie gwarantuje braku głodu; estymaty zakładają nakarmioną obsadę.</t>
  </si>
  <si>
    <t xml:space="preserve">NOWE</t>
  </si>
  <si>
    <t xml:space="preserve">Ratunkowy tragarz Food</t>
  </si>
  <si>
    <t xml:space="preserve">Jeden dostępny magazynier ma nosić Food, gdy jest gotowy w młynie, a centrala ma mniej niż 50 × poziom magazynu.</t>
  </si>
  <si>
    <t xml:space="preserve">Zakaz dotyczy ręcznego odwołania ostatniego istniejącego magazyniera. Przymusowe odejścia według osobnej listy; magazyn na końcu.</t>
  </si>
  <si>
    <t xml:space="preserve">Domyślne priorytety</t>
  </si>
  <si>
    <t xml:space="preserve">Najpierw zaopatrzenie centralnego magazynu, potem dostawy na budowy.</t>
  </si>
  <si>
    <t xml:space="preserve">Maksymalnie 3 numerowane priorytety, w tym Construction. Bez priorytetów najpierw centrala, potem budowy; ratunkowy Food ma ochronę.</t>
  </si>
  <si>
    <t xml:space="preserve">ETA budowy</t>
  </si>
  <si>
    <t xml:space="preserve">ETA osobno dla transportu i budowy przy obecnej obsadzie, ładunkach i priorytetach. Etykieta świata: Transport · ETA / Construction · ETA.</t>
  </si>
  <si>
    <t xml:space="preserve">ETA = pozostały transport + budowa; po zmianie priorytetów przeliczamy je ponownie. 6 tragarzy w kalkulatorze oznacza 6 faktycznie dostępnych dla tej budowy.</t>
  </si>
  <si>
    <t xml:space="preserve">Tylko własna załoga nosi w obie strony: centrala → targ i targ → centrala.</t>
  </si>
  <si>
    <t xml:space="preserve">Każda dostawa zablokowana 1 h; zapas wygasa 24 h po przyniesieniu, wynik wymiany ma nowe 24 h.</t>
  </si>
  <si>
    <t xml:space="preserve">NOWE / UJEDNOLICONE</t>
  </si>
  <si>
    <t xml:space="preserve">Port-sprzedaż</t>
  </si>
  <si>
    <t xml:space="preserve">Centrala → port: pierwszy cykl; port → statek: drugi taki sam. Własna załoga, według zasad magazynu.</t>
  </si>
  <si>
    <t xml:space="preserve">Pojemność statku=pojemność portu. Przy wypłynięciu notyfikacja i zapłata do skarbca.</t>
  </si>
  <si>
    <t xml:space="preserve">Port-zakup</t>
  </si>
  <si>
    <t xml:space="preserve">Rejs zawsze 5 min. Monety schodzą z konta w momencie transakcji, potem towar wymaga rozładunku i przewozu do centrali.</t>
  </si>
  <si>
    <t xml:space="preserve">Kliknięcie kup/sprzedaj pobiera monety lub rezerwuje towar. Towar przed przywiezieniem do centrali nie jest dostępny do jedzenia lub budowy.</t>
  </si>
  <si>
    <t xml:space="preserve">Port-wygaśnięcie</t>
  </si>
  <si>
    <t xml:space="preserve">Towar nieodebrany po 24 h przepada. To zastępuje poprzednie 10 monet za składowanie.</t>
  </si>
  <si>
    <t xml:space="preserve">Śledzić czas oddzielnych partii; terminy zegarowe działają offline.</t>
  </si>
  <si>
    <t xml:space="preserve">Zatrzymanie produkcji</t>
  </si>
  <si>
    <t xml:space="preserve">Przestój z braku wejścia lub miejsca: produkcja stoi, podatek płynie, jedna kara przestoju −10…−50.</t>
  </si>
  <si>
    <t xml:space="preserve">Wizyty</t>
  </si>
  <si>
    <t xml:space="preserve">Dom pokazuje osobiste H i przydziały; można wybierać osoby do zwiedzania. Osobna modlitwa pozostaje na później.</t>
  </si>
  <si>
    <t xml:space="preserve">Pobyt 4 h, bez czasu dojścia i możliwości wycofania. Wyłącznie wolne osoby z domu; jednocześnie 2 × poziom latarni miejsc. Darmowo 2 × poziom latarni wejść w ruchomych 24 h. Do 3 dodatkowych pakietów/24 h, każdy daje 2L wejść; cena 300 × numer pakietu (2, 3, 4) × L. Pakiet nie zwiększa liczby miejsc jednocześnie. Premie od powrotu: uczestnik 100% na 24 h i blokada ponownej wizyty przez te same 24 h; każda osobno wysłana grupa daje populacji +10 pp przez 6 h. Premie grup sumują się w czasie nakładania. Płatne błogosławieństwo: 100 × poziom kaplicy monet; +50 każdego zasobu i +20 pp na 1 h. Kolejne płatne użycie 4 h od KOŃCA efektu: 12:00–13:00 → następne 17:00. Nie można nakładać aktywnych błogosławieństw.</t>
  </si>
  <si>
    <t xml:space="preserve">Wszystkie mechaniki działają według czasu zegarowego również po zamknięciu karty.</t>
  </si>
  <si>
    <t xml:space="preserve">Produkcja, transport, jedzenie, podatki, szczęście, populacja, budowa, port/targ i premie. Nie używamy już zasady ukryta karta=stop.</t>
  </si>
  <si>
    <t xml:space="preserve">POTWIERDZONE W ROZMOWIE</t>
  </si>
  <si>
    <t xml:space="preserve">Wybrane priorytety</t>
  </si>
  <si>
    <t xml:space="preserve">5 produktów i Construction w jednej puli; najwyżej3 aktywne, podświetlone i numerowane.</t>
  </si>
  <si>
    <t xml:space="preserve">Construction może mieć numer1,2 lub3.</t>
  </si>
  <si>
    <t xml:space="preserve">1:8+2 losowe; 2:5+3+2 losowe; 3:5+3+2.</t>
  </si>
  <si>
    <t xml:space="preserve">Bloki rzeczywistych kursów powtarzają się bezterminowo. Niepełny kurs liczy się jako jeden.</t>
  </si>
  <si>
    <t xml:space="preserve">Pusty priorytet</t>
  </si>
  <si>
    <t xml:space="preserve">Brak towaru nie zatrzymuje tragarza, jeśli jest inna wykonalna dostawa.</t>
  </si>
  <si>
    <t xml:space="preserve">Zapis zachowuje wybór, licznik cyklu i stan losowania.</t>
  </si>
  <si>
    <t xml:space="preserve">Podgląd osób</t>
  </si>
  <si>
    <t xml:space="preserve">Przydział, rodzaj i ilość ładunku, skąd→dokąd, czas końca; osobno droga/bezczynność.</t>
  </si>
  <si>
    <t xml:space="preserve">Odwołany ładunek kończy kurs niezależnie; bez kopiowania na nową osobę.</t>
  </si>
  <si>
    <t xml:space="preserve">100 odcinków×5 poziomów; korzyść dopiero po ukończeniu całej setki poziomu.</t>
  </si>
  <si>
    <t xml:space="preserve">Szybkość +10%/poziom; ładunek od3: +10/+20/+30%. Zobacz Sciezki.</t>
  </si>
  <si>
    <t xml:space="preserve">PARAMETRY V8 • zatwierdzone liczby i scenariusze</t>
  </si>
  <si>
    <t xml:space="preserve">Niebieskie wartości edytowalne. Wszystkie zegary gospodarki działają offline. Ładunek FLOOR(60×1,1^(L−1)); koszt kolejki zaokrąglamy w górę dla każdego składnika. Estymaty obejmują wyłącznie transport i budowę.</t>
  </si>
  <si>
    <t xml:space="preserve">Parametr</t>
  </si>
  <si>
    <t xml:space="preserve">Wartość</t>
  </si>
  <si>
    <t xml:space="preserve">Jednostka</t>
  </si>
  <si>
    <t xml:space="preserve">people_start</t>
  </si>
  <si>
    <t xml:space="preserve">Ludzie na starcie</t>
  </si>
  <si>
    <t xml:space="preserve">osób</t>
  </si>
  <si>
    <t xml:space="preserve">AKTUALNE</t>
  </si>
  <si>
    <t xml:space="preserve">W domu, wolni; wszystkie 6 zasobów po 100.</t>
  </si>
  <si>
    <t xml:space="preserve">town_cap</t>
  </si>
  <si>
    <t xml:space="preserve">Populacja / poziom ratusza</t>
  </si>
  <si>
    <t xml:space="preserve">Dom osobno daje 24 miejsc/poziom.</t>
  </si>
  <si>
    <t xml:space="preserve">job_cap</t>
  </si>
  <si>
    <t xml:space="preserve">Limit pracy / poziom własnego budynku</t>
  </si>
  <si>
    <t xml:space="preserve">POTWIERDZONE W V1</t>
  </si>
  <si>
    <t xml:space="preserve">Limit 12×poziom miejsca pracy, z jednej puli faktycznie wolnych ludzi.</t>
  </si>
  <si>
    <t xml:space="preserve">capacity</t>
  </si>
  <si>
    <t xml:space="preserve">Ładunek tragarza na poziomie 1</t>
  </si>
  <si>
    <t xml:space="preserve">szt./kurs</t>
  </si>
  <si>
    <t xml:space="preserve">Jeden rodzaj towaru; nie 60 szt./h.</t>
  </si>
  <si>
    <t xml:space="preserve">capacity_growth</t>
  </si>
  <si>
    <t xml:space="preserve">Mnożnik ładunku na kolejny poziom</t>
  </si>
  <si>
    <t xml:space="preserve">mnożnik</t>
  </si>
  <si>
    <t xml:space="preserve">WZROST POTWIERDZONY</t>
  </si>
  <si>
    <t xml:space="preserve">Potwierdzone składanie i FLOOR: 60,66,72…</t>
  </si>
  <si>
    <t xml:space="preserve">trip</t>
  </si>
  <si>
    <t xml:space="preserve">Pełny kurs, z powrotem</t>
  </si>
  <si>
    <t xml:space="preserve">min</t>
  </si>
  <si>
    <t xml:space="preserve">Wszystkie odległości; częściowy ładunek dopuszczalny, bez czekania na pełny.</t>
  </si>
  <si>
    <t xml:space="preserve">crew</t>
  </si>
  <si>
    <t xml:space="preserve">Dostępni dla danej budowy tragarze</t>
  </si>
  <si>
    <t xml:space="preserve">ZAŁOŻENIE ESTYMATY</t>
  </si>
  <si>
    <t xml:space="preserve">Po odjęciu pilniejszych zadań i ratunkowych dostaw Food; edytowalne.</t>
  </si>
  <si>
    <t xml:space="preserve">reserve</t>
  </si>
  <si>
    <t xml:space="preserve">Rezerwa Food / poziom magazynu</t>
  </si>
  <si>
    <t xml:space="preserve">Food/poziom</t>
  </si>
  <si>
    <t xml:space="preserve">NOWE POTWIERDZONE</t>
  </si>
  <si>
    <t xml:space="preserve">Rezerwa 50 × poziom magazynu. Ludzie mogą ją zjadać.</t>
  </si>
  <si>
    <t xml:space="preserve">travel</t>
  </si>
  <si>
    <t xml:space="preserve">Droga człowieka do pracy / do domu</t>
  </si>
  <si>
    <t xml:space="preserve">min/odcinek</t>
  </si>
  <si>
    <t xml:space="preserve">5 min do pracy i 5 min do domu. Praca i podatek zaczynają się dopiero po dotarciu do zakładu.</t>
  </si>
  <si>
    <t xml:space="preserve">queue</t>
  </si>
  <si>
    <t xml:space="preserve">Dopłata do zlecenia w kolejce</t>
  </si>
  <si>
    <t xml:space="preserve">mnożnik kosztu</t>
  </si>
  <si>
    <t xml:space="preserve">Cała cena ×1,1; każdy składnik w górę. Premium nie znosi dopłaty.</t>
  </si>
  <si>
    <t xml:space="preserve">norm</t>
  </si>
  <si>
    <t xml:space="preserve">Norma kosztu producenta</t>
  </si>
  <si>
    <t xml:space="preserve">szt./dobę×L</t>
  </si>
  <si>
    <t xml:space="preserve">Norma 240 × L; koszt 30% drewna + 30% kamienia + 50% produktu. Młyn, drwale, tartak i kamieniołom: cały koszt ×2 według V4. Farma bez mnożnika. To norma kosztowa, nie rzeczywista produkcja.</t>
  </si>
  <si>
    <t xml:space="preserve">wood_share</t>
  </si>
  <si>
    <t xml:space="preserve">Drewno: udział normy</t>
  </si>
  <si>
    <t xml:space="preserve">udział</t>
  </si>
  <si>
    <t xml:space="preserve">Sumuje się z własnym produktem drwali.</t>
  </si>
  <si>
    <t xml:space="preserve">stone_share</t>
  </si>
  <si>
    <t xml:space="preserve">Kamień: udział normy</t>
  </si>
  <si>
    <t xml:space="preserve">Sumuje się z własnym produktem kamieniołomu.</t>
  </si>
  <si>
    <t xml:space="preserve">own_share</t>
  </si>
  <si>
    <t xml:space="preserve">Własny produkt: udział normy</t>
  </si>
  <si>
    <t xml:space="preserve">Farm zboże, młyn Food, drwale wood, tartak planks, quarry stone.</t>
  </si>
  <si>
    <t xml:space="preserve">town_cost</t>
  </si>
  <si>
    <t xml:space="preserve">Ratusz/Dom — każdy zasób</t>
  </si>
  <si>
    <t xml:space="preserve">szt.×L</t>
  </si>
  <si>
    <t xml:space="preserve">W tym monety; monety bez transportu.</t>
  </si>
  <si>
    <t xml:space="preserve">store_cost</t>
  </si>
  <si>
    <t xml:space="preserve">Magazyn/Targ — każdy zasób</t>
  </si>
  <si>
    <t xml:space="preserve">NOWE W V1</t>
  </si>
  <si>
    <t xml:space="preserve">Zastępuje500.</t>
  </si>
  <si>
    <t xml:space="preserve">port_cost</t>
  </si>
  <si>
    <t xml:space="preserve">Przystań — każdy zasób</t>
  </si>
  <si>
    <t xml:space="preserve">light_cost</t>
  </si>
  <si>
    <t xml:space="preserve">Latarnia — każdy zasób</t>
  </si>
  <si>
    <t xml:space="preserve">szt.×max(1,L)</t>
  </si>
  <si>
    <t xml:space="preserve">Pierwsza budowa 0→1 również 500 każdego.</t>
  </si>
  <si>
    <t xml:space="preserve">per</t>
  </si>
  <si>
    <t xml:space="preserve">Pojemność magazynu/portu poziom 1: na materiał</t>
  </si>
  <si>
    <t xml:space="preserve">szt.</t>
  </si>
  <si>
    <t xml:space="preserve">Monety osobno.</t>
  </si>
  <si>
    <t xml:space="preserve">total</t>
  </si>
  <si>
    <t xml:space="preserve">Pojemność magazynu/portu poziom 1: łącznie</t>
  </si>
  <si>
    <t xml:space="preserve">5 rodzajów materiałów.</t>
  </si>
  <si>
    <t xml:space="preserve">store_growth</t>
  </si>
  <si>
    <t xml:space="preserve">Wzrost pojemności magazynu/targu/portu</t>
  </si>
  <si>
    <t xml:space="preserve">mnożnik/poziom</t>
  </si>
  <si>
    <t xml:space="preserve">Magazyn/port oba limity; targ łączny 1000 na 1.</t>
  </si>
  <si>
    <t xml:space="preserve">tax</t>
  </si>
  <si>
    <t xml:space="preserve">Podatek pracującego</t>
  </si>
  <si>
    <t xml:space="preserve">moneta/os./h</t>
  </si>
  <si>
    <t xml:space="preserve">1 moneta/os./h od dotarcia do zakładu, również podczas przestoju przypisanego pracownika. Kaplica czasowo ×2. Bez podatku w drodze, bezrobociu i podczas zwiedzania.</t>
  </si>
  <si>
    <t xml:space="preserve">food</t>
  </si>
  <si>
    <t xml:space="preserve">Spożycie osoby</t>
  </si>
  <si>
    <t xml:space="preserve">Food/os./h</t>
  </si>
  <si>
    <t xml:space="preserve">Automatycznie z centrali, także offline.</t>
  </si>
  <si>
    <t xml:space="preserve">grace</t>
  </si>
  <si>
    <t xml:space="preserve">Okres bez kary głodu/bezrobocia</t>
  </si>
  <si>
    <t xml:space="preserve">h zegarowych</t>
  </si>
  <si>
    <t xml:space="preserve">Oddzielne liczniki.</t>
  </si>
  <si>
    <t xml:space="preserve">lack</t>
  </si>
  <si>
    <t xml:space="preserve">Kara po progu danego braku</t>
  </si>
  <si>
    <t xml:space="preserve">pp/os./h</t>
  </si>
  <si>
    <t xml:space="preserve">Każdy brak osobno−5.</t>
  </si>
  <si>
    <t xml:space="preserve">raw_sell</t>
  </si>
  <si>
    <t xml:space="preserve">Port — sprzedaż 100 podstawowych</t>
  </si>
  <si>
    <t xml:space="preserve">monet</t>
  </si>
  <si>
    <t xml:space="preserve">Drewno, kamień, zboże.</t>
  </si>
  <si>
    <t xml:space="preserve">raw_buy</t>
  </si>
  <si>
    <t xml:space="preserve">Port — zakup 100 podstawowych</t>
  </si>
  <si>
    <t xml:space="preserve">Przed liniową podwyżką.</t>
  </si>
  <si>
    <t xml:space="preserve">proc_sell</t>
  </si>
  <si>
    <t xml:space="preserve">Port — sprzedaż 100 przetworzonych</t>
  </si>
  <si>
    <t xml:space="preserve">OSTATNIA KOREKTA UŻYTKOWNIKA</t>
  </si>
  <si>
    <t xml:space="preserve">Deski, Food. NIE targ; zastępuje 70.</t>
  </si>
  <si>
    <t xml:space="preserve">proc_buy</t>
  </si>
  <si>
    <t xml:space="preserve">Port — zakup 100 przetworzonych</t>
  </si>
  <si>
    <t xml:space="preserve">Zastępuje 80; przed liniową podwyżką.</t>
  </si>
  <si>
    <t xml:space="preserve">price_extra</t>
  </si>
  <si>
    <t xml:space="preserve">Podwyżka kolejnej paczki zakupu</t>
  </si>
  <si>
    <t xml:space="preserve">udział ceny bazowej</t>
  </si>
  <si>
    <t xml:space="preserve">POTWIERDZONE LINIOWO</t>
  </si>
  <si>
    <t xml:space="preserve">price_window</t>
  </si>
  <si>
    <t xml:space="preserve">Port — okno zakupów</t>
  </si>
  <si>
    <t xml:space="preserve">Nie czas aktywnej karty.</t>
  </si>
  <si>
    <t xml:space="preserve">expire</t>
  </si>
  <si>
    <t xml:space="preserve">Towar na targu/w porcie wygasa</t>
  </si>
  <si>
    <t xml:space="preserve">Zastępuje portową opłatę 10 monet. Nowy wynik wymiany ma nowe 24 h.</t>
  </si>
  <si>
    <t xml:space="preserve">market_fee</t>
  </si>
  <si>
    <t xml:space="preserve">Marża targu</t>
  </si>
  <si>
    <t xml:space="preserve">Wymiana w dwóch grupach; bez monet.</t>
  </si>
  <si>
    <t xml:space="preserve">market_lock</t>
  </si>
  <si>
    <t xml:space="preserve">Blokada dostawy targowej</t>
  </si>
  <si>
    <t xml:space="preserve">WCZEŚNIEJ UZGODNIONE</t>
  </si>
  <si>
    <t xml:space="preserve">Nowy plik nie usuwa blokady; wygasanie 24 h jest osobne.</t>
  </si>
  <si>
    <t xml:space="preserve">min_people</t>
  </si>
  <si>
    <t xml:space="preserve">Minimalna populacja</t>
  </si>
  <si>
    <t xml:space="preserve">Ubytek=odejście, nie śmierć.</t>
  </si>
  <si>
    <t xml:space="preserve">pln_coins</t>
  </si>
  <si>
    <t xml:space="preserve">Monety za 1 PLN</t>
  </si>
  <si>
    <t xml:space="preserve">monet/PLN</t>
  </si>
  <si>
    <t xml:space="preserve">Cena zakupu waluty; nie kurs wypłaty na PLN.</t>
  </si>
  <si>
    <t xml:space="preserve">speed_coin</t>
  </si>
  <si>
    <t xml:space="preserve">Przyspieszenie: pełna minuta</t>
  </si>
  <si>
    <t xml:space="preserve">moneta/min</t>
  </si>
  <si>
    <t xml:space="preserve">haul_coin</t>
  </si>
  <si>
    <t xml:space="preserve">Premium: kurs tragarza</t>
  </si>
  <si>
    <t xml:space="preserve">monet/kurs</t>
  </si>
  <si>
    <t xml:space="preserve">Potwierdzone: 10 monet za każdy potrzebny kurs, również ostatni niepełny; 100 przy ładunku 60 kosztuje 20 monet.</t>
  </si>
  <si>
    <t xml:space="preserve">building_markup</t>
  </si>
  <si>
    <t xml:space="preserve">Mnożnik portowej ceny materiałów</t>
  </si>
  <si>
    <t xml:space="preserve">Potwierdzone: proporcjonalne bazowe ceny zakupu portowego; +25% wyłącznie materiałów. Koszt monet budynku doliczany osobno. Bez paczek po 100 w tej wycenie.</t>
  </si>
  <si>
    <t xml:space="preserve">quest_hours</t>
  </si>
  <si>
    <t xml:space="preserve">Początkowy termin zadania</t>
  </si>
  <si>
    <t xml:space="preserve">POCZĄTKOWE ZADANIA</t>
  </si>
  <si>
    <t xml:space="preserve">quest_fast_s</t>
  </si>
  <si>
    <t xml:space="preserve">Szybka reakcja ×3</t>
  </si>
  <si>
    <t xml:space="preserve">sekund</t>
  </si>
  <si>
    <t xml:space="preserve">Pierwsze kliknięcie utrwala ×3; nagroda po pełnej wpłacie przed aktualnym terminem.</t>
  </si>
  <si>
    <t xml:space="preserve">quest_fast_m</t>
  </si>
  <si>
    <t xml:space="preserve">Szybka reakcja ×2</t>
  </si>
  <si>
    <t xml:space="preserve">minut</t>
  </si>
  <si>
    <t xml:space="preserve">15 s ≤ wiek &lt;300 s: ×2; potem ×1. Mnożnik zapisany do ukończenia.</t>
  </si>
  <si>
    <t xml:space="preserve">exp_base</t>
  </si>
  <si>
    <t xml:space="preserve">Ekspedycja: poziom 1</t>
  </si>
  <si>
    <t xml:space="preserve">Nieodebrana pula, możliwa wypłata na wyspę.</t>
  </si>
  <si>
    <t xml:space="preserve">exp_growth</t>
  </si>
  <si>
    <t xml:space="preserve">Kolejna wygrana: pula ×</t>
  </si>
  <si>
    <t xml:space="preserve">50,100,200,400…</t>
  </si>
  <si>
    <t xml:space="preserve">exp_ad_max</t>
  </si>
  <si>
    <t xml:space="preserve">Reklama ekspedycyjna: maksimum</t>
  </si>
  <si>
    <t xml:space="preserve">Dotyczy nowo opisanej ekspedycji. Dawne reklamy kaplicy są odłożone.</t>
  </si>
  <si>
    <t xml:space="preserve">ad_code</t>
  </si>
  <si>
    <t xml:space="preserve">Czas pokazania przekazu</t>
  </si>
  <si>
    <t xml:space="preserve">sekunda</t>
  </si>
  <si>
    <t xml:space="preserve">Sposób wpisania i jego wpływ na nagrodę do opisania później.</t>
  </si>
  <si>
    <t xml:space="preserve">accel_min</t>
  </si>
  <si>
    <t xml:space="preserve">Minimalna cena przyspieszenia</t>
  </si>
  <si>
    <t xml:space="preserve">POTWIERDZONE D12</t>
  </si>
  <si>
    <t xml:space="preserve">package_price</t>
  </si>
  <si>
    <t xml:space="preserve">Cena pakietu / poziom Ratusza</t>
  </si>
  <si>
    <t xml:space="preserve">monet/L</t>
  </si>
  <si>
    <t xml:space="preserve">POTWIERDZONE D09</t>
  </si>
  <si>
    <t xml:space="preserve">package_hours</t>
  </si>
  <si>
    <t xml:space="preserve">Pakiet: czas trwania</t>
  </si>
  <si>
    <t xml:space="preserve">h</t>
  </si>
  <si>
    <t xml:space="preserve">Od zakupu; ponowny zakup przedłuża ważność.</t>
  </si>
  <si>
    <t xml:space="preserve">forecast_markup</t>
  </si>
  <si>
    <t xml:space="preserve">Plan prognozowany: dopłata od braków</t>
  </si>
  <si>
    <t xml:space="preserve">POTWIERDZONE D10</t>
  </si>
  <si>
    <t xml:space="preserve">premium_build_s</t>
  </si>
  <si>
    <t xml:space="preserve">Pełny zakup: czas do ukończenia</t>
  </si>
  <si>
    <t xml:space="preserve">s</t>
  </si>
  <si>
    <t xml:space="preserve">POTWIERDZONE D11</t>
  </si>
  <si>
    <t xml:space="preserve">newborn_freeze</t>
  </si>
  <si>
    <t xml:space="preserve">Nowy mieszkaniec: 0% zamrożone</t>
  </si>
  <si>
    <t xml:space="preserve">POTWIERDZONE D13</t>
  </si>
  <si>
    <t xml:space="preserve">visit_duration</t>
  </si>
  <si>
    <t xml:space="preserve">Zwiedzanie: pobyt</t>
  </si>
  <si>
    <t xml:space="preserve">Bez dojścia i wycofania.</t>
  </si>
  <si>
    <t xml:space="preserve">visit_group_bonus</t>
  </si>
  <si>
    <t xml:space="preserve">Premia populacji / grupa</t>
  </si>
  <si>
    <t xml:space="preserve">pp</t>
  </si>
  <si>
    <t xml:space="preserve">POTWIERDZONE D01</t>
  </si>
  <si>
    <t xml:space="preserve">Nie za każdą osobę; grupy sumują się.</t>
  </si>
  <si>
    <t xml:space="preserve">visit_group_hours</t>
  </si>
  <si>
    <t xml:space="preserve">Premia populacji: czas</t>
  </si>
  <si>
    <t xml:space="preserve">h od powrotu</t>
  </si>
  <si>
    <t xml:space="preserve">visit_person_hours</t>
  </si>
  <si>
    <t xml:space="preserve">100% i blokada osobista</t>
  </si>
  <si>
    <t xml:space="preserve">Wolne miejsce po powrocie nie resetuje indywidualnej blokady.</t>
  </si>
  <si>
    <t xml:space="preserve">visit_slots</t>
  </si>
  <si>
    <t xml:space="preserve">Miejsca jednocześnie / poziom latarni</t>
  </si>
  <si>
    <t xml:space="preserve">osób/L</t>
  </si>
  <si>
    <t xml:space="preserve">POTWIERDZONE D02</t>
  </si>
  <si>
    <t xml:space="preserve">visit_free</t>
  </si>
  <si>
    <t xml:space="preserve">Darmowe wejścia / L / ruchome24h</t>
  </si>
  <si>
    <t xml:space="preserve">wejść/L</t>
  </si>
  <si>
    <t xml:space="preserve">bless_wait</t>
  </si>
  <si>
    <t xml:space="preserve">Płatne błogosławieństwo: oczekiwanie</t>
  </si>
  <si>
    <t xml:space="preserve">h od końca</t>
  </si>
  <si>
    <t xml:space="preserve">POTWIERDZONE D15</t>
  </si>
  <si>
    <t xml:space="preserve">reward_reference</t>
  </si>
  <si>
    <t xml:space="preserve">Baza skalowania nagród</t>
  </si>
  <si>
    <t xml:space="preserve">szt./h na L3</t>
  </si>
  <si>
    <t xml:space="preserve">POTWIERDZONE D07</t>
  </si>
  <si>
    <t xml:space="preserve">house_auto</t>
  </si>
  <si>
    <t xml:space="preserve">Automat domu po</t>
  </si>
  <si>
    <t xml:space="preserve">POTWIERDZONE D04</t>
  </si>
  <si>
    <t xml:space="preserve">local_capacity</t>
  </si>
  <si>
    <t xml:space="preserve">Lokalna pojemność / własny poziom</t>
  </si>
  <si>
    <t xml:space="preserve">szt./L</t>
  </si>
  <si>
    <t xml:space="preserve">Pięciu producentów; nie ratusz.</t>
  </si>
  <si>
    <t xml:space="preserve">road_sections</t>
  </si>
  <si>
    <t xml:space="preserve">Liczba odcinków ścieżek</t>
  </si>
  <si>
    <t xml:space="preserve">odcinków</t>
  </si>
  <si>
    <t xml:space="preserve">Wszystkie zaczynają na0.</t>
  </si>
  <si>
    <t xml:space="preserve">road_max</t>
  </si>
  <si>
    <t xml:space="preserve">Maksymalny poziom ścieżek</t>
  </si>
  <si>
    <t xml:space="preserve">poziom</t>
  </si>
  <si>
    <t xml:space="preserve">Kolejny poziom po ukończeniu wszystkich100 poprzedniego.</t>
  </si>
  <si>
    <t xml:space="preserve">road_cost</t>
  </si>
  <si>
    <t xml:space="preserve">Koszt jednego odcinka o jeden poziom</t>
  </si>
  <si>
    <t xml:space="preserve">kamienia</t>
  </si>
  <si>
    <t xml:space="preserve">Natychmiast po kliknięciu; koszt z centrali.</t>
  </si>
  <si>
    <t xml:space="preserve">road_speed</t>
  </si>
  <si>
    <t xml:space="preserve">Bonus szybkości / ukończony poziom</t>
  </si>
  <si>
    <t xml:space="preserve">Czas dzielony przez mnożnik szybkości.</t>
  </si>
  <si>
    <t xml:space="preserve">road_load</t>
  </si>
  <si>
    <t xml:space="preserve">Bonus ładunku / poziom od3</t>
  </si>
  <si>
    <t xml:space="preserve">Ukończone3/4/5: +10/+20/+30%.</t>
  </si>
  <si>
    <t xml:space="preserve">road_calculation</t>
  </si>
  <si>
    <t xml:space="preserve">Ukończony poziom dróg w kalkulatorach</t>
  </si>
  <si>
    <t xml:space="preserve">0…5</t>
  </si>
  <si>
    <t xml:space="preserve">Parametr scenariusza, NIE zmiana startu gry.</t>
  </si>
  <si>
    <t xml:space="preserve">attraction_min</t>
  </si>
  <si>
    <t xml:space="preserve">Atrakcja: minimum Y</t>
  </si>
  <si>
    <t xml:space="preserve">monet/pp</t>
  </si>
  <si>
    <t xml:space="preserve">KosztY×L; dokładna premiaY×przyzwyczajenie.</t>
  </si>
  <si>
    <t xml:space="preserve">attraction_max</t>
  </si>
  <si>
    <t xml:space="preserve">Atrakcja: maksimum Y</t>
  </si>
  <si>
    <t xml:space="preserve">Y całkowite, zapisane w ofercie.</t>
  </si>
  <si>
    <t xml:space="preserve">attraction_hours</t>
  </si>
  <si>
    <t xml:space="preserve">Czas premii atrakcji</t>
  </si>
  <si>
    <t xml:space="preserve">Osobny zegar każdego użycia.</t>
  </si>
  <si>
    <t xml:space="preserve">attraction_reset</t>
  </si>
  <si>
    <t xml:space="preserve">Przerwa resetująca daną atrakcję</t>
  </si>
  <si>
    <t xml:space="preserve">Od jej ostatniego zakupu, oddzielnie na rodzaj.</t>
  </si>
  <si>
    <t xml:space="preserve">attraction_rotation</t>
  </si>
  <si>
    <t xml:space="preserve">Rotacja pięciu ofert</t>
  </si>
  <si>
    <t xml:space="preserve">Działa zegarowo i nie resetuje się przy odświeżeniu.</t>
  </si>
  <si>
    <t xml:space="preserve">attraction_catalog</t>
  </si>
  <si>
    <t xml:space="preserve">Katalog atrakcji</t>
  </si>
  <si>
    <t xml:space="preserve">rodzajów</t>
  </si>
  <si>
    <t xml:space="preserve">10 dekoracji i10 wydarzeń.</t>
  </si>
  <si>
    <t xml:space="preserve">attraction_visible</t>
  </si>
  <si>
    <t xml:space="preserve">Widoczne atrakcje</t>
  </si>
  <si>
    <t xml:space="preserve">kart</t>
  </si>
  <si>
    <t xml:space="preserve">W dolnym pasku, zamiast starego okna.</t>
  </si>
  <si>
    <t xml:space="preserve">task_share</t>
  </si>
  <si>
    <t xml:space="preserve">Share ukończenia zadania</t>
  </si>
  <si>
    <t xml:space="preserve">Raz na ukończone zadanie; Skip nie zmienia normalnej nagrody. Bez integracjiFB.</t>
  </si>
  <si>
    <t xml:space="preserve">preview_coins</t>
  </si>
  <si>
    <t xml:space="preserve">Minimum monet w testowym podglądzie</t>
  </si>
  <si>
    <t xml:space="preserve">Jednorazowa migracja; oddzielny nowy gracz bez grantu.</t>
  </si>
  <si>
    <t xml:space="preserve">priorities_max</t>
  </si>
  <si>
    <t xml:space="preserve">Maksymalnie aktywnych priorytetów</t>
  </si>
  <si>
    <t xml:space="preserve">pozycje</t>
  </si>
  <si>
    <t xml:space="preserve">Towary i Construction we wspólnej puli.</t>
  </si>
  <si>
    <t xml:space="preserve">DECYZJE • stare pytania zamknięte w V7</t>
  </si>
  <si>
    <t xml:space="preserve">Dawne pytania zamknięto według pliku 6 i decyzji D01–D17. Kolumna G zachowuje oryginalne źródłowe wpisy użytkownika. Późniejsze uzgodnienia V8, w tym nowe priorytety, atrakcje, drogi i widoki, są w Zmiany v8. Tematy jawnie odłożone pozostają w Na pozniej.</t>
  </si>
  <si>
    <t xml:space="preserve">Wynik / zasada</t>
  </si>
  <si>
    <t xml:space="preserve">Uwagi / pytanie</t>
  </si>
  <si>
    <t xml:space="preserve">Q01</t>
  </si>
  <si>
    <t xml:space="preserve">ROZSTRZYGNIĘTE</t>
  </si>
  <si>
    <t xml:space="preserve">Wydajność</t>
  </si>
  <si>
    <t xml:space="preserve">Dokładnie 10, 12, 13, 14…</t>
  </si>
  <si>
    <t xml:space="preserve">Potwierdzenie w rozmowie; nie +10% produkcji.</t>
  </si>
  <si>
    <t xml:space="preserve">Q02</t>
  </si>
  <si>
    <t xml:space="preserve">5T=T+4T</t>
  </si>
  <si>
    <t xml:space="preserve">Potwierdzenie w rozmowie.</t>
  </si>
  <si>
    <t xml:space="preserve">Q03</t>
  </si>
  <si>
    <t xml:space="preserve">T + 3T × (N−1), N = nowy poziom: 4T, 7T, 10T</t>
  </si>
  <si>
    <t xml:space="preserve">Q04</t>
  </si>
  <si>
    <t xml:space="preserve">5 min — pełny kurs z powrotem</t>
  </si>
  <si>
    <t xml:space="preserve">Nie ma dodatkowego powrotu; 5 min jest całym cyklem.</t>
  </si>
  <si>
    <t xml:space="preserve">Q05</t>
  </si>
  <si>
    <t xml:space="preserve">140/150 w PORCIE; TARG bez monet</t>
  </si>
  <si>
    <t xml:space="preserve">Ostatnia korekta zastępuje pierwszą odpowiedź.</t>
  </si>
  <si>
    <t xml:space="preserve">Q06</t>
  </si>
  <si>
    <t xml:space="preserve">Cała gospodarka działa zegarowo również offline</t>
  </si>
  <si>
    <t xml:space="preserve">Także jedzenie, podatki, szczęście i demografia.</t>
  </si>
  <si>
    <t xml:space="preserve">Q07</t>
  </si>
  <si>
    <t xml:space="preserve">Zablokowany producent</t>
  </si>
  <si>
    <t xml:space="preserve">D14 + wpis v6 o braku bonusu pracy.</t>
  </si>
  <si>
    <t xml:space="preserve">Q08</t>
  </si>
  <si>
    <t xml:space="preserve">Ratunkowy transport Food</t>
  </si>
  <si>
    <t xml:space="preserve">Próg ratunkowego Food oraz rezerwa=50×poziom magazynu.</t>
  </si>
  <si>
    <t xml:space="preserve">Nie wolno ręcznie zabrać całej obsady, gdy centrala poniżej minimum, a Food czeka w młynie.</t>
  </si>
  <si>
    <t xml:space="preserve">Q09</t>
  </si>
  <si>
    <t xml:space="preserve">Odejścia</t>
  </si>
  <si>
    <t xml:space="preserve">Uzgodniona kolejność i ochrona uczestników.</t>
  </si>
  <si>
    <t xml:space="preserve">Na potrzeby odejść, ludzi w drodze traktuj jako ludzi w domu, wiec znikają, ludzi w modlitwie lub na zwiedzaniu nie ruszaj potrakrtujmy to jako dodatkowy bonus wysłania ich tam I tak szczęśliwość po tym wzrośnie, czyli masz do zabrania 1 osobę, gracz wysłał 2 osoby na latyarnię, nie ma nikogo wolnego, nie zabierasz nikogo, jakby nie wysłał do latarni to byś zabrał</t>
  </si>
  <si>
    <t xml:space="preserve">Q10</t>
  </si>
  <si>
    <t xml:space="preserve">Licznik zakupów w oknie 3 h</t>
  </si>
  <si>
    <t xml:space="preserve">D16; cena zamrożona przy zamówieniu.</t>
  </si>
  <si>
    <t xml:space="preserve">zamowienie zamraża, wzrost liniowy </t>
  </si>
  <si>
    <t xml:space="preserve">Q11</t>
  </si>
  <si>
    <t xml:space="preserve">Przyspieszenia</t>
  </si>
  <si>
    <t xml:space="preserve">Kontrolki czasu usunięte; skrócenia osobną usługą.</t>
  </si>
  <si>
    <t xml:space="preserve">wyjaśnione w innym miejscu </t>
  </si>
  <si>
    <t xml:space="preserve">Q12</t>
  </si>
  <si>
    <t xml:space="preserve">Zaokrąglenia</t>
  </si>
  <si>
    <t xml:space="preserve">Ładunek FLOOR(60 × 1,1^(L−1)); kolejka ROUNDUP każdego materiału.</t>
  </si>
  <si>
    <t xml:space="preserve">Zatwierdzone w v6; całe zasoby.</t>
  </si>
  <si>
    <t xml:space="preserve">tak </t>
  </si>
  <si>
    <t xml:space="preserve">Q13</t>
  </si>
  <si>
    <t xml:space="preserve">D09 starego arkusza</t>
  </si>
  <si>
    <t xml:space="preserve">D15: oczekiwanie od końca godzinnego efektu.</t>
  </si>
  <si>
    <t xml:space="preserve">od końca</t>
  </si>
  <si>
    <t xml:space="preserve">Q14</t>
  </si>
  <si>
    <t xml:space="preserve">D16 starego arkusza</t>
  </si>
  <si>
    <t xml:space="preserve">D17: cena docelowo zatwierdzona.</t>
  </si>
  <si>
    <t xml:space="preserve">V3-E01</t>
  </si>
  <si>
    <t xml:space="preserve">Jedna waluta czy osobna Premium</t>
  </si>
  <si>
    <t xml:space="preserve">Monety = złoto; jedna pula kupiona i zarobiona. 1 PLN = 10 monet; brak wypłaty monet na PLN.</t>
  </si>
  <si>
    <t xml:space="preserve">Zatwierdzone w źródle v6.</t>
  </si>
  <si>
    <t xml:space="preserve">tak, I żeby była jasność nie ma możłiwości zwrotu ludziom wpłaconej kasy czy przeliczenia miałem 1000 monet daj mi 100 zł , wpłacone 100 zł = 1000  monet I może być użyte tak samo jak zarobione 1000 monet </t>
  </si>
  <si>
    <t xml:space="preserve">V3-E02</t>
  </si>
  <si>
    <t xml:space="preserve">Skracany odcinek czasu</t>
  </si>
  <si>
    <t xml:space="preserve">D12; transport osobno.</t>
  </si>
  <si>
    <t xml:space="preserve">ustalone w innym miejscu </t>
  </si>
  <si>
    <t xml:space="preserve">V3-E03</t>
  </si>
  <si>
    <t xml:space="preserve">Pełne minuty i wielokrotne kliknięcia</t>
  </si>
  <si>
    <t xml:space="preserve">D12: prawdziwe minimum 5, także dla 1–4 minut.</t>
  </si>
  <si>
    <t xml:space="preserve">V3-E04</t>
  </si>
  <si>
    <t xml:space="preserve">Pełny kurs a częściowy ładunek</t>
  </si>
  <si>
    <t xml:space="preserve">Liczymy każdy potrzebny kurs, również ostatni niepełny. 100 sztuk / 60 na kurs = 2 kursy = 20 monet.</t>
  </si>
  <si>
    <t xml:space="preserve">Potwierdzenie użytkownika: „Tak, również ostatni niepełny kurs”.</t>
  </si>
  <si>
    <t xml:space="preserve">V3-E05</t>
  </si>
  <si>
    <t xml:space="preserve">Portowy koszt kupna budynku</t>
  </si>
  <si>
    <t xml:space="preserve">D11: pełny koszt bez pobierania własnych materiałów; 10 s.</t>
  </si>
  <si>
    <t xml:space="preserve">całkowity koszt nie biorę nic z magazyny </t>
  </si>
  <si>
    <t xml:space="preserve">V3-E06</t>
  </si>
  <si>
    <t xml:space="preserve">Monety w koszcie budynku</t>
  </si>
  <si>
    <t xml:space="preserve">Wymagane monety budynku doliczamy nominalnie, osobno od materiałów i poza dopłatą 25%.</t>
  </si>
  <si>
    <t xml:space="preserve">Potwierdzenie użytkownika: „Tak, cena proporcjonalna materiałów +25%, monety osobno”.</t>
  </si>
  <si>
    <t xml:space="preserve">V3-E07</t>
  </si>
  <si>
    <t xml:space="preserve">JAWNIE ODŁOŻONE</t>
  </si>
  <si>
    <t xml:space="preserve">Społecznościowe limity i potwierdzanie</t>
  </si>
  <si>
    <t xml:space="preserve">Ile razy można odebrać premię i czy jedna publikacja może aktywować kilka nagród?</t>
  </si>
  <si>
    <t xml:space="preserve">Zakres i powód: Na pozniej. Oryginalne wpisy zachowano w G i archiwum źródłowym.</t>
  </si>
  <si>
    <t xml:space="preserve">na poźniej </t>
  </si>
  <si>
    <t xml:space="preserve">V3-E08</t>
  </si>
  <si>
    <t xml:space="preserve">Polecenie i dzień 3</t>
  </si>
  <si>
    <t xml:space="preserve">Kto dostaje premię, co oznacza aktywny dzień i co mieści się w „500 wszystkiego”?</t>
  </si>
  <si>
    <t xml:space="preserve">V3-E09</t>
  </si>
  <si>
    <t xml:space="preserve">Ekspedycja: wzrost i dokupowanie ratunku</t>
  </si>
  <si>
    <t xml:space="preserve">Jaka jest długość serii, cena dodatkowego czasu/ruchów i liczba reklam?</t>
  </si>
  <si>
    <t xml:space="preserve">V3-E10</t>
  </si>
  <si>
    <t xml:space="preserve">Ekspedycja: zegar</t>
  </si>
  <si>
    <t xml:space="preserve">Czy zegar stoi podczas reklamy, braku aktywnej karty i rozłączenia?</t>
  </si>
  <si>
    <t xml:space="preserve">nie leci normalnie </t>
  </si>
  <si>
    <t xml:space="preserve">V3-E11</t>
  </si>
  <si>
    <t xml:space="preserve">Ekspedycja: nagroda z reklamy</t>
  </si>
  <si>
    <t xml:space="preserve">Czy wystarcza obejrzenie, czy potrzebne jest wpisanie jednosekundowego hasła?</t>
  </si>
  <si>
    <t xml:space="preserve">hasło jest potrzebne ale później zdefiniujemy jak </t>
  </si>
  <si>
    <t xml:space="preserve">V3-L01</t>
  </si>
  <si>
    <t xml:space="preserve">Podstawa poziomu</t>
  </si>
  <si>
    <t xml:space="preserve">Każdy produkt według własnego obecnego poziomu producenta. Norma 12 × L_i × p(L_i), bez chwilowych bonusów.</t>
  </si>
  <si>
    <t xml:space="preserve">Wpis źródłowy v6 G31/G8.</t>
  </si>
  <si>
    <t xml:space="preserve">każdego z produktów aktualny pozionm </t>
  </si>
  <si>
    <t xml:space="preserve">V3-L02</t>
  </si>
  <si>
    <t xml:space="preserve">Definicja „nie mniejsze”</t>
  </si>
  <si>
    <t xml:space="preserve">Koszt średniego/dużego przy generowaniu nie mniejszy w godzinach od aktualnych mniejszych; istniejące zadania bez zmian.</t>
  </si>
  <si>
    <t xml:space="preserve">FIFO nie resetuje kosztów ani nagród. Przykłady Zadania przyklady.</t>
  </si>
  <si>
    <t xml:space="preserve">V3-L03</t>
  </si>
  <si>
    <t xml:space="preserve">Niezależne odnowienia</t>
  </si>
  <si>
    <t xml:space="preserve">D05: start S/M/L; dalej losowy rozmiar i FIFO.</t>
  </si>
  <si>
    <t xml:space="preserve">losujesz rozumiem że może sie zdarzyć że po zmianie małe będzie wieksze niż średnie, ale przesuwasz kolejkę nowe zawsze wpada na koniec I może być tak że zostaną 3 małe lub 3 duże w kolejce</t>
  </si>
  <si>
    <t xml:space="preserve">V3-L04</t>
  </si>
  <si>
    <t xml:space="preserve">Szybki bonus</t>
  </si>
  <si>
    <t xml:space="preserve">Kliknięcie utrwala ×3 przed15s, potem×2 przed5min; nagroda po pełnej wpłacie przed aktualnym terminem.</t>
  </si>
  <si>
    <t xml:space="preserve">Mnożnik nie zmienia się z upływem czasu.</t>
  </si>
  <si>
    <t xml:space="preserve">V3-L05</t>
  </si>
  <si>
    <t xml:space="preserve">Odnowienie po sukcesie</t>
  </si>
  <si>
    <t xml:space="preserve">D06: po sukcesie nowe zadanie natychmiast, dobowa kotwica.</t>
  </si>
  <si>
    <t xml:space="preserve">natychmiastowe</t>
  </si>
  <si>
    <t xml:space="preserve">V3-L06</t>
  </si>
  <si>
    <t xml:space="preserve">Zakres nagrody</t>
  </si>
  <si>
    <t xml:space="preserve">D07–D08; 50–1000 na każdy rodzaj na L3.</t>
  </si>
  <si>
    <t xml:space="preserve">każdego </t>
  </si>
  <si>
    <t xml:space="preserve">V3-L07</t>
  </si>
  <si>
    <t xml:space="preserve">Nagroda a pojemność</t>
  </si>
  <si>
    <t xml:space="preserve">Wpis v6 G23; automatyczny bufor.</t>
  </si>
  <si>
    <t xml:space="preserve">wyjaśnione </t>
  </si>
  <si>
    <t xml:space="preserve">V3-L08</t>
  </si>
  <si>
    <t xml:space="preserve">Food i rezerwa</t>
  </si>
  <si>
    <t xml:space="preserve">Wpis v6 G22; wyłącznie nadwyżka Food.</t>
  </si>
  <si>
    <t xml:space="preserve">nie, wyjaśnione </t>
  </si>
  <si>
    <t xml:space="preserve">V5-P01</t>
  </si>
  <si>
    <t xml:space="preserve">Przestój i bonus pracy</t>
  </si>
  <si>
    <t xml:space="preserve">D14: limit samej kary −50; podatek płynie.</t>
  </si>
  <si>
    <t xml:space="preserve">1% nie działa bo nie pracuje nie dopusje kary za bezrobocie </t>
  </si>
  <si>
    <t xml:space="preserve">V5-P02</t>
  </si>
  <si>
    <t xml:space="preserve">Niepełna lista odejść</t>
  </si>
  <si>
    <t xml:space="preserve">Dom i droga pierwsze; modlitwa i zwiedzanie chronione.</t>
  </si>
  <si>
    <t xml:space="preserve">targ obok portu jako pierwsze zaraz po domu, ale nie ruszać ludzi gdfy modlitwa lub zwiedzanie, wyjaśnione w innym miejscu </t>
  </si>
  <si>
    <t xml:space="preserve">V5-P03</t>
  </si>
  <si>
    <t xml:space="preserve">Zwiedzanie: początek i kumulacja</t>
  </si>
  <si>
    <t xml:space="preserve">Pobyt 4 h, bez czasu dojścia i możliwości wycofania. Wyłącznie wolne osoby z domu; jednocześnie 2 × poziom latarni miejsc. Premie od powrotu: uczestnik 100% na 24 h i blokada ponownej wizyty przez te same 24 h; każda osobno wysłana grupa daje populacji +10 pp przez 6 h. Premie grup sumują się w czasie nakładania. Darmowo 2 × poziom latarni wejść w ruchomych 24 h. Do 3 dodatkowych pakietów/24 h, każdy daje 2L wejść; cena 300 × numer pakietu (2, 3, 4) × L. Pakiet nie zwiększa liczby miejsc jednocześnie.</t>
  </si>
  <si>
    <t xml:space="preserve">D01: premia populacji 6 h; D02: dwa oddzielne limity.</t>
  </si>
  <si>
    <t xml:space="preserve">V5-P04</t>
  </si>
  <si>
    <t xml:space="preserve">Stan sprzed premii</t>
  </si>
  <si>
    <t xml:space="preserve">D13; po premii latarni przywracamy stan sprzed premii.</t>
  </si>
  <si>
    <t xml:space="preserve">nowe osoby mają przez 24h 0 </t>
  </si>
  <si>
    <t xml:space="preserve">V5-P05</t>
  </si>
  <si>
    <t xml:space="preserve">Moment transakcji portowej</t>
  </si>
  <si>
    <t xml:space="preserve">Kliknięcie kup/sprzedaj jest momentem pobrania monet lub rezerwacji towarów. Sprzedaż płaci przy wypłynięciu.</t>
  </si>
  <si>
    <t xml:space="preserve">Zapis v6 G43; 5 min rejsu pozostaje.</t>
  </si>
  <si>
    <t xml:space="preserve">klikam sprzedaje kupuje tro jest moment znikniecia monet lub towarów </t>
  </si>
  <si>
    <t xml:space="preserve">V5-P06</t>
  </si>
  <si>
    <t xml:space="preserve">Płatne błogosławieństwo: okno 4 h</t>
  </si>
  <si>
    <t xml:space="preserve">D15: start12, koniec13, następne17.</t>
  </si>
  <si>
    <t xml:space="preserve">po 4 h</t>
  </si>
  <si>
    <t xml:space="preserve">V5-P07</t>
  </si>
  <si>
    <t xml:space="preserve">Ochrona transportu a demografia</t>
  </si>
  <si>
    <t xml:space="preserve">Zakaz ręcznego wycofania ostatniego magazyniera przy brakach Food i gotowym Food w młynie; przymusowe odejście według zatwierdzonej listy, magazyn na końcu.</t>
  </si>
  <si>
    <t xml:space="preserve">To nie nadaje transportowi nowego immunitetu; załadowany towar nie znika.</t>
  </si>
  <si>
    <t xml:space="preserve">USTALENIA V8 • bieżący rejestr reguł</t>
  </si>
  <si>
    <t xml:space="preserve">Zachowano 217 wpisów V7, poprawionych według nowszych zasad, oraz dodano pełny pakiet V8. Rejestr historyczny v7 zawiera poprzednie wartości. Źródła historyczne i komentarze pozostają dosłownie zachowane; najnowsza decyzja ma pierwszeństwo.</t>
  </si>
  <si>
    <t xml:space="preserve">Assety</t>
  </si>
  <si>
    <t xml:space="preserve">U001</t>
  </si>
  <si>
    <t xml:space="preserve">Nowa wyspa: Ratusz 1, Dom 1,12 mieszkańców, szczęście 0; 100 każdego zasobu.</t>
  </si>
  <si>
    <t xml:space="preserve">Zasoby: monety, drewno, kamień, zboże, Food, deski.</t>
  </si>
  <si>
    <t xml:space="preserve">U002</t>
  </si>
  <si>
    <t xml:space="preserve">Człowiek</t>
  </si>
  <si>
    <t xml:space="preserve">NOWSZE USTALENIE</t>
  </si>
  <si>
    <t xml:space="preserve">W gospodarce 0 pracowników na starcie; 12 wolnych ludzi do ręcznego przydziału.</t>
  </si>
  <si>
    <t xml:space="preserve">Zastępuje wcześniejsze 6 startowych przydziałów.</t>
  </si>
  <si>
    <t xml:space="preserve">U003</t>
  </si>
  <si>
    <t xml:space="preserve">Odświeżenie zachowuje postęp; zestaw startowy nie jest przyznawany ponownie.</t>
  </si>
  <si>
    <t xml:space="preserve">Logowanie i serwer to przyszły zakres; plik Excel niczego nie wdraża.</t>
  </si>
  <si>
    <t xml:space="preserve">U004</t>
  </si>
  <si>
    <t xml:space="preserve">Poziom</t>
  </si>
  <si>
    <t xml:space="preserve">Poziom gracza=poziom Ratusza.</t>
  </si>
  <si>
    <t xml:space="preserve">Ratusz nie zatrudnia pracowników.</t>
  </si>
  <si>
    <t xml:space="preserve">U005</t>
  </si>
  <si>
    <t xml:space="preserve">Pozostałe budynki mogą mieć najwyżej poziom Ratusza.</t>
  </si>
  <si>
    <t xml:space="preserve">Podniesienie ratusza odblokowuje możliwość rozbudowy, nie wykonuje jej za gracza.</t>
  </si>
  <si>
    <t xml:space="preserve">U006</t>
  </si>
  <si>
    <t xml:space="preserve">Ludność</t>
  </si>
  <si>
    <t xml:space="preserve">Teoretyczny limit mieszkańców=24×poziom Ratusza.</t>
  </si>
  <si>
    <t xml:space="preserve">Przykład Ratusz 4→96; Ratusz 6→144. To limit, nie automatyczna liczba osób.</t>
  </si>
  <si>
    <t xml:space="preserve">U007</t>
  </si>
  <si>
    <t xml:space="preserve">Mieszkania</t>
  </si>
  <si>
    <t xml:space="preserve">Dom daje 24×swój poziom miejsc mieszkalnych.</t>
  </si>
  <si>
    <t xml:space="preserve">Ratusz i Dom mają niezależne limity; Ratusz 4, Dom 3→limit 96, miejsca 72.</t>
  </si>
  <si>
    <t xml:space="preserve">U008</t>
  </si>
  <si>
    <t xml:space="preserve">Dom;Człowiek</t>
  </si>
  <si>
    <t xml:space="preserve">Przeludnienie U=max(0, P−24×poziom Domu). Każdej osobie naliczamy−Upp/h.</t>
  </si>
  <si>
    <t xml:space="preserve">78 osób/72 miejsca→−6 pp/h każdemu; kara sumuje się z innymi stawkami.</t>
  </si>
  <si>
    <t xml:space="preserve">U009</t>
  </si>
  <si>
    <t xml:space="preserve">Nowe miejsca po ukończeniu Domu zatrzymują przyszłą karę w pokrytym zakresie, bez zwracania utraconego szczęścia.</t>
  </si>
  <si>
    <t xml:space="preserve">Nie ma natychmiastowego dodania ludzi po rozbudowie.</t>
  </si>
  <si>
    <t xml:space="preserve">U010</t>
  </si>
  <si>
    <t xml:space="preserve">Limit pracy</t>
  </si>
  <si>
    <t xml:space="preserve">Człowiek;Wszystkie</t>
  </si>
  <si>
    <t xml:space="preserve">POTWIERDZONE V2</t>
  </si>
  <si>
    <t xml:space="preserve">Limit każdego miejsca pracy=12×POZIOM TEGO BUDYNKU, ograniczony faktyczną pulą wolnych.</t>
  </si>
  <si>
    <t xml:space="preserve">Drwale 1:max 12; Ratusz 2 bezdrwali 2 nicniezmienia; drwale 2:max 24.</t>
  </si>
  <si>
    <t xml:space="preserve">U011</t>
  </si>
  <si>
    <t xml:space="preserve">ZASTĄPIONE</t>
  </si>
  <si>
    <t xml:space="preserve">Wcześniej limit zapisano jako połowę aktualnej populacji.</t>
  </si>
  <si>
    <t xml:space="preserve">W tym Excelu po najnowszym doprecyzowaniu obowiązuje połowa MAKSIMUM z Ratusza.</t>
  </si>
  <si>
    <t xml:space="preserve">U012</t>
  </si>
  <si>
    <t xml:space="preserve">Miejsca pracy</t>
  </si>
  <si>
    <t xml:space="preserve">Dokładnie 8:farma, młyn, drwale, tartak, kamieniołom, magazyn, przystań, targ.</t>
  </si>
  <si>
    <t xml:space="preserve">Ratusz, Dom, Kaplica, Latarnia bez własnych pracowników.</t>
  </si>
  <si>
    <t xml:space="preserve">U013</t>
  </si>
  <si>
    <t xml:space="preserve">Przydział</t>
  </si>
  <si>
    <t xml:space="preserve">Jedna osoba ma najwyżej jedno miejsce pracy; nie można zatrudnić ludzi już przypisanych lub w drodze do domu.</t>
  </si>
  <si>
    <t xml:space="preserve">Wolni=obecna populacja−przypisani−wracający.</t>
  </si>
  <si>
    <t xml:space="preserve">U014</t>
  </si>
  <si>
    <t xml:space="preserve">Powrót</t>
  </si>
  <si>
    <t xml:space="preserve">5 min do domu i 5 min z domu do nowej pracy.</t>
  </si>
  <si>
    <t xml:space="preserve">W drodze nie pracuje i nie jest dostępny do innego przydziału.</t>
  </si>
  <si>
    <t xml:space="preserve">U015</t>
  </si>
  <si>
    <t xml:space="preserve">Dojście</t>
  </si>
  <si>
    <t xml:space="preserve">Dojście do pracy jest teraz określone:5 min.</t>
  </si>
  <si>
    <t xml:space="preserve">Zastępuje wcześniejsze nieustalone/natychmiastowe dojście.</t>
  </si>
  <si>
    <t xml:space="preserve">U016</t>
  </si>
  <si>
    <t xml:space="preserve">Farma; Młyn; Drwale; Tartak; Kamieniołom</t>
  </si>
  <si>
    <t xml:space="preserve">Produkcja/os./h według poziomu:10,12,13,14…; L1=10, L&gt;=2:L+10.</t>
  </si>
  <si>
    <t xml:space="preserve">Głód×0.5; latarnia×2; całeosobnesztuki.</t>
  </si>
  <si>
    <t xml:space="preserve">U017</t>
  </si>
  <si>
    <t xml:space="preserve">Człowiek; Farma; Młyn; Drwale; Tartak; Kamieniołom</t>
  </si>
  <si>
    <t xml:space="preserve">Zwolnienie odrzuca niedokończoną część sztuki tego pracownika.</t>
  </si>
  <si>
    <t xml:space="preserve">Gotowy towar pozostaje w lokalnym magazynie.</t>
  </si>
  <si>
    <t xml:space="preserve">U018</t>
  </si>
  <si>
    <t xml:space="preserve">Surowce</t>
  </si>
  <si>
    <t xml:space="preserve">Farma produkuje osobne zboże, nie gotową żywność.</t>
  </si>
  <si>
    <t xml:space="preserve">Zboże wymaga przewozu centralnie przed zużyciem przez młyn.</t>
  </si>
  <si>
    <t xml:space="preserve">U019</t>
  </si>
  <si>
    <t xml:space="preserve">2 zboża z magazynu centralnego→1 Food do lokalnego bufora młyna.</t>
  </si>
  <si>
    <t xml:space="preserve">Brak surowca lub miejsca zatrzymuje produkcję.</t>
  </si>
  <si>
    <t xml:space="preserve">U020</t>
  </si>
  <si>
    <t xml:space="preserve">2 drewna z magazynu centralnego→1 deska do lokalnego bufora tartaku.</t>
  </si>
  <si>
    <t xml:space="preserve">U021</t>
  </si>
  <si>
    <t xml:space="preserve">Drwale;Kamieniołom</t>
  </si>
  <si>
    <t xml:space="preserve">Drwale produkują drewno; kamieniołom kamień.</t>
  </si>
  <si>
    <t xml:space="preserve">Skończona produkcja trafia do bufora przy budynku.</t>
  </si>
  <si>
    <t xml:space="preserve">U022</t>
  </si>
  <si>
    <t xml:space="preserve">Bufory</t>
  </si>
  <si>
    <t xml:space="preserve">Pojemność bufora każdego producenta=200×własny poziom producenta.</t>
  </si>
  <si>
    <t xml:space="preserve">Wcześniej uzgodniono zależność od ratusza; nie zmieniono jej na własny poziom producenta.</t>
  </si>
  <si>
    <t xml:space="preserve">U023</t>
  </si>
  <si>
    <t xml:space="preserve">Pełny bufor</t>
  </si>
  <si>
    <t xml:space="preserve">Farma; Młyn; Drwale; Tartak; Kamieniołom; Człowiek</t>
  </si>
  <si>
    <t xml:space="preserve">Pełny bufor zatrzymuje produkcję i daje jego załodze−10 szczęścia od razu.</t>
  </si>
  <si>
    <t xml:space="preserve">To offset, nie−10 pp na godzinę.</t>
  </si>
  <si>
    <t xml:space="preserve">U024</t>
  </si>
  <si>
    <t xml:space="preserve">AKTUALNE V7</t>
  </si>
  <si>
    <t xml:space="preserve">Doprecyzowanie: rozmowa 23.10.2026, Decyzje v7 i wpisy źródłowe 6. Poprzednią wersję całego wpisu zachowano w Rejestr historyczny v6.</t>
  </si>
  <si>
    <t xml:space="preserve">U025</t>
  </si>
  <si>
    <t xml:space="preserve">Farma; Młyn; Drwale; Tartak; Kamieniołom; Magazyn; Targ; Przystań</t>
  </si>
  <si>
    <t xml:space="preserve">AKTUALNE / NOWE DLA PORTU</t>
  </si>
  <si>
    <t xml:space="preserve">Powiadomienie przy zapełnieniu magazynu/bufora, także głównego.</t>
  </si>
  <si>
    <t xml:space="preserve">Nowy port ma mieć notyfikację pełnego magazynu; nie spam co klatkę.</t>
  </si>
  <si>
    <t xml:space="preserve">U026</t>
  </si>
  <si>
    <t xml:space="preserve">Poziom 1:1000 na każdy z 5 materiałów, nie więcej niż 4000 łącznie.</t>
  </si>
  <si>
    <t xml:space="preserve">Monety są osobno w skarbcu.</t>
  </si>
  <si>
    <t xml:space="preserve">U027</t>
  </si>
  <si>
    <t xml:space="preserve">Każdy kolejny poziom mnoży oba limity×1.5, z zaokrągleniem w dół.</t>
  </si>
  <si>
    <t xml:space="preserve">Poziom 2:1500/6000; poziom 3:2250/9000; poziom 4:3375/13500.</t>
  </si>
  <si>
    <t xml:space="preserve">U028</t>
  </si>
  <si>
    <t xml:space="preserve">Ładunek 60 szt./kurs na 1 poziomie; pełny kurs 5 min, jeden materiał.</t>
  </si>
  <si>
    <t xml:space="preserve">Nie 60 szt./h. Nie czeka na pełny ładunek.</t>
  </si>
  <si>
    <t xml:space="preserve">U029</t>
  </si>
  <si>
    <t xml:space="preserve">POTWIERDZONE / FORMUŁA MODELOWA</t>
  </si>
  <si>
    <t xml:space="preserve">Pojemność tragarza rośnie 10%/poziom własnego magazynu, targu lub portu.</t>
  </si>
  <si>
    <t xml:space="preserve">W modelu floor(60×1.1^(L−1)); 60,66,72…</t>
  </si>
  <si>
    <t xml:space="preserve">U030</t>
  </si>
  <si>
    <t xml:space="preserve">Magazyn;Przystań</t>
  </si>
  <si>
    <t xml:space="preserve">Magazynierzy noszą produkcję i budowy; targ i port mają własne załogi w obie strony.</t>
  </si>
  <si>
    <t xml:space="preserve">Przepływ przetwórstwa przez centralę.</t>
  </si>
  <si>
    <t xml:space="preserve">U031</t>
  </si>
  <si>
    <t xml:space="preserve">Człowiek; Magazyn; Młyn</t>
  </si>
  <si>
    <t xml:space="preserve">Każdy mieszkaniec automatycznie je 1 Food/h, niezależnie od zatrudnienia.</t>
  </si>
  <si>
    <t xml:space="preserve">Tylko magazyn centralny. Food lokalny, targowy lub portowy nie karmi bez dowozu.</t>
  </si>
  <si>
    <t xml:space="preserve">U032</t>
  </si>
  <si>
    <t xml:space="preserve">Rezerwa</t>
  </si>
  <si>
    <t xml:space="preserve">Magazyn; Targ; Przystań; Człowiek</t>
  </si>
  <si>
    <t xml:space="preserve">Rezerwa Food=50 × poziom magazynu; nie wynosić jej do celów innych niż żywienie.</t>
  </si>
  <si>
    <t xml:space="preserve">Ludzie mogą zjadaćrezerwę.</t>
  </si>
  <si>
    <t xml:space="preserve">U033</t>
  </si>
  <si>
    <t xml:space="preserve">Magazyn; Ratusz; Dom; Człowiek</t>
  </si>
  <si>
    <t xml:space="preserve">ZASTĄPIONY PRZYKŁAD</t>
  </si>
  <si>
    <t xml:space="preserve">Dawny przykład 6 h 57 przewozu jest nieaktualny po zmianie 60/h→60/kurs 5 min.</t>
  </si>
  <si>
    <t xml:space="preserve">Zasada ryzyka głodu pozostaje; nie doliczamy karmienia do estymaty.</t>
  </si>
  <si>
    <t xml:space="preserve">U034</t>
  </si>
  <si>
    <t xml:space="preserve">Indywidualne szczęście i osobna historia każdej osoby. Najpierw ograniczenie−100…+100, potem średnia populacji.</t>
  </si>
  <si>
    <t xml:space="preserve">Nie zastępujemy indywidualnych wartości jednym wspólnym licznikiem.</t>
  </si>
  <si>
    <t xml:space="preserve">U035</t>
  </si>
  <si>
    <t xml:space="preserve">Jedzenie +1 pp/h i faktyczna praca +1 pp/h. Przy przestoju brak bonusu pracy; Każdy nowy mieszkaniec ma zamrożone 0% szczęścia przez pierwsze 24 h, również podczas premii; później zwykłe naliczanie od 0%. Początkowych 12 osób nie obejmuje zamrożenie.</t>
  </si>
  <si>
    <t xml:space="preserve">U036</t>
  </si>
  <si>
    <t xml:space="preserve">Brak jedzenia i brak pracy mają osobne okresy 12 ciągłych godzin bez kary; potem za każdy brak−5 pp/h.</t>
  </si>
  <si>
    <t xml:space="preserve">Kara nie nalicza się wstecz za pierwsze 12 h.</t>
  </si>
  <si>
    <t xml:space="preserve">U037</t>
  </si>
  <si>
    <t xml:space="preserve">Je+pracuje:+2/h; je+bezrobotny do 12 h:+1/h; po 12 h:+1−5=−4/h.</t>
  </si>
  <si>
    <t xml:space="preserve">20%po 10 h pracy/jedzenia→32%po 12 h jedzenia bez pracy→28%po następnej godzinie.</t>
  </si>
  <si>
    <t xml:space="preserve">U038</t>
  </si>
  <si>
    <t xml:space="preserve">Głodny+pracuje do 12 h:+1/h; po 12 h:+1−5=−4/h.</t>
  </si>
  <si>
    <t xml:space="preserve">Wydajność pracy obniża się już od początku głodu.</t>
  </si>
  <si>
    <t xml:space="preserve">U039</t>
  </si>
  <si>
    <t xml:space="preserve">Nie je i nie pracuje:0/h przed oboma progami; −5/h gdy jeden brak≥12 h; −10/h gdy oba≥12 h.</t>
  </si>
  <si>
    <t xml:space="preserve">Każdy licznik biegnie od swojego początku.</t>
  </si>
  <si>
    <t xml:space="preserve">U040</t>
  </si>
  <si>
    <t xml:space="preserve">Jedzenie resetuje głód, podjęcie pracy resetuje bezrobocie; brak zwrotu wcześniej utraconego H. Przestój: podatek płynie, brak +1 pp/h za pracę i brak dodatkowej kary bezrobocia. Kara −10 od początku, kolejne −10 co 24 h, maksymalnie −50 z samego przestoju. Inne kary mogą obniżyć całe H poniżej −50. Reset licznika w drodze do domu.</t>
  </si>
  <si>
    <t xml:space="preserve">U041</t>
  </si>
  <si>
    <t xml:space="preserve">Człowiek; Magazyn; Przystań; Farma; Młyn; Drwale; Tartak; Kamieniołom</t>
  </si>
  <si>
    <t xml:space="preserve">Głód zmniejsza wydajność produkcji i transportu o połowę od początku; podatek bez zmiany. Prototyp transportowy wydłuża pełny kurs z 5 do 10 min przy tym samym ładunku.</t>
  </si>
  <si>
    <t xml:space="preserve">U042</t>
  </si>
  <si>
    <t xml:space="preserve">Człowiek;Ratusz</t>
  </si>
  <si>
    <t xml:space="preserve">1 moneta/os./h od dotarcia; także przy przestoju. W drodze, domu, zwiedzaniu: 0. Brak bonusu H pracy podczas przestoju.</t>
  </si>
  <si>
    <t xml:space="preserve">U043</t>
  </si>
  <si>
    <t xml:space="preserve">Człowiek;Kaplica</t>
  </si>
  <si>
    <t xml:space="preserve">Głód nie obniża podatku; premia kaplicy daje×2 podatku na 10 h.</t>
  </si>
  <si>
    <t xml:space="preserve">Kaplica podwaja tylko istniejący podatek pracujących.</t>
  </si>
  <si>
    <t xml:space="preserve">U044</t>
  </si>
  <si>
    <t xml:space="preserve">Prezentacja</t>
  </si>
  <si>
    <t xml:space="preserve">Szczęście wyświetlane bez ułamka, zaokrąglane w górę.</t>
  </si>
  <si>
    <t xml:space="preserve">W obliczeniach pozostają ułamki; −20.2%pokazane jako−20%, 20.2%jako 21%.</t>
  </si>
  <si>
    <t xml:space="preserve">U045</t>
  </si>
  <si>
    <t xml:space="preserve">Demografia</t>
  </si>
  <si>
    <t xml:space="preserve">Dokładna średnia 0%:brak zmian; dodatnia:przyrost; ujemna:ubytek.</t>
  </si>
  <si>
    <t xml:space="preserve">Ubytek zawsze nazywamy odejściem, nie śmiercią.</t>
  </si>
  <si>
    <t xml:space="preserve">U046</t>
  </si>
  <si>
    <t xml:space="preserve">±25%:1 osoba/12 h; ±50%:1/6 h; ±75%:1/około 1 h 43; ±100%:1/h.</t>
  </si>
  <si>
    <t xml:space="preserve">Pomiędzy punktami interpolujemy tempo, nie sam okres.</t>
  </si>
  <si>
    <t xml:space="preserve">U047</t>
  </si>
  <si>
    <t xml:space="preserve">Dla H=|szczęście| tempo=H/300 os./h do 50%; powyżej 50%:1/6+(H−50)/60; znak określa kierunek.</t>
  </si>
  <si>
    <t xml:space="preserve">Nowi ludzie pojawiają się w Domu; osobiste szczęście 0%pozostaje dotychczasowym modelem.</t>
  </si>
  <si>
    <t xml:space="preserve">U048</t>
  </si>
  <si>
    <t xml:space="preserve">Co najmniej 6 osób; maksymalnie 24×ratusz; przy minimum gra nadal grywalna.</t>
  </si>
  <si>
    <t xml:space="preserve">Rozbudowa domu/ratusza nie dodaje ludzi natychmiast.</t>
  </si>
  <si>
    <t xml:space="preserve">U049</t>
  </si>
  <si>
    <t xml:space="preserve">Cała gospodarka działa zegarowo także offline; kontrolki stop/play/przewijania usunięte. Skrócenie budowy osobno według Premium.</t>
  </si>
  <si>
    <t xml:space="preserve">U050</t>
  </si>
  <si>
    <t xml:space="preserve">Targ dostępny od poziomu gracza 2.</t>
  </si>
  <si>
    <t xml:space="preserve">Przystań od 4; odblokowanie następuje z poziomu ratusza.</t>
  </si>
  <si>
    <t xml:space="preserve">U051</t>
  </si>
  <si>
    <t xml:space="preserve">Wymiana dowolnej ilości, ale tylko w grupach:drewno/kamień/zboże lub deski/Food.</t>
  </si>
  <si>
    <t xml:space="preserve">Brak wymiany między grupami; brak kupowania za pieniądze.</t>
  </si>
  <si>
    <t xml:space="preserve">U052</t>
  </si>
  <si>
    <t xml:space="preserve">Nominalnie 1:1; marża 10%, np.10 drewna→9 kamienia.</t>
  </si>
  <si>
    <t xml:space="preserve">Nie stosujemy wcześniejszego sprzecznego przykładu deski→kamień.</t>
  </si>
  <si>
    <t xml:space="preserve">U053</t>
  </si>
  <si>
    <t xml:space="preserve">Pojemność 1000 na 1,1500 na 2,2250 na 3…; każdy poziom×1.5.</t>
  </si>
  <si>
    <t xml:space="preserve">Jeden limit łączny własnego targu, nie 1000 każdego materiału.</t>
  </si>
  <si>
    <t xml:space="preserve">U054</t>
  </si>
  <si>
    <t xml:space="preserve">Targ;Magazyn</t>
  </si>
  <si>
    <t xml:space="preserve">Targ ma własną załogę w obie strony, z takimi samymi zasadami ładunku i wzrostu jakmagazyn.</t>
  </si>
  <si>
    <t xml:space="preserve">Dawna blokadadostaw 1 hniezostała usunięta.</t>
  </si>
  <si>
    <t xml:space="preserve">U055</t>
  </si>
  <si>
    <t xml:space="preserve">Towar z targu odnosi wyłącznie załoga targu. Zapas 24 hodprzyniesienia przepada; wynik wymiany ma nowe 24 h.</t>
  </si>
  <si>
    <t xml:space="preserve">Zastępuje odbiór magazynierami; nie otrzymujemytowaruwcentrali natychmiast.</t>
  </si>
  <si>
    <t xml:space="preserve">U056</t>
  </si>
  <si>
    <t xml:space="preserve">Na poziomie 1 bez pasywnego plusa/minusa. Po rozbudowie do N:+10×Nszczęścia wszystkim i podatek×2 przez 10 h.</t>
  </si>
  <si>
    <t xml:space="preserve">Premia za ukończenie rozbudowy; kolejna odświeża okres, bez nakładania mnożnika do ×4.</t>
  </si>
  <si>
    <t xml:space="preserve">U057</t>
  </si>
  <si>
    <t xml:space="preserve">Błogosławieństwo</t>
  </si>
  <si>
    <t xml:space="preserve">Kaplica; Latarnia; Człowiek</t>
  </si>
  <si>
    <t xml:space="preserve">Płatne błogosławieństwo: 100 × poziom kaplicy monet; +50 każdego zasobu i +20 pp na 1 h. Kolejne płatne użycie 4 h od KOŃCA efektu: 12:00–13:00 → następne 17:00. Nie można nakładać aktywnych błogosławieństw. Bezpłatnych użyć tyle co poziom Kaplicy.</t>
  </si>
  <si>
    <t xml:space="preserve">U058</t>
  </si>
  <si>
    <t xml:space="preserve">Kaplica;Latarnia</t>
  </si>
  <si>
    <t xml:space="preserve">Nowe odstępy+25%, zakup/challenge/share/reklama i natychmiastowe użycie.</t>
  </si>
  <si>
    <t xml:space="preserve">Konflikt z godzinnym efektem bez nakładania zostawiony na później zgodnie z instrukcją.</t>
  </si>
  <si>
    <t xml:space="preserve">U059</t>
  </si>
  <si>
    <t xml:space="preserve">Reklamy</t>
  </si>
  <si>
    <t xml:space="preserve">Nowa notatka:60 sreklamy skraca pozostały czas o połowę, maks.2 na 1 hgry.</t>
  </si>
  <si>
    <t xml:space="preserve">Nie wybieramy resetu, czasu okna, początku cooldownu ani harmonogramu.</t>
  </si>
  <si>
    <t xml:space="preserve">U060</t>
  </si>
  <si>
    <t xml:space="preserve">Lojalność</t>
  </si>
  <si>
    <t xml:space="preserve">ZASADA UZGODNIONA / NAGRODA NIEUSTALONA</t>
  </si>
  <si>
    <t xml:space="preserve">Kolejny dzień logowania zwiększa lojalność do 10 dni; bonus lojalnościowy zostanie zdefiniowany później.</t>
  </si>
  <si>
    <t xml:space="preserve">Nie wymyślono nagród. Poprzedni model używał dni Warszawy; szczegóły konta są przyszłe.</t>
  </si>
  <si>
    <t xml:space="preserve">U061</t>
  </si>
  <si>
    <t xml:space="preserve">Koszt producenta</t>
  </si>
  <si>
    <t xml:space="preserve">ZMIENIONE V5</t>
  </si>
  <si>
    <t xml:space="preserve">Farma: norma240L i koszt72L drewna+72L kamienia+120L zboża. Młyn, drwale, tartak, kamieniołom: wcześniejszy koszt pomnożony przez2.</t>
  </si>
  <si>
    <t xml:space="preserve">Zmiana wyłącznie czterech producentów wskazanych jako2L w Budynki!E9:E12 pliku 4.</t>
  </si>
  <si>
    <t xml:space="preserve">U062</t>
  </si>
  <si>
    <t xml:space="preserve">Drwale:384L drewna+144L kamienia; kamieniołom:144L drewna+384L kamienia.</t>
  </si>
  <si>
    <t xml:space="preserve">Własny produkt nakłada się na składnik bazowy, następnie cały koszt ×2 według V4.</t>
  </si>
  <si>
    <t xml:space="preserve">U063</t>
  </si>
  <si>
    <t xml:space="preserve">Ratusz; Dom; Targ; Magazyn; Przystań</t>
  </si>
  <si>
    <t xml:space="preserve">Każdego z 6 zasobów: Ratusz/Dom 500 L; Magazyn/Targ 300 L; Przystań 400 L.</t>
  </si>
  <si>
    <t xml:space="preserve">Kolejka +10%całej ceny.</t>
  </si>
  <si>
    <t xml:space="preserve">U064</t>
  </si>
  <si>
    <t xml:space="preserve">U065</t>
  </si>
  <si>
    <t xml:space="preserve">500 każdego zasobu razem z monetami/złotem; dla pierwszej budowy 500, dalej 500×obecny poziom.</t>
  </si>
  <si>
    <t xml:space="preserve">Użytkownik zdecydował zachować koszt 500 pomimo długiego zbierania. Do transportu 2500×max(1, L).</t>
  </si>
  <si>
    <t xml:space="preserve">U066</t>
  </si>
  <si>
    <t xml:space="preserve">Finansowanie</t>
  </si>
  <si>
    <t xml:space="preserve">Zwykłą budowę można zamówić tylko z pełnym kosztem w magazynie centralnym i skarbcu.</t>
  </si>
  <si>
    <t xml:space="preserve">Koszt rezerwowany także dla zwykłej kolejki; nie wolno wydać tych samych materiałów drugi raz.</t>
  </si>
  <si>
    <t xml:space="preserve">U067</t>
  </si>
  <si>
    <t xml:space="preserve">Transport budowy</t>
  </si>
  <si>
    <t xml:space="preserve">Materiały na budowę noszą magazynierzy. Bez obsady transport czeka.</t>
  </si>
  <si>
    <t xml:space="preserve">Monety pobierane ze skarbca, bez fizycznego przewozu.</t>
  </si>
  <si>
    <t xml:space="preserve">U068</t>
  </si>
  <si>
    <t xml:space="preserve">Czas budowy</t>
  </si>
  <si>
    <t xml:space="preserve">T=czas transportu. Estymaty zawierają wyłącznie transport+samo budowanie.</t>
  </si>
  <si>
    <t xml:space="preserve">Wyłączono zbieranie, karmienie, wymagane wcześniejsze rozbudowy i kolejkę na wyraźną instrukcję użytkownika.</t>
  </si>
  <si>
    <t xml:space="preserve">U069</t>
  </si>
  <si>
    <t xml:space="preserve">Ratusz;Dom</t>
  </si>
  <si>
    <t xml:space="preserve">Ratusz i Dom:łącznie 2 T=Ttransportu+Tbudowy.</t>
  </si>
  <si>
    <t xml:space="preserve">Zastępuje3T.</t>
  </si>
  <si>
    <t xml:space="preserve">U070</t>
  </si>
  <si>
    <t xml:space="preserve">Łącznie 2 T=transport T+budowanie T.</t>
  </si>
  <si>
    <t xml:space="preserve">Faza budowania korzysta z rzeczywistego czasu wcześniejszego transportu.</t>
  </si>
  <si>
    <t xml:space="preserve">U071</t>
  </si>
  <si>
    <t xml:space="preserve">Kaplica:T+3 T×(N−1), N nowy poziom; 1→2:4 T, 2→3:7 T, 3→4:10 T.</t>
  </si>
  <si>
    <t xml:space="preserve">Nie używamy obecnego poziomu w członie N−1.</t>
  </si>
  <si>
    <t xml:space="preserve">U072</t>
  </si>
  <si>
    <t xml:space="preserve">Latarnia:łącznie 5 T=Ttransportu+4 Tbudowy.</t>
  </si>
  <si>
    <t xml:space="preserve">Zastępuje6T.</t>
  </si>
  <si>
    <t xml:space="preserve">U073</t>
  </si>
  <si>
    <t xml:space="preserve">Budowa</t>
  </si>
  <si>
    <t xml:space="preserve">Nowy poziom oraz premie działają dopiero po ukończeniu, nie po zamówieniu.</t>
  </si>
  <si>
    <t xml:space="preserve">Dotychczasowy poziom pracuje podczas rozbudowy.</t>
  </si>
  <si>
    <t xml:space="preserve">U074</t>
  </si>
  <si>
    <t xml:space="preserve">Ratusz;Wszystkie</t>
  </si>
  <si>
    <t xml:space="preserve">Poziom gracza L daje Lrównoległych budów i Lopłaconych pozycji oczekujących.</t>
  </si>
  <si>
    <t xml:space="preserve">Pełny koszt zarezerwowany przy zleceniu; kolejka +10%całej ceny.</t>
  </si>
  <si>
    <t xml:space="preserve">U075</t>
  </si>
  <si>
    <t xml:space="preserve">Po ukończeniu rusza kolejna opłacona pozycja; nie budujemy dwóch poziomów tego samego budynku naraz.</t>
  </si>
  <si>
    <t xml:space="preserve">Kolejne poziomy zależą od wcześniejszych i limitu Ratusza.</t>
  </si>
  <si>
    <t xml:space="preserve">U076</t>
  </si>
  <si>
    <t xml:space="preserve">Pakiet płatny</t>
  </si>
  <si>
    <t xml:space="preserve">U077</t>
  </si>
  <si>
    <t xml:space="preserve">U078</t>
  </si>
  <si>
    <t xml:space="preserve">Po wygaśnięciu pakietu rozpoczęte budowy kończą się; nowe starty wracają do limitu L, nieopłacone plany czekają. Pakiet: 1000 × poziom ratusza monet za 24 h; +4 aktywne budowy, dowolna kolejka, planowanie dostaw. Dopłata kolejki +10% pozostaje; ponowny zakup przedłuża ważność.</t>
  </si>
  <si>
    <t xml:space="preserve">U079</t>
  </si>
  <si>
    <t xml:space="preserve">Latarnia;Człowiek</t>
  </si>
  <si>
    <t xml:space="preserve">Latarnia:100% wszystkim i produkcja ×2, obie premie24h×nowyN; podatki/transport bez mnożnika. Każdy nowy mieszkaniec ma zamrożone 0% szczęścia przez pierwsze 24 h, również podczas premii; później zwykłe naliczanie od 0%. Początkowych 12 osób nie obejmuje zamrożenie.</t>
  </si>
  <si>
    <t xml:space="preserve">U080</t>
  </si>
  <si>
    <t xml:space="preserve">Kolejna rozbudowa latarni odświeża czas, nie mnożnik produkcji do×4. Premie od powrotu: uczestnik 100% na 24 h i blokada ponownej wizyty przez te same 24 h; każda osobno wysłana grupa daje populacji +10 pp przez 6 h. Premie grup sumują się w czasie nakładania.</t>
  </si>
  <si>
    <t xml:space="preserve">U081</t>
  </si>
  <si>
    <t xml:space="preserve">Od ratusza 4 kupno i sprzedaż wszystkich 5 materiałów za monety; tylko pełne 100.</t>
  </si>
  <si>
    <t xml:space="preserve">Nie oznacza kupowania samych monet za monety.</t>
  </si>
  <si>
    <t xml:space="preserve">U082</t>
  </si>
  <si>
    <t xml:space="preserve">OSTATNIA KOREKTA ROZMOWY</t>
  </si>
  <si>
    <t xml:space="preserve">Port za 100:podstawowe 40 sprzedaż/50 kupno; przetworzone 140/150.</t>
  </si>
  <si>
    <t xml:space="preserve">Zastępuje 70/80; Targ pozostaje bez pieniędzy.</t>
  </si>
  <si>
    <t xml:space="preserve">U083</t>
  </si>
  <si>
    <t xml:space="preserve">Druga i kolejna kupiona paczka 100 w ostatnich 3 h:+10%cenybazowej za każdy kolejny stopień.</t>
  </si>
  <si>
    <t xml:space="preserve">50,55,60…; 150,165,180…; licznik globalny/osobno na produkt — nieokreślony.</t>
  </si>
  <si>
    <t xml:space="preserve">U084</t>
  </si>
  <si>
    <t xml:space="preserve">Kliknięcie kup/sprzedaj pobiera monety lub rezerwuje towar. Sprzedaż:centrala→port→statek; wypłata przy wypłynięciu. Kupno:rejs5min i rozładunek do centrali.</t>
  </si>
  <si>
    <t xml:space="preserve">U085</t>
  </si>
  <si>
    <t xml:space="preserve">Pojemność portu jak magazynu:1000 każdego/4000 łącznie na 1, potem×1.5.</t>
  </si>
  <si>
    <t xml:space="preserve">Nie naliczono nieustalonej opłaty jako ceny budowy.</t>
  </si>
  <si>
    <t xml:space="preserve">U086</t>
  </si>
  <si>
    <t xml:space="preserve">Towar w porcie nieodebrany 24 hprzepada; opłata 10 monet nie obowiązuje.</t>
  </si>
  <si>
    <t xml:space="preserve">Termin zegarowy, nawet offline.</t>
  </si>
  <si>
    <t xml:space="preserve">U087</t>
  </si>
  <si>
    <t xml:space="preserve">ZASTĄPIONE PRZEZ NOWY CENNIK</t>
  </si>
  <si>
    <t xml:space="preserve">200 surowca daje 80 monet; 100 produktu po 2:1 daje 140.</t>
  </si>
  <si>
    <t xml:space="preserve">Nowe 140/150 usuwa dawną uwagę 80→70.</t>
  </si>
  <si>
    <t xml:space="preserve">U088</t>
  </si>
  <si>
    <t xml:space="preserve">NOWE DOPRECYZOWANIE</t>
  </si>
  <si>
    <t xml:space="preserve">Zawsze powiadomienie o ukończeniu budowy.</t>
  </si>
  <si>
    <t xml:space="preserve">Dotychczas także zlecenie, start i dostawa; nowe alarmy opisano jako projekt, nie wdrożenie.</t>
  </si>
  <si>
    <t xml:space="preserve">U089</t>
  </si>
  <si>
    <t xml:space="preserve">Dom ma dodatkowo powiadamiać o przeludnieniu.</t>
  </si>
  <si>
    <t xml:space="preserve">Propozycja reagowania na zmianę stanu/liczby osób, nie alarm co klatkę; częstotliwość przypomnień nieustalona.</t>
  </si>
  <si>
    <t xml:space="preserve">U090</t>
  </si>
  <si>
    <t xml:space="preserve">Rozbudowa a zasoby</t>
  </si>
  <si>
    <t xml:space="preserve">Ratusz;Magazyn</t>
  </si>
  <si>
    <t xml:space="preserve">ZAAKCEPTOWANE</t>
  </si>
  <si>
    <t xml:space="preserve">Ratusz 2→Magazyn 2→Ratusz 3→Magazyn 3→Ratusz 4 ze względu na miejsce na pełny koszt.</t>
  </si>
  <si>
    <t xml:space="preserve">5000 materiałów kosztu Ratusza 3 nie mieści się w Magazynie 1(4000); 7500 Ratusza 4 nie w Magazynie 2(6000).</t>
  </si>
  <si>
    <t xml:space="preserve">U091</t>
  </si>
  <si>
    <t xml:space="preserve">Projekt</t>
  </si>
  <si>
    <t xml:space="preserve">ROZSTRZYGNIĘTE V2</t>
  </si>
  <si>
    <t xml:space="preserve">Własny poziom producenta zwiększa limit 12×L oraz wydajność 10,12,13,14…</t>
  </si>
  <si>
    <t xml:space="preserve">Ratusz nadal jest warunkiem rozbudowy; lokalny pojemnik 200×własny poziom producenta pozostaje.</t>
  </si>
  <si>
    <t xml:space="preserve">U092</t>
  </si>
  <si>
    <t xml:space="preserve">AKTUALNE POLECENIE</t>
  </si>
  <si>
    <t xml:space="preserve">Wyłącznie Excel i analiza logiczna; bez developmentu.</t>
  </si>
  <si>
    <t xml:space="preserve">Plik i instrukcja pobierania są dokumentacją; nie zmieniają kodu gry, zasad ani zapisów.</t>
  </si>
  <si>
    <t xml:space="preserve">V2-001</t>
  </si>
  <si>
    <t xml:space="preserve">NOWSZE ŹRÓDŁO</t>
  </si>
  <si>
    <t xml:space="preserve">Uwzględniono komórki i komentarze z HARBORLIGHT1-zasady.xlsx.</t>
  </si>
  <si>
    <t xml:space="preserve">To nowy Excel, bez zmian kodu gry.
Źródło: Plik użytkownika</t>
  </si>
  <si>
    <t xml:space="preserve">V2-002</t>
  </si>
  <si>
    <t xml:space="preserve">Obsada</t>
  </si>
  <si>
    <t xml:space="preserve">Człowiek; Farma; Młyn; Drwale; Tartak; Kamieniołom; Magazyn; Targ; Przystań</t>
  </si>
  <si>
    <t xml:space="preserve">Limit na każde miejsce pracy = 12 × poziom tego budynku, z faktycznej wolnej puli w domu.</t>
  </si>
  <si>
    <t xml:space="preserve">Ratusz jest warunkiem podniesienia poziomu, ale sam nie zwiększa limitu starego producenta.
Źródło: Czlowiek! C8; Decyzje i konflikty! E6</t>
  </si>
  <si>
    <t xml:space="preserve">V2-003</t>
  </si>
  <si>
    <t xml:space="preserve">Dom pokazuje wszystkich mieszkańców i ich H/przydziały. Pula domu = liczba mieszkańców przy odnowieniu, w pełnych pp, raz na 24 h. Ręczne punkty dodają H; nie kasują kar ani ich liczników. O 23 h 58 min automat rozdaje wyłącznie resztę, po 1 pp najniższemu H; remis losowy. Pula nie jest wydawana drugi raz.</t>
  </si>
  <si>
    <t xml:space="preserve">V2-004</t>
  </si>
  <si>
    <t xml:space="preserve">Wydajność na osobę na poziomach 1,2,3,4: dokładnie 10,12,13,14 szt./h.</t>
  </si>
  <si>
    <t xml:space="preserve">Wybrany ciąg zastępuje ogólny sprzeczny zapis +10%; po poziomie 2 wzrost o 1 na poziom.
Źródło: Budynki! D8; Budynki! K8; odpowiedź użytkownika</t>
  </si>
  <si>
    <t xml:space="preserve">V2-005</t>
  </si>
  <si>
    <t xml:space="preserve">Młyn; Tartak; Człowiek</t>
  </si>
  <si>
    <t xml:space="preserve">V2-006</t>
  </si>
  <si>
    <t xml:space="preserve">Droga</t>
  </si>
  <si>
    <t xml:space="preserve">Droga do nowej pracy 5 min; powrót 5 min. Praca i podatek od chwili dotarcia.</t>
  </si>
  <si>
    <t xml:space="preserve">W drodze nie pracuje i nie płaci podatku.</t>
  </si>
  <si>
    <t xml:space="preserve">V2-007</t>
  </si>
  <si>
    <t xml:space="preserve">Magazyn; Targ; Przystań</t>
  </si>
  <si>
    <t xml:space="preserve">Cały kurs z powrotem trwa 5 min. Bazowy ładunek na poziomie 1 to 60 sztuk jednego produktu.</t>
  </si>
  <si>
    <t xml:space="preserve">100 wymaga dwóch kursów 60 i 40. Nie czeka na pełny ładunek i nie miesza produktów. To zastępuje wcześniejsze 60 szt./h.
Źródło: Budynki! K13; Parametry! F9; Decyzje i konflikty! I12; odpowiedź użytkownika</t>
  </si>
  <si>
    <t xml:space="preserve">V2-008</t>
  </si>
  <si>
    <t xml:space="preserve">Pojemność tragarza</t>
  </si>
  <si>
    <t xml:space="preserve">POTWIERDZONE; ZAOKRĄGLENIE DO DECYZJI</t>
  </si>
  <si>
    <t xml:space="preserve">Kolejny poziom zwiększa ilość materiału, którą tragarz może zabrać, o 10%; takie same zasady w targu i porcie.</t>
  </si>
  <si>
    <t xml:space="preserve">Sposób wzrostu liniowy/składany oraz zaokrąglenie całych sztuk nie zostały dopisane jako pewne ustalenia.
Źródło: Start! E13; Parametry! F9; Budynki! K15; Decyzje i konflikty! I12</t>
  </si>
  <si>
    <t xml:space="preserve">V2-009</t>
  </si>
  <si>
    <t xml:space="preserve">Najwyżej3 trwałe priorytety spośród produktów i Construction, numery1/2/3. Domyślnie centrala przed budowami; ratunkoweFood chronione. Bloki10kursów:8/2losowe,5/3/2losowe,5/3/2.</t>
  </si>
  <si>
    <t xml:space="preserve">ETA ma wynikać z aktualnych priorytetów i już dostarczonych partii.
Źródło: Budynki! K13</t>
  </si>
  <si>
    <t xml:space="preserve">V2-010</t>
  </si>
  <si>
    <t xml:space="preserve">Transport żywności</t>
  </si>
  <si>
    <t xml:space="preserve">Ratunkowy próg Food=50×poziom magazynu.1 dostępny magazynier odbiera gotową żywność.</t>
  </si>
  <si>
    <t xml:space="preserve">Gdy Food czeka w młynie, a centrala poniżej minimum, nie można ręcznie wycofać całego transportu.</t>
  </si>
  <si>
    <t xml:space="preserve">V2-011</t>
  </si>
  <si>
    <t xml:space="preserve">Magazyn;Człowiek</t>
  </si>
  <si>
    <t xml:space="preserve">ZMIENIONE</t>
  </si>
  <si>
    <t xml:space="preserve">Minimum pożywienia chronionego przed wynoszeniem = 50 × poziom magazynu.</t>
  </si>
  <si>
    <t xml:space="preserve">Ludzie mogą zjadać rezerwę; transport żywności nie jest akcją ręcznego karmienia.
Źródło: Start! E12</t>
  </si>
  <si>
    <t xml:space="preserve">V2-012</t>
  </si>
  <si>
    <t xml:space="preserve">Koszt</t>
  </si>
  <si>
    <t xml:space="preserve">Rozbudowa magazynu: 300 × obecny poziom każdego z 6 zasobów.</t>
  </si>
  <si>
    <t xml:space="preserve">Zastępuje 500; 5 materiałów jadą na budowę, monety ze skarbca.
Źródło: Budynki! E13</t>
  </si>
  <si>
    <t xml:space="preserve">V2-013</t>
  </si>
  <si>
    <t xml:space="preserve">Rozbudowa targu: 300 × obecny poziom każdego z 6 zasobów.</t>
  </si>
  <si>
    <t xml:space="preserve">Zastępuje 500.
Źródło: Budynki! E14</t>
  </si>
  <si>
    <t xml:space="preserve">V2-014</t>
  </si>
  <si>
    <t xml:space="preserve">Rozbudowa przystani: 400 × obecny poziom każdego z 6 zasobów.</t>
  </si>
  <si>
    <t xml:space="preserve">Zastępuje 500.
Źródło: Budynki! E15</t>
  </si>
  <si>
    <t xml:space="preserve">V2-015</t>
  </si>
  <si>
    <t xml:space="preserve">Zakolejkowany budynek kosztuje o 10% więcej niż zlecony bez kolejki.</t>
  </si>
  <si>
    <t xml:space="preserve">Pełny koszt z dopłatą musi być w chwili zamówienia i zostaje zarezerwowany; zakres dopłaty, zaokrąglenie i zwiększenie fizycznych dostaw wymagają jawnej interpretacji.
Źródło: Budynki! K6</t>
  </si>
  <si>
    <t xml:space="preserve">V2-016</t>
  </si>
  <si>
    <t xml:space="preserve">Budowy</t>
  </si>
  <si>
    <t xml:space="preserve">Ratusz L: L aktywnych rozbudów i L miejsc kolejki; surowce rezerwowane przy zlecaniu, koszt kolejki+10%. Pakiet: 1000 × poziom ratusza monet za 24 h; +4 aktywne budowy, dowolna kolejka, planowanie dostaw. Dopłata kolejki +10% pozostaje; ponowny zakup przedłuża ważność.</t>
  </si>
  <si>
    <t xml:space="preserve">V2-017</t>
  </si>
  <si>
    <t xml:space="preserve">Postęp budowy</t>
  </si>
  <si>
    <t xml:space="preserve">Panel i etykieta budowy pokazują dostarczone/wymagane oraz osobne Transport · ETA / Construction · ETA. Aktualna obsada, ładunki, ścieżki i priorytety wpływają na wycenę czasu.</t>
  </si>
  <si>
    <t xml:space="preserve">Nie utożsamiać z ilością w magazynie: to postęp dostawy na budowę.
Źródło: Budynki! K13</t>
  </si>
  <si>
    <t xml:space="preserve">V2-018</t>
  </si>
  <si>
    <t xml:space="preserve">Łączny czas ratusza i domu wraca do 2 T = przewóz T + budowa T.</t>
  </si>
  <si>
    <t xml:space="preserve">Zastępuje 3 T.
Źródło: Budynki! F6; F7</t>
  </si>
  <si>
    <t xml:space="preserve">V2-019</t>
  </si>
  <si>
    <t xml:space="preserve">Łącznie T + 3 T × (nowy poziom −1). Rozbudowy 1→2,2→3,3→4: 4 T, 7 T, 10 T.</t>
  </si>
  <si>
    <t xml:space="preserve">W mnożniku użyto nowego poziomu, nie starego.
Źródło: Budynki! F16; odpowiedź użytkownika</t>
  </si>
  <si>
    <t xml:space="preserve">V2-020</t>
  </si>
  <si>
    <t xml:space="preserve">Łącznie 5 T = transport T + budowanie 4 T.</t>
  </si>
  <si>
    <t xml:space="preserve">Zastępuje sprzeczny nagłówek 6 T.
Źródło: Budynki! F17; odpowiedź użytkownika</t>
  </si>
  <si>
    <t xml:space="preserve">V2-021</t>
  </si>
  <si>
    <t xml:space="preserve">Wszystkie mechaniki działają w realnym czasie zegarowym również offline: produkcja, jedzenie, szczęście, podatki i budowy.</t>
  </si>
  <si>
    <t xml:space="preserve">Zastępuje pauzę ekonomii po zamknięciu/ukryciu. Portowe 24 h oraz okno 3 h są zegarowe.
Źródło: Czlowiek! C29; D29; odpowiedź użytkownika</t>
  </si>
  <si>
    <t xml:space="preserve">V2-022</t>
  </si>
  <si>
    <t xml:space="preserve">25/50/75/100% pozostałej fazy budowania, bez transportu. Cena = MAX(5, FLOOR(zaoszczędzone sekundy / 60)) monet. Transport jest osobno rozliczany za potrzebne kursy. Kontrolki stop/play/przewijania usunięte.</t>
  </si>
  <si>
    <t xml:space="preserve">V2-023</t>
  </si>
  <si>
    <t xml:space="preserve">Targ ma własnych ludzi; tylko oni donoszą na targ i odwożą z targu do magazynu.</t>
  </si>
  <si>
    <t xml:space="preserve">Zastępuje odbiór wyniku wymiany przez magazynierów. Towar musi być na targu, aby go wymienić.
Źródło: Budynki! D14</t>
  </si>
  <si>
    <t xml:space="preserve">V2-024</t>
  </si>
  <si>
    <t xml:space="preserve">Targ: wygaśnięcie</t>
  </si>
  <si>
    <t xml:space="preserve">Targ:towar przywieziony jest zablokowany1h; każda partia wygasa24h po przybyciu; wynik wymiany ma nowe24h. TransportPremium nie omija blokady.</t>
  </si>
  <si>
    <t xml:space="preserve">V2-025</t>
  </si>
  <si>
    <t xml:space="preserve">Targ: wymiana</t>
  </si>
  <si>
    <t xml:space="preserve">POTWIERDZONE W NAJNOWSZEJ ODPOWIEDZI</t>
  </si>
  <si>
    <t xml:space="preserve">Targ pozostaje wymianą bez monet w dwóch grupach i z marżą 10%.</t>
  </si>
  <si>
    <t xml:space="preserve">140/150 to nowe portowe ceny przetworzonych, nie oferta pieniężna targu.
Źródło: Budynki! K14; ostatnie doprecyzowanie użytkownika</t>
  </si>
  <si>
    <t xml:space="preserve">V2-026</t>
  </si>
  <si>
    <t xml:space="preserve">Port: operacje</t>
  </si>
  <si>
    <t xml:space="preserve">Kliknięcie kup/sprzedaj:monety/towar pobierane lub rezerwowane. Sprzedaż płaci przy wypłynięciu; zakup rejs5min, rozładunek i centrala.</t>
  </si>
  <si>
    <t xml:space="preserve">V2-027</t>
  </si>
  <si>
    <t xml:space="preserve">Statek</t>
  </si>
  <si>
    <t xml:space="preserve">Statek ma pojemność magazynu portu.</t>
  </si>
  <si>
    <t xml:space="preserve">Port ma limit na każdy materiał i łączny; statek powinien respektować oba albo wymagać potwierdzenia jednego globalnego limitu.
Źródło: Decyzje i konflikty! I9</t>
  </si>
  <si>
    <t xml:space="preserve">V2-028</t>
  </si>
  <si>
    <t xml:space="preserve">Port: ceny</t>
  </si>
  <si>
    <t xml:space="preserve">ZMIENIONE I POTWIERDZONE</t>
  </si>
  <si>
    <t xml:space="preserve">Za 100 podstawowych sprzedaż 40/kupno 50; za 100 przetworzonych sprzedaż 140/kupno 150.</t>
  </si>
  <si>
    <t xml:space="preserve">Nowe 140/150 zastępuje wcześniejsze portowe 70/80; podstawowe pozostają 40/50.
Źródło: Budynki! K14; ostatnie doprecyzowanie użytkownika</t>
  </si>
  <si>
    <t xml:space="preserve">V2-029</t>
  </si>
  <si>
    <t xml:space="preserve">Port: podwyżki</t>
  </si>
  <si>
    <t xml:space="preserve">V2-030</t>
  </si>
  <si>
    <t xml:space="preserve">Port: wygaśnięcie</t>
  </si>
  <si>
    <t xml:space="preserve">Towar nieodebrany w 24 h przepada.</t>
  </si>
  <si>
    <t xml:space="preserve">Zastępuje wcześniejszą opłatę 10 monet; nie należy naliczać obu konsekwencji.
Źródło: Decyzje i konflikty! I11</t>
  </si>
  <si>
    <t xml:space="preserve">V2-031</t>
  </si>
  <si>
    <t xml:space="preserve">Kaplica i latarnia</t>
  </si>
  <si>
    <t xml:space="preserve">WYJAŚNIONE</t>
  </si>
  <si>
    <t xml:space="preserve">Błogosławieństwo należy do kaplicy; zwiedzanie do latarni. Oba prowadzą do bonusu/premii.</t>
  </si>
  <si>
    <t xml:space="preserve">Czas i efekt pojedynczej wizyty nie są tym samym co automatyczna premia rozbudowy.
Źródło: Decyzje i konflikty! I13; Budynki! K7</t>
  </si>
  <si>
    <t xml:space="preserve">V2-032</t>
  </si>
  <si>
    <t xml:space="preserve">Latarnia: szczęście</t>
  </si>
  <si>
    <t xml:space="preserve">Premia rozbudowy latarni100%H i produkcja×2 przez24h×N; po wygaśnięciu przywrócenie wcześniejszego stanu. Każdy nowy mieszkaniec ma zamrożone 0% szczęścia przez pierwsze 24 h, również podczas premii; później zwykłe naliczanie od 0%. Początkowych 12 osób nie obejmuje zamrożenie.</t>
  </si>
  <si>
    <t xml:space="preserve">V2-033</t>
  </si>
  <si>
    <t xml:space="preserve">Ranking = ratusz × monety; aktualizacja o każdej pełnej godzinie według zastanego stanu.</t>
  </si>
  <si>
    <t xml:space="preserve">Remisy nadal nieopisane.</t>
  </si>
  <si>
    <t xml:space="preserve">V2-034</t>
  </si>
  <si>
    <t xml:space="preserve">Nowi ludzie</t>
  </si>
  <si>
    <t xml:space="preserve">Przyrost populacji zawsze dodaje człowieka do domu.</t>
  </si>
  <si>
    <t xml:space="preserve">Nie przypisuje go od razu do gospodarki. Maksimum ratusza, nie domu.
Źródło: Populacja i szczescie! E11; Czlowiek! C28</t>
  </si>
  <si>
    <t xml:space="preserve">V2-035</t>
  </si>
  <si>
    <t xml:space="preserve">Ubytek populacji nazywamy odejściem, nie śmiercią; tempo jest symetryczne do przyrostu, minimum 6.</t>
  </si>
  <si>
    <t xml:space="preserve">Najpierw ludzie z domu; później z największej załogi.
Źródło: Start! E16; Decyzje i konflikty! I23; Czlowiek! D28</t>
  </si>
  <si>
    <t xml:space="preserve">V2-036</t>
  </si>
  <si>
    <t xml:space="preserve">Priorytet odejść</t>
  </si>
  <si>
    <t xml:space="preserve">Człowiek; Przystań; Tartak; Kamieniołom; Drwale; Farma; Młyn; Magazyn</t>
  </si>
  <si>
    <t xml:space="preserve">V2-037</t>
  </si>
  <si>
    <t xml:space="preserve">V2-038</t>
  </si>
  <si>
    <t xml:space="preserve">Premium i pytania</t>
  </si>
  <si>
    <t xml:space="preserve">Kaplica; Latarnia; Wszystkie</t>
  </si>
  <si>
    <t xml:space="preserve">Reklamy, challenge, social, osobna modlitwa oraz wartości lojalności pozostają jawnie odłożone. Płatna kaplica, Premiumbudowa i zadania mają już rozstrzygnięte zasady.</t>
  </si>
  <si>
    <t xml:space="preserve">V3-001</t>
  </si>
  <si>
    <t xml:space="preserve">Budynki; transport</t>
  </si>
  <si>
    <t xml:space="preserve">1PLN=10monet; monety=złoto, wspólna pula kupiona i zarobiona, bez wymiany z powrotem naPLN.</t>
  </si>
  <si>
    <t xml:space="preserve">V3-002</t>
  </si>
  <si>
    <t xml:space="preserve">Monety=złoto; wspólna pula kupiona i zarobiona; obie dostępne naPremium.</t>
  </si>
  <si>
    <t xml:space="preserve">V3-003</t>
  </si>
  <si>
    <t xml:space="preserve">V3-004</t>
  </si>
  <si>
    <t xml:space="preserve">V3-005</t>
  </si>
  <si>
    <t xml:space="preserve">V3-006</t>
  </si>
  <si>
    <t xml:space="preserve">V3-007</t>
  </si>
  <si>
    <t xml:space="preserve">Natychmiastowe wysłanie całego gotowego lokalnego zapasu do centrali. 10 monet × liczba kursów potrzebnych do przewozu.</t>
  </si>
  <si>
    <t xml:space="preserve">Potwierdzono: ROUNDUP(ilość / ładunek); każdy potrzebny kurs, również ostatni niepełny, kosztuje 10 monet. 100 / 60 wymaga 2 kursów i kosztuje 20 monet. Źródło: odpowiedź użytkownika 22.10.2026.</t>
  </si>
  <si>
    <t xml:space="preserve">V3-008</t>
  </si>
  <si>
    <t xml:space="preserve">Natychmiastowy transport materiałów nawybranąbudowę:10×sumaCEIL(materiał/ładunek); każdy potrzebny kurs, także niepełny. Monety nie wymagają przewozu.</t>
  </si>
  <si>
    <t xml:space="preserve">V3-009</t>
  </si>
  <si>
    <t xml:space="preserve">Magazyn↔targ:10monet/każdy potrzebny kurs właściwejzałogi. Premium nie omija blokady1h, terminów partii ani pojemności.</t>
  </si>
  <si>
    <t xml:space="preserve">V3-010</t>
  </si>
  <si>
    <t xml:space="preserve">Magazyn↔port oraz osobnoport↔statek:dwieopłaty według kursów×10; każdy etap osobno.</t>
  </si>
  <si>
    <t xml:space="preserve">V3-011</t>
  </si>
  <si>
    <t xml:space="preserve">V3-012</t>
  </si>
  <si>
    <t xml:space="preserve">Natywne monety kosztubudynku doliczaneosobno, bez25%. Pełny zakup budynku od poziomu gracza 4: wszystkie materiały według proporcjonalnych bazowych cen zakupu portu ×1,25 + nominalne monety budynku + natychmiastowy transport (10 monet za każdy potrzebny kurs, także niepełny). Nic nie pobieramy z własnych materiałów. Gotowe po 10 s; bez wymogu rzeczywistych tragarzy.</t>
  </si>
  <si>
    <t xml:space="preserve">V3-013</t>
  </si>
  <si>
    <t xml:space="preserve">V3-014</t>
  </si>
  <si>
    <t xml:space="preserve">Dotychczasowe oferty kaplicy pozostają osobnym tematem. Brak nowej ceny błogosławieństwa.</t>
  </si>
  <si>
    <t xml:space="preserve">Nie stosować automatycznie nowych nagród za post do zakupów błogosławieństw. Źródło: wiadomość 22.10.2026 / docs/arkusze/pomysły.</t>
  </si>
  <si>
    <t xml:space="preserve">V3-015</t>
  </si>
  <si>
    <t xml:space="preserve">Social</t>
  </si>
  <si>
    <t xml:space="preserve">Gracz; polecenia</t>
  </si>
  <si>
    <t xml:space="preserve">KWOTY UZGODNIONE; LIMITY OTWARTE</t>
  </si>
  <si>
    <t xml:space="preserve">Pochwalenie się, że gram: 1000. Publikacja informująca o grze.</t>
  </si>
  <si>
    <t xml:space="preserve">Nie ustalono kanałów, limitu na konto, powtórzeń ani sposobu potwierdzania publikacji. Źródło: wiadomość 22.10.2026 / docs/arkusze/pomysły.</t>
  </si>
  <si>
    <t xml:space="preserve">V3-016</t>
  </si>
  <si>
    <t xml:space="preserve">Informacja o następnym poziomie: 500. Publikacja po rzeczywistym osiągnięciu kolejnego poziomu ratusza.</t>
  </si>
  <si>
    <t xml:space="preserve">Jedna nagroda na osiągnięty poziom jest propozycją; zasady wielu platform i usuwania postów są nieustalone. Źródło: wiadomość 22.10.2026 / docs/arkusze/pomysły.</t>
  </si>
  <si>
    <t xml:space="preserve">V3-017</t>
  </si>
  <si>
    <t xml:space="preserve">Polecenie: nowe logowanie: 1000. Polecona osoba rzeczywiście się zaloguje.</t>
  </si>
  <si>
    <t xml:space="preserve">Nie określono, czy nagrodę dostaje tylko polecający czy także polecony; źródłowo roboczo zapisano nagrodę polecającego. Kryterium nowego konta i limit poleceń nieustalone. Źródło: wiadomość 22.10.2026 / docs/arkusze/pomysły.</t>
  </si>
  <si>
    <t xml:space="preserve">V3-018</t>
  </si>
  <si>
    <t xml:space="preserve">Polecenie: trzeci aktywny dzień: 500 każdego zasobu. Polecona osoba jest aktywna w trzecim dniu.</t>
  </si>
  <si>
    <t xml:space="preserve">Do ustalenia: trzeci dzień od rejestracji czy trzy dni aktywności, minimalna aktywność, odbiorca premii, czy „każdy zasób” obejmuje monety oraz jak przyjąć materiały przy pełnej centrali. Źródło: wiadomość 22.10.2026 / docs/arkusze/pomysły.</t>
  </si>
  <si>
    <t xml:space="preserve">V3-019</t>
  </si>
  <si>
    <t xml:space="preserve">Każdy trzeci post na Facebooku: 1000. Nagroda za trzeci, szósty, dziewiąty itd. kwalifikowany post.</t>
  </si>
  <si>
    <t xml:space="preserve">Nie określono okresu, limitu, wymagań treści ani tego, czy posty „gram” i „kolejny poziom” liczą się do tej samej serii. Zgodność konkretnej akcji z regulaminem platformy wymaga weryfikacji. Źródło: wiadomość 22.10.2026 / docs/arkusze/pomysły.</t>
  </si>
  <si>
    <t xml:space="preserve">V3-020</t>
  </si>
  <si>
    <t xml:space="preserve">V3-021</t>
  </si>
  <si>
    <t xml:space="preserve">Koszty, wymagane produkty i nagrody losujemy przy pojawieniu się zadania. Małe: 2 produkty; średnie: 2–3; duże: 4</t>
  </si>
  <si>
    <t xml:space="preserve">W przykładach losujemy różne rodzaje spośród drewna, kamienia, zboża, żywności i desek. Rodzaje nagród i koszty powinny być stałe przez życie zadania. Źródło: wiadomość 22.10.2026 / docs/arkusze/pomysły.</t>
  </si>
  <si>
    <t xml:space="preserve">V3-022</t>
  </si>
  <si>
    <t xml:space="preserve">Każdy produkt według własnegoLproducenta;12L×p(L),bezchwilowychpremii.</t>
  </si>
  <si>
    <t xml:space="preserve">V3-023</t>
  </si>
  <si>
    <t xml:space="preserve">Wymagane są dwa produkty, w ilości odpowiadającej 2–6 h maksymalnej produkcji. 2 rodzaje; h∈[2,6]</t>
  </si>
  <si>
    <t xml:space="preserve">L1: 12 osób × 10 szt./h = 120 szt./h, więc 240–720 każdego rodzaju. Źródło: wiadomość 22.10.2026 / docs/arkusze/pomysły.</t>
  </si>
  <si>
    <t xml:space="preserve">V3-024</t>
  </si>
  <si>
    <t xml:space="preserve">Średnie:2–3produkty,3–8h; przygenerowaniu h nie mniejsze od aktualnychmałych.</t>
  </si>
  <si>
    <t xml:space="preserve">V3-025</t>
  </si>
  <si>
    <t xml:space="preserve">Duże:4produkty,4–10h; przygenerowaniuh nie mniejsze od aktualnychśrednich.</t>
  </si>
  <si>
    <t xml:space="preserve">V3-026</t>
  </si>
  <si>
    <t xml:space="preserve">Jedna liczba godzin dla kosztówzadania; przygenerowaniuśredniego/dużego dolnapodłoga według aktualnychmniejszych. Istniejącekoszty i nagrody zamrożone.</t>
  </si>
  <si>
    <t xml:space="preserve">V3-027</t>
  </si>
  <si>
    <t xml:space="preserve">V3-028</t>
  </si>
  <si>
    <t xml:space="preserve">V3-029</t>
  </si>
  <si>
    <t xml:space="preserve">Pierwsze kliknięcie: przed upływem 15 s utrwala ×3; od 15 s do przed upływem 300 s utrwala ×2; od 300 s ×1.</t>
  </si>
  <si>
    <t xml:space="preserve">Potwierdzone granice i utrwalenie mnożnika; ×3 i ×2 nie mnożą się ze sobą. Źródło: odpowiedź użytkownika 22.10.2026.</t>
  </si>
  <si>
    <t xml:space="preserve">V3-030</t>
  </si>
  <si>
    <t xml:space="preserve">Pierwszekliknięcieutrwala×3&lt;15s,×2&lt;300s,potem×1; wypłata pookompletnejwpłacie przedaktualnymterminem.</t>
  </si>
  <si>
    <t xml:space="preserve">V3-031</t>
  </si>
  <si>
    <t xml:space="preserve">V3-032</t>
  </si>
  <si>
    <t xml:space="preserve">Zawsze 3 zadania. Początkowo małe/średnie/duże; kolejne losowego rozmiaru trafiają na koniec FIFO, dopuszczalne 3 małe lub 3 duże. Nowe po sukcesie natychmiast. Trzy niezależne łańcuchy. Początkowy termin 6 h. Pierwsze ukończenie kotwiczy kolejne odnowienia do tej godziny następnego dnia (Europe/Warsaw). Wcześniejszy sukces natychmiast daje następcę z zachowaniem tej samej dobowej kotwicy; termin nie resetuje się do kolejnych 6 h.</t>
  </si>
  <si>
    <t xml:space="preserve">V3-033</t>
  </si>
  <si>
    <t xml:space="preserve">Zawsze 3 zadania. Początkowo małe/średnie/duże; kolejne losowego rozmiaru trafiają na koniec FIFO, dopuszczalne 3 małe lub 3 duże. Nowe po sukcesie natychmiast. Wymagania i nagrody istniejących zadań nie zmieniają się.</t>
  </si>
  <si>
    <t xml:space="preserve">V3-034</t>
  </si>
  <si>
    <t xml:space="preserve">Można wpłacać wymagane towary partiami. Towar trafia bezpośrednio z magazynu centralnego do zadania, bez tragarza. Każdy składnik ma licznik dostarczono/wymagane, np. 100/200</t>
  </si>
  <si>
    <t xml:space="preserve">Wpłata nie jest pożyczką ani tymczasową rezerwacją: jest nieodwracalna. W przykładzie nie wpłacamy powyżej pozostałego wymagania. Źródło: wiadomość 22.10.2026 / docs/arkusze/pomysły.</t>
  </si>
  <si>
    <t xml:space="preserve">V3-035</t>
  </si>
  <si>
    <t xml:space="preserve">Po upływie terminu niewykonane zadanie przepada wraz ze wszystkimi dotychczasowymi wpłatami. Zwrot wpłat = 0</t>
  </si>
  <si>
    <t xml:space="preserve">Wymagane wyraźne ostrzeżenie i pokazanie czasu pozostałego przed potwierdzeniem wpłaty; powiadomienia to projekt interfejsu. Źródło: wiadomość 22.10.2026 / docs/arkusze/pomysły.</t>
  </si>
  <si>
    <t xml:space="preserve">V3-036</t>
  </si>
  <si>
    <t xml:space="preserve">V3-037</t>
  </si>
  <si>
    <t xml:space="preserve">V3-038</t>
  </si>
  <si>
    <t xml:space="preserve">PROJEKT INTERFEJSU</t>
  </si>
  <si>
    <t xml:space="preserve">Pojawienie się zadania, utrwalenie premii, wpłata, ukończenie i wygaśnięcie mogą mieć wpis w panelu powiadomień. Zawsze widoczne: tytuł, rozmiar, nagroda, mnożnik, czas i postęp</t>
  </si>
  <si>
    <t xml:space="preserve">Nie dodajemy wymyślonego czasu przypomnienia ani automatycznych wpłat. Źródło: wiadomość 22.10.2026 / docs/arkusze/pomysły.</t>
  </si>
  <si>
    <t xml:space="preserve">V3-039</t>
  </si>
  <si>
    <t xml:space="preserve">V3-040</t>
  </si>
  <si>
    <t xml:space="preserve">OSTRZEŻENIE BALANSU</t>
  </si>
  <si>
    <t xml:space="preserve">Pełna załoga 12 × L w każdym z 2–4 zakładów nie może być założona jednocześnie przy jednej wspólnej populacji. L1: 12 osób na start, maks. 24; duże: 4 zakłady × 12 = 48 stanowisk</t>
  </si>
  <si>
    <t xml:space="preserve">Norma ma określać koszt zadania. Nie jest estymatą możliwego zebrania całości w 2–10 h; dodatkowo młyn i tartak zużywają po 2 surowce na produkt. Źródło: wiadomość 22.10.2026 / docs/arkusze/pomysły.</t>
  </si>
  <si>
    <t xml:space="preserve">V3-041</t>
  </si>
  <si>
    <t xml:space="preserve">Gracz; ekspedycja</t>
  </si>
  <si>
    <t xml:space="preserve">Zawsze dostępnych kilka ekspedycji. Konkretna liczba i rotacja nieustalone. Źródło: wiadomość 22.10.2026 / docs/arkusze/pomysły.</t>
  </si>
  <si>
    <t xml:space="preserve">V3-042</t>
  </si>
  <si>
    <t xml:space="preserve">Dokładne sterowanie, plansze i zasady użytkownik opisze później. Źródło: wiadomość 22.10.2026 / docs/arkusze/pomysły.</t>
  </si>
  <si>
    <t xml:space="preserve">V3-043</t>
  </si>
  <si>
    <t xml:space="preserve">Nagrody ekspedycji wyłącznie w monetach (złoto); nigdy materiały ani szczęście.</t>
  </si>
  <si>
    <t xml:space="preserve">V3-044</t>
  </si>
  <si>
    <t xml:space="preserve">Można wypłacić pulę na wyspę albo postawić ją na dalszą grę. Źródło: wiadomość 22.10.2026 / docs/arkusze/pomysły.</t>
  </si>
  <si>
    <t xml:space="preserve">V3-045</t>
  </si>
  <si>
    <t xml:space="preserve">Poziom n: 50 × 2^(n−1) monet. To nowa łączna pula, nie dodatkowa nagroda dodawana do poprzedniej. Źródło: wiadomość 22.10.2026 / docs/arkusze/pomysły.</t>
  </si>
  <si>
    <t xml:space="preserve">V3-046</t>
  </si>
  <si>
    <t xml:space="preserve">Po wypłacie ekspedycja powinna zamknąć serię; to logiczna propozycja, nie zatwierdzony osobny szczegół. Nie określono restartów i opłaty wejściowej. Źródło: wiadomość 22.10.2026 / docs/arkusze/pomysły.</t>
  </si>
  <si>
    <t xml:space="preserve">V3-047</t>
  </si>
  <si>
    <t xml:space="preserve">Nie ma podstaw do odbierania istniejących wcześniej monet z wyspy. Płatności za dodatkowe ruchy/czas nie są nagrodą i zasady ich zwrotu nie zostały określone. Źródło: wiadomość 22.10.2026 / docs/arkusze/pomysły.</t>
  </si>
  <si>
    <t xml:space="preserve">V3-048</t>
  </si>
  <si>
    <t xml:space="preserve">Ilości i trudność poszczególnych poziomów nieustalone. Zatrzymywanie podczas reklam i po zamknięciu karty wymaga osobnej reguły. Źródło: wiadomość 22.10.2026 / docs/arkusze/pomysły.</t>
  </si>
  <si>
    <t xml:space="preserve">V3-049</t>
  </si>
  <si>
    <t xml:space="preserve">Nie ustalono ceny, przyrostu czasu/ruchów, liczby zakupów, momentu zakupu ani czy można uratować już przegraną próbę. Źródło: wiadomość 22.10.2026 / docs/arkusze/pomysły.</t>
  </si>
  <si>
    <t xml:space="preserve">V3-050</t>
  </si>
  <si>
    <t xml:space="preserve">To reguła reklam ekspedycyjnych. Wcześniejsze odłożone reklamy kaplicy miały 60 s; nie zastępować ich bez decyzji. Źródło: wiadomość 22.10.2026 / docs/arkusze/pomysły.</t>
  </si>
  <si>
    <t xml:space="preserve">V3-051</t>
  </si>
  <si>
    <t xml:space="preserve">Widoczny krótki kod/hasło, sposób wpisania, nagroda oraz warunek uznania reklamy zostaną opisane później. Źródło: wiadomość 22.10.2026 / docs/arkusze/pomysły.</t>
  </si>
  <si>
    <t xml:space="preserve">V3-052</t>
  </si>
  <si>
    <t xml:space="preserve">Podwajanie jest wykładnicze: poziom 10 = 25 600, poziom 20 = 26 214 400 monet. Limit, trudność i koszt ratowania mogą być potrzebne do balansu. Źródło: wiadomość 22.10.2026 / docs/arkusze/pomysły.</t>
  </si>
  <si>
    <t xml:space="preserve">V5-001</t>
  </si>
  <si>
    <t xml:space="preserve">Interfejs czasu</t>
  </si>
  <si>
    <t xml:space="preserve">Patrz opis i źródło</t>
  </si>
  <si>
    <t xml:space="preserve">ZATWIERDZONE W PLIKU 4</t>
  </si>
  <si>
    <t xml:space="preserve">Usunąć z prawego górnego rogu ikony stop, play i przewijania czasu. Świat nadal działa zegarowo również offline.</t>
  </si>
  <si>
    <t xml:space="preserve">To ustalenie interfejsu, bez zmiany działania zegara gospodarki. Nie wdrażamy go teraz w grze. Źródło: HARBORLIGHT4-zasady.xlsx — Start!D14; Czlowiek!G36</t>
  </si>
  <si>
    <t xml:space="preserve">V5-002</t>
  </si>
  <si>
    <t xml:space="preserve">POTWIERDZENIE ODESŁANIA</t>
  </si>
  <si>
    <t xml:space="preserve">Szczegóły Premium z wersji 3 pozostają aktualne. W tabeli budynków wystarczy odnośnik do zakładki Premium. 1 PLN = 10 monet; transport 10 monet/kurs; materiały +25%.</t>
  </si>
  <si>
    <t xml:space="preserve">Plik 4 powstał na bazie starszego arkusza. Brak zakładek zadań i ekspedycji nie jest poleceniem ich usunięcia; użytkownik wprost odsyła do wersji 3. Źródło: HARBORLIGHT4-zasady.xlsx — Start!D16; Budynki!J6:J17</t>
  </si>
  <si>
    <t xml:space="preserve">V5-003</t>
  </si>
  <si>
    <t xml:space="preserve">Koszty producentów</t>
  </si>
  <si>
    <t xml:space="preserve">ZMIANA ZATWIERDZONA</t>
  </si>
  <si>
    <t xml:space="preserve">Podwoić cały koszt rozbudowy młyna, drwali, tartaku i kamieniołomu. Farma zachowuje dotychczasowy koszt. Młyn: 2L × (72 drewna +72 kamienia +120 Food); Drwale: 2L × (192 drewna +72 kamienia); Tartak: 2L × (72 drewna +72 kamienia +120 desek); Kamieniołom: 2L × (72 drewna +192 kamienia).</t>
  </si>
  <si>
    <t xml:space="preserve">Mnożnik dotyczy wszystkich składników wskazanego kosztu. Wariant kolejki +10% liczymy po podwojeniu. Należy ponownie przeliczyć kursy i czasy; samo T+T pozostaje bez zmian. L oznacza obecny poziom. Źródło: HARBORLIGHT4-zasady.xlsx — Budynki!E9:E12</t>
  </si>
  <si>
    <t xml:space="preserve">V5-004</t>
  </si>
  <si>
    <t xml:space="preserve">Rezerwa Food</t>
  </si>
  <si>
    <t xml:space="preserve">Próg ratunkowego transportu i chroniona rezerwa Food wynoszą 50 × poziom magazynu centralnego. Próg = 50L; porównanie: stan Food w centrali &lt;50L.</t>
  </si>
  <si>
    <t xml:space="preserve">Zamyka wcześniejszą rozbieżność między stałym progiem 50 a rezerwą 50 × poziom. Ludzie nadal mogą zjadać rezerwę. Źródło: HARBORLIGHT4-zasady.xlsx — Czlowiek!H10</t>
  </si>
  <si>
    <t xml:space="preserve">V5-005</t>
  </si>
  <si>
    <t xml:space="preserve">Podatek przy przestoju</t>
  </si>
  <si>
    <t xml:space="preserve">V5-006</t>
  </si>
  <si>
    <t xml:space="preserve">Dojście do pracy</t>
  </si>
  <si>
    <t xml:space="preserve">Osoba zaczyna pracować i płacić podatek dopiero po dotarciu do zakładu. Droga do pracy: 5 min; do chwili dojścia produkcja i podatek =0.</t>
  </si>
  <si>
    <t xml:space="preserve">Przydział rezerwuje osobę, ale nie uruchamia pracy w trakcie dojścia. Źródło: HARBORLIGHT4-zasady.xlsx — Czlowiek!G23</t>
  </si>
  <si>
    <t xml:space="preserve">V5-007</t>
  </si>
  <si>
    <t xml:space="preserve">Kara za przestój</t>
  </si>
  <si>
    <t xml:space="preserve">V5-008</t>
  </si>
  <si>
    <t xml:space="preserve">Reset przestoju</t>
  </si>
  <si>
    <t xml:space="preserve">V5-009</t>
  </si>
  <si>
    <t xml:space="preserve">Odejścia mieszkańców</t>
  </si>
  <si>
    <t xml:space="preserve">V5-010</t>
  </si>
  <si>
    <t xml:space="preserve">Ochrona obsady transportu</t>
  </si>
  <si>
    <t xml:space="preserve">Ratunkowy próg50×poziommagazynu; przygotowymFoodwmłynie nieodwołujemy ręcznie ostatniegotragarza. Przymusoweodejścia według listy, magazynnakoniec.</t>
  </si>
  <si>
    <t xml:space="preserve">V5-011</t>
  </si>
  <si>
    <t xml:space="preserve">ETA to suma pozostałego transportu i budowania. Zmiana priorytetów transportu przelicza estymatę. ETA = pozostały transport + pozostała faza budowy.</t>
  </si>
  <si>
    <t xml:space="preserve">Estymata nie jest zamrożona w momencie zlecenia. Gotowy kalkulator porównawczy nadal używa jawnie opisanej liczby dostępnych tragarzy. Źródło: HARBORLIGHT4-zasady.xlsx — Transport i priorytety!F12</t>
  </si>
  <si>
    <t xml:space="preserve">V5-012</t>
  </si>
  <si>
    <t xml:space="preserve">Rejs statku</t>
  </si>
  <si>
    <t xml:space="preserve">ZATWIERDZONE</t>
  </si>
  <si>
    <t xml:space="preserve">Czas rejsu wynosi zawsze5 minut. 5 min/rejs.</t>
  </si>
  <si>
    <t xml:space="preserve">To osobny etap od kursu pracownika magazynu/portu. Poprzednio czas rejsu nie był zdefiniowany; nie utożsamiamy go z czasem przenoszenia ładunków. Źródło: HARBORLIGHT4-zasady.xlsx — Transport i priorytety!F15</t>
  </si>
  <si>
    <t xml:space="preserve">V5-013</t>
  </si>
  <si>
    <t xml:space="preserve">Zapłata przy zakupie portowym</t>
  </si>
  <si>
    <t xml:space="preserve">Kliknięciekup/sprzedaj to momentpobraniamonet/rezerwacjitowaru; wypłatazasprzedażprzywypłynięciu.</t>
  </si>
  <si>
    <t xml:space="preserve">V5-014</t>
  </si>
  <si>
    <t xml:space="preserve">Płatne błogosławieństwo kaplicy</t>
  </si>
  <si>
    <t xml:space="preserve">V5-015</t>
  </si>
  <si>
    <t xml:space="preserve">Koniec premii latarni</t>
  </si>
  <si>
    <t xml:space="preserve">Po wymuszonejpremiilatarni powrót do Hsprzedpremii. Każdy nowy mieszkaniec ma zamrożone 0% szczęścia przez pierwsze 24 h, również podczas premii; później zwykłe naliczanie od 0%. Początkowych 12 osób nie obejmuje zamrożenie.</t>
  </si>
  <si>
    <t xml:space="preserve">V5-016</t>
  </si>
  <si>
    <t xml:space="preserve">Zwiedzanie latarni — uczestnicy</t>
  </si>
  <si>
    <t xml:space="preserve">V5-017</t>
  </si>
  <si>
    <t xml:space="preserve">Zwiedzanie latarni — premie</t>
  </si>
  <si>
    <t xml:space="preserve">V5-018</t>
  </si>
  <si>
    <t xml:space="preserve">Ranking aktualizuje się o każdej pełnej godzinie według stanu zastanego w tej chwili. Wynik = poziom ratusza × posiadane monety/złoto; aktualizacja co pełną godzinę zegarową.</t>
  </si>
  <si>
    <t xml:space="preserve">Nie zastępuje to zegarowego naliczania gospodarki; dotyczy odświeżania wyniku rankingu. Źródło: HARBORLIGHT4-zasady.xlsx — Czlowiek!G37</t>
  </si>
  <si>
    <t xml:space="preserve">V7-D01</t>
  </si>
  <si>
    <t xml:space="preserve">Patrz właściwa tabela</t>
  </si>
  <si>
    <t xml:space="preserve">Źródło: odpowiedź użytkownika23.10.2026; Czlowiek!C31, Blogoslawienstwa!B9, Decyzje i konflikty!G41, rozmowa23.10</t>
  </si>
  <si>
    <t xml:space="preserve">V7-D02</t>
  </si>
  <si>
    <t xml:space="preserve">Źródło: odpowiedź użytkownika23.10.2026; Premium!G27, rozmowa23.10</t>
  </si>
  <si>
    <t xml:space="preserve">V7-D03</t>
  </si>
  <si>
    <t xml:space="preserve">Źródło: odpowiedź użytkownika23.10.2026; Budynki!K7</t>
  </si>
  <si>
    <t xml:space="preserve">V7-D04</t>
  </si>
  <si>
    <t xml:space="preserve">V7-D05</t>
  </si>
  <si>
    <t xml:space="preserve">Źródło: odpowiedź użytkownika23.10.2026; Zadania latarni!C6, Zadania latarni!G19, Decyzje i konflikty!G33</t>
  </si>
  <si>
    <t xml:space="preserve">V7-D06</t>
  </si>
  <si>
    <t xml:space="preserve">Źródło: odpowiedź użytkownika23.10.2026; Zadania latarni!G12, Zadania latarni!G18, Decyzje i konflikty!G35</t>
  </si>
  <si>
    <t xml:space="preserve">V7-D07</t>
  </si>
  <si>
    <t xml:space="preserve">Źródło: odpowiedź użytkownika23.10.2026; Zadania latarni!G25, Zadania latarni!G13, Zadania przyklady</t>
  </si>
  <si>
    <t xml:space="preserve">V7-D08</t>
  </si>
  <si>
    <t xml:space="preserve">Źródło: odpowiedź użytkownika23.10.2026; Zadania latarni!E14, Decyzje i konflikty!G36</t>
  </si>
  <si>
    <t xml:space="preserve">V7-D09</t>
  </si>
  <si>
    <t xml:space="preserve">Źródło: odpowiedź użytkownika23.10.2026; Premium!G18, Premium!A18:E22</t>
  </si>
  <si>
    <t xml:space="preserve">V7-D10</t>
  </si>
  <si>
    <t xml:space="preserve">Źródło: odpowiedź użytkownika23.10.2026; Budynki!J6, Premium!G22, Ustalenia - uwagi!V2-016</t>
  </si>
  <si>
    <t xml:space="preserve">V7-D11</t>
  </si>
  <si>
    <t xml:space="preserve">Źródło: odpowiedź użytkownika23.10.2026; Premium!G16, Decyzje i konflikty!G24, Premium!C16</t>
  </si>
  <si>
    <t xml:space="preserve">V7-D12</t>
  </si>
  <si>
    <t xml:space="preserve">Źródło: odpowiedź użytkownika23.10.2026; Premium - czas!J6, Premium!G8</t>
  </si>
  <si>
    <t xml:space="preserve">V7-D13</t>
  </si>
  <si>
    <t xml:space="preserve">Źródło: odpowiedź użytkownika23.10.2026; Decyzje i konflikty!G42, Czlowiek!B34:D34</t>
  </si>
  <si>
    <t xml:space="preserve">V7-D14</t>
  </si>
  <si>
    <t xml:space="preserve">Źródło: odpowiedź użytkownika23.10.2026; Czlowiek!D25:D26, Decyzje i konflikty!G39, Twoje wpisy v4!C31</t>
  </si>
  <si>
    <t xml:space="preserve">V7-D15</t>
  </si>
  <si>
    <t xml:space="preserve">Źródło: odpowiedź użytkownika23.10.2026; Decyzje i konflikty!G18, Decyzje i konflikty!G44, Premium!B23:D23</t>
  </si>
  <si>
    <t xml:space="preserve">V7-D16</t>
  </si>
  <si>
    <t xml:space="preserve">Źródło: odpowiedź użytkownika23.10.2026; Decyzje i konflikty!G15, Przystan!A2</t>
  </si>
  <si>
    <t xml:space="preserve">V7-D17</t>
  </si>
  <si>
    <t xml:space="preserve">Źródło: odpowiedź użytkownika23.10.2026; Decyzje i konflikty!Q14, Budynki!E16</t>
  </si>
  <si>
    <t xml:space="preserve">Decyzje v7 są zachowane; źródła historyczne nie są nowymi wymaganiami. Źródło: Rozmowa po Excelu 7; zaakceptowany pakiet frontend v11 oraz późniejszy pakiet zatwierdzony „go”. Nowsza decyzja zastępuje poprzednią wersję tego samego widoku.</t>
  </si>
  <si>
    <t xml:space="preserve">Normalny start nie przyznaje testowego magazynu ani 10 000 monet. Źródło: Rozmowa po Excelu 7; zaakceptowany pakiet frontend v11 oraz późniejszy pakiet zatwierdzony „go”. Nowsza decyzja zastępuje poprzednią wersję tego samego widoku.</t>
  </si>
  <si>
    <t xml:space="preserve">Znacznik zapisu zapobiega ponownemu grantowi po odświeżeniu. To migracja piaskownicy, nie zasada startu. Źródło: Rozmowa po Excelu 7; zaakceptowany pakiet frontend v11 oraz późniejszy pakiet zatwierdzony „go”. Nowsza decyzja zastępuje poprzednią wersję tego samego widoku.</t>
  </si>
  <si>
    <t xml:space="preserve">Link i stan wdrożenia: docs/IMPLEMENTATION-LOG.md. Źródło: Rozmowa po Excelu 7; zaakceptowany pakiet frontend v11 oraz późniejszy pakiet zatwierdzony „go”. Nowsza decyzja zastępuje poprzednią wersję tego samego widoku.</t>
  </si>
  <si>
    <t xml:space="preserve">Zastępuje zależność lokalnego bufora od ratusza. Źródło: Rozmowa po Excelu 7; zaakceptowany pakiet frontend v11 oraz późniejszy pakiet zatwierdzony „go”. Nowsza decyzja zastępuje poprzednią wersję tego samego widoku.</t>
  </si>
  <si>
    <t xml:space="preserve">Wyświetlanie trzech liczb nie zmienia poziomu wyznaczającego limit. Źródło: Rozmowa po Excelu 7; zaakceptowany pakiet frontend v11 oraz późniejszy pakiet zatwierdzony „go”. Nowsza decyzja zastępuje poprzednią wersję tego samego widoku.</t>
  </si>
  <si>
    <t xml:space="preserve">Status odświeża się według rzeczywistego stanu. Źródło: Rozmowa po Excelu 7; zaakceptowany pakiet frontend v11 oraz późniejszy pakiet zatwierdzony „go”. Nowsza decyzja zastępuje poprzednią wersję tego samego widoku.</t>
  </si>
  <si>
    <t xml:space="preserve">Uwzględnia rzeczywiste fazy pracy, dojście, głód, surowiec wejściowy i wolne miejsce. Źródło: Rozmowa po Excelu 7; zaakceptowany pakiet frontend v11 oraz późniejszy pakiet zatwierdzony „go”. Nowsza decyzja zastępuje poprzednią wersję tego samego widoku.</t>
  </si>
  <si>
    <t xml:space="preserve">Np. 50 / 200 / 400; ostatnia liczba oznacza najbliższe ulepszenie, nie końcowy limit gry. Źródło: Rozmowa po Excelu 7; zaakceptowany pakiet frontend v11 oraz późniejszy pakiet zatwierdzony „go”. Nowsza decyzja zastępuje poprzednią wersję tego samego widoku.</t>
  </si>
  <si>
    <t xml:space="preserve">Np. 5 / 0 / 12. Osoba wracająca lub idąca nie jest wolna w domu. Źródło: Rozmowa po Excelu 7; zaakceptowany pakiet frontend v11 oraz późniejszy pakiet zatwierdzony „go”. Nowsza decyzja zastępuje poprzednią wersję tego samego widoku.</t>
  </si>
  <si>
    <t xml:space="preserve">Silnik nadal: 1 moneta/os./h po dotarciu, także przy przestoju; kaplica czasowo ×2. Excel dokumentuje tę regułę. Źródło: Rozmowa po Excelu 7; zaakceptowany pakiet frontend v11 oraz późniejszy pakiet zatwierdzony „go”. Nowsza decyzja zastępuje poprzednią wersję tego samego widoku.</t>
  </si>
  <si>
    <t xml:space="preserve">Najnowsze usunięcie podatków zastępuje wcześniejszy pomysł Taxes pod Level. Źródło: Rozmowa po Excelu 7; zaakceptowany pakiet frontend v11 oraz późniejszy pakiet zatwierdzony „go”. Nowsza decyzja zastępuje poprzednią wersję tego samego widoku.</t>
  </si>
  <si>
    <t xml:space="preserve">Pula, terminy i przyciski domu pozostają widoczne. Źródło: Rozmowa po Excelu 7; zaakceptowany pakiet frontend v11 oraz późniejszy pakiet zatwierdzony „go”. Nowsza decyzja zastępuje poprzednią wersję tego samego widoku.</t>
  </si>
  <si>
    <t xml:space="preserve">Residents pozostaje informacyjnym przeglądem z przejściem do domu. Źródło: Rozmowa po Excelu 7; zaakceptowany pakiet frontend v11 oraz późniejszy pakiet zatwierdzony „go”. Nowsza decyzja zastępuje poprzednią wersję tego samego widoku.</t>
  </si>
  <si>
    <t xml:space="preserve">Buy building package / Deliver local stock now. Opisy Coins/Instant pod i; bez osobnej dolnej sekcji Premium u producentów. Źródło: Rozmowa po Excelu 7; zaakceptowany pakiet frontend v11 oraz późniejszy pakiet zatwierdzony „go”. Nowsza decyzja zastępuje poprzednią wersję tego samego widoku.</t>
  </si>
  <si>
    <t xml:space="preserve">Bez zbierania materiałów i oczekiwania w kolejce; brak wykonalnej estymaty ma jawną przyczynę. Źródło: Rozmowa po Excelu 7; zaakceptowany pakiet frontend v11 oraz późniejszy pakiet zatwierdzony „go”. Nowsza decyzja zastępuje poprzednią wersję tego samego widoku.</t>
  </si>
  <si>
    <t xml:space="preserve">Odwołanie nie przypisuje starego ładunku nowej osobie. Rozpoczęty ładunek dochodzi dokładnie raz. Źródło: Rozmowa po Excelu 7; zaakceptowany pakiet frontend v11 oraz późniejszy pakiet zatwierdzony „go”. Nowsza decyzja zastępuje poprzednią wersję tego samego widoku.</t>
  </si>
  <si>
    <t xml:space="preserve">Construction uczestniczy w tej samej puli i podziale kursów, nie jest dodatkowym czwartym priorytetem. Źródło: Rozmowa po Excelu 7; zaakceptowany pakiet frontend v11 oraz późniejszy pakiet zatwierdzony „go”. Nowsza decyzja zastępuje poprzednią wersję tego samego widoku.</t>
  </si>
  <si>
    <t xml:space="preserve">Losowe wybierają dostępne pozostałe źródła; brak wybranego towaru nie zatrzymuje dostępnej pracy. Ratunkowe Food zachowuje ochronę. Źródło: Rozmowa po Excelu 7; zaakceptowany pakiet frontend v11 oraz późniejszy pakiet zatwierdzony „go”. Nowsza decyzja zastępuje poprzednią wersję tego samego widoku.</t>
  </si>
  <si>
    <t xml:space="preserve">Nie ma wyłączenia po 10 kursach. Źródło: Rozmowa po Excelu 7; zaakceptowany pakiet frontend v11 oraz późniejszy pakiet zatwierdzony „go”. Nowsza decyzja zastępuje poprzednią wersję tego samego widoku.</t>
  </si>
  <si>
    <t xml:space="preserve">Pozostałe wymagania i nagrody można obejrzeć. Źródło: Rozmowa po Excelu 7; zaakceptowany pakiet frontend v11 oraz późniejszy pakiet zatwierdzony „go”. Nowsza decyzja zastępuje poprzednią wersję tego samego widoku.</t>
  </si>
  <si>
    <t xml:space="preserve">Ukończenie lub wygaśnięcie zwalnia aktywne miejsce. Źródło: Rozmowa po Excelu 7; zaakceptowany pakiet frontend v11 oraz późniejszy pakiet zatwierdzony „go”. Nowsza decyzja zastępuje poprzednią wersję tego samego widoku.</t>
  </si>
  <si>
    <t xml:space="preserve">Nie zmieniamy istniejących wymagań z powodu nowych podpisów czy stanu obsady. Źródło: Rozmowa po Excelu 7; zaakceptowany pakiet frontend v11 oraz późniejszy pakiet zatwierdzony „go”. Nowsza decyzja zastępuje poprzednią wersję tego samego widoku.</t>
  </si>
  <si>
    <t xml:space="preserve">Świadome włączenie animacji ma pierwszeństwo przed systemowym ograniczeniem ruchu i jest zapisywane; stare pause/speed nie zamrażają obrazu. Źródło: Rozmowa po Excelu 7; zaakceptowany pakiet frontend v11 oraz późniejszy pakiet zatwierdzony „go”. Nowsza decyzja zastępuje poprzednią wersję tego samego widoku.</t>
  </si>
  <si>
    <t xml:space="preserve">Układ na komputerze i telefonie. Źródło: Rozmowa po Excelu 7; zaakceptowany pakiet frontend v11 oraz późniejszy pakiet zatwierdzony „go”. Nowsza decyzja zastępuje poprzednią wersję tego samego widoku.</t>
  </si>
  <si>
    <t xml:space="preserve">Buildings przywraca rząd budynków. Źródło: Rozmowa po Excelu 7; zaakceptowany pakiet frontend v11 oraz późniejszy pakiet zatwierdzony „go”. Nowsza decyzja zastępuje poprzednią wersję tego samego widoku.</t>
  </si>
  <si>
    <t xml:space="preserve">Głodny pracownik produkujący z połową wydajności nadal jest aktywny. Źródło: Rozmowa po Excelu 7; zaakceptowany pakiet frontend v11 oraz późniejszy pakiet zatwierdzony „go”. Nowsza decyzja zastępuje poprzednią wersję tego samego widoku.</t>
  </si>
  <si>
    <t xml:space="preserve">Zastępuje wolnych w domu / limit pracy tylko na kartach Resources; Workers zachowuje swoje trzy wartości. Źródło: Rozmowa po Excelu 7; zaakceptowany pakiet frontend v11 oraz późniejszy pakiet zatwierdzony „go”. Nowsza decyzja zastępuje poprzednią wersję tego samego widoku.</t>
  </si>
  <si>
    <t xml:space="preserve">Ten sam panel i stan co kliknięcie budynku na wyspie. Źródło: Rozmowa po Excelu 7; zaakceptowany pakiet frontend v11 oraz późniejszy pakiet zatwierdzony „go”. Nowsza decyzja zastępuje poprzednią wersję tego samego widoku.</t>
  </si>
  <si>
    <t xml:space="preserve">Nagroda zadania jest przyznana przed opcjonalnym ekranem społecznościowym. Źródło: Rozmowa po Excelu 7; zaakceptowany pakiet frontend v11 oraz późniejszy pakiet zatwierdzony „go”. Nowsza decyzja zastępuje poprzednią wersję tego samego widoku.</t>
  </si>
  <si>
    <t xml:space="preserve">NOWA odpowiedź użytkownika: 500 monet. Na razie bez integracji Facebook i bez deklarowania rzeczywistej publikacji. Źródło: Rozmowa po Excelu 7; zaakceptowany pakiet frontend v11 oraz późniejszy pakiet zatwierdzony „go”. Nowsza decyzja zastępuje poprzednią wersję tego samego widoku.</t>
  </si>
  <si>
    <t xml:space="preserve">Bonus za zadanie jest odrębny od starszych premii za grę/poziom/posty i polecenia. Źródło: Rozmowa po Excelu 7; zaakceptowany pakiet frontend v11 oraz późniejszy pakiet zatwierdzony „go”. Nowsza decyzja zastępuje poprzednią wersję tego samego widoku.</t>
  </si>
  <si>
    <t xml:space="preserve">Cyrk i teatr są wydarzeniami, nie budynkami produkcyjnymi. Źródło: Rozmowa po Excelu 7; zaakceptowany pakiet frontend v11 oraz późniejszy pakiet zatwierdzony „go”. Nowsza decyzja zastępuje poprzednią wersję tego samego widoku.</t>
  </si>
  <si>
    <t xml:space="preserve">Nie losujemy nowych cen ani okna czasu przy każdym kliknięciu karty. Źródło: Rozmowa po Excelu 7; zaakceptowany pakiet frontend v11 oraz późniejszy pakiet zatwierdzony „go”. Nowsza decyzja zastępuje poprzednią wersję tego samego widoku.</t>
  </si>
  <si>
    <t xml:space="preserve">Y oferty jest zapisane do jej wymiany; koszt reaguje na osiągnięty poziom ratusza. Źródło: Rozmowa po Excelu 7; zaakceptowany pakiet frontend v11 oraz późniejszy pakiet zatwierdzony „go”. Nowsza decyzja zastępuje poprzednią wersję tego samego widoku.</t>
  </si>
  <si>
    <t xml:space="preserve">Wybór implementacyjny: najmniej szczęśliwi niezamrożeni mieszkańcy; remisy według ID. Gdy populacja mniejsza od L, najwyżej tyle osób, ile istnieje. Źródło: Rozmowa po Excelu 7; zaakceptowany pakiet frontend v11 oraz późniejszy pakiet zatwierdzony „go”. Nowsza decyzja zastępuje poprzednią wersję tego samego widoku.</t>
  </si>
  <si>
    <t xml:space="preserve">Koszt nie maleje. Użycia innych atrakcji nie zwiększają tego licznika. Źródło: Rozmowa po Excelu 7; zaakceptowany pakiet frontend v11 oraz późniejszy pakiet zatwierdzony „go”. Nowsza decyzja zastępuje poprzednią wersję tego samego widoku.</t>
  </si>
  <si>
    <t xml:space="preserve">Dokładny składnik Y×współczynnik może być ułamkowy; prezentacja szczęścia jest zaokrąglona w górę do pełnego procentu. Źródło: Rozmowa po Excelu 7; zaakceptowany pakiet frontend v11 oraz późniejszy pakiet zatwierdzony „go”. Nowsza decyzja zastępuje poprzednią wersję tego samego widoku.</t>
  </si>
  <si>
    <t xml:space="preserve">Nie tworzymy 100 osobnych budynków gospodarczych. Źródło: Rozmowa po Excelu 7; zaakceptowany pakiet frontend v11 oraz późniejszy pakiet zatwierdzony „go”. Nowsza decyzja zastępuje poprzednią wersję tego samego widoku.</t>
  </si>
  <si>
    <t xml:space="preserve">Ukończony poziom = minimum poziomów wszystkich odcinków. Źródło: Rozmowa po Excelu 7; zaakceptowany pakiet frontend v11 oraz późniejszy pakiet zatwierdzony „go”. Nowsza decyzja zastępuje poprzednią wersję tego samego widoku.</t>
  </si>
  <si>
    <t xml:space="preserve">Nie ma wymagania jednorazowego zgromadzenia 10 000 — gracz kupuje pojedyncze odcinki. Źródło: Rozmowa po Excelu 7; zaakceptowany pakiet frontend v11 oraz późniejszy pakiet zatwierdzony „go”. Nowsza decyzja zastępuje poprzednią wersję tego samego widoku.</t>
  </si>
  <si>
    <t xml:space="preserve">Poziom 1: 300/1,1 s; nie odejmujemy po prostu 10% czasu. Źródło: Rozmowa po Excelu 7; zaakceptowany pakiet frontend v11 oraz późniejszy pakiet zatwierdzony „go”. Nowsza decyzja zastępuje poprzednią wersję tego samego widoku.</t>
  </si>
  <si>
    <t xml:space="preserve">Ładunek własnego poziomu miejsca pracy oraz premia dróg to odrębne mnożniki. Źródło: Rozmowa po Excelu 7; zaakceptowany pakiet frontend v11 oraz późniejszy pakiet zatwierdzony „go”. Nowsza decyzja zastępuje poprzednią wersję tego samego widoku.</t>
  </si>
  <si>
    <t xml:space="preserve">Nie skracają rejsu statku, dojścia do pracy/powrotu, pobytu w latarni ani zegarów konsumpcji. Nie dają dodatkowego pasywnego H. Źródło: Rozmowa po Excelu 7; zaakceptowany pakiet frontend v11 oraz późniejszy pakiet zatwierdzony „go”. Nowsza decyzja zastępuje poprzednią wersję tego samego widoku.</t>
  </si>
  <si>
    <t xml:space="preserve">Premie dróg są stałe, czasowe atrakcje mają własne terminy. Informacje o podatkach pozostają ukryte w UI. Źródło: Rozmowa po Excelu 7; zaakceptowany pakiet frontend v11 oraz późniejszy pakiet zatwierdzony „go”. Nowsza decyzja zastępuje poprzednią wersję tego samego widoku.</t>
  </si>
  <si>
    <t xml:space="preserve">Dotyczy wszystkich źródeł: domu, jedzenia/pracy, głodu/bezrobocia, przestoju, przeludnienia, kaplicy, latarni, atrakcji i dróg. Źródło: Rozmowa po Excelu 7; zaakceptowany pakiet frontend v11 oraz późniejszy pakiet zatwierdzony „go”. Nowsza decyzja zastępuje poprzednią wersję tego samego widoku.</t>
  </si>
  <si>
    <t xml:space="preserve">Migracja zachowuje płatny postęp starej wyspy; nie przyznaje całego poziomu, jeśli nie ukończono wszystkich 100 odcinków. Źródło: Rozmowa po Excelu 7; zaakceptowany pakiet frontend v11 oraz późniejszy pakiet zatwierdzony „go”. Nowsza decyzja zastępuje poprzednią wersję tego samego widoku.</t>
  </si>
  <si>
    <t xml:space="preserve">Oryginalny Excel 7 pozostaje niezmieniony. Prawdziwe konta, OAuth, płatności i reklamy nadal wymagają osobnych integracji. Źródło: Rozmowa po Excelu 7; zaakceptowany pakiet frontend v11 oraz późniejszy pakiet zatwierdzony „go”. Nowsza decyzja zastępuje poprzednią wersję tego samego widoku.</t>
  </si>
  <si>
    <t xml:space="preserve">POPULACJA • przyrost i ubytek zostały ustalone</t>
  </si>
  <si>
    <t xml:space="preserve">Wszystko działa offline według czasu zegarowego; ubytek oznacza wyłącznie odejście, nie śmierć. Nowi zawsze trafiają do domu. Minimum 6, maksimum 24 × Ratusz, nie Dom. Używamy dokładnej średniej indywidualnego H, nie zaokrąglonego procentu.</t>
  </si>
  <si>
    <t xml:space="preserve">Szczęście dokładne [%]</t>
  </si>
  <si>
    <t xml:space="preserve">Zmiana osób / h</t>
  </si>
  <si>
    <t xml:space="preserve">Czas na 1 osobę [h]</t>
  </si>
  <si>
    <t xml:space="preserve">Ubywa</t>
  </si>
  <si>
    <t xml:space="preserve">Populacja bez zmian</t>
  </si>
  <si>
    <t xml:space="preserve">Przybywa</t>
  </si>
  <si>
    <t xml:space="preserve">WZÓR I PRZYKŁAD</t>
  </si>
  <si>
    <t xml:space="preserve">Dla H=|szczęście|:tempo=H/300osoby/h dla0…50%; dla50…100%:1/6+(H−50)/60. Znakdodatni przyrost,ujemny odejście. ±75%:1osoba/1h42min51s. Przy0%brakzmiany. Każdy nowy mieszkaniec ma zamrożone 0% szczęścia przez pierwsze 24 h, również podczas premii; później zwykłe naliczanie od 0%. Początkowych 12 osób nie obejmuje zamrożenie.</t>
  </si>
  <si>
    <t xml:space="preserve">PORT • nowe 140/150 i liniowa podwyżka</t>
  </si>
  <si>
    <t xml:space="preserve">Ceny za100:40/50podstawowe i140/150przetworzone. Targ bez monet, marża10%. Osobny licznik dla KAŻDEGO produktu w ruchomych 3 h. Kolejne paczki zakupu po 100 podnoszą cenę liniowo o 10% ceny bazowej. Cena zamrożona przy kliknięciu zamówienia; kupno 100 drewna nie podnosi ceny kamienia.</t>
  </si>
  <si>
    <t xml:space="preserve">Numer paczki100</t>
  </si>
  <si>
    <t xml:space="preserve">Kupno podstawowych</t>
  </si>
  <si>
    <t xml:space="preserve">Kupno przetworzonych</t>
  </si>
  <si>
    <t xml:space="preserve">Sprzedaż podstawowych</t>
  </si>
  <si>
    <t xml:space="preserve">Sprzedaż przetworzonych</t>
  </si>
  <si>
    <t xml:space="preserve">Suma kupna podstawowych</t>
  </si>
  <si>
    <t xml:space="preserve">Suma kupna przetworzonych</t>
  </si>
  <si>
    <t xml:space="preserve">Jedno zamówienie 500 szt.liczy 5 paczek; dopłata dla każdej kolejnej paczki. Sprzedaż bez tej dopłaty.</t>
  </si>
  <si>
    <t xml:space="preserve">Rentowność2:1</t>
  </si>
  <si>
    <t xml:space="preserve">200 drewna sprzedane jako surowiec=80 monet; po przeróbce 100 desek=140. Zakup 200 drewna=100; 100 desek=150. Nowy cennik usuwa poprzednią odwrotną zachętę.</t>
  </si>
  <si>
    <t xml:space="preserve">Przepływ/terminy</t>
  </si>
  <si>
    <t xml:space="preserve">Kliknięcie kup/sprzedaj:pobranie monet/rezerwacja towaru. Sprzedaż ma dwa etapy, zapłata przywypłynięciu. Rejs5min; zakupy muszą zostać rozładowane i przywiezione do centrali. Towar nieodebrany24h przepada, bez dawnejopłaty10monet.</t>
  </si>
  <si>
    <t xml:space="preserve">KAPLICA / LATARNIA • dwa źródła premii</t>
  </si>
  <si>
    <t xml:space="preserve">Kaplica=błogosławieństwo; Latarnia=zwiedzanie i osobna premia rozbudowy. Wszystkie momenty, limity i dopłaty zgodnie z17decyzjami. Osobna wizyta modlitewna pozostaje do opisania. V8: aktywne efekty widoczne także na górze Town Hall; rozpoczęcie, zmiana i koniec w powiadomieniach. Samych informacji podatkowych nie pokazujemy w UI.</t>
  </si>
  <si>
    <t xml:space="preserve">Element</t>
  </si>
  <si>
    <t xml:space="preserve">Aktualna zasada</t>
  </si>
  <si>
    <t xml:space="preserve">Co pozostaje do później</t>
  </si>
  <si>
    <t xml:space="preserve">+10 × N szczęścia i podatki ×2 przez 10 h; poziom 1 bez pasywnego bonusu. Powiadomienia + aktywna lista ratusza.</t>
  </si>
  <si>
    <t xml:space="preserve">Dotychczas: +50 każdego zasobu, +20 szczęścia na 1 h; liczba bezpłatnych użyć = poziom kaplicy. Powiadomienia + aktywna lista ratusza.</t>
  </si>
  <si>
    <t xml:space="preserve">100%H i produkcjamateriałów×2; obie premie24h×N. Każdy nowy mieszkaniec ma zamrożone 0% szczęścia przez pierwsze 24 h, również podczas premii; później zwykłe naliczanie od 0%. Początkowych 12 osób nie obejmuje zamrożenie. Powiadomienia + aktywna lista ratusza.</t>
  </si>
  <si>
    <t xml:space="preserve">Po końcu przywracamy osobistyHsprzedpremii; nowi po24h zaczynająnormalne naliczanieod0.</t>
  </si>
  <si>
    <t xml:space="preserve">Pobyt 4 h, bez czasu dojścia i możliwości wycofania. Wyłącznie wolne osoby z domu; jednocześnie 2 × poziom latarni miejsc. Premie od powrotu: uczestnik 100% na 24 h i blokada ponownej wizyty przez te same 24 h; każda osobno wysłana grupa daje populacji +10 pp przez 6 h. Premie grup sumują się w czasie nakładania. Powiadomienia + aktywna lista ratusza.</t>
  </si>
  <si>
    <t xml:space="preserve">Cooldown/reklamy/zakup</t>
  </si>
  <si>
    <t xml:space="preserve">Notatkę źródłową zachowano; oferty zebrano w Premium. Powiadomienia + aktywna lista ratusza.</t>
  </si>
  <si>
    <t xml:space="preserve">Płatne użycie:4hczekaniaodKOŃCAefektu. Reklamy,challenge i social pozostają odłożone.</t>
  </si>
  <si>
    <t xml:space="preserve">ODPOWIEDZI I ZMIANY • historia wcześniejszych wersji</t>
  </si>
  <si>
    <t xml:space="preserve">Ta zakładka zachowuje wcześniejsze odpowiedzi jako historię. Wersja 7 zebrała plik 6 i decyzje D01–D17. Najnowsze późniejsze zasady i korekty frontendu są w Zmiany v8; tam opisano także pierwszeństwo nowych ustaleń.</t>
  </si>
  <si>
    <t xml:space="preserve">Potwierdzenie</t>
  </si>
  <si>
    <t xml:space="preserve">Wszystkie 5 producentów; szczegóły Produkcja.</t>
  </si>
  <si>
    <t xml:space="preserve">Łącznie 5T: transport T + budowa 4T</t>
  </si>
  <si>
    <t xml:space="preserve">Czasy przeliczone.</t>
  </si>
  <si>
    <t xml:space="preserve">Użyj nowego poziomu N: 4T, 7T, 10T</t>
  </si>
  <si>
    <t xml:space="preserve">Cały kurs z powrotem trwa 5 min</t>
  </si>
  <si>
    <t xml:space="preserve">Kalkulacja podzielona według ładunków.</t>
  </si>
  <si>
    <t xml:space="preserve">Ceny-produkty</t>
  </si>
  <si>
    <t xml:space="preserve">Ostatnia korekta: 140/150 w PORCIE; na TARGU wymiana bez monet z marżą.</t>
  </si>
  <si>
    <t xml:space="preserve">Zastępuje 70/80 w porcie oraz wcześniejszą odpowiedź dotyczącą targu.</t>
  </si>
  <si>
    <t xml:space="preserve">Wszystkie mechaniki działają również offline</t>
  </si>
  <si>
    <t xml:space="preserve">Nie tylko budowa i port.</t>
  </si>
  <si>
    <t xml:space="preserve">HARBORLIGHT1-zasady.xlsx, commit d8f424d</t>
  </si>
  <si>
    <t xml:space="preserve">Oryginał niezmieniony; nowy plik: HARBORLIGHT2-zasady.xlsx.</t>
  </si>
  <si>
    <t xml:space="preserve">Wersja 3</t>
  </si>
  <si>
    <t xml:space="preserve">Nowe reguły Premium, zadań latarni, social i ekspedycji.</t>
  </si>
  <si>
    <t xml:space="preserve">Źródło: docs/arkusze/pomysły, commit 748b1eb oraz wiadomość z 22.10.2026.</t>
  </si>
  <si>
    <t xml:space="preserve">Potwierdzenia V3</t>
  </si>
  <si>
    <t xml:space="preserve">Zatwierdzono: ostatni niepełny kurs jest płatny; materiały proporcjonalnie według bazowych cen portowych +25%, monety osobno; pierwsze kliknięcie utrwala bonus zadania.</t>
  </si>
  <si>
    <t xml:space="preserve">Odpowiedzi użytkownika 22.10.2026: „Tak, również ostatni niepełny kurs”; „Tak, cena proporcjonalna materiałów +25%, monety osobno”; „Tak, kliknięcie zapisuje mnożnik”. Nagroda za pełną wpłatę przed końcem 6 h. Te trzy pytania są zamknięte; inne szczegóły pozostają oznaczone osobno.</t>
  </si>
  <si>
    <t xml:space="preserve">Wersja 5</t>
  </si>
  <si>
    <t xml:space="preserve">Plik4:37 zmian względem jego bazy V2; połączone z całą wersją 3 i tekstem pomysłów.</t>
  </si>
  <si>
    <t xml:space="preserve">Źródło:701a7d4; oryginał4 zachowany. Pełne wpisy:Twoje wpisy v4.</t>
  </si>
  <si>
    <t xml:space="preserve">Wersja7</t>
  </si>
  <si>
    <t xml:space="preserve">Źródło6(8c8ae82),85różnicoraz17odpowiedziD01–D17; najnowszepotwierdzeniamająpierwszeństwo.</t>
  </si>
  <si>
    <t xml:space="preserve">Oryginał6bez zmian; Twoje wpisyv6,rejestrhistorycznyv6,Decyzjev7.</t>
  </si>
  <si>
    <t xml:space="preserve">POMYSŁY • nowe wpisy z repozytorium</t>
  </si>
  <si>
    <t xml:space="preserve">Pomysły z pliku docs/arkusze/pomysły, dodane podczas pracy nad arkuszem. Zachowujemy je jako pomysły, bez dopisywania mechanik, cen ani zasad.</t>
  </si>
  <si>
    <t xml:space="preserve">Oryginalny wpis</t>
  </si>
  <si>
    <t xml:space="preserve">Status / brakujące szczegóły</t>
  </si>
  <si>
    <t xml:space="preserve">shakomat na komórkę z kólką</t>
  </si>
  <si>
    <t xml:space="preserve">docs/arkusze/pomysły; commit 30b10ec</t>
  </si>
  <si>
    <t xml:space="preserve">Mechanika labiryntu i piłeczki związana z ekspedycjami; sterowanie i wykorzystanie ruchu telefonu użytkownik opisze później.</t>
  </si>
  <si>
    <t xml:space="preserve">ekspedycje</t>
  </si>
  <si>
    <t xml:space="preserve">Rozwinięte w arkuszach Ekspedycje oraz Ekspedycje - poziomy.</t>
  </si>
  <si>
    <t xml:space="preserve">wyzwania do latarni</t>
  </si>
  <si>
    <t xml:space="preserve">Rozwinięte w arkuszach Zadania latarni, Zadania przyklady i Zadania - zegary.</t>
  </si>
  <si>
    <t xml:space="preserve">TWOJE WPISY • zachowane z pliku1</t>
  </si>
  <si>
    <t xml:space="preserve">Oryginał HARBORLIGHT1-zasady.xlsx pozostaje nienaruszony. To archiwum75 zmian tekstowych, w tym przesunięć nagłówków; przeniesione formuły nie są liczone jako nowe zasady. Wiążące odpowiedzi z rozmowy mają osobną zakładkę.</t>
  </si>
  <si>
    <t xml:space="preserve">Poprzednio</t>
  </si>
  <si>
    <t xml:space="preserve">Twój wpis — bez zmian</t>
  </si>
  <si>
    <t xml:space="preserve">Obsługa w wersji2</t>
  </si>
  <si>
    <t xml:space="preserve">Start!E9</t>
  </si>
  <si>
    <t xml:space="preserve">zdefiniowane w innym miejscu </t>
  </si>
  <si>
    <t xml:space="preserve">Uwzględnione w uporządkowanych zasadach lub jawnie oznaczone jako szczegół do decyzji; patrz Odpowiedzi i zmiany.</t>
  </si>
  <si>
    <t xml:space="preserve">Start!E12</t>
  </si>
  <si>
    <t xml:space="preserve">zakładamy nakarmionych tragarzy, ale zwiekszamy limit min pożywienia w magazynie na 50 x Level</t>
  </si>
  <si>
    <t xml:space="preserve">Start!E13</t>
  </si>
  <si>
    <t xml:space="preserve">tak potwierdzam  wraz z rozbudową magazynu wzrasta ilość materiałów jakie tragarz może ze sobą zabrać, logika też jest osobno opisana przy magazynie </t>
  </si>
  <si>
    <t xml:space="preserve">Start!E16</t>
  </si>
  <si>
    <t xml:space="preserve">nie nazywajmy ubytku śmiercią </t>
  </si>
  <si>
    <t xml:space="preserve">Budynki!K5</t>
  </si>
  <si>
    <t xml:space="preserve">1→2: transport + budowa</t>
  </si>
  <si>
    <t xml:space="preserve">Uwagi 3</t>
  </si>
  <si>
    <t xml:space="preserve">Budynki!M5</t>
  </si>
  <si>
    <t xml:space="preserve">3→4: transport + budowa</t>
  </si>
  <si>
    <t xml:space="preserve">Budynki!N5</t>
  </si>
  <si>
    <t xml:space="preserve">2→3: transport + budowa</t>
  </si>
  <si>
    <t xml:space="preserve">Budynki!O5</t>
  </si>
  <si>
    <t xml:space="preserve">Budynki!F6</t>
  </si>
  <si>
    <t xml:space="preserve">ŁĄCZNIE3T: transportT +budowa2T.</t>
  </si>
  <si>
    <t xml:space="preserve">ŁĄCZNIE3T: transportT +budowa2T. Zmiana, czas 2 T</t>
  </si>
  <si>
    <t xml:space="preserve">Budynki!J6</t>
  </si>
  <si>
    <t xml:space="preserve">Oferta dla tego budynku nieustalona. Wcześniejszy projekt globalnego pakietu: +4 równoległe budowy, dowolna kolejka i planowanie z estymaty dostaw na czas pakietu; cena/czas nieustalone.</t>
  </si>
  <si>
    <t xml:space="preserve">Premium, zbuduj 2 x szybciej, zbuduj natychmiast (oba jak masz zasoby) kup budynek jak nie masz surowców </t>
  </si>
  <si>
    <t xml:space="preserve">Budynki!K6</t>
  </si>
  <si>
    <t xml:space="preserve">'=TEXT('Czas budowy'!S6,"0.00")&amp;" h łącznie; T="&amp;TEXT('Czas budowy'!P6,"0.00")&amp;" h, budowa="&amp;TEXT('Czas budowy'!R6,"0.00")&amp;" h. Założenia: Czas budowy / D02."</t>
  </si>
  <si>
    <t xml:space="preserve">Budynki!F7</t>
  </si>
  <si>
    <t xml:space="preserve">Budynki!J7</t>
  </si>
  <si>
    <t xml:space="preserve">Budynki!K7</t>
  </si>
  <si>
    <t xml:space="preserve">'=TEXT('Czas budowy'!S9,"0.00")&amp;" h łącznie; T="&amp;TEXT('Czas budowy'!P9,"0.00")&amp;" h, budowa="&amp;TEXT('Czas budowy'!R9,"0.00")&amp;" h. Założenia: Czas budowy / D02."</t>
  </si>
  <si>
    <t xml:space="preserve">Z poziomu domu widzę wszystkich ludzi gdzie są dopisani, mogę ich stąd wysyłać do kaplicy lub na latarnię</t>
  </si>
  <si>
    <t xml:space="preserve">Budynki!C8</t>
  </si>
  <si>
    <t xml:space="preserve">Start0. Limit na budynek12×poziom ratusza, ale tylko faktycznie wolni ludzie ze wspólnej puli. Nie można przypisać jednej osoby dwa razy.</t>
  </si>
  <si>
    <t xml:space="preserve">Start0. Limit na budynek12×poziom ratusza, ale tylko faktycznie wolni ludzie ze wspólnej puli. Nie można przypisać jednej osoby dwa razy. Start wszystkie zasoby = 100</t>
  </si>
  <si>
    <t xml:space="preserve">Budynki!D8</t>
  </si>
  <si>
    <t xml:space="preserve">Zamiar z pliku: większa możliwa produkcja dzięki większej obsadzie. Limit obsady został wyjaśniony jako zależny od RATUSZA, nie własnego poziomu producenta. Osobna korzyść ulepszenia tego budynku nadal nie została określona.</t>
  </si>
  <si>
    <t xml:space="preserve">Zamiar z pliku: większa możliwa produkcja dzięki większej obsadzie. Limit obsady został wyjaśniony jako zależny od RATUSZA, nie własnego poziomu producenta. Osobna korzyść ulepszenia tego budynku nadal nie została określona. Rozbudowa na kolejny poziom daje zawsze dodatkowo 10% extra efektywności pracy czyli zwiększa w tym przypadku zboże analogicznie też drewno kamien etc </t>
  </si>
  <si>
    <t xml:space="preserve">Budynki!J8</t>
  </si>
  <si>
    <t xml:space="preserve">Budynki!K8</t>
  </si>
  <si>
    <t xml:space="preserve">'=TEXT('Czas budowy'!S12,"0.00")&amp;" h łącznie; T="&amp;TEXT('Czas budowy'!P12,"0.00")&amp;" h, budowa="&amp;TEXT('Czas budowy'!R12,"0.00")&amp;" h. Założenia: Czas budowy / D02."</t>
  </si>
  <si>
    <t xml:space="preserve">Budynki!J9</t>
  </si>
  <si>
    <t xml:space="preserve">Budynki!J10</t>
  </si>
  <si>
    <t xml:space="preserve">Budynki!J11</t>
  </si>
  <si>
    <t xml:space="preserve">Budynki!J12</t>
  </si>
  <si>
    <t xml:space="preserve">Budynki!E13</t>
  </si>
  <si>
    <t xml:space="preserve">500×L KAŻDEGO z6 zasobów</t>
  </si>
  <si>
    <t xml:space="preserve">300×L KAŻDEGO z6 zasobów</t>
  </si>
  <si>
    <t xml:space="preserve">Budynki!J13</t>
  </si>
  <si>
    <t xml:space="preserve">Budynki!K13</t>
  </si>
  <si>
    <t xml:space="preserve">'=TEXT('Czas budowy'!S27,"0.00")&amp;" h łącznie; T="&amp;TEXT('Czas budowy'!P27,"0.00")&amp;" h, budowa="&amp;TEXT('Czas budowy'!R27,"0.00")&amp;" h. Założenia: Czas budowy / D02."</t>
  </si>
  <si>
    <t xml:space="preserve">Budynki!D14</t>
  </si>
  <si>
    <t xml:space="preserve">Pojemność×1.5:1000,1500,2250… Wynik wymiany czeka na targu na zamówiony odbiór do centrali.</t>
  </si>
  <si>
    <t xml:space="preserve">Pojemność×1.5:1000,1500,2250… Wynik wymiany czeka na targu na zamówiony odbiór do centrali. Targ ma swoich ludzi, tylko oni noszą na targ I do magazynu, jeżeli chcesz sprzedać musisz miec towar na targu czyli musisz polecić jego przyniesienie, towar na targu znika po 24 h od przyniesienia, jak na coś sie wymienisz towar jest na targu 24 i znika, </t>
  </si>
  <si>
    <t xml:space="preserve">Budynki!E14</t>
  </si>
  <si>
    <t xml:space="preserve">Budynki!J14</t>
  </si>
  <si>
    <t xml:space="preserve">Budynki!K14</t>
  </si>
  <si>
    <t xml:space="preserve">'=TEXT('Czas budowy'!S30,"0.00")&amp;" h łącznie; T="&amp;TEXT('Czas budowy'!P30,"0.00")&amp;" h, budowa="&amp;TEXT('Czas budowy'!R30,"0.00")&amp;" h. Założenia: Czas budowy / D02."</t>
  </si>
  <si>
    <t xml:space="preserve">Budynki!E15</t>
  </si>
  <si>
    <t xml:space="preserve">400×L KAŻDEGO z6 zasobów</t>
  </si>
  <si>
    <t xml:space="preserve">Budynki!J15</t>
  </si>
  <si>
    <t xml:space="preserve">Budynki!K15</t>
  </si>
  <si>
    <t xml:space="preserve">'=TEXT('Czas budowy'!S33,"0.00")&amp;" h łącznie; T="&amp;TEXT('Czas budowy'!P33,"0.00")&amp;" h, budowa="&amp;TEXT('Czas budowy'!R33,"0.00")&amp;" h. Założenia: Czas budowy / D02."</t>
  </si>
  <si>
    <t xml:space="preserve">Budynki!F16</t>
  </si>
  <si>
    <t xml:space="preserve">ŁĄCZNIE4T: transportT +budowa3T.</t>
  </si>
  <si>
    <t xml:space="preserve">ŁĄCZNIE4T: transportT +(budowa3Tx aktualny level-1)</t>
  </si>
  <si>
    <t xml:space="preserve">Budynki!J16</t>
  </si>
  <si>
    <t xml:space="preserve">Premium, zbuduj 2 x szybciej, zbuduj natychmiast (oba jak masz zasoby) kup budynek jak nie masz surowców 
Nowe błogosławieństwo: kasa/challenge/udostępnienie/reklama. Zgodnie z decyzją użytkownika szczegóły ODŁOŻONE. Brak cen ani zatwierdzonej integracji.</t>
  </si>
  <si>
    <t xml:space="preserve">Budynki!F17</t>
  </si>
  <si>
    <t xml:space="preserve">ŁĄCZNIE6T: transportT +budowa5T.</t>
  </si>
  <si>
    <t xml:space="preserve">ŁĄCZNIE6T: transportT +budowa4T.</t>
  </si>
  <si>
    <t xml:space="preserve">Budynki!J17</t>
  </si>
  <si>
    <t xml:space="preserve">Budynki!K17</t>
  </si>
  <si>
    <t xml:space="preserve">'=TEXT('Czas budowy'!S39,"0.00")&amp;" h łącznie; T="&amp;TEXT('Czas budowy'!P39,"0.00")&amp;" h, budowa="&amp;TEXT('Czas budowy'!R39,"0.00")&amp;" h. Założenia: Czas budowy / D02."</t>
  </si>
  <si>
    <t xml:space="preserve">Budynki!M18</t>
  </si>
  <si>
    <t xml:space="preserve">Nie dotyczy — osoba nie ma rozbudowy1→2.</t>
  </si>
  <si>
    <t xml:space="preserve">Budynki!N18</t>
  </si>
  <si>
    <t xml:space="preserve">Budynki!O18</t>
  </si>
  <si>
    <t xml:space="preserve">Czlowiek!C7</t>
  </si>
  <si>
    <t xml:space="preserve">12 wolnych na starcie; przypisanie możliwe od razu.</t>
  </si>
  <si>
    <t xml:space="preserve">12 wolnych na starcie; przypisanie możliwe od razu. Na starcie ludzie są w "Domu"</t>
  </si>
  <si>
    <t xml:space="preserve">Czlowiek!C8</t>
  </si>
  <si>
    <t xml:space="preserve">0…12×poziom ratusza na budynek; zatrudnić można najwyżej obecnych wolnych ludzi.</t>
  </si>
  <si>
    <t xml:space="preserve">0…12×poziom ratusza na budynek; zatrudnić można najwyżej obecnych wolnych ludzi. UWAGA ZMIANA na poziomie 1 mam 24 ludzi wiec w w kazdym gospodarstwie mogę mieć połowę limitu czyli 12 (o ile mam tylu ludzi i o ile są dostępni w domu), niezależnie od poziomu ratusza póki nie zwiększe poziomu budynky nie mogę mieć wiecej, jeżeli np drwala podniosę do poziomu  2 to mogę mieć połowę maxa czyli 24 etc, a nie mogę podnieść drwala nie podnosząc ratusza bo to jest prerequisit </t>
  </si>
  <si>
    <t xml:space="preserve">Czlowiek!C21</t>
  </si>
  <si>
    <t xml:space="preserve">0min w poprzednim modelu; ewentualne5min wymaga decyzji.</t>
  </si>
  <si>
    <t xml:space="preserve">5min.</t>
  </si>
  <si>
    <t xml:space="preserve">Czlowiek!D21</t>
  </si>
  <si>
    <t xml:space="preserve">Nie dopisano symetrycznej drogi do pracy jako uzgodnionej reguły.</t>
  </si>
  <si>
    <t xml:space="preserve">Nie pracuje, nie płaci podatku; je i jest liczony jako bezrobotny od zwolnienia. Zachowuje ID i szczęście.</t>
  </si>
  <si>
    <t xml:space="preserve">Czlowiek!C22</t>
  </si>
  <si>
    <t xml:space="preserve">−10 od razu; po24h−20;48h−30;72h−40;96h i dalej−50.</t>
  </si>
  <si>
    <t xml:space="preserve">−10 od razu; po24h−20;48h−30;72h−40;96h i dalej−50. nie schodzi poniżej -50 </t>
  </si>
  <si>
    <t xml:space="preserve">Czlowiek!C28</t>
  </si>
  <si>
    <t xml:space="preserve">0%=0; ±25%=1/12h; ±50%=1/6h; ±75%=1/ok.1h43; ±100%=1/h.</t>
  </si>
  <si>
    <t xml:space="preserve">0%=0; ±25%=1/12h; ±50%=1/6h; ±75%=1/ok.1h43; ±100%=1/h. Do limitu Ratusza a nie domu </t>
  </si>
  <si>
    <t xml:space="preserve">Czlowiek!D28</t>
  </si>
  <si>
    <t xml:space="preserve">Minimum6, maksimum24×ratusz. Ustalono tempo ubytku, nie fabularne rozróżnienie śmierci/odejścia.</t>
  </si>
  <si>
    <t xml:space="preserve">Minimum6, maksimum24×ratusz. Ustalono tempo ubytku, nie fabularne rozróżnienie śmierci/odejścia. Tempo odejścia takie samo jak tempo przyrostu w sensie analogicznie ale na minus. Z Zastrzeżeniem że nie można mieć mniej niż 6 osób.</t>
  </si>
  <si>
    <t xml:space="preserve">Czlowiek!C29</t>
  </si>
  <si>
    <t xml:space="preserve">Pauza, ukrycie karty i offline zatrzymują mechanikę.</t>
  </si>
  <si>
    <t xml:space="preserve">Pauza, ukrycie karty i offline zatrzymują mechanikę. Tu zmiana, czas jest czasem realnym, tzn jeżeli gram karta aktywna I mam info że budynek sie robi 2 h to on sie robi 2h realne zegarowe, jeżeli sie wyloguje zamknę kartę to wciąż ten budynek będzie sie robił 2 h, guziki przyspieszenia czasu działają czasowo powiązane są z premiami </t>
  </si>
  <si>
    <t xml:space="preserve">Czlowiek!D29</t>
  </si>
  <si>
    <t xml:space="preserve">Nowy portowy próg24h i okno zakupów3h wymagają wyboru czasu aktywnego lub zegarowego.</t>
  </si>
  <si>
    <t xml:space="preserve">Nowy portowy próg24h i okno zakupów3h wymagają wyboru czasu aktywnego lub zegarowego., zegarowy</t>
  </si>
  <si>
    <t xml:space="preserve">Ustalenia - uwagi!E9</t>
  </si>
  <si>
    <t xml:space="preserve">Poziom gracza=poziom Ratusza. 
W ustawieniach trzeba dodać ranking, ranking ustalany jako level x ilość złota </t>
  </si>
  <si>
    <t xml:space="preserve">Ustalenia - uwagi!E19</t>
  </si>
  <si>
    <t xml:space="preserve">Zwolniony zawsze wraca do domu przez5min; dopiero potem może być ponownie przydzielony.</t>
  </si>
  <si>
    <t xml:space="preserve">Zwolniony zawsze wraca do domu przez5min; dopiero potem może być ponownie przydzielony, I tak samo 5 min idzie w nowe miejsce pracy </t>
  </si>
  <si>
    <t xml:space="preserve">Ustalenia - uwagi!E20</t>
  </si>
  <si>
    <t xml:space="preserve">Nie uzgodniono osobnego czasu dojścia do pracy.</t>
  </si>
  <si>
    <t xml:space="preserve">Nie uzgodniono osobnego czasu dojścia do pracy. Powyżej </t>
  </si>
  <si>
    <t xml:space="preserve">Ustalenia - uwagi!F23</t>
  </si>
  <si>
    <t xml:space="preserve">Zboże wymaga przewozu centralnie przed zużyciem przez młyn.Zboże i drewno leci via magazyn</t>
  </si>
  <si>
    <t xml:space="preserve">Ustalenia - uwagi!F24</t>
  </si>
  <si>
    <t xml:space="preserve">Brak surowca lub miejsca zatrzymuje produkcję. I powoduje karę za brak pracy </t>
  </si>
  <si>
    <t xml:space="preserve">Ustalenia - uwagi!F25</t>
  </si>
  <si>
    <t xml:space="preserve">Ustalenia - uwagi!D30</t>
  </si>
  <si>
    <t xml:space="preserve">AKTUALNE / NOWE DLA PORTU dodaj do targu </t>
  </si>
  <si>
    <t xml:space="preserve">Parametry!B9</t>
  </si>
  <si>
    <t xml:space="preserve">Transport bazowy pracownika</t>
  </si>
  <si>
    <t xml:space="preserve">Transport bazowy pracownika na magazynie poziom1</t>
  </si>
  <si>
    <t xml:space="preserve">Parametry!F9</t>
  </si>
  <si>
    <t xml:space="preserve">Dotychczasowa reguła; głód obniża o połowę.</t>
  </si>
  <si>
    <t xml:space="preserve">Dotychczasowa reguła; głód obniża o połowę. Podniesienie poziomu magazynu zwiększa jak ustalone w innym miejscu, takie same zasady dla targu I przystani </t>
  </si>
  <si>
    <t xml:space="preserve">Decyzje i konflikty!E6</t>
  </si>
  <si>
    <t xml:space="preserve">Maks. przydział docelowy=min(12×ratusz,obecna obsada+wolni). Nie wymaga osobnego wzoru własnego poziomu drwala.</t>
  </si>
  <si>
    <t xml:space="preserve">Maks. przydział docelowy=min(12×ratusz,obecna obsada+wolni). Nie wymaga osobnego wzoru własnego poziomu drwala. Wszędzie tak samo min 0 max połowa z ludzi dostępnych na poziomie budynku od ratusza, czyli ratusz poziom 1 max ludzi 24 wszystkich, max ludzi w każdej z usług 12 Bo to połowa z dostępnych ludzi zakładajc że tyle jest wolnych, jeżei ratusz jest na 2 a np drwal na 1 to nic sie nie zmienia ale jak podniosę drwala do 2 to max dla drwala będzie 24 bo to połowa z 48 etc </t>
  </si>
  <si>
    <t xml:space="preserve">Decyzje i konflikty!I8</t>
  </si>
  <si>
    <t xml:space="preserve">Uwaga zaktaulizowane w innym miejscu </t>
  </si>
  <si>
    <t xml:space="preserve">Decyzje i konflikty!I9</t>
  </si>
  <si>
    <t xml:space="preserve">Kazdy towar jest pobierany z magazynu I oddawany do magazynu aby mógł być użyty. Zgodnie z harmonograem prędkością pracy pracowników portu zdefiniwane w innym miejscu, pamiętaj że to są dwa cykle, z magazynu do portu I z portu na statek, przyjmujemy że statek ma pojemność magazynu portu. jak statek wypływa notyfikacja i zapłata, przy zakupie jak statek przypływa zapłata, rozładunek i transport do magazynu</t>
  </si>
  <si>
    <t xml:space="preserve">Decyzje i konflikty!I10</t>
  </si>
  <si>
    <t xml:space="preserve">tak chodzi o to że jak będę intensywnie coś kupował to cena tego będzie rosła, dostosuj liniowo </t>
  </si>
  <si>
    <t xml:space="preserve">Decyzje i konflikty!I11</t>
  </si>
  <si>
    <t xml:space="preserve">to jest wyjaśnione w innym miejscu towar nie odebrany w 24 h przepada </t>
  </si>
  <si>
    <t xml:space="preserve">Decyzje i konflikty!I12</t>
  </si>
  <si>
    <t xml:space="preserve">tak jak w magazynie z bonusami I zwiększeniem ewektywności zależności od levelu </t>
  </si>
  <si>
    <t xml:space="preserve">Decyzje i konflikty!I13</t>
  </si>
  <si>
    <t xml:space="preserve">błogosławieństwo = kaplica, zwiedzanie = latarnia oba prowadzą do "bonusu/premii"</t>
  </si>
  <si>
    <t xml:space="preserve">Decyzje i konflikty!I14</t>
  </si>
  <si>
    <t xml:space="preserve">nie rozumiem </t>
  </si>
  <si>
    <t xml:space="preserve">Decyzje i konflikty!I16</t>
  </si>
  <si>
    <t xml:space="preserve">jest ok transport + budowa, uwaga zmieniłem w niektroych miejscach czasy budowy do ponownego przeliczenia </t>
  </si>
  <si>
    <t xml:space="preserve">Decyzje i konflikty!I19</t>
  </si>
  <si>
    <t xml:space="preserve">zmienione w innym miejscu</t>
  </si>
  <si>
    <t xml:space="preserve">Decyzje i konflikty!I20</t>
  </si>
  <si>
    <t xml:space="preserve">później, zrób dodatkową zakładkę premium gdzie zbierzemy taki rodzaj akcji </t>
  </si>
  <si>
    <t xml:space="preserve">Decyzje i konflikty!I21</t>
  </si>
  <si>
    <t xml:space="preserve">Decyzje i konflikty!I22</t>
  </si>
  <si>
    <t xml:space="preserve">Decyzje i konflikty!I23</t>
  </si>
  <si>
    <t xml:space="preserve">ubytek odejście nie śmierć zdefiniowane w innym miejscu </t>
  </si>
  <si>
    <t xml:space="preserve">Populacja i szczescie!E6</t>
  </si>
  <si>
    <t xml:space="preserve">Minimum6 osób; maksimum24×poziom ratusza. Narodziny/ubytek nie są liczone skokiem raz na godzinę.</t>
  </si>
  <si>
    <t xml:space="preserve">Minimum6 osób; maksimum24×poziom ratusza. Narodziny/ubytek nie są liczone skokiem raz na godzinę. Zabierasz ludzi z domu, jak nie ma w domu to z gospodarki w której jest ich najwiecej, jak wszędzie jest równo to najpierw z portu, później z produkcji desek, kamieniołomu drwala, na końcu z produkcji z żywności i transportu </t>
  </si>
  <si>
    <t xml:space="preserve">Populacja i szczescie!E11</t>
  </si>
  <si>
    <t xml:space="preserve">Minimum6 osób; maksimum24×poziom ratusza. Narodziny/ubytek nie są liczone skokiem raz na godzinę. Dokładasz ludzi zawsze do domu </t>
  </si>
  <si>
    <t xml:space="preserve">Blogoslawienstwa!B8</t>
  </si>
  <si>
    <t xml:space="preserve">+100 szczęścia i produkcja materiałów×2. Obie premie24h×osiągnięty poziom; podatki/transport bez mnożnika.</t>
  </si>
  <si>
    <t xml:space="preserve">100 szczęścia i produkcja materiałów×2. Obie premie24h×osiągnięty poziom; podatki/transport bez mnożnika. Tu ma być nie + 100 tylko 100 wszyscy są na maksa zadowoleni </t>
  </si>
  <si>
    <t xml:space="preserve">ŹRÓDŁO • oryginalny wklejony tekst</t>
  </si>
  <si>
    <t xml:space="preserve">Treść użytkownika zachowana bez poprawiania literówek ani zmiany wartości. Późniejsze doprecyzowania są zapisane w Start i Decyzje i konflikty. Ten arkusz nie jest modelem ani deklaracją wdrożenia.</t>
  </si>
  <si>
    <t xml:space="preserve">Po co jest w grze</t>
  </si>
  <si>
    <t xml:space="preserve">Liczba ludzi — start / limit</t>
  </si>
  <si>
    <t xml:space="preserve">Koszty rozbudowy</t>
  </si>
  <si>
    <t xml:space="preserve">Czas rozbudowy</t>
  </si>
  <si>
    <t xml:space="preserve">Notyfikacja / Uwagi </t>
  </si>
  <si>
    <t xml:space="preserve">Uwagi 2</t>
  </si>
  <si>
    <t xml:space="preserve">Płatatne 
1 kasa
2 fb/instagram
3 reklama</t>
  </si>
  <si>
    <t xml:space="preserve">szacunek czasu rozbudowy l1-l2 (doable path)</t>
  </si>
  <si>
    <t xml:space="preserve">szacunek czasu rozbudowy l2-l3 (doable path)</t>
  </si>
  <si>
    <t xml:space="preserve">szacunek czasu rozbudowy l3-l4 (doable path)</t>
  </si>
  <si>
    <t xml:space="preserve">Wyznacza poziom gry i limity rozwoju, jest też skarbcem </t>
  </si>
  <si>
    <t xml:space="preserve">brak własnych pracowników</t>
  </si>
  <si>
    <t xml:space="preserve">+24 limitu mieszkańców, wyższy limit innych budynków, +1 budowa i kolejka, +200 pojemności każdego producenta</t>
  </si>
  <si>
    <t xml:space="preserve">500 × L każdego zasobu</t>
  </si>
  <si>
    <t xml:space="preserve">3T</t>
  </si>
  <si>
    <t xml:space="preserve">Gotowe</t>
  </si>
  <si>
    <t xml:space="preserve">zawsze notyfikacja o zakończonej budowie</t>
  </si>
  <si>
    <t xml:space="preserve">tbc</t>
  </si>
  <si>
    <t xml:space="preserve">Zapewnia mieszkania</t>
  </si>
  <si>
    <t xml:space="preserve">brak własnych pracowników ale brak miejsc przy podniesionym poziomie wpływa na szczęście zgodnie z algoprytmem (wpisz go tu)</t>
  </si>
  <si>
    <t xml:space="preserve">+24 miejsca; ogranicza karę za przeludnienie</t>
  </si>
  <si>
    <t xml:space="preserve">zawsze notyfikacja o zakończonej budowie, dodatkowo o przeludnieniu</t>
  </si>
  <si>
    <t xml:space="preserve">Produkuje zboże</t>
  </si>
  <si>
    <t xml:space="preserve">0/ limit</t>
  </si>
  <si>
    <t xml:space="preserve">Korzyść z własnego poziomu do ustalenia</t>
  </si>
  <si>
    <t xml:space="preserve">L × (72 drewna + 72 kamienia + 120 zboża)</t>
  </si>
  <si>
    <t xml:space="preserve">2T</t>
  </si>
  <si>
    <t xml:space="preserve">Produkcja działa; efekt rozbudowy wieksza możliwosć produkcji zboża bo mogę mieć wiecej pracowników </t>
  </si>
  <si>
    <t xml:space="preserve">zawsze notyfikacja o zakończonej budowie, ; pełny magazyn </t>
  </si>
  <si>
    <t xml:space="preserve">jak pełny magazyn to spadek szczęscia zgodnie z ustaleniem (napisz), srawdz także jaki jest czas "dojscia zejscia pracownika z gospdarki do domu </t>
  </si>
  <si>
    <t xml:space="preserve">2 zboża → 1 żywność</t>
  </si>
  <si>
    <t xml:space="preserve">L × (72 drewna + 72 kamienia + 120 żywności)</t>
  </si>
  <si>
    <t xml:space="preserve">Produkcja działa; efekt rozbudowy wieksza możliwosć produkcji  bo mogę mieć wiecej pracowników </t>
  </si>
  <si>
    <t xml:space="preserve">Produkują drewno</t>
  </si>
  <si>
    <t xml:space="preserve">L × (192 drewna + 72 kamienia)</t>
  </si>
  <si>
    <t xml:space="preserve">2 drewna → 1 deska</t>
  </si>
  <si>
    <t xml:space="preserve">L × (72 drewna + 72 kamienia + 120 desek)</t>
  </si>
  <si>
    <t xml:space="preserve">Produkuje kamień</t>
  </si>
  <si>
    <t xml:space="preserve">L × (72 drewna + 192 kamienia)</t>
  </si>
  <si>
    <t xml:space="preserve">Przechowuje i transportuje materiały</t>
  </si>
  <si>
    <t xml:space="preserve">Pojemność na rodzaj i łączna ×1,5</t>
  </si>
  <si>
    <t xml:space="preserve">Produkcja działa; efekt rozbudowy wieksza możliwosć produkcji  bo mogę mieć wiecej pracowników, na każdym lewelu zwiększa sie też o 10% pojemność tragaży. Zwykła  produkcję np drewno lub materioały do rozbudowy np farmy muszą na miejsce zanieść tragaże z magazynu, natomiast jedzenie ludzie pobierają w sposób automagiczny bez koniecznosci jakiejkolwiek akcji jeżeli tylko jest w magazynie, jeżeli w magazynie jest mniej niż 50 jedzenia tragaże nie mogą go wynieść bo to jest rezerwa na żywienie</t>
  </si>
  <si>
    <t xml:space="preserve">zawsze notyfikacja o zakończonej budowie, ; pełny magazyn. </t>
  </si>
  <si>
    <t xml:space="preserve">Jaka tu była pojemność ustalona przypomnij taką samą daj w przytani ale tam za towar który jest dłużej nić 24 godziny skasuj 10 monet</t>
  </si>
  <si>
    <t xml:space="preserve">Od poziomu 2 wymienia towary z marżą 10%</t>
  </si>
  <si>
    <t xml:space="preserve">0 / limit po odblokowaniu</t>
  </si>
  <si>
    <t xml:space="preserve">Pojemność ×1,5: 1000, 1500, 2250…</t>
  </si>
  <si>
    <t xml:space="preserve">Od poziomu 4 umożliwia handel za monety</t>
  </si>
  <si>
    <t xml:space="preserve">Korzyść kolejnych poziomów do ustalenia</t>
  </si>
  <si>
    <t xml:space="preserve">Handel działa; kupować I sprzedawać można wszystko dostając złoto lub płacąc złotem, załoga przystani ma ładować statki wiec potyrzebny jest czas na przyniesienie z magazynu (ludzie z magazybnu nie zaopatrują przystani) oraz identyczny czas na załadowanie statku, handować można tylko pełnymi setkami, ceny drewno kamien i zboże 40 sprzedaż 50 kupno (za 100) deski i żywnośći 70 i 80 ale przy każdym drugim zakupie (drugi ilość a nie wartość) i kolejnym w cuiągu ostatnuich 3 hj dodawaj 10% do cen</t>
  </si>
  <si>
    <t xml:space="preserve">zawsze notyfikacja o zakończonej budowie, notyfikacja o pełnym magazynie </t>
  </si>
  <si>
    <t xml:space="preserve">Premie szczęścia, podatków i błogosławieństwa</t>
  </si>
  <si>
    <t xml:space="preserve">brak ludzi </t>
  </si>
  <si>
    <t xml:space="preserve">+1 użycie błogosławieństwa; +10 × N szczęścia i podatki ×2 przez 10 h</t>
  </si>
  <si>
    <t xml:space="preserve">Tymczasowo N × (180 monet + 20 drewna + 60 kamienia + 10 desek)</t>
  </si>
  <si>
    <t xml:space="preserve">4T</t>
  </si>
  <si>
    <t xml:space="preserve">Premie gotowe; koszt do ustalenia</t>
  </si>
  <si>
    <t xml:space="preserve">zawsze notyfikacja o zakończonej budowie; </t>
  </si>
  <si>
    <t xml:space="preserve">premia (przypomij jaka); błogosławieństwo</t>
  </si>
  <si>
    <t xml:space="preserve">Wspiera szczęście i produkcję</t>
  </si>
  <si>
    <t xml:space="preserve">+100 szczęścia i produkcja ×2 przez 24 h × N</t>
  </si>
  <si>
    <t xml:space="preserve">500 × max(1, L) każdego zasobu</t>
  </si>
  <si>
    <t xml:space="preserve">6T</t>
  </si>
  <si>
    <t xml:space="preserve">zawsze notyfikacja o zakończonej budowie;; uruchomienie premii </t>
  </si>
  <si>
    <t xml:space="preserve">Błogosławieństwo: +50 każdego zasobu, +20 szczęścia na 1 h, każde kolejne możłiwe jest + 25% czas później czyli 0, 1 , 215, etc można dokupić albio płacąc albo przec challenge albo przez udostępnienie albo przez reklamę, dokupienuie daje pojedyńcze błofgosławieństwo, natychmiast, jak obejrzyz reklamę 60 sek to zmjniejsza sie czas oczekiwania o połowę, możesz obejrzeć 2 reklamy na 1h grania</t>
  </si>
  <si>
    <t xml:space="preserve">Do tego co napisaliśmy o człowiekach czy ustatliliśmy ilu przybywa jak jest szczęście a ilu umiera jak go nie ma </t>
  </si>
  <si>
    <t xml:space="preserve">ŹRÓDŁO V3 • oryginalne wpisy</t>
  </si>
  <si>
    <t xml:space="preserve">Dokładna zawartość docs/arkusze/pomysły z commit748b1eb; odpowiada nowej wiadomości użytkownika. Pisownia źródła zachowana. Wiążące zasady są uporządkowane w pozostałych zakładkach; nie zmieniamy starszych plików.</t>
  </si>
  <si>
    <t xml:space="preserve">Wiersz źródła</t>
  </si>
  <si>
    <t xml:space="preserve">Wpis dosłowny</t>
  </si>
  <si>
    <t xml:space="preserve">Źródło / obsługa</t>
  </si>
  <si>
    <t xml:space="preserve">shakomat na komórkę z kólką </t>
  </si>
  <si>
    <t xml:space="preserve">docs/arkusze/pomysły — 748b1eb</t>
  </si>
  <si>
    <t xml:space="preserve">ekspedycje </t>
  </si>
  <si>
    <t xml:space="preserve">wyzwania do latarni </t>
  </si>
  <si>
    <t xml:space="preserve">ustalmy że 1 PLN = 10 monet </t>
  </si>
  <si>
    <t xml:space="preserve">za przyspieszenie budynku user musi zapłacić 1 montetę za jedną pełną minutę, ma możłiwość skrócić budowę o 25%, 50% i 75% </t>
  </si>
  <si>
    <t xml:space="preserve">z produkcji wysłanie całego magazynu = ilość pełnych kursów tragaża x 10 monet </t>
  </si>
  <si>
    <t xml:space="preserve">z magazynu na budowę jak wyżej </t>
  </si>
  <si>
    <t xml:space="preserve">z magzynu do z targu portu jak wyżej </t>
  </si>
  <si>
    <t xml:space="preserve">kupno budynku bez zasobów = cenie tych zasobów w porcie x 1.25 + czas jak wyżej </t>
  </si>
  <si>
    <t xml:space="preserve">1000 montet za pochwalenie sie że gram </t>
  </si>
  <si>
    <t xml:space="preserve">500 monet za informację o przejściu na kolejny level </t>
  </si>
  <si>
    <t xml:space="preserve">1000 monet za polecenie inne osobie która sie zaloguje i dodatkowe 500 wszystkiego jak jest 3 dzien aktywna </t>
  </si>
  <si>
    <t xml:space="preserve">1000 monet za każdy 3 post na fb</t>
  </si>
  <si>
    <t xml:space="preserve">(tu sprawdź czy są inne podobne do fb platformy też chce je pospamować) </t>
  </si>
  <si>
    <t xml:space="preserve">prawy górny róg aktualne zadania </t>
  </si>
  <si>
    <t xml:space="preserve">wyświetlasz 3 randomowe zadania dla latarni wymyśl coś remont, barierki dla zwiedzających, naprawa lampy whatever coś co pasuje do narracji latarni </t>
  </si>
  <si>
    <t xml:space="preserve">zadania zawsze są trzy małe średnie u duże </t>
  </si>
  <si>
    <t xml:space="preserve">zadanie małe = 2 produkty, w ilości od 2 godzinnej do 6 h produkcji z maksymalnym aktualnym lewelem czyli jeżeli drwal na 1 może mieć 12 ludzi to od (12x2x10) do 12x6x10) </t>
  </si>
  <si>
    <t xml:space="preserve">średnie = od 3 do 8 (ale nie mniejsze niż aktualne małe) 2-3 produkty random</t>
  </si>
  <si>
    <t xml:space="preserve">duże = od 4 do 10 (ale nie mniejsze niż aktualne średnie) 4 produkty</t>
  </si>
  <si>
    <t xml:space="preserve">nagrody zawsze mają sie wyświetlać </t>
  </si>
  <si>
    <t xml:space="preserve">zadania sie zmieniają w czasie co 6 h jest nowe, zawsze jakieś jest, licznik bijej dla każdego niezależnie,</t>
  </si>
  <si>
    <t xml:space="preserve">jeżeli kliknę zadanie w ciągu pierwszych 5 min jak sie pojawia mam to co nagrodą x 2 w pierwszych 15 sekundach x 3</t>
  </si>
  <si>
    <t xml:space="preserve">w każdym zadaniu jest nagroda znowu zrób randomowo, złoto w ilości od 100 do 200 za 1, do 400 za drugie, do 600 za trzecie + towary randomwo co nie mniej niż 50 nie wiecej niż 1000</t>
  </si>
  <si>
    <t xml:space="preserve">"wpłatę" na zadania możesz zlecić w ratach, wpłata jest bezpośrednio z magazynu nie ma tragarza, nie można wypłacić, ma sie wyświetlać 100/200 jak zadanie ulegnie przedawnieniu bo jego czas minie trace to co wpłaciłem </t>
  </si>
  <si>
    <t xml:space="preserve">poniżej po prawej są też ekspedycje ma być dostępnych zawsze kilka</t>
  </si>
  <si>
    <t xml:space="preserve">ekspedycje mają dawać złoto i tylko złoto </t>
  </si>
  <si>
    <t xml:space="preserve">ma sie pojawiać tarcza ekspedycji w postaci labiryntu i pileczki która będzie do wrzucenia do środka lub odgadywanie takich samych puzzli </t>
  </si>
  <si>
    <t xml:space="preserve">(osobno opisze to później) </t>
  </si>
  <si>
    <t xml:space="preserve">po przejściu dostajesz nagrodę, i tam będą poziomy</t>
  </si>
  <si>
    <t xml:space="preserve">ale ma to działać tak że wygrasz pierwszy poziom dostajesz 50 monten - możesz wyplacić do gry na wyspę lub postawić na dalszą gre</t>
  </si>
  <si>
    <t xml:space="preserve">jak przejdziesz drugie i każde kolejne to masz o 100% wiecej, ale jak przegrasz tracisz wszystko </t>
  </si>
  <si>
    <t xml:space="preserve">ekspedycje są na czas lub na ilość ruchów </t>
  </si>
  <si>
    <t xml:space="preserve">można dokupić dodatkowy czas lub ruchy monetami lub obejrzeniem reklamy </t>
  </si>
  <si>
    <t xml:space="preserve">reklama będzie np samej gry ale póxniej będą reklamy zewnętrzne max 30 sek </t>
  </si>
  <si>
    <t xml:space="preserve">w reklamie zawsze będzie 1 sek ukrytego przekazu do wpisania gdzieś (o tym później)</t>
  </si>
  <si>
    <t xml:space="preserve">TWOJE WPISY V4 • pełne archiwum zmian</t>
  </si>
  <si>
    <t xml:space="preserve">37 zmian względem wersji 2, na której pracowano w pliku HARBORLIGHT4-zasady.xlsx. Oryginał 4 pozostaje bez zmian. Wersja 5 łączy te wpisy z pomysłami, dodatkami wersji 3 i późniejszymi potwierdzeniami.</t>
  </si>
  <si>
    <t xml:space="preserve">Twój wpis z pliku 4 — dosłownie</t>
  </si>
  <si>
    <t xml:space="preserve">Uwzględnienie w wersji 5</t>
  </si>
  <si>
    <t xml:space="preserve">Start!D14</t>
  </si>
  <si>
    <t xml:space="preserve">usunąć znaczki stop play I przewin w prawym górnym rogu </t>
  </si>
  <si>
    <t xml:space="preserve">Uwzględniono w aktualnych zasadach albo zachowano jako odnośnik. Niewybrane szczegóły oznaczono do późniejszej decyzji.</t>
  </si>
  <si>
    <t xml:space="preserve">Start!D16</t>
  </si>
  <si>
    <t xml:space="preserve">w wersji 3 już rozpisane </t>
  </si>
  <si>
    <t xml:space="preserve">Start!D17</t>
  </si>
  <si>
    <t xml:space="preserve">odejścia 1 dom, póxniej tam gdzie wiecej, gdy remis port, kamieniołom, tartak, drwal, farma, wiatrak, transport </t>
  </si>
  <si>
    <t xml:space="preserve">Buduj 2× szybciej / buduj natychmiast — tylko przy posiadaniu zasobów; kup budynek bez surowców. Ceny i zakres przyspieszenia do późniejszej decyzji; patrz Premium.</t>
  </si>
  <si>
    <t xml:space="preserve"> patrz Premium. Doprecyzowane w kolejnej edycji </t>
  </si>
  <si>
    <t xml:space="preserve">Buduj 2× szybciej / buduj natychmiast — tylko przy posiadaniu zasobów; kup budynek bez surowców. Ceny i zakres przyspieszenia do późniejszej decyzji; patrz Premium. Dodatkowo w premium: transport one-click / szybszy transport; patrz Premium.</t>
  </si>
  <si>
    <t xml:space="preserve">Budynki!E9</t>
  </si>
  <si>
    <t xml:space="preserve">L×(72 drewna+72 kamienia+120 żywności)</t>
  </si>
  <si>
    <t xml:space="preserve">Budynki!E10</t>
  </si>
  <si>
    <t xml:space="preserve">L×(192 drewna+72 kamienia)</t>
  </si>
  <si>
    <t xml:space="preserve">Budynki!E11</t>
  </si>
  <si>
    <t xml:space="preserve">L×(72 drewna+72 kamienia+120 desek)</t>
  </si>
  <si>
    <t xml:space="preserve">Budynki!E12</t>
  </si>
  <si>
    <t xml:space="preserve">L×(72 drewna+192 kamienia)</t>
  </si>
  <si>
    <t xml:space="preserve">Czlowiek!H10</t>
  </si>
  <si>
    <t xml:space="preserve">Decyzja 50 x level </t>
  </si>
  <si>
    <t xml:space="preserve">Czlowiek!G13</t>
  </si>
  <si>
    <t xml:space="preserve">podatek płaci ale jest mniej szczęsliwy </t>
  </si>
  <si>
    <t xml:space="preserve">Czlowiek!G15</t>
  </si>
  <si>
    <t xml:space="preserve">podatek płaci przez cały czas</t>
  </si>
  <si>
    <t xml:space="preserve">Czlowiek!G22</t>
  </si>
  <si>
    <t xml:space="preserve">wytłumaczone poniżej </t>
  </si>
  <si>
    <t xml:space="preserve">Czlowiek!G23</t>
  </si>
  <si>
    <t xml:space="preserve">tak, zaczyna pracować I płacić podatek jak dociera do zakładu, </t>
  </si>
  <si>
    <t xml:space="preserve">Czlowiek!G25</t>
  </si>
  <si>
    <t xml:space="preserve">zatosuj karę I logikę jak linia niżej </t>
  </si>
  <si>
    <t xml:space="preserve">Czlowiek!G26</t>
  </si>
  <si>
    <t xml:space="preserve">tu nie ma kwestii opróżnienia poniżej limitu. Lokalny magazyn pridukcji może być całkiem opóźniony kara jest tylko wtedy gdy magazyn okalny blokuje produkcje - dottczy tylko tych ludków co są w tym przedsiębiorstwie na czas przestoju, jak kliknę aby przeszli do domu, to po drodze ich licznik sie resetuje do 0, jak będę ich trzymał mimo braku odbiorów do magazynu głównego to ich szczęscie spada do -50 nie wiecej </t>
  </si>
  <si>
    <t xml:space="preserve">Czlowiek!G29</t>
  </si>
  <si>
    <t xml:space="preserve">płatne błogosławieństwo kosztuje 100 x level, efekt daje taki sam, nie można mieć ich wiecej niż 1 na 4 h </t>
  </si>
  <si>
    <t xml:space="preserve">Czlowiek!G30</t>
  </si>
  <si>
    <t xml:space="preserve">po ustaniu premi wracamy do stanu sprzed premii </t>
  </si>
  <si>
    <t xml:space="preserve">Czlowiek!G31</t>
  </si>
  <si>
    <t xml:space="preserve">czas pobytu 4 h, ilosć pracowników jakich mogę wysłać 2 x poziom, mogę wtsłać tylko pracowników z domu, podnoszą poziom szczęścia tym którzy idą zwiedzać do 100% niezależnie od stanu wcześniej na 24 h, całości dają + 10 % na 6 , człowiek nie płaci wtedy podatku, je normalnie</t>
  </si>
  <si>
    <t xml:space="preserve">Czlowiek!G35</t>
  </si>
  <si>
    <t xml:space="preserve">Czlowiek!G36</t>
  </si>
  <si>
    <t xml:space="preserve">tak, trzeba usunąć ikonkę stop, play przwin</t>
  </si>
  <si>
    <t xml:space="preserve">Czlowiek!G37</t>
  </si>
  <si>
    <t xml:space="preserve">aktualizacja o każdej pełnej godzinie wg stanu zastanego </t>
  </si>
  <si>
    <t xml:space="preserve">Transport i priorytety!F10</t>
  </si>
  <si>
    <t xml:space="preserve">ludzi z transportu zabierasz na końcu wyjaśnione w innej komórce, dodatkowo jeżeli jedzenie jest poniżej minimum w magazynie a jest w młynie, to nie mogę zabrać wszystkich osób z transportu </t>
  </si>
  <si>
    <t xml:space="preserve">Transport i priorytety!F12</t>
  </si>
  <si>
    <t xml:space="preserve">Eta jako suma czasu tarnsportu I budowy, ale jak np zmienie prio transportu to czas sie przeliczy na nowo </t>
  </si>
  <si>
    <t xml:space="preserve">Transport i priorytety!F15</t>
  </si>
  <si>
    <t xml:space="preserve">czas rejsu 5 min zwawsze, momenty schodzą z konta w momencie tranzakcji </t>
  </si>
  <si>
    <t xml:space="preserve">Transport i priorytety!F17</t>
  </si>
  <si>
    <t xml:space="preserve">zdefiniowane w innej komórce</t>
  </si>
  <si>
    <t xml:space="preserve">Transport i priorytety!F18</t>
  </si>
  <si>
    <t xml:space="preserve">opisane w innej komórce</t>
  </si>
  <si>
    <t xml:space="preserve">TWOJE WPISY V6 • archiwum źródłowe</t>
  </si>
  <si>
    <t xml:space="preserve">85 różnic między przesłanym plikiem 6 a poprzednim plikiem 5, łącznie ze starszymi opisami wizyt. Wpisy poniżej są dosłowne i historyczne; najnowsze decyzje D01–D17 mają pierwszeństwo. Oryginał 6 pozostaje niezmieniony.</t>
  </si>
  <si>
    <t xml:space="preserve">Komórka</t>
  </si>
  <si>
    <t xml:space="preserve">Poprzednia treść (v5)</t>
  </si>
  <si>
    <t xml:space="preserve">Treść przesłana w v6 — dosłownie</t>
  </si>
  <si>
    <t xml:space="preserve">Uwzględnienie</t>
  </si>
  <si>
    <t xml:space="preserve">Start!E10</t>
  </si>
  <si>
    <t xml:space="preserve">Uwzględniono w zasadach v7 albo zachowano jako historyczny zapis. Najnowsze rozstrzygnięcie: Decyzje v7.</t>
  </si>
  <si>
    <t xml:space="preserve">Start!B15</t>
  </si>
  <si>
    <t xml:space="preserve">Kaplica: płatne błogosławieństwo 100 × poziom, maks. 1/4 h. Latarnia: Pobyt 4 h bez czasu dojścia i możliwości wycofania. Maksymalnie 2 × poziom latarni osób jednocześnie; wysyłamy tylko wolnych mieszkańców z domu. Po powrocie każdy uczestnik otrzymuje 100% szczęścia na 24 h. Jedna wysłana grupa daje całej populacji +10 pp przez czas do doprecyzowania: 4 h w nowym przykładzie, wcześniej 6 h. Premie osobnych grup sumują się przez czas nakładania.</t>
  </si>
  <si>
    <t xml:space="preserve">Płatne błogosławieństwo kaplicy: 100 × poziom kaplicy monet, maksymalnie 1 użycie na 4 h. Zwiedzanie latarni: pobyt 4 h dla maks. 2 × poziom latarni osób z domu; szczęście uczestników 100% przez 24 h i premia dla populacji.</t>
  </si>
  <si>
    <t xml:space="preserve">Start!C15</t>
  </si>
  <si>
    <t xml:space="preserve">Czlowiek / Blogoslawienstwa. Powrót uruchamia premie i 24 h blokadę osobistą; grupy mają niezależne terminy. Jedyny zgłoszony konflikt: 4 h czy 6 h premii populacji.</t>
  </si>
  <si>
    <t xml:space="preserve">Czlowiek / Blogoslawienstwa; brakujące jednostki i kumulacje opisane jawnie.</t>
  </si>
  <si>
    <t xml:space="preserve">Start!F16</t>
  </si>
  <si>
    <t xml:space="preserve">Start!F17</t>
  </si>
  <si>
    <t xml:space="preserve">Start!B19</t>
  </si>
  <si>
    <t xml:space="preserve">Pozostałe szczegóły: bonus pracy podczas przestoju, brakujące pozycje kolejności odejść, moment transakcji portowej i szczegóły Premium. Czas globalnej premii wizyt oczekuje na doprecyzowanie: 4 h czy 6 h.</t>
  </si>
  <si>
    <t xml:space="preserve">Pozostałe szczegóły: bonus szczęścia za pracę podczas postoju, niepełna kolejność remisów, początek i kumulacja premii zwiedzania, moment transakcji portowej oraz szczegóły Premium.</t>
  </si>
  <si>
    <t xml:space="preserve">Patrz Premium — aktualny cennik oraz kalkulatory kosztów i czasu. Przy transporcie płatny jest także ostatni niepełny kurs.</t>
  </si>
  <si>
    <t xml:space="preserve">Patrz Premium — aktualny cennik oraz kalkulatory kosztów i czasu. Przy transporcie płatny jest także ostatni niepełny kurs. Premium za extra cenę 25%wartości surowców których jeszcze nie ma w nmagazynie a na pewno sie wyprodukują daje możliwość zakolejkować budowę na którą nie mamy materiałów, a będziemy mieli z produkcji, przykład mam 200 kamienia w magazynie głównym i 200 w magazynie producenta, kolejkuje budowę budynku gdzie potrzebuje 300, musze zapłacić 25% od wartosci różnicy czyli 25% od 100, i mogę iść spać, jak transport sie dokończy budowa sie zacznie </t>
  </si>
  <si>
    <t xml:space="preserve">Budynki!D17</t>
  </si>
  <si>
    <t xml:space="preserve">Rozbudowa: 100% szczęścia i produkcja ×2 przez 24 h × nowy poziom. Zwiedzanie: Pobyt 4 h bez czasu dojścia i możliwości wycofania. Maksymalnie 2 × poziom latarni osób jednocześnie; wysyłamy tylko wolnych mieszkańców z domu. Po powrocie każdy uczestnik otrzymuje 100% szczęścia na 24 h. Jedna wysłana grupa daje całej populacji +10 pp przez czas do doprecyzowania: 4 h w nowym przykładzie, wcześniej 6 h. Premie osobnych grup sumują się przez czas nakładania.</t>
  </si>
  <si>
    <t xml:space="preserve">Rozbudowa: 100% szczęścia i produkcja ×2 przez 24 h × nowy poziom. Zwiedzanie: pobyt 4 h, do 2 × poziom latarni wolnych osób z domu; osobiste 100% przez 24 h i premia populacji +10 przez 6 h (jednostka 6 h jest interpretacją wpisu).</t>
  </si>
  <si>
    <t xml:space="preserve">Budynki!I17</t>
  </si>
  <si>
    <t xml:space="preserve">Ponowne wysłanie konkretnego mieszkańca dopiero 24 h od powrotu. Miejsce zwalnia się po 4 h pobytu i można wysłać inną uprawnioną osobę. Zwiedzający nie produkują, nie płacą podatku i jedzą normalnie. Po zakończeniu premii latarni wracamy do stanu sprzed premii. Zadania latarni są osobną mechaniką z terminem 6 h.</t>
  </si>
  <si>
    <t xml:space="preserve">Po zakończeniu premii latarni przywracamy stan szczęścia sprzed premii. Zwiedzający nie produkują i nie płacą podatku, jedzą normalnie. Początek i kumulacja premii wizyt pozostają do doprecyzowania. Osobne zadania latarni zachowują reguły V3 i niezależne 6 h terminy.</t>
  </si>
  <si>
    <t xml:space="preserve">Czlowiek!B31</t>
  </si>
  <si>
    <t xml:space="preserve">Pobyt 4 h bez czasu dojścia i możliwości wycofania. Maksymalnie 2 × poziom latarni osób jednocześnie; wysyłamy tylko wolnych mieszkańców z domu. Brak podatku i produkcji, normalne jedzenie.</t>
  </si>
  <si>
    <t xml:space="preserve">Do latarni można wysłać wyłącznie wolne osoby z domu. Pobyt trwa 4 h; zwiedzający nie produkuje, nie płaci podatku i je normalnie z centrali.</t>
  </si>
  <si>
    <t xml:space="preserve">Czlowiek!C31</t>
  </si>
  <si>
    <t xml:space="preserve">Po powrocie każdy uczestnik otrzymuje 100% szczęścia na 24 h. Jedna wysłana grupa daje całej populacji +10 pp przez czas do doprecyzowania: 4 h w nowym przykładzie, wcześniej 6 h. Premie osobnych grup sumują się przez czas nakładania.</t>
  </si>
  <si>
    <t xml:space="preserve">Do2 × poziom latarni osób; osobiste szczęście 100% przez 24 h; populacja +10 przez 6 h.</t>
  </si>
  <si>
    <t xml:space="preserve">Czlowiek!D31</t>
  </si>
  <si>
    <t xml:space="preserve">Ponowne wysłanie konkretnego mieszkańca dopiero 24 h od powrotu. Miejsce zwalnia się po 4 h pobytu i można wysłać inną uprawnioną osobę. Zwiedzający nie produkują, nie płacą podatku i jedzą normalnie. Grupa 2 osób: 12:00 → 16:00. Osobiste 100% i blokada ponownej wizyty do 16:00 następnego dnia; globalnie +10 pp za grupę. Osobne wysłania o 12:00 i 13:00: powroty 16:00 i 17:00; podczas nakładania globalnie +20 pp.</t>
  </si>
  <si>
    <t xml:space="preserve">Limit jako jednoczesna obsada i „na6” jako 6 h/+10pp są jawnymi interpretacjami. Początek premii oraz kumulacja nie są ustalone; nie mnożymy globalnej premii przez liczbę osób.</t>
  </si>
  <si>
    <t xml:space="preserve">Czlowiek!E31</t>
  </si>
  <si>
    <t xml:space="preserve">POTWIERDZONE 23.10.2026; CZAS GLOBALNEJ PREMII DO DOPRECYZOWANIA</t>
  </si>
  <si>
    <t xml:space="preserve">WIZYTA OPISANA V5; SZCZEGÓŁY PREMII OZNACZONE</t>
  </si>
  <si>
    <t xml:space="preserve">Premium!G7</t>
  </si>
  <si>
    <t xml:space="preserve">Premium!G8</t>
  </si>
  <si>
    <t xml:space="preserve">Premium!G11</t>
  </si>
  <si>
    <t xml:space="preserve">Premium!A12</t>
  </si>
  <si>
    <t xml:space="preserve">Transport całego bufora producenta</t>
  </si>
  <si>
    <t xml:space="preserve">Premium!A13</t>
  </si>
  <si>
    <t xml:space="preserve">Magazyn → budowa</t>
  </si>
  <si>
    <t xml:space="preserve">Premium!G13</t>
  </si>
  <si>
    <t xml:space="preserve">Premium!A14</t>
  </si>
  <si>
    <t xml:space="preserve">Magazyn ↔ targ</t>
  </si>
  <si>
    <t xml:space="preserve">Premium!G14</t>
  </si>
  <si>
    <t xml:space="preserve">Premium!A15</t>
  </si>
  <si>
    <t xml:space="preserve">Magazyn ↔ port</t>
  </si>
  <si>
    <t xml:space="preserve">Premium!G15</t>
  </si>
  <si>
    <t xml:space="preserve">Premium!A16</t>
  </si>
  <si>
    <t xml:space="preserve">Kup budynek bez surowców</t>
  </si>
  <si>
    <t xml:space="preserve">Premium!G16</t>
  </si>
  <si>
    <t xml:space="preserve">Premium!G18</t>
  </si>
  <si>
    <t xml:space="preserve">Premium!G22</t>
  </si>
  <si>
    <t xml:space="preserve">Premium!B27</t>
  </si>
  <si>
    <t xml:space="preserve">Pobyt 4 h bez czasu dojścia i możliwości wycofania. Maksymalnie 2 × poziom latarni osób jednocześnie; wysyłamy tylko wolnych mieszkańców z domu. Opłata za samą wizytę nie została ustalona.</t>
  </si>
  <si>
    <t xml:space="preserve">Wizyta4 h dla do 2 × poziom latarni osób z domu; nie ustalono opłaty za samą wizytę.</t>
  </si>
  <si>
    <t xml:space="preserve">Premium!C27</t>
  </si>
  <si>
    <t xml:space="preserve">Osobiste100% przez 24 h; populacja +10 przez 6 h (jednostki jako interpretacja).</t>
  </si>
  <si>
    <t xml:space="preserve">Premium!D27</t>
  </si>
  <si>
    <t xml:space="preserve">Ponowne wysłanie konkretnego mieszkańca dopiero 24 h od powrotu. Miejsce zwalnia się po 4 h pobytu i można wysłać inną uprawnioną osobę. Zwiedzający nie produkują, nie płacą podatku i jedzą normalnie. Premia zwiedzania jest odrębna od premii rozbudowy.</t>
  </si>
  <si>
    <t xml:space="preserve">Zwiedzający nie płacą podatku, jedzą normalnie. Nie utożsamiamy wizyty z premią rozbudowy latarni.</t>
  </si>
  <si>
    <t xml:space="preserve">Premium!E27</t>
  </si>
  <si>
    <t xml:space="preserve">WIZYTY POTWIERDZONE; CENA NIEOKREŚLONA; CZAS GLOBALNY OTWARTY</t>
  </si>
  <si>
    <t xml:space="preserve">WIZYTA OPISANA V5; CENA NIEOKREŚLONA</t>
  </si>
  <si>
    <t xml:space="preserve">Premium!G27</t>
  </si>
  <si>
    <t xml:space="preserve">Premium - czas!J6</t>
  </si>
  <si>
    <t xml:space="preserve">Premium - budynek!T6</t>
  </si>
  <si>
    <t xml:space="preserve">Zadania latarni!G8</t>
  </si>
  <si>
    <t xml:space="preserve">Zadania latarni!G12</t>
  </si>
  <si>
    <t xml:space="preserve">Zadania latarni!G13</t>
  </si>
  <si>
    <t xml:space="preserve">Zadania latarni!G18</t>
  </si>
  <si>
    <t xml:space="preserve">Zadania latarni!G19</t>
  </si>
  <si>
    <t xml:space="preserve">Zadania latarni!G22</t>
  </si>
  <si>
    <t xml:space="preserve">Zadania latarni!G23</t>
  </si>
  <si>
    <t xml:space="preserve">Zadania latarni!G25</t>
  </si>
  <si>
    <t xml:space="preserve">Zadania latarni!G26</t>
  </si>
  <si>
    <t xml:space="preserve">Zadania przyklady!C19</t>
  </si>
  <si>
    <t xml:space="preserve">Transport i priorytety!C18</t>
  </si>
  <si>
    <t xml:space="preserve">Pobyt 4 h bez czasu dojścia i możliwości wycofania. Maksymalnie 2 × poziom latarni osób jednocześnie; wysyłamy tylko wolnych mieszkańców z domu. Po powrocie każdy uczestnik otrzymuje 100% szczęścia na 24 h. Jedna wysłana grupa daje całej populacji +10 pp przez czas do doprecyzowania: 4 h w nowym przykładzie, wcześniej 6 h. Premie osobnych grup sumują się przez czas nakładania. Ponowne wysłanie konkretnego mieszkańca dopiero 24 h od powrotu. Miejsce zwalnia się po 4 h pobytu i można wysłać inną uprawnioną osobę. Zwiedzający nie produkują, nie płacą podatku i jedzą normalnie. Kaplica: płatne błogosławieństwo 100 × poziom, maks. 1/4 h.</t>
  </si>
  <si>
    <t xml:space="preserve">Latarnia: pobyt 4 h, do 2 × poziom latarni osób z domu; brak podatku, normalne jedzenie; osobiste 100% przez 24 h i premia populacji +10 przez 6 h (jednostki i kumulację opisano jako model). Kaplica: płatne błogosławieństwo 100 × poziom kaplicy, maksymalnie 1 użycie na 4 h.</t>
  </si>
  <si>
    <t xml:space="preserve">Decyzje i konflikty!G14</t>
  </si>
  <si>
    <t xml:space="preserve">Decyzje i konflikty!G15</t>
  </si>
  <si>
    <t xml:space="preserve">Decyzje i konflikty!G16</t>
  </si>
  <si>
    <t xml:space="preserve">Decyzje i konflikty!G17</t>
  </si>
  <si>
    <t xml:space="preserve">Decyzje i konflikty!G18</t>
  </si>
  <si>
    <t xml:space="preserve">Decyzje i konflikty!G20</t>
  </si>
  <si>
    <t xml:space="preserve">Decyzje i konflikty!G21</t>
  </si>
  <si>
    <t xml:space="preserve">Decyzje i konflikty!G22</t>
  </si>
  <si>
    <t xml:space="preserve">Decyzje i konflikty!G24</t>
  </si>
  <si>
    <t xml:space="preserve">Decyzje i konflikty!G26</t>
  </si>
  <si>
    <t xml:space="preserve">Decyzje i konflikty!G27</t>
  </si>
  <si>
    <t xml:space="preserve">Decyzje i konflikty!G28</t>
  </si>
  <si>
    <t xml:space="preserve">Decyzje i konflikty!G29</t>
  </si>
  <si>
    <t xml:space="preserve">Decyzje i konflikty!G30</t>
  </si>
  <si>
    <t xml:space="preserve">Decyzje i konflikty!G31</t>
  </si>
  <si>
    <t xml:space="preserve">Decyzje i konflikty!G32</t>
  </si>
  <si>
    <t xml:space="preserve">Decyzje i konflikty!G33</t>
  </si>
  <si>
    <t xml:space="preserve">Decyzje i konflikty!G35</t>
  </si>
  <si>
    <t xml:space="preserve">Decyzje i konflikty!G36</t>
  </si>
  <si>
    <t xml:space="preserve">Decyzje i konflikty!G37</t>
  </si>
  <si>
    <t xml:space="preserve">Decyzje i konflikty!G38</t>
  </si>
  <si>
    <t xml:space="preserve">Decyzje i konflikty!G39</t>
  </si>
  <si>
    <t xml:space="preserve">Decyzje i konflikty!G40</t>
  </si>
  <si>
    <t xml:space="preserve">Decyzje i konflikty!B41</t>
  </si>
  <si>
    <t xml:space="preserve">CZĘŚCIOWO ROZSTRZYGNIĘTE 23.10.2026</t>
  </si>
  <si>
    <t xml:space="preserve">SZCZEGÓŁ NA PÓŹNIEJ</t>
  </si>
  <si>
    <t xml:space="preserve">Decyzje i konflikty!D41</t>
  </si>
  <si>
    <t xml:space="preserve">Premie startują po powrocie. Osobiste 100% i blokada ponownej wizyty trwają 24 h od powrotu. Odrębne grupy dają sumujące się +10 pp. Pobyt 4 h, bez dojścia i wycofania.</t>
  </si>
  <si>
    <t xml:space="preserve">Nie określono, kiedy zaczyna się 24 h osobistej i 6 h zbiorowej premii, czy limit 2 × poziom jest jednoczesny ani jak łączą się kolejne wizyty.</t>
  </si>
  <si>
    <t xml:space="preserve">Decyzje i konflikty!E41</t>
  </si>
  <si>
    <t xml:space="preserve">Czas premii populacji: czas do doprecyzowania: 4 h w nowym przykładzie, wcześniej 6 h. Jedna grupa dwóch osób daje +10 pp; dwie odrębne grupy po jednej osobie dają podczas nakładania +20 pp.</t>
  </si>
  <si>
    <t xml:space="preserve">Nie wymyślać kumulacji bonusu za każdego zwiedzającego. „Na6” odczytano roboczo jako6 h.</t>
  </si>
  <si>
    <t xml:space="preserve">Decyzje i konflikty!G41</t>
  </si>
  <si>
    <t xml:space="preserve">Decyzje i konflikty!G42</t>
  </si>
  <si>
    <t xml:space="preserve">Decyzje i konflikty!G43</t>
  </si>
  <si>
    <t xml:space="preserve">Decyzje i konflikty!G44</t>
  </si>
  <si>
    <t xml:space="preserve">Ustalenia - uwagi!D203</t>
  </si>
  <si>
    <t xml:space="preserve">POTWIERDZONE 23.10.2026</t>
  </si>
  <si>
    <t xml:space="preserve">Ustalenia - uwagi!E203</t>
  </si>
  <si>
    <t xml:space="preserve">Pobyt 4 h bez czasu dojścia i możliwości wycofania. Maksymalnie 2 × poziom latarni osób jednocześnie; wysyłamy tylko wolnych mieszkańców z domu. Ponowne wysłanie konkretnego mieszkańca dopiero 24 h od powrotu. Miejsce zwalnia się po 4 h pobytu i można wysłać inną uprawnioną osobę. Zwiedzający nie produkują, nie płacą podatku i jedzą normalnie.</t>
  </si>
  <si>
    <t xml:space="preserve">Na zwiedzanie można wysyłać wyłącznie wolnych ludzi z domu. Pobyt trwa 4 godziny. Liczba osób do wysłania: do 2 × poziom latarni, ograniczona dostępnymi ludźmi w domu.</t>
  </si>
  <si>
    <t xml:space="preserve">Ustalenia - uwagi!F203</t>
  </si>
  <si>
    <t xml:space="preserve">Źródło: doprecyzowanie użytkownika 23.10.2026. Grupa wysłana o 12:00 wraca do domu o 16:00. Te osoby mogą wyruszyć ponownie najwcześniej o 16:00 następnego dnia.</t>
  </si>
  <si>
    <t xml:space="preserve">Osoba zwiedzająca nie produkuje i nie płaci podatku; je normalnie z centrali. Liczenie limitu jako jednoczesnej obsady jest roboczą interpretacją; źródło nie podaje osobnego limitu dziennego. Źródło: HARBORLIGHT4-zasady.xlsx — Czlowiek!G31</t>
  </si>
  <si>
    <t xml:space="preserve">Ustalenia - uwagi!D204</t>
  </si>
  <si>
    <t xml:space="preserve">POTWIERDZONE 23.10.2026; CZAS GLOBALNY OTWARTY</t>
  </si>
  <si>
    <t xml:space="preserve">ZATWIERDZONE; CZĘŚĆ JEDNOSTEK MODELOWA</t>
  </si>
  <si>
    <t xml:space="preserve">Ustalenia - uwagi!E204</t>
  </si>
  <si>
    <t xml:space="preserve">Zwiedzający otrzymują szczęście 100% niezależnie od wcześniejszej wartości, a cała populacja dostaje dodatkowe szczęście. Uczestnik: 100% przez 24 h. Cała populacja: +10 pp przez 6 h — jednostka h przy „na6” jest uzupełnieniem redakcyjnym do potwierdzenia.</t>
  </si>
  <si>
    <t xml:space="preserve">Ustalenia - uwagi!F204</t>
  </si>
  <si>
    <t xml:space="preserve">Źródło: doprecyzowanie użytkownika 23.10.2026. Grupa 2 osób: 12:00 → 16:00. Osobiste 100% i blokada ponownej wizyty do 16:00 następnego dnia; globalnie +10 pp za grupę. Osobne wysłania o 12:00 i 13:00: powroty 16:00 i 17:00; podczas nakładania globalnie +20 pp. Nowy przykład podaje globalny efekt 16:00–20:00, wcześniejsza reguła miała 6 h; pytanie o czas pozostaje otwarte.</t>
  </si>
  <si>
    <t xml:space="preserve">Nie określono momentu początku premii, naliczania globalnej premii raz na wizytę/grupę/osobę ani kumulowania kolejnych wizyt. Nie zakładamy mnożenia +10 przez liczbę zwiedzających. Źródło: HARBORLIGHT4-zasady.xlsx — Czlowiek!G31</t>
  </si>
  <si>
    <t xml:space="preserve">Blogoslawienstwa!B9</t>
  </si>
  <si>
    <t xml:space="preserve">Pobyt 4 h bez czasu dojścia i możliwości wycofania. Maksymalnie 2 × poziom latarni osób jednocześnie; wysyłamy tylko wolnych mieszkańców z domu. Po powrocie każdy uczestnik otrzymuje 100% szczęścia na 24 h. Jedna wysłana grupa daje całej populacji +10 pp przez czas do doprecyzowania: 4 h w nowym przykładzie, wcześniej 6 h. Premie osobnych grup sumują się przez czas nakładania.</t>
  </si>
  <si>
    <t xml:space="preserve">Wolni ludzie z domu: do 2 × poziom latarni, pobyt 4 h. Podatek 0, jedzenie normalne. Uczestnicy mają 100% przez 24 h; cała populacja +10 przez 6 h.</t>
  </si>
  <si>
    <t xml:space="preserve">Blogoslawienstwa!C9</t>
  </si>
  <si>
    <t xml:space="preserve">Jednostkę „na6” odczytano roboczo jako 6 h, a +10% jako +10 pp. Początek, kumulacja i jednoczesny charakter limitu do opisania.</t>
  </si>
  <si>
    <t xml:space="preserve">Odpowiedzi i zmiany!C15</t>
  </si>
  <si>
    <t xml:space="preserve">Źródło:701a7d4; oryginał4 zachowany. Pełne wpisy:Twoje wpisy v4. Doprecyzowanie 23.10.2026: pobyt latarni 4 h bez dojścia/wycofania; premie od powrotu; 24 h blokady osobistej; +10 pp na grupę, sumowanie grup. Czas globalnej premii: czas do doprecyzowania: 4 h w nowym przykładzie, wcześniej 6 h.</t>
  </si>
  <si>
    <t xml:space="preserve">REJESTR HISTORYCZNY V6 • zapis sprzed decyzji</t>
  </si>
  <si>
    <t xml:space="preserve">Archiwum 200 wcześniejszych reguł. Pytania, ceny i terminy opisane tutaj mogą być zastąpione. Aktualny stan: Ustalenia - uwagi, Decyzje v7 i właściwe tabele. Oryginalne wpisy i komentarze zachowano.</t>
  </si>
  <si>
    <t xml:space="preserve">Pojemność bufora każdego producenta=200×poziom Ratusza.</t>
  </si>
  <si>
    <t xml:space="preserve">Kara przestoju−10 od blokady, następne−10 co 24 h, maksymalnie−50 z tego tytułu.</t>
  </si>
  <si>
    <t xml:space="preserve">Decyduje faktyczne blokowanie produkcji; reset licznika w drodze do domu, nie automatycznie sama ilość poniżej limitu.</t>
  </si>
  <si>
    <t xml:space="preserve">AKTUALNE; PRZESTÓJ DO DOPRECYZOWANIA</t>
  </si>
  <si>
    <t xml:space="preserve">Jedzenie daje +1 pp/h, a praca osobne +1 pp/h. Wpływ blokady producenta na bonus pracy pozostaje do rozstrzygnięcia w Q07.</t>
  </si>
  <si>
    <t xml:space="preserve">Nakarmiony pracownik od 0% ma 20% po 10 h. Nie przesądzamy bonusu za samo przypisanie podczas przestoju.</t>
  </si>
  <si>
    <t xml:space="preserve">Jedzenie resetuje tylko licznik głodu, a podjęcie pracy tylko licznik bezrobocia. Żaden reset nie zwraca utraconego szczęścia. Szczegóły przestoju producenta: Q07.</t>
  </si>
  <si>
    <t xml:space="preserve">Osobiste szczęście zachowuje się przy zmianie miejsca pracy.</t>
  </si>
  <si>
    <t xml:space="preserve">Głód od razu zmniejsza efektywną wydajność pracy i transportu o 50%.</t>
  </si>
  <si>
    <t xml:space="preserve">Estymaty zakładają nakarmionych. Techniczny wybór mniejszego ładunku/dłuższego kursu jeszcze nieustalony.</t>
  </si>
  <si>
    <t xml:space="preserve">Podatek 1 moneta/h od dotarcia do zakładu; płynie także podczas przestoju przypisanej osoby.</t>
  </si>
  <si>
    <t xml:space="preserve">Bez podatku w drodze, bezrobociu i na zwiedzaniu. Bonus szczęścia za pracę podczas postoju nadal do decyzji.</t>
  </si>
  <si>
    <t xml:space="preserve">Cała gospodarka liczyczas zegarowy również offline.</t>
  </si>
  <si>
    <t xml:space="preserve">Zastępuje zatrzymywanie po ukryciu/zamknięciu karty. Guziki przyspieszenia powiązane z czasowymi premiami.</t>
  </si>
  <si>
    <t xml:space="preserve">WCZEŚNIEJ UZGODNIONE / NOWE SZCZEGÓŁY ODŁOŻONE</t>
  </si>
  <si>
    <t xml:space="preserve">Ręczne użycie:+50 każdego zasobu, +20 szczęścia wszystkim na 1 h.</t>
  </si>
  <si>
    <t xml:space="preserve">Przynależność wyjaśniona: Kaplica = błogosławieństwo, Latarnia = zwiedzanie. Liczba darmowych użyć błogosławieństwa = poziom kaplicy; nowe odstępy i oferty Premium są odłożone.</t>
  </si>
  <si>
    <t xml:space="preserve">TYMCZASOWE</t>
  </si>
  <si>
    <t xml:space="preserve">N×(180 monet+20 drewna+60 kamienia+10 desek), N nowy poziom.</t>
  </si>
  <si>
    <t xml:space="preserve">Cena nie była docelowo ustalona; do przewozu 90×N.</t>
  </si>
  <si>
    <t xml:space="preserve">PREMIUM — PROJEKT DO DOPRACOWANIA</t>
  </si>
  <si>
    <t xml:space="preserve">W czasie pakietu+4 równoległe budowy zawsze oraz dowolnie długa kolejka.</t>
  </si>
  <si>
    <t xml:space="preserve">Cena i długość pakietu jeszcze niezdefiniowane; arkusz nie uruchamia sprzedaży.</t>
  </si>
  <si>
    <t xml:space="preserve">UZGODNIONY ZAKRES</t>
  </si>
  <si>
    <t xml:space="preserve">Pakiet pozwala planować budowę na bazie estymaty dostaw, nie tylko obecnych zapasów.</t>
  </si>
  <si>
    <t xml:space="preserve">Plan nie tworzy surowców; rezerwacja/start gdy realnie pełny koszt trafi do centrali.</t>
  </si>
  <si>
    <t xml:space="preserve">WCZEŚNIEJSZY MODEL PREMIUM, DO DOPRACOWANIA</t>
  </si>
  <si>
    <t xml:space="preserve">Po wygaśnięciu rozpoczęte budowy kończą się; nowe starty wracają do limitu L, nieopłacone plany czekają.</t>
  </si>
  <si>
    <t xml:space="preserve">Poprzedni model wygasał czasem zegarowym także offline; docelowe warunki realnej oferty do potwierdzenia.</t>
  </si>
  <si>
    <t xml:space="preserve">Latarnia ustawia efektywne szczęście KAŻDEGO na 100%, nie dodaje+100. Produkcja ×2.</t>
  </si>
  <si>
    <t xml:space="preserve">Obie premie 24 h×N; podatki/transport bez mnożnika.</t>
  </si>
  <si>
    <t xml:space="preserve">Kolejna rozbudowa odświeża czas, a nie mnożnik produkcji do ×4.</t>
  </si>
  <si>
    <t xml:space="preserve">Premia zaczyna się po ukończeniu; nowe błogosławieństwa ODŁOŻONE.</t>
  </si>
  <si>
    <t xml:space="preserve">Sprzedaż:centrala→port→statek; wypłata przy wypłynięciu. Zakup:monety w momencie transakcji, rejs 5 min, rozładunek i transport do centrali.</t>
  </si>
  <si>
    <t xml:space="preserve">Dokładny moment zatwierdzenia transakcji pozostaje interpretacją. Towar przed dowozem nie jest dostępny centralnie.</t>
  </si>
  <si>
    <t xml:space="preserve">Ratusz nadal jest warunkiem rozbudowy; lokalny pojemnik 200×ratusz pozostaje.</t>
  </si>
  <si>
    <t xml:space="preserve">Z panelu domu widać wszystkich ludzi i przydziały oraz można wysyłać do kaplicy lub latarni.</t>
  </si>
  <si>
    <t xml:space="preserve">Na starcie 12 osób znajduje się w domu.
Źródło: Budynki! K7; Czlowiek! C7</t>
  </si>
  <si>
    <t xml:space="preserve">Przestój: podatek płynie, jedna kara −10…−50; reset licznika w drodze do domu.</t>
  </si>
  <si>
    <t xml:space="preserve">Nie nakładamy automatycznie drugiej kary bezrobocia. Bonus+1 podczas postoju nadal do ustalenia.</t>
  </si>
  <si>
    <t xml:space="preserve">Domyślnie najpierw zaopatrzenie magazynu, później budowy; gracz może zmieniać priorytety kategorii, producenta i konkretnej budowy.</t>
  </si>
  <si>
    <t xml:space="preserve">Ratusz L daje L aktywnych rozbudów i L pozycji kolejki; kolejka wymaga surowców już przy zlecaniu.</t>
  </si>
  <si>
    <t xml:space="preserve">Dopłata +10% jest nowa; oferty premium zebrane osobno.
Źródło: Budynki! K6</t>
  </si>
  <si>
    <t xml:space="preserve">Panel pokazuje potrzebną i dostarczoną ilość każdego materiału, np. 60/100, oraz ETA transportu i budowy przy bieżących priorytetach.</t>
  </si>
  <si>
    <t xml:space="preserve">ZASTĄPIONE WYMAGANIEM V5</t>
  </si>
  <si>
    <t xml:space="preserve">Usunąć ikony stop/play/przewijania w prawym górnym rogu.</t>
  </si>
  <si>
    <t xml:space="preserve">Wymaganie interfejsu zapisane w Excelu. Premium ma osobny zatwierdzony cennik; kod bez zmian.</t>
  </si>
  <si>
    <t xml:space="preserve">Towar na targu znika po 24 h od przyniesienia; wynik wymiany także znika po własnych 24 h.</t>
  </si>
  <si>
    <t xml:space="preserve">Nie określono osobno zasad dzielenia/łączenia partii ani wpływu premium na wiek.
Źródło: Budynki! D14</t>
  </si>
  <si>
    <t xml:space="preserve">Sprzedaż:wypłata przy wypłynięciu; zakup:monety w momencie transakcji. Rejs zawsze 5 min.</t>
  </si>
  <si>
    <t xml:space="preserve">Rozładunek i transport do centrali nadal wymagane; dokładny moment transakcji do opisania.</t>
  </si>
  <si>
    <t xml:space="preserve">WYJAŚNIONE CZĘŚCIOWO</t>
  </si>
  <si>
    <t xml:space="preserve">Rosnące ceny zakupów w ostatnich 3 h liczyć liniowo, nie składanie.</t>
  </si>
  <si>
    <t xml:space="preserve">Druga i kolejne paczki +10% ceny bazowej; globalność/per materiał i zaokrąglenie nieustalone.
Źródło: Decyzje i konflikty! I10</t>
  </si>
  <si>
    <t xml:space="preserve">Premia rozbudowy:100% wszystkim i produkcja ×2 przez 24 h×nowy poziom.</t>
  </si>
  <si>
    <t xml:space="preserve">Po zakończeniu przywracamy stan sprzed premii.</t>
  </si>
  <si>
    <t xml:space="preserve">Remis największych załóg:port,kamieniołom,tartak,drwale,farma,młyn,magazyn.</t>
  </si>
  <si>
    <t xml:space="preserve">Najpierw dom, następnie największa załoga. Targ, droga i zwiedzanie nadal do doprecyzowania.</t>
  </si>
  <si>
    <t xml:space="preserve">UZUPEŁNIONE V3</t>
  </si>
  <si>
    <t xml:space="preserve">Oferty budowlane i transportowe otrzymały cennik V3;25/50/75% za 1 monetę/min, transport 10/kurs, budynek port×1,25 + czas.</t>
  </si>
  <si>
    <t xml:space="preserve">Patrz Premium i kalkulatory; brakujące interpretacje jawnie oznaczone.</t>
  </si>
  <si>
    <t xml:space="preserve">CZĘŚCIOWO UZUPEŁNIONE V3</t>
  </si>
  <si>
    <t xml:space="preserve">Nowe oferty, reklamy, challenge i social pozostają do późniejszego opisania.</t>
  </si>
  <si>
    <t xml:space="preserve">Nowe nagrody social, zadania latarni i ekspedycje zdefiniowano wV3. Szczegóły błogosławieństw kaplicy pozostają odłożone.</t>
  </si>
  <si>
    <t xml:space="preserve">1 PLN = 10 monet. Cena w PLN = cena w monetach / 10.</t>
  </si>
  <si>
    <t xml:space="preserve">Ustalono przelicznik; nie zdefiniowano wypłaty monet na PLN. Źródło: wiadomość 22.10.2026 / docs/arkusze/pomysły.</t>
  </si>
  <si>
    <t xml:space="preserve">DO DOPRECYZOWANIA</t>
  </si>
  <si>
    <t xml:space="preserve">Monety służą do Premium; użytkownik używa także nazwy złoto. W gospodarce istnieją już monety z podatków i portu.</t>
  </si>
  <si>
    <t xml:space="preserve">Nie określono, czy złoto, monety zarobione i monety kupione to ta sama pula. Kalkulator roboczo pokazuje jedną monetę, bez nowego tokena. Źródło: wiadomość 22.10.2026 / docs/arkusze/pomysły.</t>
  </si>
  <si>
    <t xml:space="preserve">STAWKA POTWIERDZONA; PODSTAWA DO DOPRECYZOWANIA</t>
  </si>
  <si>
    <t xml:space="preserve">Skrócenie o 25% pozostałego czasu budowy. Cena = pełne minuty zaoszczędzonego czasu × 1 moneta.</t>
  </si>
  <si>
    <t xml:space="preserve">Roboczo FLOOR(pozostałe sekundy × 0,25 / 60). Wybranie pozostałego czasu zamiast czasu początkowego jest interpretacją. Źródło: wiadomość 22.10.2026 / docs/arkusze/pomysły.</t>
  </si>
  <si>
    <t xml:space="preserve">STAWKA POTWIERDZONA; WZÓR MODELOWY</t>
  </si>
  <si>
    <t xml:space="preserve">Skrócenie o 50% pozostałego czasu budowy. Cena = FLOOR(pozostałe sekundy × 0,50 / 60) monet.</t>
  </si>
  <si>
    <t xml:space="preserve">Należy wyświetlać czas skrócenia i cenę przed zatwierdzeniem. Źródło: wiadomość 22.10.2026 / docs/arkusze/pomysły.</t>
  </si>
  <si>
    <t xml:space="preserve">Skrócenie o 75% pozostałego czasu budowy. Cena = FLOOR(pozostałe sekundy × 0,75 / 60) monet.</t>
  </si>
  <si>
    <t xml:space="preserve">Nie ustalono limitu kolejnych przyspieszeń ani minimalnej ceny. Źródło: wiadomość 22.10.2026 / docs/arkusze/pomysły.</t>
  </si>
  <si>
    <t xml:space="preserve">Dotychczasowa oferta została zachowana; nowy cennik podaje tylko skrócenia 25%, 50%, 75%. Cena skrócenia 100% nie została potwierdzona.</t>
  </si>
  <si>
    <t xml:space="preserve">Nie oznaczać automatycznie ceny 100% jako ustalonej. Nie wiadomo także, czy można przyspieszać transport i budowanie łącznie. Źródło: wiadomość 22.10.2026 / docs/arkusze/pomysły.</t>
  </si>
  <si>
    <t xml:space="preserve">POTWIERDZONE; ZAKRES KLIKNIĘCIA DO DOPRECYZOWANIA</t>
  </si>
  <si>
    <t xml:space="preserve">Natychmiastowy przewóz materiałów centralnych na konkretną budowę. 10 monet × SUMA CEILING(ilość każdego materiału / ładunek).</t>
  </si>
  <si>
    <t xml:space="preserve">Każdy materiał liczy się osobno. Monety nie wymagają transportu. Nie ustalono, czy jedno kliknięcie obejmuje wszystkie brakujące materiały. Źródło: wiadomość 22.10.2026 / docs/arkusze/pomysły.</t>
  </si>
  <si>
    <t xml:space="preserve">Takie samo rozliczenie transportu towarów w obu kierunkach. 10 monet za potrzebny kurs właściwej załogi, osobno dla każdego materiału.</t>
  </si>
  <si>
    <t xml:space="preserve">Premium nie tworzy towaru ani wolnej pojemności. Wpływ na blokadę 1 h i termin wygaśnięcia 24 h nadal nieustalony. Źródło: wiadomość 22.10.2026 / docs/arkusze/pomysły.</t>
  </si>
  <si>
    <t xml:space="preserve">STAWKA POTWIERDZONA; ETAP STATKU DO DOPRECYZOWANIA</t>
  </si>
  <si>
    <t xml:space="preserve">Nie ustalono, czy opłata obejmuje również osobny etap port ↔ statek. Zachować rozróżnienie dwóch etapów portowych. Źródło: wiadomość 22.10.2026 / docs/arkusze/pomysły.</t>
  </si>
  <si>
    <t xml:space="preserve">WYCENA POTWIERDZONA; ZAKRES MATERIAŁÓW OTWARTY</t>
  </si>
  <si>
    <t xml:space="preserve">Cena = 1,25 × proporcjonalna bazowa portowa wartość materiałów + wymagane monety budynku + opłata za skrócenie czasu.</t>
  </si>
  <si>
    <t xml:space="preserve">Potwierdzone: bez paczek po 100, bazowe ceny zakupu, +25% tylko od materiałów. Pełny koszt czy brakujące materiały i końcowe zaokrąglenie pozostają do decyzji. Źródło: odpowiedź użytkownika 22.10.2026.</t>
  </si>
  <si>
    <t xml:space="preserve">Monety zapisane w koszcie budynku doliczamy osobno w wymaganej wysokości; nie obejmuje ich dopłata 25%.</t>
  </si>
  <si>
    <t xml:space="preserve">ZACHOWANO; CENA PAKIETU NIEUSTALONA</t>
  </si>
  <si>
    <t xml:space="preserve">Dotychczas +4 aktywne budowy, dowolnie długa kolejka i planowanie z prognoz dostaw. Nowa stawka nie ustala ceny ani czasu trwania pakietu.</t>
  </si>
  <si>
    <t xml:space="preserve">Nie zakładać, że mikropłatności zastępują pakiet lub znoszą dopłatę kolejki +10%. Źródło: wiadomość 22.10.2026 / docs/arkusze/pomysły.</t>
  </si>
  <si>
    <t xml:space="preserve">W prawym górnym rogu wyświetlamy trzy aktualne zadania latarni: małe, średnie i duże. 3 miejsca, po jednym na rozmiar</t>
  </si>
  <si>
    <t xml:space="preserve">Nagrody są widoczne zawsze, przed rozpoczęciem i wpłatami. Źródło: wiadomość 22.10.2026 / docs/arkusze/pomysły.</t>
  </si>
  <si>
    <t xml:space="preserve">MODEL DO POTWIERDZENIA</t>
  </si>
  <si>
    <t xml:space="preserve">Koszt rodzaju i liczymy z maksymalnej obsady obecnego poziomu jego producenta, niezależnie od faktycznej obsady. R_i = 12 × L_i × p(L_i); p(1)=10, p(L≥2)=L+10; koszt_i = R_i × h</t>
  </si>
  <si>
    <t xml:space="preserve">Nie doliczamy bonusu latarni ×2 ani głodu: to trwała norma poziomu, nie chwilowa wydajność. Użytkownik nie wskazał wprost, czy brać własny poziom producenta, czy najwyższy wspólny poziom; wymaga zatwierdzenia. Źródło: wiadomość 22.10.2026 / docs/arkusze/pomysły.</t>
  </si>
  <si>
    <t xml:space="preserve">Wymagane są dwa lub trzy produkty, w ilości odpowiadającej 3–8 h maksymalnej produkcji, nie mniej niż bieżące małe. 2–3 rodzaje; h∈[3,8]</t>
  </si>
  <si>
    <t xml:space="preserve">Sposób porównania z małym nie jest zdefiniowany; przykład używa h_średnie ≥ h_małe oraz nie mniejszej sumy godzin znormalizowanych. Źródło: wiadomość 22.10.2026 / docs/arkusze/pomysły.</t>
  </si>
  <si>
    <t xml:space="preserve">Wymagane są cztery produkty, w ilości odpowiadającej 4–10 h maksymalnej produkcji, nie mniej niż bieżące średnie. 4 rodzaje; h∈[4,10]</t>
  </si>
  <si>
    <t xml:space="preserve">W przykładzie h_duże ≥ h_średnie. Duże może wymagać więcej niż 6 h produkcji mimo terminu 6 h: zakłada wcześniejsze zapasy lub jest trudno osiągalne od zera. Źródło: wiadomość 22.10.2026 / docs/arkusze/pomysły.</t>
  </si>
  <si>
    <t xml:space="preserve">MODEL PRZYKŁADU</t>
  </si>
  <si>
    <t xml:space="preserve">W przykładach jedna liczba pełnych godzin h obowiązuje wszystkie wymagane rodzaje danego zadania. h_małe ≤ h_średnie ≤ h_duże; H = Σ(koszt_i/R_i)</t>
  </si>
  <si>
    <t xml:space="preserve">Jest to czytelna interpretacja „nie mniejsze”, a nie dodatkowa zatwierdzona reguła. Użytkownik nie określił, czy godziny mają być całkowite ani wspólne dla wszystkich składników. Źródło: wiadomość 22.10.2026 / docs/arkusze/pomysły.</t>
  </si>
  <si>
    <t xml:space="preserve">UZGODNIONE / DOLNY PRÓG CZĘŚCIOWO MODELOWY</t>
  </si>
  <si>
    <t xml:space="preserve">Małe losuje 100–200 monet; średnie do 400; duże do 600. Przykłady: 100–200, 100–400 i 100–600 monet</t>
  </si>
  <si>
    <t xml:space="preserve">Dolny próg 100 dla średniego i dużego jest interpretacją; użytkownik podał dla nich tylko górną granicę. Źródło: wiadomość 22.10.2026 / docs/arkusze/pomysły.</t>
  </si>
  <si>
    <t xml:space="preserve">UZGODNIONE / LICZBA RODZAJÓW OTWARTA</t>
  </si>
  <si>
    <t xml:space="preserve">Każde zadanie daje także losowy towar lub towary w ilości 50–1000. Przykłady: 1 losowy rodzaj, 50–1000 szt.</t>
  </si>
  <si>
    <t xml:space="preserve">Do decyzji: liczba rodzajów nagród; limit na każdy rodzaj czy łącznie; obsługa braku miejsca w magazynie. Źródło: wiadomość 22.10.2026 / docs/arkusze/pomysły.</t>
  </si>
  <si>
    <t xml:space="preserve">Pierwsze kliknięcie konkretnego zadania utrwala mnożnik do ukończenia. Nagroda = bazowa nagroda × utrwalony mnożnik.</t>
  </si>
  <si>
    <t xml:space="preserve">Wypłata dopiero po wpłaceniu całości przed upływem 6 h od pojawienia się; samo kliknięcie nie daje nagrody. Źródło: odpowiedź użytkownika 22.10.2026.</t>
  </si>
  <si>
    <t xml:space="preserve">Każde zadanie ma własny 6-godzinny licznik od pojawienia się. Termin = pojawienie +6 h zegarowych</t>
  </si>
  <si>
    <t xml:space="preserve">Zgodnie z wcześniejszą zasadą świata licznik działa również offline. Zadania nie powinny być przemieszane jednym wspólnym resetem wszystkich trzech. Źródło: wiadomość 22.10.2026 / docs/arkusze/pomysły.</t>
  </si>
  <si>
    <t xml:space="preserve">UZGODNIONE / WCZEŚNIEJSZE UKOŃCZENIE OTWARTE</t>
  </si>
  <si>
    <t xml:space="preserve">Po upływie terminu pojawia się nowe zadanie danego rozmiaru. Każde miejsce ma własny cykl</t>
  </si>
  <si>
    <t xml:space="preserve">Aby stale były trzy, proponujemy natychmiastowe uzupełnienie po ukończeniu; użytkownik nie określił wprost momentu odnowienia po wcześniejszym ukończeniu. Źródło: wiadomość 22.10.2026 / docs/arkusze/pomysły.</t>
  </si>
  <si>
    <t xml:space="preserve">DO DECYZJI</t>
  </si>
  <si>
    <t xml:space="preserve">Przy niezależnych terminach nowy mały może stać się droższy od starego średniego, a nowy średni od starego dużego. Jednoczesne wymogi: niezależne zegary + zawsze małe ≤ średnie ≤ duże</t>
  </si>
  <si>
    <t xml:space="preserve">Należy ograniczać losowanie do istniejących sąsiadów albo porównywać tylko w momencie tworzenia. Przykłady w arkuszu są spójnymi zestawami demonstracyjnymi, nie definicją pełnego generatora. Źródło: wiadomość 22.10.2026 / docs/arkusze/pomysły.</t>
  </si>
  <si>
    <t xml:space="preserve">Natychmiastowa wpłata Food może kolidować z rezerwą jedzenia 50 × poziom magazynu. Poprzednia zasada chroni rezerwę przed operacjami nieżywieniowymi</t>
  </si>
  <si>
    <t xml:space="preserve">Propozycja: zadanie można zasilać tylko nadwyżką ponad chronioną rezerwę; to nie jest nowo zatwierdzony wyjątek. Źródło: wiadomość 22.10.2026 / docs/arkusze/pomysły.</t>
  </si>
  <si>
    <t xml:space="preserve">Wypłata po pełnej wpłacie przed upływem6h. Nie ustalono obsługi nagrody, która nie mieści się w magazynie. Maksimum przy×3:1800monet i do3000szt. jednego towaru w przykładzie.</t>
  </si>
  <si>
    <t xml:space="preserve">Propozycje do wyboru później: skrzynka do odebrania, odbiór częściowy lub rezerwacja miejsca; nic nie może znikać bez jawnej reguły. Źródło: wiadomość 22.10.2026 / docs/arkusze/pomysły.</t>
  </si>
  <si>
    <t xml:space="preserve">Wymagania rosną jak 12 × L × p(L), natomiast zakresy nagród są stałe. L1: 120/h; L2: 288/h; L3: 468/h; L4: 672/h</t>
  </si>
  <si>
    <t xml:space="preserve">Na wysokim poziomie stosunek nagrody do wpłat może być słaby. Losowa nagroda nie gwarantuje zwrotu wartości portowej wkładu. Źródło: wiadomość 22.10.2026 / docs/arkusze/pomysły.</t>
  </si>
  <si>
    <t xml:space="preserve">Ekspedycja nie przyznaje materiałów ani szczęścia. Nazwa waluty do ujednolicenia. Źródło: wiadomość 22.10.2026 / docs/arkusze/pomysły.</t>
  </si>
  <si>
    <t xml:space="preserve">Pracownik przypisany do przedsiębiorstwa nadal płaci podatek podczas przestoju produkcji. 1 moneta/os./h; premia podatkowa kaplicy zgodnie z dotychczasową zasadą.</t>
  </si>
  <si>
    <t xml:space="preserve">Przestój obniża szczęście. To nie wprowadza podatku dla bezrobotnego, osoby wracającej do domu ani osoby dopiero idącej do pracy. Źródło: HARBORLIGHT4-zasady.xlsx — Czlowiek!G13; G15; G25; G26</t>
  </si>
  <si>
    <t xml:space="preserve">Karę wiązać z faktycznym zatrzymaniem produkcji. Dotyczy wyłącznie osób przypisanych do tego przedsiębiorstwa przez czas przestoju. Nie zależy od samego procentu zapełnienia lokalnego magazynu. Dotychczasowa drabinka: −10 od razu, kolejne −10 co 24 h, maksymalnie −50 z tego tytułu.</t>
  </si>
  <si>
    <t xml:space="preserve">Notatka w wierszu przestoju odsyła do logiki w wierszu niżej. Dlatego stosujemy tę jedną karę przestoju zamiast automatycznie dokładać jeszcze karę bezrobocia. Podatek pozostaje. Bonus +1 pp/h za pracę podczas postoju nie został osobno określony. Źródło: HARBORLIGHT4-zasady.xlsx — Czlowiek!G22; G25; G26</t>
  </si>
  <si>
    <t xml:space="preserve">Po wysłaniu pracownika do domu licznik jego przestoju resetuje się do 0 już w drodze. Kara dotyczy utrzymywania ludzi w zatrzymanym przedsiębiorstwie. Powrót do domu nadal trwa 5 min.</t>
  </si>
  <si>
    <t xml:space="preserve">Reset dotyczy licznika/modyfikatora przestoju, a nie wyzerowania całego osobistego szczęścia. Notatka wskazuje limit −50 przy długim przestoju; dokładną relację tego limitu do innych kar należy rozróżniać od globalnego zakresu −100…+100. Źródło: HARBORLIGHT4-zasady.xlsx — Czlowiek!G26</t>
  </si>
  <si>
    <t xml:space="preserve">ZAKTUALIZOWANA KOLEJNOŚĆ</t>
  </si>
  <si>
    <t xml:space="preserve">Najpierw odchodzą osoby z domu. Gdy ich brak, odchodzą osoby z zakładu o największej obsadzie. Przy remisie stosować nową kolejność. Port → kamieniołom → tartak → drwale → farma → młyn/wiatrak → transport magazynu.</t>
  </si>
  <si>
    <t xml:space="preserve">Kamieniołom jest teraz przed tartakiem. Targu oraz osób w drodze/na wizytach nie umieszczono w pełnej liście; tych pozycji nie dopisujemy za użytkownika. Minimum populacji6 pozostaje. Źródło: HARBORLIGHT4-zasady.xlsx — Start!D17; Czlowiek!G35</t>
  </si>
  <si>
    <t xml:space="preserve">Pracowników transportu zabiera się na końcu. Gdy Food w centrali jest poniżej rezerwy, a gotowa żywność czeka w młynie, gracz nie może odwołać całej obsady magazynu. Pozostaje co najmniej 1 istniejący tragarz, jeśli Food &lt;50 × poziom magazynu i Food w młynie &gt;0.</t>
  </si>
  <si>
    <t xml:space="preserve">Nie tworzymy nowej osoby przy pustej obsadzie. Blokada dotyczy ręcznego odwołania; użytkownik nie określił osobno wpływu na przymusowe odejście demograficzne. Źródło: HARBORLIGHT4-zasady.xlsx — Transport i priorytety!F10; Czlowiek!H10</t>
  </si>
  <si>
    <t xml:space="preserve">ZATWIERDZONE; ZDARZENIE WYMAGA PRECYZJI</t>
  </si>
  <si>
    <t xml:space="preserve">Monety schodzą z konta w momencie transakcji. Pobranie kosztu zakupu przy transakcji, nie dopiero przy dostarczeniu towaru do centrali.</t>
  </si>
  <si>
    <t xml:space="preserve">W modelu dokumentacji można przyjąć zatwierdzenie zakupu jako moment transakcji, ale źródło nie nazywa tego zdarzenia bardziej szczegółowo. Wypłata za sprzedaż przy wypłynięciu statku pozostaje wcześniejszą zasadą. Źródło: HARBORLIGHT4-zasady.xlsx — Transport i priorytety!F15</t>
  </si>
  <si>
    <t xml:space="preserve">Płatne użycie daje taki sam efekt jak dotychczasowe błogosławieństwo; cena zależy od poziomu kaplicy. 100 × poziom kaplicy monet; maksymalnie 1 płatne użycie na 4 h. Efekt: +50 każdego dotychczasowego zasobu i +20 szczęścia wszystkim na 1 h.</t>
  </si>
  <si>
    <t xml:space="preserve">Nadal nie nakładamy drugiego aktywnego błogosławieństwa. Sposób liczenia okna 4 h od zakupu/aktywacji nie jest dokładniej opisany. Nowa cena dotyczy płatnego użycia, nie rozbudowy kaplicy. Źródło: HARBORLIGHT4-zasady.xlsx — Czlowiek!G29</t>
  </si>
  <si>
    <t xml:space="preserve">Po zakończeniu premii latarni szczęście wraca do stanu sprzed premii. Efekt latarni:100% przez 24 h × osiągnięty poziom; po wygaśnięciu przywrócenie wartości sprzed efektu.</t>
  </si>
  <si>
    <t xml:space="preserve">Zastępuje wcześniejszy model powrotu do wartości bieżącej naliczanej pod premią. Nie określono jeszcze, jak odtwarzać stan osób urodzonych podczas premii ani rozliczać nakładające się efekty. Źródło: HARBORLIGHT4-zasady.xlsx — Czlowiek!G30</t>
  </si>
  <si>
    <t xml:space="preserve">NA PÓŹNIEJ • jawny zakres poza decyzjami</t>
  </si>
  <si>
    <t xml:space="preserve">Te kwestie użytkownik pozostawił na później. Kwoty i pomysły zapisano, ale nie uruchamiamy fikcyjnych płatności, reklam, kont ani nagród społecznościowych.</t>
  </si>
  <si>
    <t xml:space="preserve">Co już ustalono</t>
  </si>
  <si>
    <t xml:space="preserve">Co nadal trzeba określić</t>
  </si>
  <si>
    <t xml:space="preserve">Stan realizacji</t>
  </si>
  <si>
    <t xml:space="preserve">Płatności / backend</t>
  </si>
  <si>
    <t xml:space="preserve">Jedna waluta; 1 PLN = 10 monet. Ceny Premium według tabel.</t>
  </si>
  <si>
    <t xml:space="preserve">Dostawca płatności, rozliczenia, serwerowa walidacja kont, czasu i zakupów.</t>
  </si>
  <si>
    <t xml:space="preserve">Prototyp frontendowy; rzeczywiste transakcje niepodłączone.</t>
  </si>
  <si>
    <t xml:space="preserve">Logowanie / rejestracja</t>
  </si>
  <si>
    <t xml:space="preserve">Ekrany po angielsku, ikonki Facebook i Google.</t>
  </si>
  <si>
    <t xml:space="preserve">Integracja dostawców odłożona zgodnie z prośbą; prawdziwe konta wymagają backendu.</t>
  </si>
  <si>
    <t xml:space="preserve">Formularze frontendowe, bez połączenia z Facebook/Google.</t>
  </si>
  <si>
    <t xml:space="preserve">Social / polecenia</t>
  </si>
  <si>
    <t xml:space="preserve">Kwoty: 1000/500 monet i 500 zasobów z wcześniejszych pomysłów. Nowy wyjątekV8: lokalny przycisk Share ukończonego zadania, bonus500 raz/zadanie, bez integracjiFB.</t>
  </si>
  <si>
    <t xml:space="preserve">Limity, potwierdzanie publikacji, odbiorca nagród, definicja 3. aktywnego dnia.</t>
  </si>
  <si>
    <t xml:space="preserve">Starsze integracje i limity nadal odłożone; bonus500 za kliknięcie zadania jest jawną nową regułą prototypu.</t>
  </si>
  <si>
    <t xml:space="preserve">Ekspedycje — ratunek</t>
  </si>
  <si>
    <t xml:space="preserve">Pula 50→100→200…; wypłata lub ryzyko utraty; nagrody tylko w monetach.</t>
  </si>
  <si>
    <t xml:space="preserve">Docelowe plansze/trudność, limity czasu/ruchów, długość serii, ceny i limity dokupienia ratunku.</t>
  </si>
  <si>
    <t xml:space="preserve">Mechanika puli i prototyp labiryntu; balans minigier do dopracowania.</t>
  </si>
  <si>
    <t xml:space="preserve">Reklamy / hasło</t>
  </si>
  <si>
    <t xml:space="preserve">Reklamy do 30 s; przekaz widoczny 1 s; hasło potrzebne.</t>
  </si>
  <si>
    <t xml:space="preserve">Miejsce wpisania hasła, moment walidacji, próby i wpływ reklamy na zegar.</t>
  </si>
  <si>
    <t xml:space="preserve">Odłożone; bez pozorowanego potwierdzania zewnętrznych reklam.</t>
  </si>
  <si>
    <t xml:space="preserve">Modlitwa</t>
  </si>
  <si>
    <t xml:space="preserve">Uczestnicy modlitwy chronieni przed odejściem, tak jak zwiedzający.</t>
  </si>
  <si>
    <t xml:space="preserve">Osobna wizyta modlitewna nie ma jeszcze czasu, liczby osób ani reguły wejścia.</t>
  </si>
  <si>
    <t xml:space="preserve">Nie tworzymy nieuzgodnionej nowej aktywności.</t>
  </si>
  <si>
    <t xml:space="preserve">Kolejne dni logowania, do 10 dni; dzień Europe/Warsaw.</t>
  </si>
  <si>
    <t xml:space="preserve">Wysokości premii i warunki odebrania.</t>
  </si>
  <si>
    <t xml:space="preserve">Licznik; nagrody później.</t>
  </si>
  <si>
    <t xml:space="preserve">PLANOWANIE PREMIUM • brak po dopłacie kolejki</t>
  </si>
  <si>
    <t xml:space="preserve">Aktywny pakiet jest wymagany. Opłata prognozy nie kupuje materiałów; plan czeka na ich rzeczywiste dostarczenie. Magazyn producenta nie liczy się jako centrala. Przykłady pokazują oddzielnie opłatę i blokadę fizycznej budowy.</t>
  </si>
  <si>
    <t xml:space="preserve">Towar</t>
  </si>
  <si>
    <t xml:space="preserve">Bazowy koszt</t>
  </si>
  <si>
    <t xml:space="preserve">Koszt kolejki +10%</t>
  </si>
  <si>
    <t xml:space="preserve">Stan centrali</t>
  </si>
  <si>
    <t xml:space="preserve">Brak w centrali</t>
  </si>
  <si>
    <t xml:space="preserve">Bazowa cena portu /100</t>
  </si>
  <si>
    <t xml:space="preserve">Dopłata prognozy 25%</t>
  </si>
  <si>
    <t xml:space="preserve">Dopłata pełne monety</t>
  </si>
  <si>
    <t xml:space="preserve">Dopłata od brakujących materiałów po koszcie kolejki. Dla wielu rodzajów sumujemy dokładne wartości przed końcowym ROUNDUP.</t>
  </si>
  <si>
    <t xml:space="preserve">Żywność</t>
  </si>
  <si>
    <t xml:space="preserve">LATARNIA • katalog 100 narracji</t>
  </si>
  <si>
    <t xml:space="preserve">Tytuły po angielsku jak w interfejsie. Narracja jest niezależna od rozmiaru, rodzaju wymaganych produktów i nagrody; te losują się zgodnie z Zadania latarni. Źródło: aktualny katalog frontendowy.</t>
  </si>
  <si>
    <t xml:space="preserve">Tytuł / narracja</t>
  </si>
  <si>
    <t xml:space="preserve">LH-001</t>
  </si>
  <si>
    <t xml:space="preserve">Repair the entrance steps</t>
  </si>
  <si>
    <t xml:space="preserve">Naprawy, zaopatrzenie i przygotowanie latarni; rozmiar S/M/L losowany osobno.</t>
  </si>
  <si>
    <t xml:space="preserve">LH-002</t>
  </si>
  <si>
    <t xml:space="preserve">Replace the welcome sign</t>
  </si>
  <si>
    <t xml:space="preserve">LH-003</t>
  </si>
  <si>
    <t xml:space="preserve">Restore the keeper’s door</t>
  </si>
  <si>
    <t xml:space="preserve">LH-004</t>
  </si>
  <si>
    <t xml:space="preserve">Mend the garden gate</t>
  </si>
  <si>
    <t xml:space="preserve">LH-005</t>
  </si>
  <si>
    <t xml:space="preserve">Secure the stone path</t>
  </si>
  <si>
    <t xml:space="preserve">LH-006</t>
  </si>
  <si>
    <t xml:space="preserve">Repair the porch railing</t>
  </si>
  <si>
    <t xml:space="preserve">LH-007</t>
  </si>
  <si>
    <t xml:space="preserve">Patch the entrance canopy</t>
  </si>
  <si>
    <t xml:space="preserve">LH-008</t>
  </si>
  <si>
    <t xml:space="preserve">Rebuild the visitor bench</t>
  </si>
  <si>
    <t xml:space="preserve">LH-009</t>
  </si>
  <si>
    <t xml:space="preserve">Restore the courtyard wall</t>
  </si>
  <si>
    <t xml:space="preserve">LH-010</t>
  </si>
  <si>
    <t xml:space="preserve">Weatherproof the entrance hall</t>
  </si>
  <si>
    <t xml:space="preserve">LH-011</t>
  </si>
  <si>
    <t xml:space="preserve">Replace a cracked window</t>
  </si>
  <si>
    <t xml:space="preserve">LH-012</t>
  </si>
  <si>
    <t xml:space="preserve">Repair the lantern shutters</t>
  </si>
  <si>
    <t xml:space="preserve">LH-013</t>
  </si>
  <si>
    <t xml:space="preserve">Clean the upper windows</t>
  </si>
  <si>
    <t xml:space="preserve">LH-014</t>
  </si>
  <si>
    <t xml:space="preserve">Restore the observation window</t>
  </si>
  <si>
    <t xml:space="preserve">LH-015</t>
  </si>
  <si>
    <t xml:space="preserve">Seal the lantern glazing</t>
  </si>
  <si>
    <t xml:space="preserve">LH-016</t>
  </si>
  <si>
    <t xml:space="preserve">Repair the storm panels</t>
  </si>
  <si>
    <t xml:space="preserve">LH-017</t>
  </si>
  <si>
    <t xml:space="preserve">Replace the workshop window</t>
  </si>
  <si>
    <t xml:space="preserve">LH-018</t>
  </si>
  <si>
    <t xml:space="preserve">Restore the stairwell vents</t>
  </si>
  <si>
    <t xml:space="preserve">LH-019</t>
  </si>
  <si>
    <t xml:space="preserve">Weatherproof the gallery door</t>
  </si>
  <si>
    <t xml:space="preserve">LH-020</t>
  </si>
  <si>
    <t xml:space="preserve">Repair the keeper’s skylight</t>
  </si>
  <si>
    <t xml:space="preserve">LH-021</t>
  </si>
  <si>
    <t xml:space="preserve">Restore the spiral stairs</t>
  </si>
  <si>
    <t xml:space="preserve">LH-022</t>
  </si>
  <si>
    <t xml:space="preserve">Replace the stair handrail</t>
  </si>
  <si>
    <t xml:space="preserve">LH-023</t>
  </si>
  <si>
    <t xml:space="preserve">Repair the landing boards</t>
  </si>
  <si>
    <t xml:space="preserve">LH-024</t>
  </si>
  <si>
    <t xml:space="preserve">Strengthen the stair supports</t>
  </si>
  <si>
    <t xml:space="preserve">LH-025</t>
  </si>
  <si>
    <t xml:space="preserve">Install a resting platform</t>
  </si>
  <si>
    <t xml:space="preserve">LH-026</t>
  </si>
  <si>
    <t xml:space="preserve">Mend the lower staircase</t>
  </si>
  <si>
    <t xml:space="preserve">LH-027</t>
  </si>
  <si>
    <t xml:space="preserve">Secure the upper landing</t>
  </si>
  <si>
    <t xml:space="preserve">LH-028</t>
  </si>
  <si>
    <t xml:space="preserve">Restore the service ladder</t>
  </si>
  <si>
    <t xml:space="preserve">LH-029</t>
  </si>
  <si>
    <t xml:space="preserve">Repair the tower hatch</t>
  </si>
  <si>
    <t xml:space="preserve">LH-030</t>
  </si>
  <si>
    <t xml:space="preserve">Replace worn stair treads</t>
  </si>
  <si>
    <t xml:space="preserve">LH-031</t>
  </si>
  <si>
    <t xml:space="preserve">Repair the visitor railings</t>
  </si>
  <si>
    <t xml:space="preserve">LH-032</t>
  </si>
  <si>
    <t xml:space="preserve">Rebuild the viewing platform</t>
  </si>
  <si>
    <t xml:space="preserve">LH-033</t>
  </si>
  <si>
    <t xml:space="preserve">Restore the gallery floor</t>
  </si>
  <si>
    <t xml:space="preserve">LH-034</t>
  </si>
  <si>
    <t xml:space="preserve">Strengthen the observation deck</t>
  </si>
  <si>
    <t xml:space="preserve">LH-035</t>
  </si>
  <si>
    <t xml:space="preserve">Add a visitor shelter</t>
  </si>
  <si>
    <t xml:space="preserve">LH-036</t>
  </si>
  <si>
    <t xml:space="preserve">Mend the lookout fence</t>
  </si>
  <si>
    <t xml:space="preserve">LH-037</t>
  </si>
  <si>
    <t xml:space="preserve">Repair the gallery canopy</t>
  </si>
  <si>
    <t xml:space="preserve">LH-038</t>
  </si>
  <si>
    <t xml:space="preserve">Restore the coastal viewpoint</t>
  </si>
  <si>
    <t xml:space="preserve">LH-039</t>
  </si>
  <si>
    <t xml:space="preserve">Secure the cliffside path</t>
  </si>
  <si>
    <t xml:space="preserve">LH-040</t>
  </si>
  <si>
    <t xml:space="preserve">Build a sheltered waiting area</t>
  </si>
  <si>
    <t xml:space="preserve">LH-041</t>
  </si>
  <si>
    <t xml:space="preserve">Repair the lantern housing</t>
  </si>
  <si>
    <t xml:space="preserve">LH-042</t>
  </si>
  <si>
    <t xml:space="preserve">Restore the lamp mechanism</t>
  </si>
  <si>
    <t xml:space="preserve">LH-043</t>
  </si>
  <si>
    <t xml:space="preserve">Replace the lamp supports</t>
  </si>
  <si>
    <t xml:space="preserve">LH-044</t>
  </si>
  <si>
    <t xml:space="preserve">Service the lens turntable</t>
  </si>
  <si>
    <t xml:space="preserve">LH-045</t>
  </si>
  <si>
    <t xml:space="preserve">Repair the reflector frame</t>
  </si>
  <si>
    <t xml:space="preserve">LH-046</t>
  </si>
  <si>
    <t xml:space="preserve">Restore the lantern shutters</t>
  </si>
  <si>
    <t xml:space="preserve">LH-047</t>
  </si>
  <si>
    <t xml:space="preserve">Rebuild the lamp workbench</t>
  </si>
  <si>
    <t xml:space="preserve">LH-048</t>
  </si>
  <si>
    <t xml:space="preserve">Repair the service gantry</t>
  </si>
  <si>
    <t xml:space="preserve">LH-049</t>
  </si>
  <si>
    <t xml:space="preserve">Secure the lens enclosure</t>
  </si>
  <si>
    <t xml:space="preserve">LH-050</t>
  </si>
  <si>
    <t xml:space="preserve">Prepare the lantern for storms</t>
  </si>
  <si>
    <t xml:space="preserve">LH-051</t>
  </si>
  <si>
    <t xml:space="preserve">Repair the supply winch</t>
  </si>
  <si>
    <t xml:space="preserve">LH-052</t>
  </si>
  <si>
    <t xml:space="preserve">Restore the lifting platform</t>
  </si>
  <si>
    <t xml:space="preserve">LH-053</t>
  </si>
  <si>
    <t xml:space="preserve">Replace the hoist supports</t>
  </si>
  <si>
    <t xml:space="preserve">LH-054</t>
  </si>
  <si>
    <t xml:space="preserve">Mend the service pulley</t>
  </si>
  <si>
    <t xml:space="preserve">LH-055</t>
  </si>
  <si>
    <t xml:space="preserve">Rebuild the cargo shelter</t>
  </si>
  <si>
    <t xml:space="preserve">LH-056</t>
  </si>
  <si>
    <t xml:space="preserve">Restore the supply ramp</t>
  </si>
  <si>
    <t xml:space="preserve">LH-057</t>
  </si>
  <si>
    <t xml:space="preserve">Repair the delivery landing</t>
  </si>
  <si>
    <t xml:space="preserve">LH-058</t>
  </si>
  <si>
    <t xml:space="preserve">Secure the keeper’s storeroom</t>
  </si>
  <si>
    <t xml:space="preserve">LH-059</t>
  </si>
  <si>
    <t xml:space="preserve">Rebuild the workshop shelves</t>
  </si>
  <si>
    <t xml:space="preserve">LH-060</t>
  </si>
  <si>
    <t xml:space="preserve">Improve the maintenance depot</t>
  </si>
  <si>
    <t xml:space="preserve">LH-061</t>
  </si>
  <si>
    <t xml:space="preserve">Repair the keeper’s roof</t>
  </si>
  <si>
    <t xml:space="preserve">LH-062</t>
  </si>
  <si>
    <t xml:space="preserve">Restore the keeper’s kitchen</t>
  </si>
  <si>
    <t xml:space="preserve">LH-063</t>
  </si>
  <si>
    <t xml:space="preserve">Provision the repair crew</t>
  </si>
  <si>
    <t xml:space="preserve">LH-064</t>
  </si>
  <si>
    <t xml:space="preserve">Restock the storm shelter</t>
  </si>
  <si>
    <t xml:space="preserve">LH-065</t>
  </si>
  <si>
    <t xml:space="preserve">Rebuild the crew dining room</t>
  </si>
  <si>
    <t xml:space="preserve">LH-066</t>
  </si>
  <si>
    <t xml:space="preserve">Prepare supplies for the keepers</t>
  </si>
  <si>
    <t xml:space="preserve">LH-067</t>
  </si>
  <si>
    <t xml:space="preserve">Restore the lighthouse pantry</t>
  </si>
  <si>
    <t xml:space="preserve">LH-068</t>
  </si>
  <si>
    <t xml:space="preserve">Repair the staff quarters</t>
  </si>
  <si>
    <t xml:space="preserve">LH-069</t>
  </si>
  <si>
    <t xml:space="preserve">Improve the keeper’s garden</t>
  </si>
  <si>
    <t xml:space="preserve">LH-070</t>
  </si>
  <si>
    <t xml:space="preserve">Support the night watch</t>
  </si>
  <si>
    <t xml:space="preserve">LH-071</t>
  </si>
  <si>
    <t xml:space="preserve">Restore the tower masonry</t>
  </si>
  <si>
    <t xml:space="preserve">LH-072</t>
  </si>
  <si>
    <t xml:space="preserve">Repair the foundation wall</t>
  </si>
  <si>
    <t xml:space="preserve">LH-073</t>
  </si>
  <si>
    <t xml:space="preserve">Strengthen the lower buttress</t>
  </si>
  <si>
    <t xml:space="preserve">LH-074</t>
  </si>
  <si>
    <t xml:space="preserve">Replace the damaged roof boards</t>
  </si>
  <si>
    <t xml:space="preserve">LH-075</t>
  </si>
  <si>
    <t xml:space="preserve">Patch the coastal retaining wall</t>
  </si>
  <si>
    <t xml:space="preserve">LH-076</t>
  </si>
  <si>
    <t xml:space="preserve">Restore the east wall</t>
  </si>
  <si>
    <t xml:space="preserve">LH-077</t>
  </si>
  <si>
    <t xml:space="preserve">Repair the west wall</t>
  </si>
  <si>
    <t xml:space="preserve">LH-078</t>
  </si>
  <si>
    <t xml:space="preserve">Rebuild the drainage channel</t>
  </si>
  <si>
    <t xml:space="preserve">LH-079</t>
  </si>
  <si>
    <t xml:space="preserve">Secure the tower foundation</t>
  </si>
  <si>
    <t xml:space="preserve">LH-080</t>
  </si>
  <si>
    <t xml:space="preserve">Repair the storm-damaged facade</t>
  </si>
  <si>
    <t xml:space="preserve">LH-081</t>
  </si>
  <si>
    <t xml:space="preserve">Restore the visitor information board</t>
  </si>
  <si>
    <t xml:space="preserve">LH-082</t>
  </si>
  <si>
    <t xml:space="preserve">Repair the lighthouse museum shelves</t>
  </si>
  <si>
    <t xml:space="preserve">LH-083</t>
  </si>
  <si>
    <t xml:space="preserve">Prepare a keeper’s history display</t>
  </si>
  <si>
    <t xml:space="preserve">LH-084</t>
  </si>
  <si>
    <t xml:space="preserve">Rebuild the visitor shelter</t>
  </si>
  <si>
    <t xml:space="preserve">LH-085</t>
  </si>
  <si>
    <t xml:space="preserve">Restore the tour route</t>
  </si>
  <si>
    <t xml:space="preserve">LH-086</t>
  </si>
  <si>
    <t xml:space="preserve">Repair the ticket shelter</t>
  </si>
  <si>
    <t xml:space="preserve">LH-087</t>
  </si>
  <si>
    <t xml:space="preserve">Improve the visitor resting area</t>
  </si>
  <si>
    <t xml:space="preserve">LH-088</t>
  </si>
  <si>
    <t xml:space="preserve">Prepare the coastal exhibition</t>
  </si>
  <si>
    <t xml:space="preserve">LH-089</t>
  </si>
  <si>
    <t xml:space="preserve">Restore the keeper’s archive</t>
  </si>
  <si>
    <t xml:space="preserve">LH-090</t>
  </si>
  <si>
    <t xml:space="preserve">Repair the welcome courtyard</t>
  </si>
  <si>
    <t xml:space="preserve">LH-091</t>
  </si>
  <si>
    <t xml:space="preserve">Prepare for the autumn storms</t>
  </si>
  <si>
    <t xml:space="preserve">LH-092</t>
  </si>
  <si>
    <t xml:space="preserve">Restore the emergency shelter</t>
  </si>
  <si>
    <t xml:space="preserve">LH-093</t>
  </si>
  <si>
    <t xml:space="preserve">Repair the rainwater gutters</t>
  </si>
  <si>
    <t xml:space="preserve">LH-094</t>
  </si>
  <si>
    <t xml:space="preserve">Secure the lighthouse outbuildings</t>
  </si>
  <si>
    <t xml:space="preserve">LH-095</t>
  </si>
  <si>
    <t xml:space="preserve">Rebuild the storm supply cache</t>
  </si>
  <si>
    <t xml:space="preserve">LH-096</t>
  </si>
  <si>
    <t xml:space="preserve">Restore the coastal signal post</t>
  </si>
  <si>
    <t xml:space="preserve">LH-097</t>
  </si>
  <si>
    <t xml:space="preserve">Repair the emergency stores</t>
  </si>
  <si>
    <t xml:space="preserve">LH-098</t>
  </si>
  <si>
    <t xml:space="preserve">Strengthen the workshop roof</t>
  </si>
  <si>
    <t xml:space="preserve">LH-099</t>
  </si>
  <si>
    <t xml:space="preserve">Prepare the annual lighthouse service</t>
  </si>
  <si>
    <t xml:space="preserve">LH-100</t>
  </si>
  <si>
    <t xml:space="preserve">Complete the lighthouse restoration</t>
  </si>
  <si>
    <t xml:space="preserve">USTALENIA V7 • bieżący rejestr reguł</t>
  </si>
  <si>
    <t xml:space="preserve">200 wcześniejszych wpisów po uzgodnieniu z V7 + 17 decyzji. Pełny stan poprzedniego rejestru zachowano w Rejestr historyczny v6. Źródła i oryginalne uwagi są archiwalne; najnowsza decyzja ma pierwszeństwo.</t>
  </si>
</sst>
</file>

<file path=xl/styles.xml><?xml version="1.0" encoding="utf-8"?>
<styleSheet xmlns="http://schemas.openxmlformats.org/spreadsheetml/2006/main">
  <numFmts count="9">
    <numFmt numFmtId="164" formatCode="General"/>
    <numFmt numFmtId="165" formatCode="0&quot; h&quot;"/>
    <numFmt numFmtId="166" formatCode="0%"/>
    <numFmt numFmtId="167" formatCode="0.00"/>
    <numFmt numFmtId="168" formatCode="0"/>
    <numFmt numFmtId="169" formatCode="0.00%"/>
    <numFmt numFmtId="170" formatCode="0.00&quot; s&quot;"/>
    <numFmt numFmtId="171" formatCode="0.0%"/>
    <numFmt numFmtId="172" formatCode="0.00&quot; h&quot;"/>
  </numFmts>
  <fonts count="23">
    <font>
      <sz val="11"/>
      <color theme="1"/>
      <name val="Calibri"/>
      <family val="2"/>
      <charset val="1"/>
    </font>
    <font>
      <sz val="10"/>
      <name val="Arial"/>
      <family val="0"/>
    </font>
    <font>
      <sz val="10"/>
      <name val="Arial"/>
      <family val="0"/>
    </font>
    <font>
      <sz val="10"/>
      <name val="Arial"/>
      <family val="0"/>
    </font>
    <font>
      <sz val="20"/>
      <color theme="1"/>
      <name val="Calibri"/>
      <family val="2"/>
      <charset val="1"/>
    </font>
    <font>
      <b val="true"/>
      <sz val="20"/>
      <color rgb="FFF0CE80"/>
      <name val="Calibri"/>
      <family val="2"/>
      <charset val="1"/>
    </font>
    <font>
      <sz val="20"/>
      <color rgb="FF123140"/>
      <name val="Calibri"/>
      <family val="2"/>
      <charset val="1"/>
    </font>
    <font>
      <b val="true"/>
      <sz val="20"/>
      <color rgb="FFFFFFFF"/>
      <name val="Calibri"/>
      <family val="2"/>
      <charset val="1"/>
    </font>
    <font>
      <sz val="10"/>
      <color rgb="FF123140"/>
      <name val="Calibri"/>
      <family val="0"/>
      <charset val="1"/>
    </font>
    <font>
      <b val="true"/>
      <sz val="18"/>
      <color rgb="FFF0CE80"/>
      <name val="Calibri"/>
      <family val="0"/>
      <charset val="1"/>
    </font>
    <font>
      <sz val="11"/>
      <color rgb="FF123140"/>
      <name val="Calibri"/>
      <family val="0"/>
      <charset val="1"/>
    </font>
    <font>
      <b val="true"/>
      <sz val="10"/>
      <color rgb="FFFFFFFF"/>
      <name val="Calibri"/>
      <family val="0"/>
      <charset val="1"/>
    </font>
    <font>
      <b val="true"/>
      <sz val="19"/>
      <color rgb="FFF0CE80"/>
      <name val="Calibri"/>
      <family val="0"/>
      <charset val="1"/>
    </font>
    <font>
      <b val="true"/>
      <sz val="11"/>
      <color rgb="FFFFFFFF"/>
      <name val="Calibri"/>
      <family val="0"/>
      <charset val="1"/>
    </font>
    <font>
      <sz val="10"/>
      <name val="Arial"/>
      <family val="2"/>
    </font>
    <font>
      <sz val="10"/>
      <color rgb="FF135CAA"/>
      <name val="Calibri"/>
      <family val="0"/>
      <charset val="1"/>
    </font>
    <font>
      <sz val="20"/>
      <color rgb="FF135CAA"/>
      <name val="Calibri"/>
      <family val="2"/>
      <charset val="1"/>
    </font>
    <font>
      <u val="single"/>
      <sz val="10"/>
      <color rgb="FF135CAA"/>
      <name val="Calibri"/>
      <family val="0"/>
      <charset val="1"/>
    </font>
    <font>
      <sz val="11"/>
      <color rgb="FF135CAA"/>
      <name val="Calibri"/>
      <family val="0"/>
      <charset val="1"/>
    </font>
    <font>
      <sz val="10"/>
      <color rgb="FF123140"/>
      <name val="Calibri"/>
      <family val="2"/>
      <charset val="1"/>
    </font>
    <font>
      <b val="true"/>
      <sz val="18"/>
      <color rgb="FFF0CE80"/>
      <name val="Calibri"/>
      <family val="2"/>
      <charset val="1"/>
    </font>
    <font>
      <b val="true"/>
      <sz val="11"/>
      <color rgb="FFFFFFFF"/>
      <name val="Calibri"/>
      <family val="2"/>
      <charset val="1"/>
    </font>
    <font>
      <sz val="10"/>
      <color theme="1"/>
      <name val="Calibri"/>
      <family val="2"/>
      <charset val="1"/>
    </font>
  </fonts>
  <fills count="9">
    <fill>
      <patternFill patternType="none"/>
    </fill>
    <fill>
      <patternFill patternType="gray125"/>
    </fill>
    <fill>
      <patternFill patternType="solid">
        <fgColor rgb="FF123140"/>
        <bgColor rgb="FF333333"/>
      </patternFill>
    </fill>
    <fill>
      <patternFill patternType="solid">
        <fgColor rgb="FFF0F6F8"/>
        <bgColor rgb="FFEAF2FF"/>
      </patternFill>
    </fill>
    <fill>
      <patternFill patternType="solid">
        <fgColor rgb="FF146D75"/>
        <bgColor rgb="FF008080"/>
      </patternFill>
    </fill>
    <fill>
      <patternFill patternType="solid">
        <fgColor rgb="FFFFFFFF"/>
        <bgColor rgb="FFF0F6F8"/>
      </patternFill>
    </fill>
    <fill>
      <patternFill patternType="solid">
        <fgColor rgb="FFE4F2E9"/>
        <bgColor rgb="FFEAF2FF"/>
      </patternFill>
    </fill>
    <fill>
      <patternFill patternType="solid">
        <fgColor rgb="FFEAF2FF"/>
        <bgColor rgb="FFF0F6F8"/>
      </patternFill>
    </fill>
    <fill>
      <patternFill patternType="solid">
        <fgColor rgb="FFFFF0CC"/>
        <bgColor rgb="FFF0F6F8"/>
      </patternFill>
    </fill>
  </fills>
  <borders count="5">
    <border diagonalUp="false" diagonalDown="false">
      <left/>
      <right/>
      <top/>
      <bottom/>
      <diagonal/>
    </border>
    <border diagonalUp="false" diagonalDown="false">
      <left style="thin">
        <color rgb="FFCCDAE0"/>
      </left>
      <right style="thin">
        <color rgb="FFCCDAE0"/>
      </right>
      <top style="thin">
        <color rgb="FFCCDAE0"/>
      </top>
      <bottom style="thin">
        <color rgb="FFCCDAE0"/>
      </bottom>
      <diagonal/>
    </border>
    <border diagonalUp="false" diagonalDown="false">
      <left/>
      <right/>
      <top/>
      <bottom style="hair">
        <color rgb="FFD4E3E7"/>
      </bottom>
      <diagonal/>
    </border>
    <border diagonalUp="false" diagonalDown="false">
      <left style="thin">
        <color rgb="FFCCDAE0"/>
      </left>
      <right/>
      <top/>
      <bottom/>
      <diagonal/>
    </border>
    <border diagonalUp="false" diagonalDown="false">
      <left style="thin">
        <color rgb="FFFFFFFF"/>
      </left>
      <right style="thin">
        <color rgb="FFFFFFFF"/>
      </right>
      <top style="thin">
        <color rgb="FFFFFFFF"/>
      </top>
      <bottom style="thin">
        <color rgb="FFFFFFF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general" vertical="bottom" textRotation="0" wrapText="true" indent="0" shrinkToFit="false"/>
      <protection locked="true" hidden="false"/>
    </xf>
    <xf numFmtId="164" fontId="6" fillId="3" borderId="0" xfId="0" applyFont="true" applyBorder="true" applyAlignment="true" applyProtection="false">
      <alignment horizontal="general" vertical="top" textRotation="0" wrapText="true" indent="0" shrinkToFit="false"/>
      <protection locked="true" hidden="false"/>
    </xf>
    <xf numFmtId="164" fontId="7" fillId="4" borderId="0" xfId="0" applyFont="true" applyBorder="false" applyAlignment="true" applyProtection="false">
      <alignment horizontal="general" vertical="center"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9" fillId="2" borderId="0" xfId="0" applyFont="true" applyBorder="true" applyAlignment="true" applyProtection="false">
      <alignment horizontal="general" vertical="center" textRotation="0" wrapText="true" indent="0" shrinkToFit="false"/>
      <protection locked="true" hidden="false"/>
    </xf>
    <xf numFmtId="164" fontId="10" fillId="3" borderId="0" xfId="0" applyFont="true" applyBorder="true" applyAlignment="true" applyProtection="false">
      <alignment horizontal="general" vertical="center" textRotation="0" wrapText="true" indent="0" shrinkToFit="false"/>
      <protection locked="true" hidden="false"/>
    </xf>
    <xf numFmtId="164" fontId="11" fillId="4" borderId="0" xfId="0" applyFont="true" applyBorder="false" applyAlignment="true" applyProtection="false">
      <alignment horizontal="general" vertical="center" textRotation="0" wrapText="true" indent="0" shrinkToFit="false"/>
      <protection locked="true" hidden="false"/>
    </xf>
    <xf numFmtId="164" fontId="8" fillId="3" borderId="2" xfId="0" applyFont="true" applyBorder="true" applyAlignment="true" applyProtection="false">
      <alignment horizontal="general" vertical="top" textRotation="0" wrapText="true" indent="0" shrinkToFit="false"/>
      <protection locked="true" hidden="false"/>
    </xf>
    <xf numFmtId="164" fontId="8" fillId="5" borderId="2" xfId="0" applyFont="true" applyBorder="tru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12" fillId="2" borderId="0" xfId="0" applyFont="true" applyBorder="true" applyAlignment="true" applyProtection="false">
      <alignment horizontal="general" vertical="center"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3" fillId="4" borderId="0" xfId="0" applyFont="true" applyBorder="false" applyAlignment="true" applyProtection="false">
      <alignment horizontal="general" vertical="center" textRotation="0" wrapText="true" indent="0" shrinkToFit="false"/>
      <protection locked="true" hidden="false"/>
    </xf>
    <xf numFmtId="164" fontId="5" fillId="2" borderId="0" xfId="0" applyFont="true" applyBorder="true" applyAlignment="true" applyProtection="false">
      <alignment horizontal="general" vertical="top" textRotation="0" wrapText="true" indent="0" shrinkToFit="false"/>
      <protection locked="true" hidden="false"/>
    </xf>
    <xf numFmtId="164" fontId="7" fillId="4" borderId="0" xfId="0" applyFont="true" applyBorder="fals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5" fillId="2" borderId="0" xfId="0" applyFont="true" applyBorder="true" applyAlignment="true" applyProtection="false">
      <alignment horizontal="general" vertical="bottom" textRotation="0" wrapText="false" indent="0" shrinkToFit="false"/>
      <protection locked="true" hidden="false"/>
    </xf>
    <xf numFmtId="165" fontId="8" fillId="3" borderId="2" xfId="0" applyFont="true" applyBorder="true" applyAlignment="true" applyProtection="false">
      <alignment horizontal="general" vertical="top" textRotation="0" wrapText="true" indent="0" shrinkToFit="false"/>
      <protection locked="true" hidden="false"/>
    </xf>
    <xf numFmtId="165" fontId="8" fillId="5" borderId="2" xfId="0" applyFont="true" applyBorder="true" applyAlignment="true" applyProtection="false">
      <alignment horizontal="general" vertical="top" textRotation="0" wrapText="true" indent="0" shrinkToFit="false"/>
      <protection locked="true" hidden="false"/>
    </xf>
    <xf numFmtId="164" fontId="15" fillId="3" borderId="2" xfId="0" applyFont="true" applyBorder="true" applyAlignment="true" applyProtection="false">
      <alignment horizontal="general" vertical="top" textRotation="0" wrapText="true" indent="0" shrinkToFit="false"/>
      <protection locked="true" hidden="false"/>
    </xf>
    <xf numFmtId="166" fontId="8" fillId="3" borderId="2" xfId="0" applyFont="true" applyBorder="true" applyAlignment="true" applyProtection="false">
      <alignment horizontal="general" vertical="top" textRotation="0" wrapText="true" indent="0" shrinkToFit="false"/>
      <protection locked="true" hidden="false"/>
    </xf>
    <xf numFmtId="167" fontId="8" fillId="3" borderId="2" xfId="0" applyFont="true" applyBorder="true" applyAlignment="true" applyProtection="false">
      <alignment horizontal="general" vertical="top" textRotation="0" wrapText="true" indent="0" shrinkToFit="false"/>
      <protection locked="true" hidden="false"/>
    </xf>
    <xf numFmtId="168" fontId="8" fillId="3" borderId="2" xfId="0" applyFont="true" applyBorder="true" applyAlignment="true" applyProtection="false">
      <alignment horizontal="general" vertical="top" textRotation="0" wrapText="true" indent="0" shrinkToFit="false"/>
      <protection locked="true" hidden="false"/>
    </xf>
    <xf numFmtId="164" fontId="15" fillId="5" borderId="2" xfId="0" applyFont="true" applyBorder="true" applyAlignment="true" applyProtection="false">
      <alignment horizontal="general" vertical="top" textRotation="0" wrapText="true" indent="0" shrinkToFit="false"/>
      <protection locked="true" hidden="false"/>
    </xf>
    <xf numFmtId="166" fontId="8" fillId="5" borderId="2" xfId="0" applyFont="true" applyBorder="true" applyAlignment="true" applyProtection="false">
      <alignment horizontal="general" vertical="top" textRotation="0" wrapText="true" indent="0" shrinkToFit="false"/>
      <protection locked="true" hidden="false"/>
    </xf>
    <xf numFmtId="167" fontId="8" fillId="5" borderId="2" xfId="0" applyFont="true" applyBorder="true" applyAlignment="true" applyProtection="false">
      <alignment horizontal="general" vertical="top" textRotation="0" wrapText="true" indent="0" shrinkToFit="false"/>
      <protection locked="true" hidden="false"/>
    </xf>
    <xf numFmtId="168" fontId="8" fillId="5" borderId="2" xfId="0" applyFont="true" applyBorder="true" applyAlignment="true" applyProtection="false">
      <alignment horizontal="general" vertical="top" textRotation="0" wrapText="true" indent="0" shrinkToFit="false"/>
      <protection locked="true" hidden="false"/>
    </xf>
    <xf numFmtId="169" fontId="8" fillId="3" borderId="2" xfId="0" applyFont="true" applyBorder="true" applyAlignment="true" applyProtection="false">
      <alignment horizontal="general" vertical="top" textRotation="0" wrapText="true" indent="0" shrinkToFit="false"/>
      <protection locked="true" hidden="false"/>
    </xf>
    <xf numFmtId="170" fontId="8" fillId="3" borderId="2" xfId="0" applyFont="true" applyBorder="true" applyAlignment="true" applyProtection="false">
      <alignment horizontal="general" vertical="top" textRotation="0" wrapText="true" indent="0" shrinkToFit="false"/>
      <protection locked="true" hidden="false"/>
    </xf>
    <xf numFmtId="169" fontId="8" fillId="5" borderId="2" xfId="0" applyFont="true" applyBorder="true" applyAlignment="true" applyProtection="false">
      <alignment horizontal="general" vertical="top" textRotation="0" wrapText="true" indent="0" shrinkToFit="false"/>
      <protection locked="true" hidden="false"/>
    </xf>
    <xf numFmtId="170" fontId="8" fillId="5" borderId="2" xfId="0" applyFont="true" applyBorder="true" applyAlignment="true" applyProtection="false">
      <alignment horizontal="general" vertical="top" textRotation="0" wrapText="true" indent="0" shrinkToFit="false"/>
      <protection locked="true" hidden="false"/>
    </xf>
    <xf numFmtId="164" fontId="8" fillId="3" borderId="2" xfId="0" applyFont="true" applyBorder="true" applyAlignment="true" applyProtection="false">
      <alignment horizontal="general" vertical="top" textRotation="0" wrapText="true" indent="0" shrinkToFit="false"/>
      <protection locked="true" hidden="false"/>
    </xf>
    <xf numFmtId="164" fontId="8" fillId="5" borderId="2"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16" fillId="7" borderId="1" xfId="0" applyFont="true" applyBorder="true" applyAlignment="true" applyProtection="false">
      <alignment horizontal="general" vertical="top" textRotation="0" wrapText="true" indent="0" shrinkToFit="false"/>
      <protection locked="true" hidden="false"/>
    </xf>
    <xf numFmtId="166" fontId="16" fillId="7" borderId="1" xfId="0" applyFont="true" applyBorder="true" applyAlignment="true" applyProtection="false">
      <alignment horizontal="general" vertical="top" textRotation="0" wrapText="true" indent="0" shrinkToFit="false"/>
      <protection locked="true" hidden="false"/>
    </xf>
    <xf numFmtId="167" fontId="6" fillId="3" borderId="1" xfId="0" applyFont="true" applyBorder="true" applyAlignment="true" applyProtection="false">
      <alignment horizontal="general" vertical="top" textRotation="0" wrapText="true" indent="0" shrinkToFit="false"/>
      <protection locked="true" hidden="false"/>
    </xf>
    <xf numFmtId="167" fontId="6" fillId="5" borderId="1" xfId="0" applyFont="true" applyBorder="true" applyAlignment="true" applyProtection="false">
      <alignment horizontal="general" vertical="top" textRotation="0" wrapText="true" indent="0" shrinkToFit="false"/>
      <protection locked="true" hidden="false"/>
    </xf>
    <xf numFmtId="164" fontId="9" fillId="2" borderId="0" xfId="0" applyFont="true" applyBorder="true" applyAlignment="true" applyProtection="false">
      <alignment horizontal="general" vertical="bottom" textRotation="0" wrapText="false" indent="0" shrinkToFit="false"/>
      <protection locked="true" hidden="false"/>
    </xf>
    <xf numFmtId="164" fontId="10" fillId="3" borderId="0" xfId="0" applyFont="true" applyBorder="true" applyAlignment="true" applyProtection="false">
      <alignment horizontal="general" vertical="top" textRotation="0" wrapText="true" indent="0" shrinkToFit="false"/>
      <protection locked="true" hidden="false"/>
    </xf>
    <xf numFmtId="164" fontId="17" fillId="3" borderId="1" xfId="0" applyFont="true" applyBorder="true" applyAlignment="true" applyProtection="false">
      <alignment horizontal="general" vertical="top" textRotation="0" wrapText="true" indent="0" shrinkToFit="false"/>
      <protection locked="true" hidden="false"/>
    </xf>
    <xf numFmtId="164" fontId="17" fillId="5" borderId="1" xfId="0" applyFont="true" applyBorder="true" applyAlignment="true" applyProtection="false">
      <alignment horizontal="general" vertical="top" textRotation="0" wrapText="true" indent="0" shrinkToFit="false"/>
      <protection locked="true" hidden="false"/>
    </xf>
    <xf numFmtId="167" fontId="8" fillId="3" borderId="1" xfId="0" applyFont="true" applyBorder="true" applyAlignment="true" applyProtection="false">
      <alignment horizontal="general" vertical="top" textRotation="0" wrapText="true" indent="0" shrinkToFit="false"/>
      <protection locked="true" hidden="false"/>
    </xf>
    <xf numFmtId="167" fontId="8" fillId="5" borderId="1" xfId="0" applyFont="true" applyBorder="true" applyAlignment="true" applyProtection="false">
      <alignment horizontal="general" vertical="top" textRotation="0" wrapText="true" indent="0" shrinkToFit="false"/>
      <protection locked="true" hidden="false"/>
    </xf>
    <xf numFmtId="168" fontId="8" fillId="3" borderId="1" xfId="0" applyFont="true" applyBorder="true" applyAlignment="true" applyProtection="false">
      <alignment horizontal="general" vertical="top" textRotation="0" wrapText="true" indent="0" shrinkToFit="false"/>
      <protection locked="true" hidden="false"/>
    </xf>
    <xf numFmtId="168" fontId="8" fillId="5" borderId="1" xfId="0" applyFont="true" applyBorder="true" applyAlignment="true" applyProtection="false">
      <alignment horizontal="general" vertical="top" textRotation="0" wrapText="true" indent="0" shrinkToFit="false"/>
      <protection locked="true" hidden="false"/>
    </xf>
    <xf numFmtId="168" fontId="18" fillId="7" borderId="1" xfId="0" applyFont="true" applyBorder="true" applyAlignment="true" applyProtection="false">
      <alignment horizontal="general" vertical="top" textRotation="0" wrapText="true" indent="0" shrinkToFit="false"/>
      <protection locked="true" hidden="false"/>
    </xf>
    <xf numFmtId="167" fontId="18" fillId="7" borderId="1" xfId="0" applyFont="true" applyBorder="true" applyAlignment="true" applyProtection="false">
      <alignment horizontal="general" vertical="top" textRotation="0" wrapText="true" indent="0" shrinkToFit="false"/>
      <protection locked="true" hidden="false"/>
    </xf>
    <xf numFmtId="164" fontId="18" fillId="7" borderId="1" xfId="0" applyFont="true" applyBorder="true" applyAlignment="true" applyProtection="false">
      <alignment horizontal="general" vertical="top" textRotation="0" wrapText="true" indent="0" shrinkToFit="false"/>
      <protection locked="true" hidden="false"/>
    </xf>
    <xf numFmtId="168" fontId="18" fillId="3" borderId="1" xfId="0" applyFont="true" applyBorder="true" applyAlignment="true" applyProtection="false">
      <alignment horizontal="general" vertical="top" textRotation="0" wrapText="true" indent="0" shrinkToFit="false"/>
      <protection locked="true" hidden="false"/>
    </xf>
    <xf numFmtId="171" fontId="18" fillId="3" borderId="1" xfId="0" applyFont="true" applyBorder="true" applyAlignment="true" applyProtection="false">
      <alignment horizontal="general" vertical="top" textRotation="0" wrapText="true" indent="0" shrinkToFit="false"/>
      <protection locked="true" hidden="false"/>
    </xf>
    <xf numFmtId="164" fontId="9" fillId="2" borderId="0" xfId="0" applyFont="true" applyBorder="true" applyAlignment="true" applyProtection="false">
      <alignment horizontal="general" vertical="top" textRotation="0" wrapText="true" indent="0" shrinkToFit="false"/>
      <protection locked="true" hidden="false"/>
    </xf>
    <xf numFmtId="164" fontId="11" fillId="4" borderId="0" xfId="0" applyFont="true" applyBorder="false" applyAlignment="true" applyProtection="false">
      <alignment horizontal="general" vertical="top" textRotation="0" wrapText="true" indent="0" shrinkToFit="false"/>
      <protection locked="true" hidden="false"/>
    </xf>
    <xf numFmtId="164" fontId="8" fillId="6" borderId="1" xfId="0" applyFont="true" applyBorder="true" applyAlignment="true" applyProtection="false">
      <alignment horizontal="general" vertical="top" textRotation="0" wrapText="true" indent="0" shrinkToFit="false"/>
      <protection locked="true" hidden="false"/>
    </xf>
    <xf numFmtId="164" fontId="8" fillId="8" borderId="1" xfId="0" applyFont="true" applyBorder="true" applyAlignment="true" applyProtection="false">
      <alignment horizontal="general" vertical="top" textRotation="0" wrapText="true" indent="0" shrinkToFit="false"/>
      <protection locked="true" hidden="false"/>
    </xf>
    <xf numFmtId="164" fontId="19" fillId="3" borderId="3" xfId="0" applyFont="true" applyBorder="true" applyAlignment="true" applyProtection="false">
      <alignment horizontal="general" vertical="top" textRotation="0" wrapText="true" indent="0" shrinkToFit="false"/>
      <protection locked="true" hidden="false"/>
    </xf>
    <xf numFmtId="164" fontId="19" fillId="5" borderId="3" xfId="0" applyFont="true" applyBorder="true" applyAlignment="true" applyProtection="false">
      <alignment horizontal="general" vertical="top" textRotation="0" wrapText="true" indent="0" shrinkToFit="false"/>
      <protection locked="true" hidden="false"/>
    </xf>
    <xf numFmtId="164" fontId="19" fillId="3" borderId="0" xfId="0" applyFont="true" applyBorder="false" applyAlignment="true" applyProtection="false">
      <alignment horizontal="general" vertical="top" textRotation="0" wrapText="true" indent="0" shrinkToFit="false"/>
      <protection locked="true" hidden="false"/>
    </xf>
    <xf numFmtId="164" fontId="20" fillId="2" borderId="0" xfId="0" applyFont="true" applyBorder="true" applyAlignment="true" applyProtection="false">
      <alignment horizontal="general" vertical="center" textRotation="0" wrapText="false" indent="0" shrinkToFit="false"/>
      <protection locked="true" hidden="false"/>
    </xf>
    <xf numFmtId="164" fontId="19" fillId="3" borderId="0" xfId="0" applyFont="true" applyBorder="true" applyAlignment="true" applyProtection="false">
      <alignment horizontal="general" vertical="top" textRotation="0" wrapText="true" indent="0" shrinkToFit="false"/>
      <protection locked="true" hidden="false"/>
    </xf>
    <xf numFmtId="164" fontId="21" fillId="4" borderId="4" xfId="0" applyFont="true" applyBorder="true" applyAlignment="true" applyProtection="false">
      <alignment horizontal="general" vertical="center" textRotation="0" wrapText="true" indent="0" shrinkToFit="false"/>
      <protection locked="true" hidden="false"/>
    </xf>
    <xf numFmtId="167" fontId="0" fillId="0" borderId="1" xfId="0" applyFont="false" applyBorder="true" applyAlignment="true" applyProtection="false">
      <alignment horizontal="general" vertical="top" textRotation="0" wrapText="false" indent="0" shrinkToFit="false"/>
      <protection locked="true" hidden="false"/>
    </xf>
    <xf numFmtId="172" fontId="0" fillId="0" borderId="1" xfId="0" applyFont="false" applyBorder="true" applyAlignment="true" applyProtection="false">
      <alignment horizontal="general" vertical="top" textRotation="0" wrapText="false" indent="0" shrinkToFit="false"/>
      <protection locked="true" hidden="false"/>
    </xf>
    <xf numFmtId="164" fontId="22" fillId="0" borderId="1" xfId="0" applyFont="true" applyBorder="true" applyAlignment="true" applyProtection="false">
      <alignment horizontal="general" vertical="top" textRotation="0" wrapText="true" indent="0" shrinkToFit="false"/>
      <protection locked="true" hidden="false"/>
    </xf>
    <xf numFmtId="164" fontId="22"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46D75"/>
          <bgColor rgb="FF000000"/>
        </patternFill>
      </fill>
    </dxf>
    <dxf>
      <fill>
        <patternFill patternType="solid">
          <fgColor rgb="FFF0F6F8"/>
          <bgColor rgb="FF000000"/>
        </patternFill>
      </fill>
    </dxf>
    <dxf>
      <fill>
        <patternFill patternType="solid">
          <fgColor rgb="FFFFFFFF"/>
          <bgColor rgb="FF000000"/>
        </patternFill>
      </fill>
    </dxf>
    <dxf>
      <fill>
        <patternFill patternType="solid">
          <fgColor rgb="FF123140"/>
          <bgColor rgb="FF000000"/>
        </patternFill>
      </fill>
    </dxf>
    <dxf>
      <fill>
        <patternFill patternType="solid">
          <bgColor rgb="FF000000"/>
        </patternFill>
      </fill>
    </dxf>
    <dxf>
      <fill>
        <patternFill patternType="solid">
          <fgColor rgb="FF000000"/>
          <bgColor rgb="FF000000"/>
        </patternFill>
      </fill>
    </dxf>
    <dxf>
      <fill>
        <patternFill patternType="solid">
          <fgColor rgb="FFE4F2E9"/>
          <bgColor rgb="FF000000"/>
        </patternFill>
      </fill>
    </dxf>
    <dxf>
      <fill>
        <patternFill patternType="solid">
          <fgColor rgb="FF135CAA"/>
          <bgColor rgb="FF000000"/>
        </patternFill>
      </fill>
    </dxf>
    <dxf>
      <fill>
        <patternFill patternType="solid">
          <fgColor rgb="FFEAF2FF"/>
          <bgColor rgb="FF000000"/>
        </patternFill>
      </fill>
    </dxf>
    <dxf>
      <fill>
        <patternFill patternType="solid">
          <fgColor rgb="FFFFF0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46D75"/>
      <rgbColor rgb="FF9AA9B2"/>
      <rgbColor rgb="FF808080"/>
      <rgbColor rgb="FF9999FF"/>
      <rgbColor rgb="FF993366"/>
      <rgbColor rgb="FFFFF0CC"/>
      <rgbColor rgb="FFE4F2E9"/>
      <rgbColor rgb="FF660066"/>
      <rgbColor rgb="FFFF8080"/>
      <rgbColor rgb="FF135CAA"/>
      <rgbColor rgb="FFCCDAE0"/>
      <rgbColor rgb="FF000080"/>
      <rgbColor rgb="FFFF00FF"/>
      <rgbColor rgb="FFFFFF00"/>
      <rgbColor rgb="FF00FFFF"/>
      <rgbColor rgb="FF800080"/>
      <rgbColor rgb="FF800000"/>
      <rgbColor rgb="FF008080"/>
      <rgbColor rgb="FF0000FF"/>
      <rgbColor rgb="FF00CCFF"/>
      <rgbColor rgb="FFEAF2FF"/>
      <rgbColor rgb="FFD4E3E7"/>
      <rgbColor rgb="FFF0F6F8"/>
      <rgbColor rgb="FF99CCFF"/>
      <rgbColor rgb="FFFF99CC"/>
      <rgbColor rgb="FFCC99FF"/>
      <rgbColor rgb="FFF0CE80"/>
      <rgbColor rgb="FF3366FF"/>
      <rgbColor rgb="FF33CCCC"/>
      <rgbColor rgb="FF99CC00"/>
      <rgbColor rgb="FFFFCC00"/>
      <rgbColor rgb="FFC48D3B"/>
      <rgbColor rgb="FFFF6600"/>
      <rgbColor rgb="FF666699"/>
      <rgbColor rgb="FF94A3A8"/>
      <rgbColor rgb="FF123140"/>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drawings/drawing23.xml><?xml version="1.0" encoding="utf-8"?>
<xdr:wsDr xmlns:xdr="http://schemas.openxmlformats.org/drawingml/2006/spreadsheetDrawing" xmlns:a="http://schemas.openxmlformats.org/drawingml/2006/main" xmlns:r="http://schemas.openxmlformats.org/officeDocument/2006/relationships"/>
</file>

<file path=xl/drawings/drawing24.xml><?xml version="1.0" encoding="utf-8"?>
<xdr:wsDr xmlns:xdr="http://schemas.openxmlformats.org/drawingml/2006/spreadsheetDrawing" xmlns:a="http://schemas.openxmlformats.org/drawingml/2006/main" xmlns:r="http://schemas.openxmlformats.org/officeDocument/2006/relationships"/>
</file>

<file path=xl/drawings/drawing25.xml><?xml version="1.0" encoding="utf-8"?>
<xdr:wsDr xmlns:xdr="http://schemas.openxmlformats.org/drawingml/2006/spreadsheetDrawing" xmlns:a="http://schemas.openxmlformats.org/drawingml/2006/main" xmlns:r="http://schemas.openxmlformats.org/officeDocument/2006/relationships"/>
</file>

<file path=xl/drawings/drawing26.xml><?xml version="1.0" encoding="utf-8"?>
<xdr:wsDr xmlns:xdr="http://schemas.openxmlformats.org/drawingml/2006/spreadsheetDrawing" xmlns:a="http://schemas.openxmlformats.org/drawingml/2006/main" xmlns:r="http://schemas.openxmlformats.org/officeDocument/2006/relationships"/>
</file>

<file path=xl/drawings/drawing27.xml><?xml version="1.0" encoding="utf-8"?>
<xdr:wsDr xmlns:xdr="http://schemas.openxmlformats.org/drawingml/2006/spreadsheetDrawing" xmlns:a="http://schemas.openxmlformats.org/drawingml/2006/main" xmlns:r="http://schemas.openxmlformats.org/officeDocument/2006/relationships"/>
</file>

<file path=xl/drawings/drawing28.xml><?xml version="1.0" encoding="utf-8"?>
<xdr:wsDr xmlns:xdr="http://schemas.openxmlformats.org/drawingml/2006/spreadsheetDrawing" xmlns:a="http://schemas.openxmlformats.org/drawingml/2006/main" xmlns:r="http://schemas.openxmlformats.org/officeDocument/2006/relationships"/>
</file>

<file path=xl/drawings/drawing29.xml><?xml version="1.0" encoding="utf-8"?>
<xdr:wsDr xmlns:xdr="http://schemas.openxmlformats.org/drawingml/2006/spreadsheetDrawing" xmlns:a="http://schemas.openxmlformats.org/drawingml/2006/main" xmlns:r="http://schemas.openxmlformats.org/officeDocument/2006/relationships"/>
</file>

<file path=xl/drawings/drawing30.xml><?xml version="1.0" encoding="utf-8"?>
<xdr:wsDr xmlns:xdr="http://schemas.openxmlformats.org/drawingml/2006/spreadsheetDrawing" xmlns:a="http://schemas.openxmlformats.org/drawingml/2006/main" xmlns:r="http://schemas.openxmlformats.org/officeDocument/2006/relationships"/>
</file>

<file path=xl/drawings/drawing31.xml><?xml version="1.0" encoding="utf-8"?>
<xdr:wsDr xmlns:xdr="http://schemas.openxmlformats.org/drawingml/2006/spreadsheetDrawing" xmlns:a="http://schemas.openxmlformats.org/drawingml/2006/main" xmlns:r="http://schemas.openxmlformats.org/officeDocument/2006/relationships"/>
</file>

<file path=xl/drawings/drawing32.xml><?xml version="1.0" encoding="utf-8"?>
<xdr:wsDr xmlns:xdr="http://schemas.openxmlformats.org/drawingml/2006/spreadsheetDrawing" xmlns:a="http://schemas.openxmlformats.org/drawingml/2006/main" xmlns:r="http://schemas.openxmlformats.org/officeDocument/2006/relationships"/>
</file>

<file path=xl/drawings/drawing33.xml><?xml version="1.0" encoding="utf-8"?>
<xdr:wsDr xmlns:xdr="http://schemas.openxmlformats.org/drawingml/2006/spreadsheetDrawing" xmlns:a="http://schemas.openxmlformats.org/drawingml/2006/main" xmlns:r="http://schemas.openxmlformats.org/officeDocument/2006/relationships"/>
</file>

<file path=xl/drawings/drawing34.xml><?xml version="1.0" encoding="utf-8"?>
<xdr:wsDr xmlns:xdr="http://schemas.openxmlformats.org/drawingml/2006/spreadsheetDrawing" xmlns:a="http://schemas.openxmlformats.org/drawingml/2006/main" xmlns:r="http://schemas.openxmlformats.org/officeDocument/2006/relationships"/>
</file>

<file path=xl/drawings/drawing35.xml><?xml version="1.0" encoding="utf-8"?>
<xdr:wsDr xmlns:xdr="http://schemas.openxmlformats.org/drawingml/2006/spreadsheetDrawing" xmlns:a="http://schemas.openxmlformats.org/drawingml/2006/main" xmlns:r="http://schemas.openxmlformats.org/officeDocument/2006/relationships"/>
</file>

<file path=xl/drawings/drawing36.xml><?xml version="1.0" encoding="utf-8"?>
<xdr:wsDr xmlns:xdr="http://schemas.openxmlformats.org/drawingml/2006/spreadsheetDrawing" xmlns:a="http://schemas.openxmlformats.org/drawingml/2006/main" xmlns:r="http://schemas.openxmlformats.org/officeDocument/2006/relationships"/>
</file>

<file path=xl/drawings/drawing37.xml><?xml version="1.0" encoding="utf-8"?>
<xdr:wsDr xmlns:xdr="http://schemas.openxmlformats.org/drawingml/2006/spreadsheetDrawing" xmlns:a="http://schemas.openxmlformats.org/drawingml/2006/main" xmlns:r="http://schemas.openxmlformats.org/officeDocument/2006/relationships"/>
</file>

<file path=xl/drawings/drawing38.xml><?xml version="1.0" encoding="utf-8"?>
<xdr:wsDr xmlns:xdr="http://schemas.openxmlformats.org/drawingml/2006/spreadsheetDrawing" xmlns:a="http://schemas.openxmlformats.org/drawingml/2006/main" xmlns:r="http://schemas.openxmlformats.org/officeDocument/2006/relationships"/>
</file>

<file path=xl/drawings/drawing39.xml><?xml version="1.0" encoding="utf-8"?>
<xdr:wsDr xmlns:xdr="http://schemas.openxmlformats.org/drawingml/2006/spreadsheetDrawing" xmlns:a="http://schemas.openxmlformats.org/drawingml/2006/main" xmlns:r="http://schemas.openxmlformats.org/officeDocument/2006/relationships"/>
</file>

<file path=xl/drawings/drawing40.xml><?xml version="1.0" encoding="utf-8"?>
<xdr:wsDr xmlns:xdr="http://schemas.openxmlformats.org/drawingml/2006/spreadsheetDrawing" xmlns:a="http://schemas.openxmlformats.org/drawingml/2006/main" xmlns:r="http://schemas.openxmlformats.org/officeDocument/2006/relationships"/>
</file>

<file path=xl/drawings/drawing41.xml><?xml version="1.0" encoding="utf-8"?>
<xdr:wsDr xmlns:xdr="http://schemas.openxmlformats.org/drawingml/2006/spreadsheetDrawing" xmlns:a="http://schemas.openxmlformats.org/drawingml/2006/main" xmlns:r="http://schemas.openxmlformats.org/officeDocument/2006/relationships"/>
</file>

<file path=xl/drawings/drawing42.xml><?xml version="1.0" encoding="utf-8"?>
<xdr:wsDr xmlns:xdr="http://schemas.openxmlformats.org/drawingml/2006/spreadsheetDrawing" xmlns:a="http://schemas.openxmlformats.org/drawingml/2006/main" xmlns:r="http://schemas.openxmlformats.org/officeDocument/2006/relationships"/>
</file>

<file path=xl/drawings/drawing43.xml><?xml version="1.0" encoding="utf-8"?>
<xdr:wsDr xmlns:xdr="http://schemas.openxmlformats.org/drawingml/2006/spreadsheetDrawing" xmlns:a="http://schemas.openxmlformats.org/drawingml/2006/main" xmlns:r="http://schemas.openxmlformats.org/officeDocument/2006/relationships"/>
</file>

<file path=xl/drawings/drawing4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workspace/gra/docs/final-input/HARBORLIGHT2-zasady.xlsx" TargetMode="External"/><Relationship Id="rId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1.v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drawing" Target="../drawings/drawing9.xml"/>
</Relationships>
</file>

<file path=xl/worksheets/_rels/sheet10.xml.rels><?xml version="1.0" encoding="UTF-8"?>
<Relationships xmlns="http://schemas.openxmlformats.org/package/2006/relationships"><Relationship Id="rId1" Type="http://schemas.openxmlformats.org/officeDocument/2006/relationships/drawing" Target="../drawings/drawing10.xml"/>
</Relationships>
</file>

<file path=xl/worksheets/_rels/sheet11.xml.rels><?xml version="1.0" encoding="UTF-8"?>
<Relationships xmlns="http://schemas.openxmlformats.org/package/2006/relationships"><Relationship Id="rId1" Type="http://schemas.openxmlformats.org/officeDocument/2006/relationships/drawing" Target="../drawings/drawing11.xml"/>
</Relationships>
</file>

<file path=xl/worksheets/_rels/sheet12.xml.rels><?xml version="1.0" encoding="UTF-8"?>
<Relationships xmlns="http://schemas.openxmlformats.org/package/2006/relationships"><Relationship Id="rId1" Type="http://schemas.openxmlformats.org/officeDocument/2006/relationships/drawing" Target="../drawings/drawing12.xml"/>
</Relationships>
</file>

<file path=xl/worksheets/_rels/sheet13.xml.rels><?xml version="1.0" encoding="UTF-8"?>
<Relationships xmlns="http://schemas.openxmlformats.org/package/2006/relationships"><Relationship Id="rId1" Type="http://schemas.openxmlformats.org/officeDocument/2006/relationships/drawing" Target="../drawings/drawing13.xml"/>
</Relationships>
</file>

<file path=xl/worksheets/_rels/sheet14.xml.rels><?xml version="1.0" encoding="UTF-8"?>
<Relationships xmlns="http://schemas.openxmlformats.org/package/2006/relationships"><Relationship Id="rId1" Type="http://schemas.openxmlformats.org/officeDocument/2006/relationships/drawing" Target="../drawings/drawing14.xml"/>
</Relationships>
</file>

<file path=xl/worksheets/_rels/sheet15.xml.rels><?xml version="1.0" encoding="UTF-8"?>
<Relationships xmlns="http://schemas.openxmlformats.org/package/2006/relationships"><Relationship Id="rId1" Type="http://schemas.openxmlformats.org/officeDocument/2006/relationships/drawing" Target="../drawings/drawing15.xml"/>
</Relationships>
</file>

<file path=xl/worksheets/_rels/sheet16.xml.rels><?xml version="1.0" encoding="UTF-8"?>
<Relationships xmlns="http://schemas.openxmlformats.org/package/2006/relationships"><Relationship Id="rId1" Type="http://schemas.openxmlformats.org/officeDocument/2006/relationships/drawing" Target="../drawings/drawing16.xml"/>
</Relationships>
</file>

<file path=xl/worksheets/_rels/sheet17.xml.rels><?xml version="1.0" encoding="UTF-8"?>
<Relationships xmlns="http://schemas.openxmlformats.org/package/2006/relationships"><Relationship Id="rId1" Type="http://schemas.openxmlformats.org/officeDocument/2006/relationships/drawing" Target="../drawings/drawing17.xml"/>
</Relationships>
</file>

<file path=xl/worksheets/_rels/sheet18.xml.rels><?xml version="1.0" encoding="UTF-8"?>
<Relationships xmlns="http://schemas.openxmlformats.org/package/2006/relationships"><Relationship Id="rId1" Type="http://schemas.openxmlformats.org/officeDocument/2006/relationships/hyperlink" Target="https://www.facebook.com/policies_center/pages_groups_events" TargetMode="External"/><Relationship Id="rId2" Type="http://schemas.openxmlformats.org/officeDocument/2006/relationships/hyperlink" Target="https://help.instagram.com/179379842258600" TargetMode="External"/><Relationship Id="rId3" Type="http://schemas.openxmlformats.org/officeDocument/2006/relationships/hyperlink" Target="https://transparency.meta.com/policies/community-standards/spam/" TargetMode="External"/><Relationship Id="rId4" Type="http://schemas.openxmlformats.org/officeDocument/2006/relationships/hyperlink" Target="https://www.tiktok.com/community-guidelines/en/integrity-authenticity/" TargetMode="External"/><Relationship Id="rId5" Type="http://schemas.openxmlformats.org/officeDocument/2006/relationships/hyperlink" Target="https://support.google.com/youtube/answer/3399767?hl=en" TargetMode="External"/><Relationship Id="rId6" Type="http://schemas.openxmlformats.org/officeDocument/2006/relationships/hyperlink" Target="https://discord.com/guidelines" TargetMode="External"/><Relationship Id="rId7" Type="http://schemas.openxmlformats.org/officeDocument/2006/relationships/hyperlink" Target="https://support.reddithelp.com/hc/en-us/articles/360043504051-Spam" TargetMode="External"/><Relationship Id="rId8" Type="http://schemas.openxmlformats.org/officeDocument/2006/relationships/hyperlink" Target="https://help.x.com/en/rules-and-policies/platform-manipulation" TargetMode="External"/><Relationship Id="rId9" Type="http://schemas.openxmlformats.org/officeDocument/2006/relationships/hyperlink" Target="https://bsky.social/about/support/community-guidelines" TargetMode="External"/><Relationship Id="rId10" Type="http://schemas.openxmlformats.org/officeDocument/2006/relationships/hyperlink" Target="https://joinmastodon.org/" TargetMode="External"/><Relationship Id="rId11" Type="http://schemas.openxmlformats.org/officeDocument/2006/relationships/hyperlink" Target="https://values.snap.com/policy/policy-community-guidelines" TargetMode="External"/><Relationship Id="rId12" Type="http://schemas.openxmlformats.org/officeDocument/2006/relationships/drawing" Target="../drawings/drawing18.xml"/>
</Relationships>
</file>

<file path=xl/worksheets/_rels/sheet19.xml.rels><?xml version="1.0" encoding="UTF-8"?>
<Relationships xmlns="http://schemas.openxmlformats.org/package/2006/relationships"><Relationship Id="rId1" Type="http://schemas.openxmlformats.org/officeDocument/2006/relationships/drawing" Target="../drawings/drawing19.xml"/>
</Relationships>
</file>

<file path=xl/worksheets/_rels/sheet20.xml.rels><?xml version="1.0" encoding="UTF-8"?>
<Relationships xmlns="http://schemas.openxmlformats.org/package/2006/relationships"><Relationship Id="rId1" Type="http://schemas.openxmlformats.org/officeDocument/2006/relationships/drawing" Target="../drawings/drawing20.xml"/>
</Relationships>
</file>

<file path=xl/worksheets/_rels/sheet21.xml.rels><?xml version="1.0" encoding="UTF-8"?>
<Relationships xmlns="http://schemas.openxmlformats.org/package/2006/relationships"><Relationship Id="rId1" Type="http://schemas.openxmlformats.org/officeDocument/2006/relationships/drawing" Target="../drawings/drawing21.xml"/>
</Relationships>
</file>

<file path=xl/worksheets/_rels/sheet22.xml.rels><?xml version="1.0" encoding="UTF-8"?>
<Relationships xmlns="http://schemas.openxmlformats.org/package/2006/relationships"><Relationship Id="rId1" Type="http://schemas.openxmlformats.org/officeDocument/2006/relationships/drawing" Target="../drawings/drawing22.xml"/>
</Relationships>
</file>

<file path=xl/worksheets/_rels/sheet23.xml.rels><?xml version="1.0" encoding="UTF-8"?>
<Relationships xmlns="http://schemas.openxmlformats.org/package/2006/relationships"><Relationship Id="rId1" Type="http://schemas.openxmlformats.org/officeDocument/2006/relationships/drawing" Target="../drawings/drawing23.xml"/>
</Relationships>
</file>

<file path=xl/worksheets/_rels/sheet24.xml.rels><?xml version="1.0" encoding="UTF-8"?>
<Relationships xmlns="http://schemas.openxmlformats.org/package/2006/relationships"><Relationship Id="rId1" Type="http://schemas.openxmlformats.org/officeDocument/2006/relationships/drawing" Target="../drawings/drawing24.xml"/>
</Relationships>
</file>

<file path=xl/worksheets/_rels/sheet25.xml.rels><?xml version="1.0" encoding="UTF-8"?>
<Relationships xmlns="http://schemas.openxmlformats.org/package/2006/relationships"><Relationship Id="rId1" Type="http://schemas.openxmlformats.org/officeDocument/2006/relationships/drawing" Target="../drawings/drawing25.xml"/>
</Relationships>
</file>

<file path=xl/worksheets/_rels/sheet26.xml.rels><?xml version="1.0" encoding="UTF-8"?>
<Relationships xmlns="http://schemas.openxmlformats.org/package/2006/relationships"><Relationship Id="rId1" Type="http://schemas.openxmlformats.org/officeDocument/2006/relationships/drawing" Target="../drawings/drawing26.xml"/>
</Relationships>
</file>

<file path=xl/worksheets/_rels/sheet27.xml.rels><?xml version="1.0" encoding="UTF-8"?>
<Relationships xmlns="http://schemas.openxmlformats.org/package/2006/relationships"><Relationship Id="rId1" Type="http://schemas.openxmlformats.org/officeDocument/2006/relationships/drawing" Target="../drawings/drawing27.xml"/>
</Relationships>
</file>

<file path=xl/worksheets/_rels/sheet28.xml.rels><?xml version="1.0" encoding="UTF-8"?>
<Relationships xmlns="http://schemas.openxmlformats.org/package/2006/relationships"><Relationship Id="rId1" Type="http://schemas.openxmlformats.org/officeDocument/2006/relationships/drawing" Target="../drawings/drawing28.xml"/>
</Relationships>
</file>

<file path=xl/worksheets/_rels/sheet29.xml.rels><?xml version="1.0" encoding="UTF-8"?>
<Relationships xmlns="http://schemas.openxmlformats.org/package/2006/relationships"><Relationship Id="rId1" Type="http://schemas.openxmlformats.org/officeDocument/2006/relationships/drawing" Target="../drawings/drawing29.xml"/>
</Relationships>
</file>

<file path=xl/worksheets/_rels/sheet30.xml.rels><?xml version="1.0" encoding="UTF-8"?>
<Relationships xmlns="http://schemas.openxmlformats.org/package/2006/relationships"><Relationship Id="rId1" Type="http://schemas.openxmlformats.org/officeDocument/2006/relationships/drawing" Target="../drawings/drawing30.xml"/>
</Relationships>
</file>

<file path=xl/worksheets/_rels/sheet31.xml.rels><?xml version="1.0" encoding="UTF-8"?>
<Relationships xmlns="http://schemas.openxmlformats.org/package/2006/relationships"><Relationship Id="rId1" Type="http://schemas.openxmlformats.org/officeDocument/2006/relationships/drawing" Target="../drawings/drawing31.xml"/>
</Relationships>
</file>

<file path=xl/worksheets/_rels/sheet32.xml.rels><?xml version="1.0" encoding="UTF-8"?>
<Relationships xmlns="http://schemas.openxmlformats.org/package/2006/relationships"><Relationship Id="rId1" Type="http://schemas.openxmlformats.org/officeDocument/2006/relationships/drawing" Target="../drawings/drawing32.xml"/>
</Relationships>
</file>

<file path=xl/worksheets/_rels/sheet33.xml.rels><?xml version="1.0" encoding="UTF-8"?>
<Relationships xmlns="http://schemas.openxmlformats.org/package/2006/relationships"><Relationship Id="rId1" Type="http://schemas.openxmlformats.org/officeDocument/2006/relationships/drawing" Target="../drawings/drawing33.xml"/>
</Relationships>
</file>

<file path=xl/worksheets/_rels/sheet34.xml.rels><?xml version="1.0" encoding="UTF-8"?>
<Relationships xmlns="http://schemas.openxmlformats.org/package/2006/relationships"><Relationship Id="rId1" Type="http://schemas.openxmlformats.org/officeDocument/2006/relationships/drawing" Target="../drawings/drawing34.xml"/>
</Relationships>
</file>

<file path=xl/worksheets/_rels/sheet35.xml.rels><?xml version="1.0" encoding="UTF-8"?>
<Relationships xmlns="http://schemas.openxmlformats.org/package/2006/relationships"><Relationship Id="rId1" Type="http://schemas.openxmlformats.org/officeDocument/2006/relationships/drawing" Target="../drawings/drawing35.xml"/>
</Relationships>
</file>

<file path=xl/worksheets/_rels/sheet36.xml.rels><?xml version="1.0" encoding="UTF-8"?>
<Relationships xmlns="http://schemas.openxmlformats.org/package/2006/relationships"><Relationship Id="rId1" Type="http://schemas.openxmlformats.org/officeDocument/2006/relationships/drawing" Target="../drawings/drawing36.xml"/>
</Relationships>
</file>

<file path=xl/worksheets/_rels/sheet37.xml.rels><?xml version="1.0" encoding="UTF-8"?>
<Relationships xmlns="http://schemas.openxmlformats.org/package/2006/relationships"><Relationship Id="rId1" Type="http://schemas.openxmlformats.org/officeDocument/2006/relationships/drawing" Target="../drawings/drawing37.xml"/>
</Relationships>
</file>

<file path=xl/worksheets/_rels/sheet38.xml.rels><?xml version="1.0" encoding="UTF-8"?>
<Relationships xmlns="http://schemas.openxmlformats.org/package/2006/relationships"><Relationship Id="rId1" Type="http://schemas.openxmlformats.org/officeDocument/2006/relationships/drawing" Target="../drawings/drawing38.xml"/>
</Relationships>
</file>

<file path=xl/worksheets/_rels/sheet39.xml.rels><?xml version="1.0" encoding="UTF-8"?>
<Relationships xmlns="http://schemas.openxmlformats.org/package/2006/relationships"><Relationship Id="rId1" Type="http://schemas.openxmlformats.org/officeDocument/2006/relationships/drawing" Target="../drawings/drawing39.xml"/>
</Relationships>
</file>

<file path=xl/worksheets/_rels/sheet40.xml.rels><?xml version="1.0" encoding="UTF-8"?>
<Relationships xmlns="http://schemas.openxmlformats.org/package/2006/relationships"><Relationship Id="rId1" Type="http://schemas.openxmlformats.org/officeDocument/2006/relationships/drawing" Target="../drawings/drawing40.xml"/>
</Relationships>
</file>

<file path=xl/worksheets/_rels/sheet41.xml.rels><?xml version="1.0" encoding="UTF-8"?>
<Relationships xmlns="http://schemas.openxmlformats.org/package/2006/relationships"><Relationship Id="rId1" Type="http://schemas.openxmlformats.org/officeDocument/2006/relationships/drawing" Target="../drawings/drawing41.xml"/>
</Relationships>
</file>

<file path=xl/worksheets/_rels/sheet42.xml.rels><?xml version="1.0" encoding="UTF-8"?>
<Relationships xmlns="http://schemas.openxmlformats.org/package/2006/relationships"><Relationship Id="rId1" Type="http://schemas.openxmlformats.org/officeDocument/2006/relationships/drawing" Target="../drawings/drawing42.xml"/>
</Relationships>
</file>

<file path=xl/worksheets/_rels/sheet43.xml.rels><?xml version="1.0" encoding="UTF-8"?>
<Relationships xmlns="http://schemas.openxmlformats.org/package/2006/relationships"><Relationship Id="rId1" Type="http://schemas.openxmlformats.org/officeDocument/2006/relationships/drawing" Target="../drawings/drawing43.xml"/>
</Relationships>
</file>

<file path=xl/worksheets/_rels/sheet44.xml.rels><?xml version="1.0" encoding="UTF-8"?>
<Relationships xmlns="http://schemas.openxmlformats.org/package/2006/relationships"><Relationship Id="rId1" Type="http://schemas.openxmlformats.org/officeDocument/2006/relationships/drawing" Target="../drawings/drawing4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6D75"/>
    <pageSetUpPr fitToPage="true"/>
  </sheetPr>
  <dimension ref="A1:F34"/>
  <sheetViews>
    <sheetView showFormulas="false" showGridLines="false" showRowColHeaders="true" showZeros="true" rightToLeft="false" tabSelected="true" showOutlineSymbols="true" defaultGridColor="true" view="normal" topLeftCell="A1" colorId="64" zoomScale="75" zoomScaleNormal="75"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26.25" customHeight="false" zeroHeight="false" outlineLevelRow="0" outlineLevelCol="0"/>
  <cols>
    <col collapsed="false" customWidth="true" hidden="false" outlineLevel="0" max="1" min="1" style="1" width="39"/>
    <col collapsed="false" customWidth="true" hidden="false" outlineLevel="0" max="2" min="2" style="1" width="145"/>
    <col collapsed="false" customWidth="true" hidden="false" outlineLevel="0" max="3" min="3" style="1" width="95"/>
    <col collapsed="false" customWidth="false" hidden="false" outlineLevel="0" max="16384" min="4" style="1" width="8.71"/>
  </cols>
  <sheetData>
    <row r="1" customFormat="false" ht="33.75" hidden="false" customHeight="true" outlineLevel="0" collapsed="false">
      <c r="A1" s="2" t="s">
        <v>0</v>
      </c>
      <c r="B1" s="2"/>
      <c r="C1" s="2"/>
    </row>
    <row r="2" customFormat="false" ht="90" hidden="false" customHeight="true" outlineLevel="0" collapsed="false">
      <c r="A2" s="3" t="s">
        <v>1</v>
      </c>
      <c r="B2" s="3"/>
      <c r="C2" s="3"/>
    </row>
    <row r="3" customFormat="false" ht="24.75" hidden="false" customHeight="true" outlineLevel="0" collapsed="false">
      <c r="A3" s="3"/>
      <c r="B3" s="3"/>
      <c r="C3" s="3"/>
    </row>
    <row r="5" customFormat="false" ht="48" hidden="false" customHeight="true" outlineLevel="0" collapsed="false">
      <c r="A5" s="4" t="s">
        <v>2</v>
      </c>
      <c r="B5" s="4" t="s">
        <v>3</v>
      </c>
      <c r="C5" s="4" t="s">
        <v>4</v>
      </c>
    </row>
    <row r="6" customFormat="false" ht="90" hidden="false" customHeight="true" outlineLevel="0" collapsed="false">
      <c r="A6" s="5" t="s">
        <v>5</v>
      </c>
      <c r="B6" s="5" t="s">
        <v>6</v>
      </c>
      <c r="C6" s="5" t="s">
        <v>7</v>
      </c>
    </row>
    <row r="7" customFormat="false" ht="90" hidden="false" customHeight="true" outlineLevel="0" collapsed="false">
      <c r="A7" s="6" t="s">
        <v>8</v>
      </c>
      <c r="B7" s="6" t="s">
        <v>9</v>
      </c>
      <c r="C7" s="6" t="s">
        <v>10</v>
      </c>
    </row>
    <row r="8" customFormat="false" ht="90" hidden="false" customHeight="true" outlineLevel="0" collapsed="false">
      <c r="A8" s="5" t="s">
        <v>11</v>
      </c>
      <c r="B8" s="5" t="s">
        <v>12</v>
      </c>
      <c r="C8" s="5" t="s">
        <v>13</v>
      </c>
    </row>
    <row r="9" customFormat="false" ht="90" hidden="false" customHeight="true" outlineLevel="0" collapsed="false">
      <c r="A9" s="6" t="s">
        <v>14</v>
      </c>
      <c r="B9" s="6" t="s">
        <v>15</v>
      </c>
      <c r="C9" s="6" t="s">
        <v>16</v>
      </c>
    </row>
    <row r="10" customFormat="false" ht="90" hidden="false" customHeight="true" outlineLevel="0" collapsed="false">
      <c r="A10" s="5" t="s">
        <v>17</v>
      </c>
      <c r="B10" s="5" t="s">
        <v>18</v>
      </c>
      <c r="C10" s="5" t="s">
        <v>19</v>
      </c>
      <c r="E10" s="1" t="s">
        <v>20</v>
      </c>
    </row>
    <row r="11" customFormat="false" ht="90" hidden="false" customHeight="true" outlineLevel="0" collapsed="false">
      <c r="A11" s="6" t="s">
        <v>21</v>
      </c>
      <c r="B11" s="6" t="s">
        <v>22</v>
      </c>
      <c r="C11" s="6" t="s">
        <v>23</v>
      </c>
    </row>
    <row r="12" customFormat="false" ht="90" hidden="false" customHeight="true" outlineLevel="0" collapsed="false">
      <c r="A12" s="5" t="s">
        <v>24</v>
      </c>
      <c r="B12" s="5" t="s">
        <v>25</v>
      </c>
      <c r="C12" s="5" t="s">
        <v>26</v>
      </c>
    </row>
    <row r="13" customFormat="false" ht="90" hidden="false" customHeight="true" outlineLevel="0" collapsed="false">
      <c r="A13" s="6" t="s">
        <v>27</v>
      </c>
      <c r="B13" s="6" t="s">
        <v>28</v>
      </c>
      <c r="C13" s="6" t="s">
        <v>29</v>
      </c>
    </row>
    <row r="14" customFormat="false" ht="90" hidden="false" customHeight="true" outlineLevel="0" collapsed="false">
      <c r="A14" s="5" t="s">
        <v>30</v>
      </c>
      <c r="B14" s="5" t="s">
        <v>31</v>
      </c>
      <c r="C14" s="5" t="s">
        <v>32</v>
      </c>
    </row>
    <row r="15" customFormat="false" ht="90" hidden="false" customHeight="true" outlineLevel="0" collapsed="false">
      <c r="A15" s="6" t="s">
        <v>33</v>
      </c>
      <c r="B15" s="6" t="s">
        <v>34</v>
      </c>
      <c r="C15" s="6" t="s">
        <v>35</v>
      </c>
    </row>
    <row r="16" customFormat="false" ht="90" hidden="false" customHeight="true" outlineLevel="0" collapsed="false">
      <c r="A16" s="5" t="s">
        <v>36</v>
      </c>
      <c r="B16" s="5" t="s">
        <v>37</v>
      </c>
      <c r="C16" s="5" t="s">
        <v>38</v>
      </c>
      <c r="F16" s="1" t="s">
        <v>39</v>
      </c>
    </row>
    <row r="17" customFormat="false" ht="90" hidden="false" customHeight="true" outlineLevel="0" collapsed="false">
      <c r="A17" s="6" t="s">
        <v>40</v>
      </c>
      <c r="B17" s="6" t="s">
        <v>41</v>
      </c>
      <c r="C17" s="6" t="s">
        <v>42</v>
      </c>
      <c r="F17" s="1" t="s">
        <v>43</v>
      </c>
    </row>
    <row r="18" customFormat="false" ht="90" hidden="false" customHeight="true" outlineLevel="0" collapsed="false">
      <c r="A18" s="5" t="s">
        <v>44</v>
      </c>
      <c r="B18" s="5" t="s">
        <v>45</v>
      </c>
      <c r="C18" s="5" t="s">
        <v>46</v>
      </c>
    </row>
    <row r="19" customFormat="false" ht="90" hidden="false" customHeight="true" outlineLevel="0" collapsed="false">
      <c r="A19" s="6" t="s">
        <v>47</v>
      </c>
      <c r="B19" s="6" t="s">
        <v>48</v>
      </c>
      <c r="C19" s="6" t="s">
        <v>49</v>
      </c>
    </row>
    <row r="20" customFormat="false" ht="69.75" hidden="false" customHeight="true" outlineLevel="0" collapsed="false">
      <c r="A20" s="6" t="s">
        <v>50</v>
      </c>
      <c r="B20" s="6" t="s">
        <v>51</v>
      </c>
      <c r="C20" s="6" t="s">
        <v>52</v>
      </c>
    </row>
    <row r="21" customFormat="false" ht="99.75" hidden="false" customHeight="true" outlineLevel="0" collapsed="false">
      <c r="A21" s="6" t="s">
        <v>53</v>
      </c>
      <c r="B21" s="6" t="s">
        <v>54</v>
      </c>
      <c r="C21" s="6" t="s">
        <v>55</v>
      </c>
    </row>
    <row r="22" customFormat="false" ht="99.75" hidden="false" customHeight="true" outlineLevel="0" collapsed="false">
      <c r="A22" s="5" t="s">
        <v>56</v>
      </c>
      <c r="B22" s="5" t="s">
        <v>57</v>
      </c>
      <c r="C22" s="5" t="s">
        <v>58</v>
      </c>
    </row>
    <row r="23" customFormat="false" ht="99.75" hidden="false" customHeight="true" outlineLevel="0" collapsed="false">
      <c r="A23" s="6" t="s">
        <v>59</v>
      </c>
      <c r="B23" s="6" t="s">
        <v>60</v>
      </c>
      <c r="C23" s="6" t="s">
        <v>61</v>
      </c>
    </row>
    <row r="24" customFormat="false" ht="99.75" hidden="false" customHeight="true" outlineLevel="0" collapsed="false">
      <c r="A24" s="5" t="s">
        <v>62</v>
      </c>
      <c r="B24" s="5" t="s">
        <v>63</v>
      </c>
      <c r="C24" s="5" t="s">
        <v>64</v>
      </c>
    </row>
    <row r="25" customFormat="false" ht="90" hidden="false" customHeight="true" outlineLevel="0" collapsed="false">
      <c r="A25" s="6" t="s">
        <v>65</v>
      </c>
      <c r="B25" s="6" t="s">
        <v>66</v>
      </c>
      <c r="C25" s="6" t="s">
        <v>67</v>
      </c>
    </row>
    <row r="26" customFormat="false" ht="69.75" hidden="false" customHeight="true" outlineLevel="0" collapsed="false">
      <c r="A26" s="5" t="s">
        <v>68</v>
      </c>
      <c r="B26" s="5" t="s">
        <v>69</v>
      </c>
      <c r="C26" s="5" t="s">
        <v>70</v>
      </c>
    </row>
    <row r="27" customFormat="false" ht="159.75" hidden="false" customHeight="true" outlineLevel="0" collapsed="false">
      <c r="A27" s="7" t="s">
        <v>71</v>
      </c>
      <c r="B27" s="7" t="s">
        <v>72</v>
      </c>
      <c r="C27" s="7" t="s">
        <v>73</v>
      </c>
    </row>
    <row r="28" customFormat="false" ht="150" hidden="false" customHeight="true" outlineLevel="0" collapsed="false">
      <c r="A28" s="8" t="s">
        <v>74</v>
      </c>
      <c r="B28" s="8" t="s">
        <v>75</v>
      </c>
      <c r="C28" s="8" t="s">
        <v>76</v>
      </c>
    </row>
    <row r="29" customFormat="false" ht="105" hidden="false" customHeight="true" outlineLevel="0" collapsed="false">
      <c r="A29" s="7" t="s">
        <v>77</v>
      </c>
      <c r="B29" s="7" t="s">
        <v>78</v>
      </c>
      <c r="C29" s="7" t="s">
        <v>79</v>
      </c>
    </row>
    <row r="30" customFormat="false" ht="63.75" hidden="false" customHeight="true" outlineLevel="0" collapsed="false">
      <c r="A30" s="7" t="s">
        <v>80</v>
      </c>
      <c r="B30" s="7" t="s">
        <v>81</v>
      </c>
      <c r="C30" s="7" t="s">
        <v>82</v>
      </c>
    </row>
    <row r="31" customFormat="false" ht="63.75" hidden="false" customHeight="true" outlineLevel="0" collapsed="false">
      <c r="A31" s="7" t="s">
        <v>83</v>
      </c>
      <c r="B31" s="7" t="s">
        <v>84</v>
      </c>
      <c r="C31" s="7" t="s">
        <v>85</v>
      </c>
    </row>
    <row r="32" customFormat="false" ht="63.75" hidden="false" customHeight="true" outlineLevel="0" collapsed="false">
      <c r="A32" s="7" t="s">
        <v>86</v>
      </c>
      <c r="B32" s="7" t="s">
        <v>87</v>
      </c>
      <c r="C32" s="7" t="s">
        <v>88</v>
      </c>
    </row>
    <row r="33" customFormat="false" ht="63.75" hidden="false" customHeight="true" outlineLevel="0" collapsed="false">
      <c r="A33" s="7" t="s">
        <v>89</v>
      </c>
      <c r="B33" s="7" t="s">
        <v>90</v>
      </c>
      <c r="C33" s="7" t="s">
        <v>91</v>
      </c>
    </row>
    <row r="34" customFormat="false" ht="63.75" hidden="false" customHeight="true" outlineLevel="0" collapsed="false">
      <c r="A34" s="7" t="s">
        <v>92</v>
      </c>
      <c r="B34" s="7" t="s">
        <v>93</v>
      </c>
      <c r="C34" s="7" t="s">
        <v>94</v>
      </c>
    </row>
  </sheetData>
  <autoFilter ref="A5:F34"/>
  <mergeCells count="2">
    <mergeCell ref="A1:C1"/>
    <mergeCell ref="A2:C3"/>
  </mergeCells>
  <hyperlinks>
    <hyperlink ref="A6" r:id="rId1" location="'Budynki'!A1" display="Główna tabela"/>
  </hyperlink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6D75"/>
    <pageSetUpPr fitToPage="true"/>
  </sheetPr>
  <dimension ref="A1:E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21"/>
    <col collapsed="false" customWidth="true" hidden="false" outlineLevel="0" max="3" min="3" style="0" width="27"/>
    <col collapsed="false" customWidth="true" hidden="false" outlineLevel="0" max="4" min="4" style="0" width="85"/>
    <col collapsed="false" customWidth="true" hidden="false" outlineLevel="0" max="5" min="5" style="0" width="80"/>
  </cols>
  <sheetData>
    <row r="1" customFormat="false" ht="31.5" hidden="false" customHeight="true" outlineLevel="0" collapsed="false">
      <c r="A1" s="9" t="s">
        <v>95</v>
      </c>
      <c r="B1" s="9"/>
      <c r="C1" s="9"/>
      <c r="D1" s="9"/>
      <c r="E1" s="9"/>
    </row>
    <row r="2" customFormat="false" ht="75.75" hidden="false" customHeight="true" outlineLevel="0" collapsed="false">
      <c r="A2" s="10" t="s">
        <v>96</v>
      </c>
      <c r="B2" s="10"/>
      <c r="C2" s="10"/>
      <c r="D2" s="10"/>
      <c r="E2" s="10"/>
    </row>
    <row r="5" customFormat="false" ht="33.75" hidden="false" customHeight="true" outlineLevel="0" collapsed="false">
      <c r="A5" s="11" t="s">
        <v>97</v>
      </c>
      <c r="B5" s="11" t="s">
        <v>2</v>
      </c>
      <c r="C5" s="11" t="s">
        <v>98</v>
      </c>
      <c r="D5" s="11" t="s">
        <v>99</v>
      </c>
      <c r="E5" s="11" t="s">
        <v>100</v>
      </c>
    </row>
    <row r="6" customFormat="false" ht="51" hidden="false" customHeight="true" outlineLevel="0" collapsed="false">
      <c r="A6" s="12" t="s">
        <v>101</v>
      </c>
      <c r="B6" s="12" t="s">
        <v>102</v>
      </c>
      <c r="C6" s="12" t="s">
        <v>103</v>
      </c>
      <c r="D6" s="12" t="s">
        <v>104</v>
      </c>
      <c r="E6" s="12" t="s">
        <v>105</v>
      </c>
    </row>
    <row r="7" customFormat="false" ht="51" hidden="false" customHeight="true" outlineLevel="0" collapsed="false">
      <c r="A7" s="13" t="s">
        <v>106</v>
      </c>
      <c r="B7" s="13" t="s">
        <v>107</v>
      </c>
      <c r="C7" s="13" t="s">
        <v>108</v>
      </c>
      <c r="D7" s="13" t="s">
        <v>109</v>
      </c>
      <c r="E7" s="13" t="s">
        <v>110</v>
      </c>
    </row>
    <row r="8" customFormat="false" ht="51" hidden="false" customHeight="true" outlineLevel="0" collapsed="false">
      <c r="A8" s="12" t="s">
        <v>111</v>
      </c>
      <c r="B8" s="12" t="s">
        <v>107</v>
      </c>
      <c r="C8" s="12" t="s">
        <v>112</v>
      </c>
      <c r="D8" s="12" t="s">
        <v>113</v>
      </c>
      <c r="E8" s="12" t="s">
        <v>114</v>
      </c>
    </row>
    <row r="9" customFormat="false" ht="51" hidden="false" customHeight="true" outlineLevel="0" collapsed="false">
      <c r="A9" s="13" t="s">
        <v>115</v>
      </c>
      <c r="B9" s="13" t="s">
        <v>107</v>
      </c>
      <c r="C9" s="13" t="s">
        <v>116</v>
      </c>
      <c r="D9" s="13" t="s">
        <v>117</v>
      </c>
      <c r="E9" s="13" t="s">
        <v>118</v>
      </c>
    </row>
    <row r="10" customFormat="false" ht="33.75" hidden="false" customHeight="true" outlineLevel="0" collapsed="false">
      <c r="A10" s="12" t="s">
        <v>119</v>
      </c>
      <c r="B10" s="12" t="s">
        <v>120</v>
      </c>
      <c r="C10" s="12" t="s">
        <v>121</v>
      </c>
      <c r="D10" s="12" t="s">
        <v>122</v>
      </c>
      <c r="E10" s="12" t="s">
        <v>123</v>
      </c>
    </row>
    <row r="11" customFormat="false" ht="33.75" hidden="false" customHeight="true" outlineLevel="0" collapsed="false">
      <c r="A11" s="13" t="s">
        <v>124</v>
      </c>
      <c r="B11" s="13" t="s">
        <v>125</v>
      </c>
      <c r="C11" s="13" t="s">
        <v>126</v>
      </c>
      <c r="D11" s="13" t="s">
        <v>127</v>
      </c>
      <c r="E11" s="13" t="s">
        <v>128</v>
      </c>
    </row>
    <row r="12" customFormat="false" ht="33.75" hidden="false" customHeight="true" outlineLevel="0" collapsed="false">
      <c r="A12" s="12" t="s">
        <v>129</v>
      </c>
      <c r="B12" s="12" t="s">
        <v>130</v>
      </c>
      <c r="C12" s="12" t="s">
        <v>131</v>
      </c>
      <c r="D12" s="12" t="s">
        <v>132</v>
      </c>
      <c r="E12" s="12" t="s">
        <v>133</v>
      </c>
    </row>
    <row r="13" customFormat="false" ht="33.75" hidden="false" customHeight="true" outlineLevel="0" collapsed="false">
      <c r="A13" s="13" t="s">
        <v>134</v>
      </c>
      <c r="B13" s="13" t="s">
        <v>130</v>
      </c>
      <c r="C13" s="13" t="s">
        <v>120</v>
      </c>
      <c r="D13" s="13" t="s">
        <v>135</v>
      </c>
      <c r="E13" s="13" t="s">
        <v>136</v>
      </c>
    </row>
    <row r="14" customFormat="false" ht="33.75" hidden="false" customHeight="true" outlineLevel="0" collapsed="false">
      <c r="A14" s="12" t="s">
        <v>137</v>
      </c>
      <c r="B14" s="12" t="s">
        <v>130</v>
      </c>
      <c r="C14" s="12" t="s">
        <v>138</v>
      </c>
      <c r="D14" s="12" t="s">
        <v>139</v>
      </c>
      <c r="E14" s="12" t="s">
        <v>140</v>
      </c>
    </row>
    <row r="15" customFormat="false" ht="33.75" hidden="false" customHeight="true" outlineLevel="0" collapsed="false">
      <c r="A15" s="13" t="s">
        <v>141</v>
      </c>
      <c r="B15" s="13" t="s">
        <v>130</v>
      </c>
      <c r="C15" s="13" t="s">
        <v>142</v>
      </c>
      <c r="D15" s="13" t="s">
        <v>143</v>
      </c>
      <c r="E15" s="13" t="s">
        <v>144</v>
      </c>
    </row>
    <row r="16" customFormat="false" ht="51" hidden="false" customHeight="true" outlineLevel="0" collapsed="false">
      <c r="A16" s="12" t="s">
        <v>145</v>
      </c>
      <c r="B16" s="12" t="s">
        <v>130</v>
      </c>
      <c r="C16" s="12" t="s">
        <v>146</v>
      </c>
      <c r="D16" s="12" t="s">
        <v>147</v>
      </c>
      <c r="E16" s="12" t="s">
        <v>148</v>
      </c>
    </row>
    <row r="17" customFormat="false" ht="33.75" hidden="false" customHeight="true" outlineLevel="0" collapsed="false">
      <c r="A17" s="13" t="s">
        <v>149</v>
      </c>
      <c r="B17" s="13" t="s">
        <v>130</v>
      </c>
      <c r="C17" s="13" t="s">
        <v>150</v>
      </c>
      <c r="D17" s="13" t="s">
        <v>151</v>
      </c>
      <c r="E17" s="13" t="s">
        <v>152</v>
      </c>
    </row>
    <row r="18" customFormat="false" ht="51" hidden="false" customHeight="true" outlineLevel="0" collapsed="false">
      <c r="A18" s="12" t="s">
        <v>153</v>
      </c>
      <c r="B18" s="12" t="s">
        <v>130</v>
      </c>
      <c r="C18" s="12" t="s">
        <v>154</v>
      </c>
      <c r="D18" s="12" t="s">
        <v>155</v>
      </c>
      <c r="E18" s="12" t="s">
        <v>156</v>
      </c>
    </row>
    <row r="19" customFormat="false" ht="51" hidden="false" customHeight="true" outlineLevel="0" collapsed="false">
      <c r="A19" s="13" t="s">
        <v>157</v>
      </c>
      <c r="B19" s="13" t="s">
        <v>130</v>
      </c>
      <c r="C19" s="13" t="s">
        <v>158</v>
      </c>
      <c r="D19" s="13" t="s">
        <v>159</v>
      </c>
      <c r="E19" s="13" t="s">
        <v>160</v>
      </c>
    </row>
    <row r="20" customFormat="false" ht="51" hidden="false" customHeight="true" outlineLevel="0" collapsed="false">
      <c r="A20" s="12" t="s">
        <v>161</v>
      </c>
      <c r="B20" s="12" t="s">
        <v>130</v>
      </c>
      <c r="C20" s="12" t="s">
        <v>162</v>
      </c>
      <c r="D20" s="12" t="s">
        <v>163</v>
      </c>
      <c r="E20" s="12" t="s">
        <v>164</v>
      </c>
    </row>
    <row r="21" customFormat="false" ht="51" hidden="false" customHeight="true" outlineLevel="0" collapsed="false">
      <c r="A21" s="13" t="s">
        <v>165</v>
      </c>
      <c r="B21" s="13" t="s">
        <v>130</v>
      </c>
      <c r="C21" s="13" t="s">
        <v>166</v>
      </c>
      <c r="D21" s="13" t="s">
        <v>167</v>
      </c>
      <c r="E21" s="13" t="s">
        <v>168</v>
      </c>
    </row>
    <row r="22" customFormat="false" ht="33.75" hidden="false" customHeight="true" outlineLevel="0" collapsed="false">
      <c r="A22" s="12" t="s">
        <v>169</v>
      </c>
      <c r="B22" s="12" t="s">
        <v>24</v>
      </c>
      <c r="C22" s="12" t="s">
        <v>170</v>
      </c>
      <c r="D22" s="12" t="s">
        <v>171</v>
      </c>
      <c r="E22" s="12" t="s">
        <v>172</v>
      </c>
    </row>
    <row r="23" customFormat="false" ht="33.75" hidden="false" customHeight="true" outlineLevel="0" collapsed="false">
      <c r="A23" s="13" t="s">
        <v>173</v>
      </c>
      <c r="B23" s="13" t="s">
        <v>174</v>
      </c>
      <c r="C23" s="13" t="s">
        <v>175</v>
      </c>
      <c r="D23" s="13" t="s">
        <v>176</v>
      </c>
      <c r="E23" s="13" t="s">
        <v>177</v>
      </c>
    </row>
    <row r="24" customFormat="false" ht="51" hidden="false" customHeight="true" outlineLevel="0" collapsed="false">
      <c r="A24" s="12" t="s">
        <v>178</v>
      </c>
      <c r="B24" s="12" t="s">
        <v>174</v>
      </c>
      <c r="C24" s="12" t="s">
        <v>179</v>
      </c>
      <c r="D24" s="12" t="s">
        <v>180</v>
      </c>
      <c r="E24" s="12" t="s">
        <v>181</v>
      </c>
    </row>
    <row r="25" customFormat="false" ht="33.75" hidden="false" customHeight="true" outlineLevel="0" collapsed="false">
      <c r="A25" s="13" t="s">
        <v>182</v>
      </c>
      <c r="B25" s="13" t="s">
        <v>174</v>
      </c>
      <c r="C25" s="13" t="s">
        <v>183</v>
      </c>
      <c r="D25" s="13" t="s">
        <v>184</v>
      </c>
      <c r="E25" s="13" t="s">
        <v>185</v>
      </c>
    </row>
    <row r="26" customFormat="false" ht="51" hidden="false" customHeight="true" outlineLevel="0" collapsed="false">
      <c r="A26" s="12" t="s">
        <v>186</v>
      </c>
      <c r="B26" s="12" t="s">
        <v>187</v>
      </c>
      <c r="C26" s="12" t="s">
        <v>188</v>
      </c>
      <c r="D26" s="12" t="s">
        <v>189</v>
      </c>
      <c r="E26" s="12" t="s">
        <v>190</v>
      </c>
    </row>
    <row r="27" customFormat="false" ht="51" hidden="false" customHeight="true" outlineLevel="0" collapsed="false">
      <c r="A27" s="13" t="s">
        <v>191</v>
      </c>
      <c r="B27" s="13" t="s">
        <v>187</v>
      </c>
      <c r="C27" s="13" t="s">
        <v>192</v>
      </c>
      <c r="D27" s="13" t="s">
        <v>193</v>
      </c>
      <c r="E27" s="13" t="s">
        <v>194</v>
      </c>
    </row>
    <row r="28" customFormat="false" ht="33.75" hidden="false" customHeight="true" outlineLevel="0" collapsed="false">
      <c r="A28" s="12" t="s">
        <v>195</v>
      </c>
      <c r="B28" s="12" t="s">
        <v>187</v>
      </c>
      <c r="C28" s="12" t="s">
        <v>196</v>
      </c>
      <c r="D28" s="12" t="s">
        <v>197</v>
      </c>
      <c r="E28" s="12" t="s">
        <v>198</v>
      </c>
    </row>
    <row r="29" customFormat="false" ht="51" hidden="false" customHeight="true" outlineLevel="0" collapsed="false">
      <c r="A29" s="13" t="s">
        <v>199</v>
      </c>
      <c r="B29" s="13" t="s">
        <v>200</v>
      </c>
      <c r="C29" s="13" t="s">
        <v>201</v>
      </c>
      <c r="D29" s="13" t="s">
        <v>202</v>
      </c>
      <c r="E29" s="13" t="s">
        <v>203</v>
      </c>
    </row>
    <row r="30" customFormat="false" ht="33.75" hidden="false" customHeight="true" outlineLevel="0" collapsed="false">
      <c r="A30" s="12" t="s">
        <v>204</v>
      </c>
      <c r="B30" s="12" t="s">
        <v>130</v>
      </c>
      <c r="C30" s="12" t="s">
        <v>205</v>
      </c>
      <c r="D30" s="12" t="s">
        <v>206</v>
      </c>
      <c r="E30" s="12" t="s">
        <v>207</v>
      </c>
    </row>
    <row r="31" customFormat="false" ht="33.75" hidden="false" customHeight="true" outlineLevel="0" collapsed="false">
      <c r="A31" s="13" t="s">
        <v>208</v>
      </c>
      <c r="B31" s="13" t="s">
        <v>209</v>
      </c>
      <c r="C31" s="13" t="s">
        <v>210</v>
      </c>
      <c r="D31" s="13" t="s">
        <v>211</v>
      </c>
      <c r="E31" s="13" t="s">
        <v>212</v>
      </c>
    </row>
    <row r="32" customFormat="false" ht="33.75" hidden="false" customHeight="true" outlineLevel="0" collapsed="false">
      <c r="A32" s="12" t="s">
        <v>213</v>
      </c>
      <c r="B32" s="12" t="s">
        <v>209</v>
      </c>
      <c r="C32" s="12" t="s">
        <v>214</v>
      </c>
      <c r="D32" s="12" t="s">
        <v>215</v>
      </c>
      <c r="E32" s="12" t="s">
        <v>216</v>
      </c>
    </row>
    <row r="33" customFormat="false" ht="33.75" hidden="false" customHeight="true" outlineLevel="0" collapsed="false">
      <c r="A33" s="13" t="s">
        <v>217</v>
      </c>
      <c r="B33" s="13" t="s">
        <v>209</v>
      </c>
      <c r="C33" s="13" t="s">
        <v>218</v>
      </c>
      <c r="D33" s="13" t="s">
        <v>219</v>
      </c>
      <c r="E33" s="13" t="s">
        <v>220</v>
      </c>
    </row>
    <row r="34" customFormat="false" ht="33.75" hidden="false" customHeight="true" outlineLevel="0" collapsed="false">
      <c r="A34" s="12" t="s">
        <v>221</v>
      </c>
      <c r="B34" s="12" t="s">
        <v>209</v>
      </c>
      <c r="C34" s="12" t="s">
        <v>222</v>
      </c>
      <c r="D34" s="12" t="s">
        <v>223</v>
      </c>
      <c r="E34" s="12" t="s">
        <v>224</v>
      </c>
    </row>
    <row r="35" customFormat="false" ht="33.75" hidden="false" customHeight="true" outlineLevel="0" collapsed="false">
      <c r="A35" s="13" t="s">
        <v>225</v>
      </c>
      <c r="B35" s="13" t="s">
        <v>187</v>
      </c>
      <c r="C35" s="13" t="s">
        <v>226</v>
      </c>
      <c r="D35" s="13" t="s">
        <v>227</v>
      </c>
      <c r="E35" s="13" t="s">
        <v>228</v>
      </c>
    </row>
    <row r="36" customFormat="false" ht="51" hidden="false" customHeight="true" outlineLevel="0" collapsed="false">
      <c r="A36" s="12" t="s">
        <v>229</v>
      </c>
      <c r="B36" s="12" t="s">
        <v>187</v>
      </c>
      <c r="C36" s="12" t="s">
        <v>230</v>
      </c>
      <c r="D36" s="12" t="s">
        <v>231</v>
      </c>
      <c r="E36" s="12" t="s">
        <v>232</v>
      </c>
    </row>
    <row r="37" customFormat="false" ht="33.75" hidden="false" customHeight="true" outlineLevel="0" collapsed="false">
      <c r="A37" s="13" t="s">
        <v>233</v>
      </c>
      <c r="B37" s="13" t="s">
        <v>187</v>
      </c>
      <c r="C37" s="13" t="s">
        <v>234</v>
      </c>
      <c r="D37" s="13" t="s">
        <v>235</v>
      </c>
      <c r="E37" s="13" t="s">
        <v>236</v>
      </c>
    </row>
    <row r="38" customFormat="false" ht="33.75" hidden="false" customHeight="true" outlineLevel="0" collapsed="false">
      <c r="A38" s="12" t="s">
        <v>237</v>
      </c>
      <c r="B38" s="12" t="s">
        <v>80</v>
      </c>
      <c r="C38" s="12" t="s">
        <v>238</v>
      </c>
      <c r="D38" s="12" t="s">
        <v>239</v>
      </c>
      <c r="E38" s="12" t="s">
        <v>240</v>
      </c>
    </row>
    <row r="39" customFormat="false" ht="51" hidden="false" customHeight="true" outlineLevel="0" collapsed="false">
      <c r="A39" s="13" t="s">
        <v>241</v>
      </c>
      <c r="B39" s="13" t="s">
        <v>80</v>
      </c>
      <c r="C39" s="13" t="s">
        <v>242</v>
      </c>
      <c r="D39" s="13" t="s">
        <v>243</v>
      </c>
      <c r="E39" s="13" t="s">
        <v>244</v>
      </c>
    </row>
    <row r="40" customFormat="false" ht="33.75" hidden="false" customHeight="true" outlineLevel="0" collapsed="false">
      <c r="A40" s="12" t="s">
        <v>245</v>
      </c>
      <c r="B40" s="12" t="s">
        <v>80</v>
      </c>
      <c r="C40" s="12" t="s">
        <v>246</v>
      </c>
      <c r="D40" s="12" t="s">
        <v>247</v>
      </c>
      <c r="E40" s="12" t="s">
        <v>248</v>
      </c>
    </row>
    <row r="41" customFormat="false" ht="51" hidden="false" customHeight="true" outlineLevel="0" collapsed="false">
      <c r="A41" s="13" t="s">
        <v>249</v>
      </c>
      <c r="B41" s="13" t="s">
        <v>80</v>
      </c>
      <c r="C41" s="13" t="s">
        <v>250</v>
      </c>
      <c r="D41" s="13" t="s">
        <v>251</v>
      </c>
      <c r="E41" s="13" t="s">
        <v>252</v>
      </c>
    </row>
    <row r="42" customFormat="false" ht="33.75" hidden="false" customHeight="true" outlineLevel="0" collapsed="false">
      <c r="A42" s="12" t="s">
        <v>253</v>
      </c>
      <c r="B42" s="12" t="s">
        <v>80</v>
      </c>
      <c r="C42" s="12" t="s">
        <v>254</v>
      </c>
      <c r="D42" s="12" t="s">
        <v>255</v>
      </c>
      <c r="E42" s="12" t="s">
        <v>256</v>
      </c>
    </row>
    <row r="43" customFormat="false" ht="51" hidden="false" customHeight="true" outlineLevel="0" collapsed="false">
      <c r="A43" s="13" t="s">
        <v>257</v>
      </c>
      <c r="B43" s="13" t="s">
        <v>80</v>
      </c>
      <c r="C43" s="13" t="s">
        <v>258</v>
      </c>
      <c r="D43" s="13" t="s">
        <v>259</v>
      </c>
      <c r="E43" s="13" t="s">
        <v>260</v>
      </c>
    </row>
    <row r="44" customFormat="false" ht="33.75" hidden="false" customHeight="true" outlineLevel="0" collapsed="false">
      <c r="A44" s="12" t="s">
        <v>261</v>
      </c>
      <c r="B44" s="12" t="s">
        <v>83</v>
      </c>
      <c r="C44" s="12" t="s">
        <v>262</v>
      </c>
      <c r="D44" s="12" t="s">
        <v>263</v>
      </c>
      <c r="E44" s="12" t="s">
        <v>264</v>
      </c>
    </row>
    <row r="45" customFormat="false" ht="33.75" hidden="false" customHeight="true" outlineLevel="0" collapsed="false">
      <c r="A45" s="13" t="s">
        <v>265</v>
      </c>
      <c r="B45" s="13" t="s">
        <v>83</v>
      </c>
      <c r="C45" s="13" t="s">
        <v>266</v>
      </c>
      <c r="D45" s="13" t="s">
        <v>267</v>
      </c>
      <c r="E45" s="13" t="s">
        <v>268</v>
      </c>
    </row>
    <row r="46" customFormat="false" ht="51" hidden="false" customHeight="true" outlineLevel="0" collapsed="false">
      <c r="A46" s="12" t="s">
        <v>269</v>
      </c>
      <c r="B46" s="12" t="s">
        <v>83</v>
      </c>
      <c r="C46" s="12" t="s">
        <v>270</v>
      </c>
      <c r="D46" s="12" t="s">
        <v>271</v>
      </c>
      <c r="E46" s="12" t="s">
        <v>272</v>
      </c>
    </row>
    <row r="47" customFormat="false" ht="33.75" hidden="false" customHeight="true" outlineLevel="0" collapsed="false">
      <c r="A47" s="13" t="s">
        <v>273</v>
      </c>
      <c r="B47" s="13" t="s">
        <v>83</v>
      </c>
      <c r="C47" s="13" t="s">
        <v>274</v>
      </c>
      <c r="D47" s="13" t="s">
        <v>275</v>
      </c>
      <c r="E47" s="13" t="s">
        <v>276</v>
      </c>
    </row>
    <row r="48" customFormat="false" ht="33.75" hidden="false" customHeight="true" outlineLevel="0" collapsed="false">
      <c r="A48" s="12" t="s">
        <v>277</v>
      </c>
      <c r="B48" s="12" t="s">
        <v>83</v>
      </c>
      <c r="C48" s="12" t="s">
        <v>278</v>
      </c>
      <c r="D48" s="12" t="s">
        <v>279</v>
      </c>
      <c r="E48" s="12" t="s">
        <v>280</v>
      </c>
    </row>
    <row r="49" customFormat="false" ht="33.75" hidden="false" customHeight="true" outlineLevel="0" collapsed="false">
      <c r="A49" s="13" t="s">
        <v>281</v>
      </c>
      <c r="B49" s="13" t="s">
        <v>83</v>
      </c>
      <c r="C49" s="13" t="s">
        <v>282</v>
      </c>
      <c r="D49" s="13" t="s">
        <v>283</v>
      </c>
      <c r="E49" s="13" t="s">
        <v>284</v>
      </c>
    </row>
    <row r="50" customFormat="false" ht="51" hidden="false" customHeight="true" outlineLevel="0" collapsed="false">
      <c r="A50" s="12" t="s">
        <v>285</v>
      </c>
      <c r="B50" s="12" t="s">
        <v>86</v>
      </c>
      <c r="C50" s="12" t="s">
        <v>286</v>
      </c>
      <c r="D50" s="12" t="s">
        <v>287</v>
      </c>
      <c r="E50" s="12" t="s">
        <v>288</v>
      </c>
    </row>
    <row r="51" customFormat="false" ht="33.75" hidden="false" customHeight="true" outlineLevel="0" collapsed="false">
      <c r="A51" s="13" t="s">
        <v>289</v>
      </c>
      <c r="B51" s="13" t="s">
        <v>86</v>
      </c>
      <c r="C51" s="13" t="s">
        <v>290</v>
      </c>
      <c r="D51" s="13" t="s">
        <v>291</v>
      </c>
      <c r="E51" s="13" t="s">
        <v>292</v>
      </c>
    </row>
    <row r="52" customFormat="false" ht="51" hidden="false" customHeight="true" outlineLevel="0" collapsed="false">
      <c r="A52" s="12" t="s">
        <v>293</v>
      </c>
      <c r="B52" s="12" t="s">
        <v>294</v>
      </c>
      <c r="C52" s="12" t="s">
        <v>295</v>
      </c>
      <c r="D52" s="12" t="s">
        <v>296</v>
      </c>
      <c r="E52" s="12" t="s">
        <v>297</v>
      </c>
    </row>
    <row r="53" customFormat="false" ht="51" hidden="false" customHeight="true" outlineLevel="0" collapsed="false">
      <c r="A53" s="13" t="s">
        <v>298</v>
      </c>
      <c r="B53" s="13" t="s">
        <v>299</v>
      </c>
      <c r="C53" s="13" t="s">
        <v>300</v>
      </c>
      <c r="D53" s="13" t="s">
        <v>301</v>
      </c>
      <c r="E53" s="13" t="s">
        <v>302</v>
      </c>
    </row>
  </sheetData>
  <autoFilter ref="A5:E53"/>
  <mergeCells count="2">
    <mergeCell ref="A1:E1"/>
    <mergeCell ref="A2:E2"/>
  </mergeCells>
  <printOptions headings="false" gridLines="false" gridLinesSet="true" horizontalCentered="tru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6D75"/>
    <pageSetUpPr fitToPage="true"/>
  </sheetPr>
  <dimension ref="A1:D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43"/>
    <col collapsed="false" customWidth="true" hidden="false" outlineLevel="0" max="3" min="3" style="0" width="85"/>
    <col collapsed="false" customWidth="true" hidden="false" outlineLevel="0" max="4" min="4" style="0" width="75"/>
  </cols>
  <sheetData>
    <row r="1" customFormat="false" ht="31.5" hidden="false" customHeight="true" outlineLevel="0" collapsed="false">
      <c r="A1" s="9" t="s">
        <v>303</v>
      </c>
      <c r="B1" s="9"/>
      <c r="C1" s="9"/>
      <c r="D1" s="9"/>
    </row>
    <row r="2" customFormat="false" ht="75.75" hidden="false" customHeight="true" outlineLevel="0" collapsed="false">
      <c r="A2" s="10" t="s">
        <v>304</v>
      </c>
      <c r="B2" s="10"/>
      <c r="C2" s="10"/>
      <c r="D2" s="10"/>
    </row>
    <row r="5" customFormat="false" ht="33.75" hidden="false" customHeight="true" outlineLevel="0" collapsed="false">
      <c r="A5" s="11" t="s">
        <v>305</v>
      </c>
      <c r="B5" s="11" t="s">
        <v>306</v>
      </c>
      <c r="C5" s="11" t="s">
        <v>307</v>
      </c>
      <c r="D5" s="11" t="s">
        <v>308</v>
      </c>
    </row>
    <row r="6" customFormat="false" ht="31.5" hidden="false" customHeight="true" outlineLevel="0" collapsed="false">
      <c r="A6" s="12" t="s">
        <v>309</v>
      </c>
      <c r="B6" s="12" t="s">
        <v>310</v>
      </c>
      <c r="C6" s="12" t="s">
        <v>311</v>
      </c>
      <c r="D6" s="12" t="s">
        <v>312</v>
      </c>
    </row>
    <row r="7" customFormat="false" ht="31.5" hidden="false" customHeight="true" outlineLevel="0" collapsed="false">
      <c r="A7" s="13" t="s">
        <v>309</v>
      </c>
      <c r="B7" s="13" t="s">
        <v>138</v>
      </c>
      <c r="C7" s="13" t="s">
        <v>313</v>
      </c>
      <c r="D7" s="13" t="s">
        <v>314</v>
      </c>
    </row>
    <row r="8" customFormat="false" ht="31.5" hidden="false" customHeight="true" outlineLevel="0" collapsed="false">
      <c r="A8" s="12" t="s">
        <v>315</v>
      </c>
      <c r="B8" s="12" t="s">
        <v>142</v>
      </c>
      <c r="C8" s="12" t="s">
        <v>316</v>
      </c>
      <c r="D8" s="12" t="s">
        <v>317</v>
      </c>
    </row>
    <row r="9" customFormat="false" ht="31.5" hidden="false" customHeight="true" outlineLevel="0" collapsed="false">
      <c r="A9" s="13" t="s">
        <v>315</v>
      </c>
      <c r="B9" s="13" t="s">
        <v>318</v>
      </c>
      <c r="C9" s="13" t="s">
        <v>319</v>
      </c>
      <c r="D9" s="13" t="s">
        <v>320</v>
      </c>
    </row>
    <row r="10" customFormat="false" ht="31.5" hidden="false" customHeight="true" outlineLevel="0" collapsed="false">
      <c r="A10" s="12" t="s">
        <v>321</v>
      </c>
      <c r="B10" s="12" t="s">
        <v>322</v>
      </c>
      <c r="C10" s="12" t="s">
        <v>323</v>
      </c>
      <c r="D10" s="12" t="s">
        <v>324</v>
      </c>
    </row>
    <row r="11" customFormat="false" ht="31.5" hidden="false" customHeight="true" outlineLevel="0" collapsed="false">
      <c r="A11" s="13" t="s">
        <v>325</v>
      </c>
      <c r="B11" s="13" t="s">
        <v>146</v>
      </c>
      <c r="C11" s="13" t="s">
        <v>326</v>
      </c>
      <c r="D11" s="13" t="s">
        <v>327</v>
      </c>
    </row>
    <row r="12" customFormat="false" ht="31.5" hidden="false" customHeight="true" outlineLevel="0" collapsed="false">
      <c r="A12" s="12" t="s">
        <v>154</v>
      </c>
      <c r="B12" s="12" t="s">
        <v>328</v>
      </c>
      <c r="C12" s="12" t="s">
        <v>329</v>
      </c>
      <c r="D12" s="12" t="s">
        <v>330</v>
      </c>
    </row>
    <row r="13" customFormat="false" ht="31.5" hidden="false" customHeight="true" outlineLevel="0" collapsed="false">
      <c r="A13" s="13" t="s">
        <v>154</v>
      </c>
      <c r="B13" s="13" t="s">
        <v>331</v>
      </c>
      <c r="C13" s="13" t="s">
        <v>332</v>
      </c>
      <c r="D13" s="13" t="s">
        <v>333</v>
      </c>
    </row>
    <row r="14" customFormat="false" ht="31.5" hidden="false" customHeight="true" outlineLevel="0" collapsed="false">
      <c r="A14" s="12" t="s">
        <v>286</v>
      </c>
      <c r="B14" s="12" t="s">
        <v>334</v>
      </c>
      <c r="C14" s="12" t="s">
        <v>335</v>
      </c>
      <c r="D14" s="12" t="s">
        <v>336</v>
      </c>
    </row>
    <row r="15" customFormat="false" ht="31.5" hidden="false" customHeight="true" outlineLevel="0" collapsed="false">
      <c r="A15" s="13" t="s">
        <v>286</v>
      </c>
      <c r="B15" s="13" t="s">
        <v>337</v>
      </c>
      <c r="C15" s="13" t="s">
        <v>338</v>
      </c>
      <c r="D15" s="13" t="s">
        <v>339</v>
      </c>
    </row>
    <row r="16" customFormat="false" ht="31.5" hidden="false" customHeight="true" outlineLevel="0" collapsed="false">
      <c r="A16" s="12" t="s">
        <v>340</v>
      </c>
      <c r="B16" s="12" t="s">
        <v>162</v>
      </c>
      <c r="C16" s="12" t="s">
        <v>341</v>
      </c>
      <c r="D16" s="12" t="s">
        <v>342</v>
      </c>
    </row>
    <row r="17" customFormat="false" ht="31.5" hidden="false" customHeight="true" outlineLevel="0" collapsed="false">
      <c r="A17" s="13" t="s">
        <v>343</v>
      </c>
      <c r="B17" s="13" t="s">
        <v>344</v>
      </c>
      <c r="C17" s="13" t="s">
        <v>345</v>
      </c>
      <c r="D17" s="13" t="s">
        <v>346</v>
      </c>
    </row>
    <row r="18" customFormat="false" ht="31.5" hidden="false" customHeight="true" outlineLevel="0" collapsed="false">
      <c r="A18" s="12" t="s">
        <v>170</v>
      </c>
      <c r="B18" s="12" t="s">
        <v>347</v>
      </c>
      <c r="C18" s="12" t="s">
        <v>348</v>
      </c>
      <c r="D18" s="12" t="s">
        <v>349</v>
      </c>
    </row>
    <row r="19" customFormat="false" ht="31.5" hidden="false" customHeight="true" outlineLevel="0" collapsed="false">
      <c r="A19" s="13" t="s">
        <v>170</v>
      </c>
      <c r="B19" s="13" t="s">
        <v>350</v>
      </c>
      <c r="C19" s="13" t="s">
        <v>351</v>
      </c>
      <c r="D19" s="13" t="s">
        <v>352</v>
      </c>
    </row>
    <row r="20" customFormat="false" ht="31.5" hidden="false" customHeight="true" outlineLevel="0" collapsed="false">
      <c r="A20" s="12" t="s">
        <v>209</v>
      </c>
      <c r="B20" s="12" t="s">
        <v>353</v>
      </c>
      <c r="C20" s="12" t="s">
        <v>354</v>
      </c>
      <c r="D20" s="12" t="s">
        <v>355</v>
      </c>
    </row>
    <row r="21" customFormat="false" ht="31.5" hidden="false" customHeight="true" outlineLevel="0" collapsed="false">
      <c r="A21" s="13" t="s">
        <v>209</v>
      </c>
      <c r="B21" s="13" t="s">
        <v>356</v>
      </c>
      <c r="C21" s="13" t="s">
        <v>357</v>
      </c>
      <c r="D21" s="13" t="s">
        <v>358</v>
      </c>
    </row>
    <row r="22" customFormat="false" ht="31.5" hidden="false" customHeight="true" outlineLevel="0" collapsed="false">
      <c r="A22" s="12" t="s">
        <v>209</v>
      </c>
      <c r="B22" s="12" t="s">
        <v>359</v>
      </c>
      <c r="C22" s="12" t="s">
        <v>360</v>
      </c>
      <c r="D22" s="12" t="s">
        <v>361</v>
      </c>
    </row>
    <row r="23" customFormat="false" ht="33.75" hidden="false" customHeight="true" outlineLevel="0" collapsed="false">
      <c r="A23" s="13" t="s">
        <v>362</v>
      </c>
      <c r="B23" s="13" t="s">
        <v>363</v>
      </c>
      <c r="C23" s="13" t="s">
        <v>364</v>
      </c>
      <c r="D23" s="13" t="s">
        <v>365</v>
      </c>
    </row>
    <row r="24" customFormat="false" ht="31.5" hidden="false" customHeight="true" outlineLevel="0" collapsed="false">
      <c r="A24" s="12" t="s">
        <v>366</v>
      </c>
      <c r="B24" s="12" t="s">
        <v>367</v>
      </c>
      <c r="C24" s="12" t="s">
        <v>368</v>
      </c>
      <c r="D24" s="12" t="s">
        <v>369</v>
      </c>
    </row>
    <row r="25" customFormat="false" ht="31.5" hidden="false" customHeight="true" outlineLevel="0" collapsed="false">
      <c r="A25" s="13" t="s">
        <v>370</v>
      </c>
      <c r="B25" s="13" t="s">
        <v>371</v>
      </c>
      <c r="C25" s="13" t="s">
        <v>372</v>
      </c>
      <c r="D25" s="13" t="s">
        <v>373</v>
      </c>
    </row>
    <row r="26" customFormat="false" ht="31.5" hidden="false" customHeight="true" outlineLevel="0" collapsed="false">
      <c r="A26" s="12" t="s">
        <v>374</v>
      </c>
      <c r="B26" s="12" t="s">
        <v>375</v>
      </c>
      <c r="C26" s="12" t="s">
        <v>376</v>
      </c>
      <c r="D26" s="12" t="s">
        <v>377</v>
      </c>
    </row>
    <row r="27" customFormat="false" ht="31.5" hidden="false" customHeight="true" outlineLevel="0" collapsed="false">
      <c r="A27" s="13" t="s">
        <v>205</v>
      </c>
      <c r="B27" s="13" t="s">
        <v>378</v>
      </c>
      <c r="C27" s="13" t="s">
        <v>379</v>
      </c>
      <c r="D27" s="13" t="s">
        <v>380</v>
      </c>
    </row>
    <row r="28" customFormat="false" ht="31.5" hidden="false" customHeight="true" outlineLevel="0" collapsed="false">
      <c r="A28" s="12" t="s">
        <v>381</v>
      </c>
      <c r="B28" s="12" t="s">
        <v>382</v>
      </c>
      <c r="C28" s="12" t="s">
        <v>383</v>
      </c>
      <c r="D28" s="12" t="s">
        <v>384</v>
      </c>
    </row>
    <row r="29" customFormat="false" ht="31.5" hidden="false" customHeight="true" outlineLevel="0" collapsed="false">
      <c r="A29" s="13" t="s">
        <v>385</v>
      </c>
      <c r="B29" s="13" t="s">
        <v>386</v>
      </c>
      <c r="C29" s="13" t="s">
        <v>387</v>
      </c>
      <c r="D29" s="13" t="s">
        <v>388</v>
      </c>
    </row>
  </sheetData>
  <autoFilter ref="A5:D29"/>
  <mergeCells count="2">
    <mergeCell ref="A1:D1"/>
    <mergeCell ref="A2:D2"/>
  </mergeCells>
  <printOptions headings="false" gridLines="false" gridLinesSet="true" horizontalCentered="tru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6D75"/>
    <pageSetUpPr fitToPage="tru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4" width="12"/>
    <col collapsed="false" customWidth="true" hidden="false" outlineLevel="0" max="2" min="2" style="14" width="38"/>
    <col collapsed="false" customWidth="true" hidden="false" outlineLevel="0" max="3" min="3" style="14" width="100"/>
    <col collapsed="false" customWidth="true" hidden="false" outlineLevel="0" max="4" min="4" style="14" width="48"/>
  </cols>
  <sheetData>
    <row r="1" customFormat="false" ht="36" hidden="false" customHeight="true" outlineLevel="0" collapsed="false">
      <c r="A1" s="15" t="s">
        <v>389</v>
      </c>
      <c r="B1" s="15"/>
      <c r="C1" s="15"/>
      <c r="D1" s="15"/>
    </row>
    <row r="2" customFormat="false" ht="69.75" hidden="false" customHeight="true" outlineLevel="0" collapsed="false">
      <c r="A2" s="16" t="s">
        <v>390</v>
      </c>
      <c r="B2" s="16"/>
      <c r="C2" s="16"/>
      <c r="D2" s="16"/>
    </row>
    <row r="5" customFormat="false" ht="34.5" hidden="false" customHeight="true" outlineLevel="0" collapsed="false">
      <c r="A5" s="17" t="s">
        <v>97</v>
      </c>
      <c r="B5" s="17" t="s">
        <v>391</v>
      </c>
      <c r="C5" s="17" t="s">
        <v>392</v>
      </c>
      <c r="D5" s="17" t="s">
        <v>393</v>
      </c>
    </row>
    <row r="6" customFormat="false" ht="124.5" hidden="false" customHeight="true" outlineLevel="0" collapsed="false">
      <c r="A6" s="8" t="s">
        <v>394</v>
      </c>
      <c r="B6" s="8" t="s">
        <v>395</v>
      </c>
      <c r="C6" s="8" t="s">
        <v>396</v>
      </c>
      <c r="D6" s="8" t="s">
        <v>397</v>
      </c>
    </row>
    <row r="7" customFormat="false" ht="124.5" hidden="false" customHeight="true" outlineLevel="0" collapsed="false">
      <c r="A7" s="7" t="s">
        <v>398</v>
      </c>
      <c r="B7" s="7" t="s">
        <v>399</v>
      </c>
      <c r="C7" s="7" t="s">
        <v>400</v>
      </c>
      <c r="D7" s="7" t="s">
        <v>401</v>
      </c>
    </row>
    <row r="8" customFormat="false" ht="124.5" hidden="false" customHeight="true" outlineLevel="0" collapsed="false">
      <c r="A8" s="8" t="s">
        <v>402</v>
      </c>
      <c r="B8" s="8" t="s">
        <v>403</v>
      </c>
      <c r="C8" s="8" t="s">
        <v>404</v>
      </c>
      <c r="D8" s="8" t="s">
        <v>405</v>
      </c>
    </row>
    <row r="9" customFormat="false" ht="124.5" hidden="false" customHeight="true" outlineLevel="0" collapsed="false">
      <c r="A9" s="7" t="s">
        <v>406</v>
      </c>
      <c r="B9" s="7" t="s">
        <v>407</v>
      </c>
      <c r="C9" s="7" t="s">
        <v>408</v>
      </c>
      <c r="D9" s="7" t="s">
        <v>405</v>
      </c>
    </row>
    <row r="10" customFormat="false" ht="124.5" hidden="false" customHeight="true" outlineLevel="0" collapsed="false">
      <c r="A10" s="8" t="s">
        <v>409</v>
      </c>
      <c r="B10" s="8" t="s">
        <v>410</v>
      </c>
      <c r="C10" s="8" t="s">
        <v>411</v>
      </c>
      <c r="D10" s="8" t="s">
        <v>412</v>
      </c>
    </row>
    <row r="11" customFormat="false" ht="124.5" hidden="false" customHeight="true" outlineLevel="0" collapsed="false">
      <c r="A11" s="7" t="s">
        <v>413</v>
      </c>
      <c r="B11" s="7" t="s">
        <v>414</v>
      </c>
      <c r="C11" s="7" t="s">
        <v>415</v>
      </c>
      <c r="D11" s="7" t="s">
        <v>416</v>
      </c>
    </row>
    <row r="12" customFormat="false" ht="124.5" hidden="false" customHeight="true" outlineLevel="0" collapsed="false">
      <c r="A12" s="8" t="s">
        <v>417</v>
      </c>
      <c r="B12" s="8" t="s">
        <v>418</v>
      </c>
      <c r="C12" s="8" t="s">
        <v>419</v>
      </c>
      <c r="D12" s="8" t="s">
        <v>420</v>
      </c>
    </row>
    <row r="13" customFormat="false" ht="124.5" hidden="false" customHeight="true" outlineLevel="0" collapsed="false">
      <c r="A13" s="7" t="s">
        <v>421</v>
      </c>
      <c r="B13" s="7" t="s">
        <v>422</v>
      </c>
      <c r="C13" s="7" t="s">
        <v>423</v>
      </c>
      <c r="D13" s="7" t="s">
        <v>424</v>
      </c>
    </row>
    <row r="14" customFormat="false" ht="124.5" hidden="false" customHeight="true" outlineLevel="0" collapsed="false">
      <c r="A14" s="8" t="s">
        <v>425</v>
      </c>
      <c r="B14" s="8" t="s">
        <v>426</v>
      </c>
      <c r="C14" s="8" t="s">
        <v>427</v>
      </c>
      <c r="D14" s="8" t="s">
        <v>428</v>
      </c>
    </row>
    <row r="15" customFormat="false" ht="124.5" hidden="false" customHeight="true" outlineLevel="0" collapsed="false">
      <c r="A15" s="7" t="s">
        <v>429</v>
      </c>
      <c r="B15" s="7" t="s">
        <v>430</v>
      </c>
      <c r="C15" s="7" t="s">
        <v>431</v>
      </c>
      <c r="D15" s="7" t="s">
        <v>432</v>
      </c>
    </row>
    <row r="16" customFormat="false" ht="124.5" hidden="false" customHeight="true" outlineLevel="0" collapsed="false">
      <c r="A16" s="8" t="s">
        <v>433</v>
      </c>
      <c r="B16" s="8" t="s">
        <v>434</v>
      </c>
      <c r="C16" s="8" t="s">
        <v>435</v>
      </c>
      <c r="D16" s="8" t="s">
        <v>436</v>
      </c>
    </row>
    <row r="17" customFormat="false" ht="124.5" hidden="false" customHeight="true" outlineLevel="0" collapsed="false">
      <c r="A17" s="7" t="s">
        <v>437</v>
      </c>
      <c r="B17" s="7" t="s">
        <v>438</v>
      </c>
      <c r="C17" s="7" t="s">
        <v>439</v>
      </c>
      <c r="D17" s="7" t="s">
        <v>440</v>
      </c>
    </row>
    <row r="18" customFormat="false" ht="124.5" hidden="false" customHeight="true" outlineLevel="0" collapsed="false">
      <c r="A18" s="8" t="s">
        <v>441</v>
      </c>
      <c r="B18" s="8" t="s">
        <v>442</v>
      </c>
      <c r="C18" s="8" t="s">
        <v>443</v>
      </c>
      <c r="D18" s="8" t="s">
        <v>444</v>
      </c>
    </row>
    <row r="19" customFormat="false" ht="124.5" hidden="false" customHeight="true" outlineLevel="0" collapsed="false">
      <c r="A19" s="7" t="s">
        <v>445</v>
      </c>
      <c r="B19" s="7" t="s">
        <v>446</v>
      </c>
      <c r="C19" s="7" t="s">
        <v>447</v>
      </c>
      <c r="D19" s="7" t="s">
        <v>448</v>
      </c>
    </row>
    <row r="20" customFormat="false" ht="124.5" hidden="false" customHeight="true" outlineLevel="0" collapsed="false">
      <c r="A20" s="8" t="s">
        <v>449</v>
      </c>
      <c r="B20" s="8" t="s">
        <v>450</v>
      </c>
      <c r="C20" s="8" t="s">
        <v>451</v>
      </c>
      <c r="D20" s="8" t="s">
        <v>452</v>
      </c>
    </row>
    <row r="21" customFormat="false" ht="124.5" hidden="false" customHeight="true" outlineLevel="0" collapsed="false">
      <c r="A21" s="7" t="s">
        <v>453</v>
      </c>
      <c r="B21" s="7" t="s">
        <v>454</v>
      </c>
      <c r="C21" s="7" t="s">
        <v>455</v>
      </c>
      <c r="D21" s="7" t="s">
        <v>456</v>
      </c>
    </row>
    <row r="22" customFormat="false" ht="124.5" hidden="false" customHeight="true" outlineLevel="0" collapsed="false">
      <c r="A22" s="8" t="s">
        <v>457</v>
      </c>
      <c r="B22" s="8" t="s">
        <v>458</v>
      </c>
      <c r="C22" s="8" t="s">
        <v>459</v>
      </c>
      <c r="D22" s="8" t="s">
        <v>460</v>
      </c>
    </row>
  </sheetData>
  <autoFilter ref="A5:D22"/>
  <mergeCells count="2">
    <mergeCell ref="A1:D1"/>
    <mergeCell ref="A2:D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6D75"/>
    <pageSetUpPr fitToPage="true"/>
  </sheetPr>
  <dimension ref="A1:O18"/>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26.25" customHeight="false" zeroHeight="false" outlineLevelRow="0" outlineLevelCol="0"/>
  <cols>
    <col collapsed="false" customWidth="true" hidden="false" outlineLevel="0" max="1" min="1" style="1" width="21"/>
    <col collapsed="false" customWidth="true" hidden="false" outlineLevel="0" max="2" min="2" style="1" width="42"/>
    <col collapsed="false" customWidth="true" hidden="false" outlineLevel="0" max="3" min="3" style="1" width="44"/>
    <col collapsed="false" customWidth="true" hidden="false" outlineLevel="0" max="4" min="4" style="1" width="65"/>
    <col collapsed="false" customWidth="true" hidden="false" outlineLevel="0" max="5" min="5" style="1" width="47"/>
    <col collapsed="false" customWidth="true" hidden="false" outlineLevel="0" max="6" min="6" style="1" width="35"/>
    <col collapsed="false" customWidth="true" hidden="false" outlineLevel="0" max="7" min="7" style="1" width="38"/>
    <col collapsed="false" customWidth="true" hidden="false" outlineLevel="0" max="8" min="8" style="1" width="46"/>
    <col collapsed="false" customWidth="true" hidden="false" outlineLevel="0" max="9" min="9" style="1" width="90"/>
    <col collapsed="false" customWidth="true" hidden="false" outlineLevel="0" max="10" min="10" style="1" width="65"/>
    <col collapsed="false" customWidth="true" hidden="false" outlineLevel="0" max="11" min="11" style="1" width="90"/>
    <col collapsed="false" customWidth="true" hidden="false" outlineLevel="0" max="12" min="12" style="1" width="47"/>
    <col collapsed="false" customWidth="true" hidden="false" outlineLevel="0" max="15" min="13" style="1" width="39"/>
    <col collapsed="false" customWidth="false" hidden="false" outlineLevel="0" max="16384" min="16" style="1" width="8.71"/>
  </cols>
  <sheetData>
    <row r="1" customFormat="false" ht="33.75" hidden="false" customHeight="true" outlineLevel="0" collapsed="false">
      <c r="A1" s="18" t="s">
        <v>461</v>
      </c>
      <c r="B1" s="18"/>
      <c r="C1" s="18"/>
      <c r="D1" s="18"/>
      <c r="E1" s="18"/>
      <c r="F1" s="18"/>
      <c r="G1" s="18"/>
      <c r="H1" s="18"/>
      <c r="I1" s="18"/>
      <c r="J1" s="18"/>
      <c r="K1" s="18"/>
      <c r="L1" s="18"/>
      <c r="M1" s="18"/>
      <c r="N1" s="18"/>
      <c r="O1" s="18"/>
    </row>
    <row r="2" customFormat="false" ht="24.75" hidden="false" customHeight="true" outlineLevel="0" collapsed="false">
      <c r="A2" s="3" t="s">
        <v>462</v>
      </c>
      <c r="B2" s="3"/>
      <c r="C2" s="3"/>
      <c r="D2" s="3"/>
      <c r="E2" s="3"/>
      <c r="F2" s="3"/>
      <c r="G2" s="3"/>
      <c r="H2" s="3"/>
      <c r="I2" s="3"/>
      <c r="J2" s="3"/>
      <c r="K2" s="3"/>
      <c r="L2" s="3"/>
      <c r="M2" s="3"/>
      <c r="N2" s="3"/>
      <c r="O2" s="3"/>
    </row>
    <row r="3" customFormat="false" ht="24.75" hidden="false" customHeight="true" outlineLevel="0" collapsed="false">
      <c r="A3" s="3"/>
      <c r="B3" s="3"/>
      <c r="C3" s="3"/>
      <c r="D3" s="3"/>
      <c r="E3" s="3"/>
      <c r="F3" s="3"/>
      <c r="G3" s="3"/>
      <c r="H3" s="3"/>
      <c r="I3" s="3"/>
      <c r="J3" s="3"/>
      <c r="K3" s="3"/>
      <c r="L3" s="3"/>
      <c r="M3" s="3"/>
      <c r="N3" s="3"/>
      <c r="O3" s="3"/>
    </row>
    <row r="5" customFormat="false" ht="48" hidden="false" customHeight="true" outlineLevel="0" collapsed="false">
      <c r="A5" s="19" t="s">
        <v>463</v>
      </c>
      <c r="B5" s="19" t="s">
        <v>464</v>
      </c>
      <c r="C5" s="19" t="s">
        <v>125</v>
      </c>
      <c r="D5" s="19" t="s">
        <v>465</v>
      </c>
      <c r="E5" s="19" t="s">
        <v>466</v>
      </c>
      <c r="F5" s="19" t="s">
        <v>467</v>
      </c>
      <c r="G5" s="19" t="s">
        <v>299</v>
      </c>
      <c r="H5" s="19" t="s">
        <v>468</v>
      </c>
      <c r="I5" s="19" t="s">
        <v>469</v>
      </c>
      <c r="J5" s="19" t="s">
        <v>36</v>
      </c>
      <c r="K5" s="19" t="s">
        <v>470</v>
      </c>
      <c r="L5" s="19" t="s">
        <v>471</v>
      </c>
      <c r="M5" s="19" t="s">
        <v>472</v>
      </c>
      <c r="N5" s="19" t="s">
        <v>473</v>
      </c>
      <c r="O5" s="19" t="s">
        <v>474</v>
      </c>
    </row>
    <row r="6" customFormat="false" ht="244.5" hidden="false" customHeight="true" outlineLevel="0" collapsed="false">
      <c r="A6" s="5" t="s">
        <v>475</v>
      </c>
      <c r="B6" s="5" t="s">
        <v>476</v>
      </c>
      <c r="C6" s="5" t="s">
        <v>477</v>
      </c>
      <c r="D6" s="5" t="s">
        <v>478</v>
      </c>
      <c r="E6" s="5" t="s">
        <v>479</v>
      </c>
      <c r="F6" s="5" t="s">
        <v>480</v>
      </c>
      <c r="G6" s="20" t="s">
        <v>481</v>
      </c>
      <c r="H6" s="5" t="s">
        <v>482</v>
      </c>
      <c r="I6" s="5" t="s">
        <v>483</v>
      </c>
      <c r="J6" s="5" t="s">
        <v>75</v>
      </c>
      <c r="K6" s="5" t="s">
        <v>484</v>
      </c>
      <c r="L6" s="5" t="s">
        <v>485</v>
      </c>
      <c r="M6" s="5" t="str">
        <f aca="false">TEXT('Czas budowy'!Y6,"0")&amp;" min bazowo; T="&amp;TEXT('Czas budowy'!V6,"0")&amp;" min; budowa="&amp;TEXT('Czas budowy'!X6,"0")&amp;" min. Kolejka +10%: "&amp;TEXT('Czas budowy'!Y7,"0")&amp;" min (bez czekania)."</f>
        <v>80 min bazowo; T=40 min; budowa=40 min. Kolejka +10%: 90 min (bez czekania).</v>
      </c>
      <c r="N6" s="5" t="str">
        <f aca="false">TEXT('Czas budowy'!Y8,"0")&amp;" min bazowo; T="&amp;TEXT('Czas budowy'!V8,"0")&amp;" min; budowa="&amp;TEXT('Czas budowy'!X8,"0")&amp;" min. Kolejka +10%: "&amp;TEXT('Czas budowy'!Y9,"0")&amp;" min (bez czekania)."</f>
        <v>140 min bazowo; T=70 min; budowa=70 min. Kolejka +10%: 150 min (bez czekania).</v>
      </c>
      <c r="O6" s="5" t="str">
        <f aca="false">TEXT('Czas budowy'!Y10,"0")&amp;" min bazowo; T="&amp;TEXT('Czas budowy'!V10,"0")&amp;" min; budowa="&amp;TEXT('Czas budowy'!X10,"0")&amp;" min. Kolejka +10%: "&amp;TEXT('Czas budowy'!Y11,"0")&amp;" min (bez czekania)."</f>
        <v>180 min bazowo; T=90 min; budowa=90 min. Kolejka +10%: 200 min (bez czekania).</v>
      </c>
    </row>
    <row r="7" customFormat="false" ht="244.5" hidden="false" customHeight="true" outlineLevel="0" collapsed="false">
      <c r="A7" s="6" t="s">
        <v>486</v>
      </c>
      <c r="B7" s="6" t="s">
        <v>487</v>
      </c>
      <c r="C7" s="6" t="s">
        <v>477</v>
      </c>
      <c r="D7" s="6" t="s">
        <v>488</v>
      </c>
      <c r="E7" s="6" t="s">
        <v>479</v>
      </c>
      <c r="F7" s="6" t="s">
        <v>480</v>
      </c>
      <c r="G7" s="20" t="s">
        <v>481</v>
      </c>
      <c r="H7" s="6" t="s">
        <v>489</v>
      </c>
      <c r="I7" s="6" t="s">
        <v>490</v>
      </c>
      <c r="J7" s="6" t="s">
        <v>491</v>
      </c>
      <c r="K7" s="6" t="s">
        <v>492</v>
      </c>
      <c r="L7" s="6" t="s">
        <v>493</v>
      </c>
      <c r="M7" s="6" t="str">
        <f aca="false">TEXT('Czas budowy'!Y12,"0")&amp;" min bazowo; T="&amp;TEXT('Czas budowy'!V12,"0")&amp;" min; budowa="&amp;TEXT('Czas budowy'!X12,"0")&amp;" min. Kolejka +10%: "&amp;TEXT('Czas budowy'!Y13,"0")&amp;" min (bez czekania)."</f>
        <v>80 min bazowo; T=40 min; budowa=40 min. Kolejka +10%: 90 min (bez czekania).</v>
      </c>
      <c r="N7" s="6" t="str">
        <f aca="false">TEXT('Czas budowy'!Y14,"0")&amp;" min bazowo; T="&amp;TEXT('Czas budowy'!V14,"0")&amp;" min; budowa="&amp;TEXT('Czas budowy'!X14,"0")&amp;" min. Kolejka +10%: "&amp;TEXT('Czas budowy'!Y15,"0")&amp;" min (bez czekania)."</f>
        <v>140 min bazowo; T=70 min; budowa=70 min. Kolejka +10%: 150 min (bez czekania).</v>
      </c>
      <c r="O7" s="6" t="str">
        <f aca="false">TEXT('Czas budowy'!Y16,"0")&amp;" min bazowo; T="&amp;TEXT('Czas budowy'!V16,"0")&amp;" min; budowa="&amp;TEXT('Czas budowy'!X16,"0")&amp;" min. Kolejka +10%: "&amp;TEXT('Czas budowy'!Y17,"0")&amp;" min (bez czekania)."</f>
        <v>180 min bazowo; T=90 min; budowa=90 min. Kolejka +10%: 200 min (bez czekania).</v>
      </c>
    </row>
    <row r="8" customFormat="false" ht="244.5" hidden="false" customHeight="true" outlineLevel="0" collapsed="false">
      <c r="A8" s="5" t="s">
        <v>494</v>
      </c>
      <c r="B8" s="5" t="s">
        <v>495</v>
      </c>
      <c r="C8" s="5" t="s">
        <v>496</v>
      </c>
      <c r="D8" s="5" t="s">
        <v>497</v>
      </c>
      <c r="E8" s="5" t="s">
        <v>498</v>
      </c>
      <c r="F8" s="5" t="s">
        <v>480</v>
      </c>
      <c r="G8" s="20" t="s">
        <v>481</v>
      </c>
      <c r="H8" s="5" t="s">
        <v>499</v>
      </c>
      <c r="I8" s="5" t="s">
        <v>447</v>
      </c>
      <c r="J8" s="5" t="s">
        <v>491</v>
      </c>
      <c r="K8" s="5" t="s">
        <v>500</v>
      </c>
      <c r="L8" s="5" t="s">
        <v>501</v>
      </c>
      <c r="M8" s="5" t="str">
        <f aca="false">TEXT('Czas budowy'!Y18,"0")&amp;" min bazowo; T="&amp;TEXT('Czas budowy'!V18,"0")&amp;" min; budowa="&amp;TEXT('Czas budowy'!X18,"0")&amp;" min. Kolejka +10%: "&amp;TEXT('Czas budowy'!Y19,"0")&amp;" min (bez czekania)."</f>
        <v>10 min bazowo; T=5 min; budowa=5 min. Kolejka +10%: 20 min (bez czekania).</v>
      </c>
      <c r="N8" s="5" t="str">
        <f aca="false">TEXT('Czas budowy'!Y20,"0")&amp;" min bazowo; T="&amp;TEXT('Czas budowy'!V20,"0")&amp;" min; budowa="&amp;TEXT('Czas budowy'!X20,"0")&amp;" min. Kolejka +10%: "&amp;TEXT('Czas budowy'!Y21,"0")&amp;" min (bez czekania)."</f>
        <v>20 min bazowo; T=10 min; budowa=10 min. Kolejka +10%: 20 min (bez czekania).</v>
      </c>
      <c r="O8" s="5" t="str">
        <f aca="false">TEXT('Czas budowy'!Y22,"0")&amp;" min bazowo; T="&amp;TEXT('Czas budowy'!V22,"0")&amp;" min; budowa="&amp;TEXT('Czas budowy'!X22,"0")&amp;" min. Kolejka +10%: "&amp;TEXT('Czas budowy'!Y23,"0")&amp;" min (bez czekania)."</f>
        <v>20 min bazowo; T=10 min; budowa=10 min. Kolejka +10%: 30 min (bez czekania).</v>
      </c>
    </row>
    <row r="9" customFormat="false" ht="244.5" hidden="false" customHeight="true" outlineLevel="0" collapsed="false">
      <c r="A9" s="6" t="s">
        <v>502</v>
      </c>
      <c r="B9" s="6" t="s">
        <v>503</v>
      </c>
      <c r="C9" s="6" t="s">
        <v>496</v>
      </c>
      <c r="D9" s="6" t="s">
        <v>497</v>
      </c>
      <c r="E9" s="6" t="s">
        <v>504</v>
      </c>
      <c r="F9" s="6" t="s">
        <v>480</v>
      </c>
      <c r="G9" s="20" t="s">
        <v>481</v>
      </c>
      <c r="H9" s="6" t="s">
        <v>499</v>
      </c>
      <c r="I9" s="6" t="s">
        <v>447</v>
      </c>
      <c r="J9" s="6" t="s">
        <v>491</v>
      </c>
      <c r="K9" s="6"/>
      <c r="L9" s="6" t="s">
        <v>505</v>
      </c>
      <c r="M9" s="6" t="str">
        <f aca="false">TEXT('Czas budowy'!Y24,"0")&amp;" min bazowo; T="&amp;TEXT('Czas budowy'!V24,"0")&amp;" min; budowa="&amp;TEXT('Czas budowy'!X24,"0")&amp;" min. Kolejka +10%: "&amp;TEXT('Czas budowy'!Y25,"0")&amp;" min (bez czekania)."</f>
        <v>20 min bazowo; T=10 min; budowa=10 min. Kolejka +10%: 20 min (bez czekania).</v>
      </c>
      <c r="N9" s="6" t="str">
        <f aca="false">TEXT('Czas budowy'!Y26,"0")&amp;" min bazowo; T="&amp;TEXT('Czas budowy'!V26,"0")&amp;" min; budowa="&amp;TEXT('Czas budowy'!X26,"0")&amp;" min. Kolejka +10%: "&amp;TEXT('Czas budowy'!Y27,"0")&amp;" min (bez czekania)."</f>
        <v>30 min bazowo; T=15 min; budowa=15 min. Kolejka +10%: 30 min (bez czekania).</v>
      </c>
      <c r="O9" s="6" t="str">
        <f aca="false">TEXT('Czas budowy'!Y28,"0")&amp;" min bazowo; T="&amp;TEXT('Czas budowy'!V28,"0")&amp;" min; budowa="&amp;TEXT('Czas budowy'!X28,"0")&amp;" min. Kolejka +10%: "&amp;TEXT('Czas budowy'!Y29,"0")&amp;" min (bez czekania)."</f>
        <v>40 min bazowo; T=20 min; budowa=20 min. Kolejka +10%: 50 min (bez czekania).</v>
      </c>
    </row>
    <row r="10" customFormat="false" ht="244.5" hidden="false" customHeight="true" outlineLevel="0" collapsed="false">
      <c r="A10" s="5" t="s">
        <v>506</v>
      </c>
      <c r="B10" s="5" t="s">
        <v>507</v>
      </c>
      <c r="C10" s="5" t="s">
        <v>496</v>
      </c>
      <c r="D10" s="5" t="s">
        <v>497</v>
      </c>
      <c r="E10" s="5" t="s">
        <v>508</v>
      </c>
      <c r="F10" s="5" t="s">
        <v>480</v>
      </c>
      <c r="G10" s="20" t="s">
        <v>481</v>
      </c>
      <c r="H10" s="5" t="s">
        <v>499</v>
      </c>
      <c r="I10" s="5" t="s">
        <v>447</v>
      </c>
      <c r="J10" s="5" t="s">
        <v>491</v>
      </c>
      <c r="K10" s="5"/>
      <c r="L10" s="5" t="s">
        <v>509</v>
      </c>
      <c r="M10" s="5" t="str">
        <f aca="false">TEXT('Czas budowy'!Y30,"0")&amp;" min bazowo; T="&amp;TEXT('Czas budowy'!V30,"0")&amp;" min; budowa="&amp;TEXT('Czas budowy'!X30,"0")&amp;" min. Kolejka +10%: "&amp;TEXT('Czas budowy'!Y31,"0")&amp;" min (bez czekania)."</f>
        <v>20 min bazowo; T=10 min; budowa=10 min. Kolejka +10%: 20 min (bez czekania).</v>
      </c>
      <c r="N10" s="5" t="str">
        <f aca="false">TEXT('Czas budowy'!Y32,"0")&amp;" min bazowo; T="&amp;TEXT('Czas budowy'!V32,"0")&amp;" min; budowa="&amp;TEXT('Czas budowy'!X32,"0")&amp;" min. Kolejka +10%: "&amp;TEXT('Czas budowy'!Y33,"0")&amp;" min (bez czekania)."</f>
        <v>30 min bazowo; T=15 min; budowa=15 min. Kolejka +10%: 30 min (bez czekania).</v>
      </c>
      <c r="O10" s="5" t="str">
        <f aca="false">TEXT('Czas budowy'!Y34,"0")&amp;" min bazowo; T="&amp;TEXT('Czas budowy'!V34,"0")&amp;" min; budowa="&amp;TEXT('Czas budowy'!X34,"0")&amp;" min. Kolejka +10%: "&amp;TEXT('Czas budowy'!Y35,"0")&amp;" min (bez czekania)."</f>
        <v>40 min bazowo; T=20 min; budowa=20 min. Kolejka +10%: 50 min (bez czekania).</v>
      </c>
    </row>
    <row r="11" customFormat="false" ht="244.5" hidden="false" customHeight="true" outlineLevel="0" collapsed="false">
      <c r="A11" s="6" t="s">
        <v>510</v>
      </c>
      <c r="B11" s="6" t="s">
        <v>511</v>
      </c>
      <c r="C11" s="6" t="s">
        <v>496</v>
      </c>
      <c r="D11" s="6" t="s">
        <v>497</v>
      </c>
      <c r="E11" s="6" t="s">
        <v>512</v>
      </c>
      <c r="F11" s="6" t="s">
        <v>480</v>
      </c>
      <c r="G11" s="20" t="s">
        <v>481</v>
      </c>
      <c r="H11" s="6" t="s">
        <v>499</v>
      </c>
      <c r="I11" s="6" t="s">
        <v>447</v>
      </c>
      <c r="J11" s="6" t="s">
        <v>491</v>
      </c>
      <c r="K11" s="6"/>
      <c r="L11" s="6" t="s">
        <v>513</v>
      </c>
      <c r="M11" s="6" t="str">
        <f aca="false">TEXT('Czas budowy'!Y36,"0")&amp;" min bazowo; T="&amp;TEXT('Czas budowy'!V36,"0")&amp;" min; budowa="&amp;TEXT('Czas budowy'!X36,"0")&amp;" min. Kolejka +10%: "&amp;TEXT('Czas budowy'!Y37,"0")&amp;" min (bez czekania)."</f>
        <v>20 min bazowo; T=10 min; budowa=10 min. Kolejka +10%: 20 min (bez czekania).</v>
      </c>
      <c r="N11" s="6" t="str">
        <f aca="false">TEXT('Czas budowy'!Y38,"0")&amp;" min bazowo; T="&amp;TEXT('Czas budowy'!V38,"0")&amp;" min; budowa="&amp;TEXT('Czas budowy'!X38,"0")&amp;" min. Kolejka +10%: "&amp;TEXT('Czas budowy'!Y39,"0")&amp;" min (bez czekania)."</f>
        <v>30 min bazowo; T=15 min; budowa=15 min. Kolejka +10%: 30 min (bez czekania).</v>
      </c>
      <c r="O11" s="6" t="str">
        <f aca="false">TEXT('Czas budowy'!Y40,"0")&amp;" min bazowo; T="&amp;TEXT('Czas budowy'!V40,"0")&amp;" min; budowa="&amp;TEXT('Czas budowy'!X40,"0")&amp;" min. Kolejka +10%: "&amp;TEXT('Czas budowy'!Y41,"0")&amp;" min (bez czekania)."</f>
        <v>40 min bazowo; T=20 min; budowa=20 min. Kolejka +10%: 50 min (bez czekania).</v>
      </c>
    </row>
    <row r="12" customFormat="false" ht="244.5" hidden="false" customHeight="true" outlineLevel="0" collapsed="false">
      <c r="A12" s="5" t="s">
        <v>514</v>
      </c>
      <c r="B12" s="5" t="s">
        <v>515</v>
      </c>
      <c r="C12" s="5" t="s">
        <v>496</v>
      </c>
      <c r="D12" s="5" t="s">
        <v>497</v>
      </c>
      <c r="E12" s="5" t="s">
        <v>516</v>
      </c>
      <c r="F12" s="5" t="s">
        <v>480</v>
      </c>
      <c r="G12" s="20" t="s">
        <v>481</v>
      </c>
      <c r="H12" s="5" t="s">
        <v>499</v>
      </c>
      <c r="I12" s="5" t="s">
        <v>447</v>
      </c>
      <c r="J12" s="5" t="s">
        <v>491</v>
      </c>
      <c r="K12" s="5"/>
      <c r="L12" s="5" t="s">
        <v>517</v>
      </c>
      <c r="M12" s="5" t="str">
        <f aca="false">TEXT('Czas budowy'!Y42,"0")&amp;" min bazowo; T="&amp;TEXT('Czas budowy'!V42,"0")&amp;" min; budowa="&amp;TEXT('Czas budowy'!X42,"0")&amp;" min. Kolejka +10%: "&amp;TEXT('Czas budowy'!Y43,"0")&amp;" min (bez czekania)."</f>
        <v>20 min bazowo; T=10 min; budowa=10 min. Kolejka +10%: 20 min (bez czekania).</v>
      </c>
      <c r="N12" s="5" t="str">
        <f aca="false">TEXT('Czas budowy'!Y44,"0")&amp;" min bazowo; T="&amp;TEXT('Czas budowy'!V44,"0")&amp;" min; budowa="&amp;TEXT('Czas budowy'!X44,"0")&amp;" min. Kolejka +10%: "&amp;TEXT('Czas budowy'!Y45,"0")&amp;" min (bez czekania)."</f>
        <v>30 min bazowo; T=15 min; budowa=15 min. Kolejka +10%: 30 min (bez czekania).</v>
      </c>
      <c r="O12" s="5" t="str">
        <f aca="false">TEXT('Czas budowy'!Y46,"0")&amp;" min bazowo; T="&amp;TEXT('Czas budowy'!V46,"0")&amp;" min; budowa="&amp;TEXT('Czas budowy'!X46,"0")&amp;" min. Kolejka +10%: "&amp;TEXT('Czas budowy'!Y47,"0")&amp;" min (bez czekania)."</f>
        <v>40 min bazowo; T=20 min; budowa=20 min. Kolejka +10%: 50 min (bez czekania).</v>
      </c>
    </row>
    <row r="13" customFormat="false" ht="244.5" hidden="false" customHeight="true" outlineLevel="0" collapsed="false">
      <c r="A13" s="6" t="s">
        <v>518</v>
      </c>
      <c r="B13" s="6" t="s">
        <v>519</v>
      </c>
      <c r="C13" s="6" t="s">
        <v>496</v>
      </c>
      <c r="D13" s="6" t="s">
        <v>520</v>
      </c>
      <c r="E13" s="6" t="s">
        <v>521</v>
      </c>
      <c r="F13" s="6" t="s">
        <v>480</v>
      </c>
      <c r="G13" s="20" t="s">
        <v>481</v>
      </c>
      <c r="H13" s="6" t="s">
        <v>499</v>
      </c>
      <c r="I13" s="6" t="s">
        <v>522</v>
      </c>
      <c r="J13" s="6" t="s">
        <v>491</v>
      </c>
      <c r="K13" s="6" t="s">
        <v>523</v>
      </c>
      <c r="L13" s="6" t="s">
        <v>524</v>
      </c>
      <c r="M13" s="6" t="str">
        <f aca="false">TEXT('Czas budowy'!Y48,"0")&amp;" min bazowo; T="&amp;TEXT('Czas budowy'!V48,"0")&amp;" min; budowa="&amp;TEXT('Czas budowy'!X48,"0")&amp;" min. Kolejka +10%: "&amp;TEXT('Czas budowy'!Y49,"0")&amp;" min (bez czekania)."</f>
        <v>50 min bazowo; T=25 min; budowa=25 min. Kolejka +10%: 50 min (bez czekania).</v>
      </c>
      <c r="N13" s="6" t="str">
        <f aca="false">TEXT('Czas budowy'!Y50,"0")&amp;" min bazowo; T="&amp;TEXT('Czas budowy'!V50,"0")&amp;" min; budowa="&amp;TEXT('Czas budowy'!X50,"0")&amp;" min. Kolejka +10%: "&amp;TEXT('Czas budowy'!Y51,"0")&amp;" min (bez czekania)."</f>
        <v>90 min bazowo; T=45 min; budowa=45 min. Kolejka +10%: 90 min (bez czekania).</v>
      </c>
      <c r="O13" s="6" t="str">
        <f aca="false">TEXT('Czas budowy'!Y52,"0")&amp;" min bazowo; T="&amp;TEXT('Czas budowy'!V52,"0")&amp;" min; budowa="&amp;TEXT('Czas budowy'!X52,"0")&amp;" min. Kolejka +10%: "&amp;TEXT('Czas budowy'!Y53,"0")&amp;" min (bez czekania)."</f>
        <v>110 min bazowo; T=55 min; budowa=55 min. Kolejka +10%: 120 min (bez czekania).</v>
      </c>
    </row>
    <row r="14" customFormat="false" ht="244.5" hidden="false" customHeight="true" outlineLevel="0" collapsed="false">
      <c r="A14" s="5" t="s">
        <v>525</v>
      </c>
      <c r="B14" s="5" t="s">
        <v>526</v>
      </c>
      <c r="C14" s="5" t="s">
        <v>496</v>
      </c>
      <c r="D14" s="5" t="s">
        <v>520</v>
      </c>
      <c r="E14" s="5" t="s">
        <v>521</v>
      </c>
      <c r="F14" s="5" t="s">
        <v>480</v>
      </c>
      <c r="G14" s="20" t="s">
        <v>481</v>
      </c>
      <c r="H14" s="5" t="s">
        <v>499</v>
      </c>
      <c r="I14" s="5" t="s">
        <v>527</v>
      </c>
      <c r="J14" s="5" t="s">
        <v>491</v>
      </c>
      <c r="K14" s="5" t="s">
        <v>528</v>
      </c>
      <c r="L14" s="5" t="s">
        <v>529</v>
      </c>
      <c r="M14" s="5" t="str">
        <f aca="false">TEXT('Czas budowy'!Y54,"0")&amp;" min bazowo; T="&amp;TEXT('Czas budowy'!V54,"0")&amp;" min; budowa="&amp;TEXT('Czas budowy'!X54,"0")&amp;" min. Kolejka +10%: "&amp;TEXT('Czas budowy'!Y55,"0")&amp;" min (bez czekania)."</f>
        <v>50 min bazowo; T=25 min; budowa=25 min. Kolejka +10%: 50 min (bez czekania).</v>
      </c>
      <c r="N14" s="5" t="str">
        <f aca="false">TEXT('Czas budowy'!Y56,"0")&amp;" min bazowo; T="&amp;TEXT('Czas budowy'!V56,"0")&amp;" min; budowa="&amp;TEXT('Czas budowy'!X56,"0")&amp;" min. Kolejka +10%: "&amp;TEXT('Czas budowy'!Y57,"0")&amp;" min (bez czekania)."</f>
        <v>90 min bazowo; T=45 min; budowa=45 min. Kolejka +10%: 90 min (bez czekania).</v>
      </c>
      <c r="O14" s="5" t="str">
        <f aca="false">TEXT('Czas budowy'!Y58,"0")&amp;" min bazowo; T="&amp;TEXT('Czas budowy'!V58,"0")&amp;" min; budowa="&amp;TEXT('Czas budowy'!X58,"0")&amp;" min. Kolejka +10%: "&amp;TEXT('Czas budowy'!Y59,"0")&amp;" min (bez czekania)."</f>
        <v>110 min bazowo; T=55 min; budowa=55 min. Kolejka +10%: 120 min (bez czekania).</v>
      </c>
    </row>
    <row r="15" customFormat="false" ht="244.5" hidden="false" customHeight="true" outlineLevel="0" collapsed="false">
      <c r="A15" s="6" t="s">
        <v>530</v>
      </c>
      <c r="B15" s="6" t="s">
        <v>531</v>
      </c>
      <c r="C15" s="6" t="s">
        <v>496</v>
      </c>
      <c r="D15" s="6" t="s">
        <v>520</v>
      </c>
      <c r="E15" s="6" t="s">
        <v>532</v>
      </c>
      <c r="F15" s="6" t="s">
        <v>480</v>
      </c>
      <c r="G15" s="20" t="s">
        <v>481</v>
      </c>
      <c r="H15" s="6" t="s">
        <v>499</v>
      </c>
      <c r="I15" s="6" t="s">
        <v>533</v>
      </c>
      <c r="J15" s="6" t="s">
        <v>491</v>
      </c>
      <c r="K15" s="6" t="s">
        <v>534</v>
      </c>
      <c r="L15" s="6" t="s">
        <v>535</v>
      </c>
      <c r="M15" s="6" t="str">
        <f aca="false">TEXT('Czas budowy'!Y60,"0")&amp;" min bazowo; T="&amp;TEXT('Czas budowy'!V60,"0")&amp;" min; budowa="&amp;TEXT('Czas budowy'!X60,"0")&amp;" min. Kolejka +10%: "&amp;TEXT('Czas budowy'!Y61,"0")&amp;" min (bez czekania)."</f>
        <v>60 min bazowo; T=30 min; budowa=30 min. Kolejka +10%: 70 min (bez czekania).</v>
      </c>
      <c r="N15" s="6" t="str">
        <f aca="false">TEXT('Czas budowy'!Y62,"0")&amp;" min bazowo; T="&amp;TEXT('Czas budowy'!V62,"0")&amp;" min; budowa="&amp;TEXT('Czas budowy'!X62,"0")&amp;" min. Kolejka +10%: "&amp;TEXT('Czas budowy'!Y63,"0")&amp;" min (bez czekania)."</f>
        <v>110 min bazowo; T=55 min; budowa=55 min. Kolejka +10%: 120 min (bez czekania).</v>
      </c>
      <c r="O15" s="6" t="str">
        <f aca="false">TEXT('Czas budowy'!Y64,"0")&amp;" min bazowo; T="&amp;TEXT('Czas budowy'!V64,"0")&amp;" min; budowa="&amp;TEXT('Czas budowy'!X64,"0")&amp;" min. Kolejka +10%: "&amp;TEXT('Czas budowy'!Y65,"0")&amp;" min (bez czekania)."</f>
        <v>150 min bazowo; T=75 min; budowa=75 min. Kolejka +10%: 160 min (bez czekania).</v>
      </c>
    </row>
    <row r="16" customFormat="false" ht="244.5" hidden="false" customHeight="true" outlineLevel="0" collapsed="false">
      <c r="A16" s="5" t="s">
        <v>536</v>
      </c>
      <c r="B16" s="5" t="s">
        <v>537</v>
      </c>
      <c r="C16" s="5" t="s">
        <v>538</v>
      </c>
      <c r="D16" s="5" t="s">
        <v>539</v>
      </c>
      <c r="E16" s="5" t="s">
        <v>459</v>
      </c>
      <c r="F16" s="5" t="s">
        <v>540</v>
      </c>
      <c r="G16" s="20" t="s">
        <v>481</v>
      </c>
      <c r="H16" s="5" t="s">
        <v>541</v>
      </c>
      <c r="I16" s="5" t="s">
        <v>451</v>
      </c>
      <c r="J16" s="5" t="s">
        <v>491</v>
      </c>
      <c r="K16" s="5"/>
      <c r="L16" s="5" t="s">
        <v>542</v>
      </c>
      <c r="M16" s="5" t="str">
        <f aca="false">TEXT('Czas budowy'!Y66,"0")&amp;" min bazowo; T="&amp;TEXT('Czas budowy'!V66,"0")&amp;" min; budowa="&amp;TEXT('Czas budowy'!X66,"0")&amp;" min. Kolejka +10%: "&amp;TEXT('Czas budowy'!Y67,"0")&amp;" min (bez czekania)."</f>
        <v>20 min bazowo; T=5 min; budowa=15 min. Kolejka +10%: 20 min (bez czekania).</v>
      </c>
      <c r="N16" s="5" t="str">
        <f aca="false">TEXT('Czas budowy'!Y68,"0")&amp;" min bazowo; T="&amp;TEXT('Czas budowy'!V68,"0")&amp;" min; budowa="&amp;TEXT('Czas budowy'!X68,"0")&amp;" min. Kolejka +10%: "&amp;TEXT('Czas budowy'!Y69,"0")&amp;" min (bez czekania)."</f>
        <v>35 min bazowo; T=5 min; budowa=30 min. Kolejka +10%: 35 min (bez czekania).</v>
      </c>
      <c r="O16" s="5" t="str">
        <f aca="false">TEXT('Czas budowy'!Y70,"0")&amp;" min bazowo; T="&amp;TEXT('Czas budowy'!V70,"0")&amp;" min; budowa="&amp;TEXT('Czas budowy'!X70,"0")&amp;" min. Kolejka +10%: "&amp;TEXT('Czas budowy'!Y71,"0")&amp;" min (bez czekania)."</f>
        <v>100 min bazowo; T=10 min; budowa=90 min. Kolejka +10%: 100 min (bez czekania).</v>
      </c>
    </row>
    <row r="17" customFormat="false" ht="244.5" hidden="false" customHeight="true" outlineLevel="0" collapsed="false">
      <c r="A17" s="6" t="s">
        <v>543</v>
      </c>
      <c r="B17" s="6" t="s">
        <v>544</v>
      </c>
      <c r="C17" s="6" t="s">
        <v>538</v>
      </c>
      <c r="D17" s="6" t="s">
        <v>545</v>
      </c>
      <c r="E17" s="6" t="s">
        <v>546</v>
      </c>
      <c r="F17" s="6" t="s">
        <v>547</v>
      </c>
      <c r="G17" s="20" t="s">
        <v>481</v>
      </c>
      <c r="H17" s="6" t="s">
        <v>548</v>
      </c>
      <c r="I17" s="6" t="s">
        <v>549</v>
      </c>
      <c r="J17" s="6" t="s">
        <v>491</v>
      </c>
      <c r="K17" s="6" t="s">
        <v>550</v>
      </c>
      <c r="L17" s="6" t="s">
        <v>551</v>
      </c>
      <c r="M17" s="6" t="str">
        <f aca="false">TEXT('Czas budowy'!Y72,"0")&amp;" min bazowo; T="&amp;TEXT('Czas budowy'!V72,"0")&amp;" min; budowa="&amp;TEXT('Czas budowy'!X72,"0")&amp;" min. Kolejka +10%: "&amp;TEXT('Czas budowy'!Y73,"0")&amp;" min (bez czekania)."</f>
        <v>200 min bazowo; T=40 min; budowa=160 min. Kolejka +10%: 225 min (bez czekania).</v>
      </c>
      <c r="N17" s="6" t="str">
        <f aca="false">TEXT('Czas budowy'!Y74,"0")&amp;" min bazowo; T="&amp;TEXT('Czas budowy'!V74,"0")&amp;" min; budowa="&amp;TEXT('Czas budowy'!X74,"0")&amp;" min. Kolejka +10%: "&amp;TEXT('Czas budowy'!Y75,"0")&amp;" min (bez czekania)."</f>
        <v>350 min bazowo; T=70 min; budowa=280 min. Kolejka +10%: 375 min (bez czekania).</v>
      </c>
      <c r="O17" s="6" t="str">
        <f aca="false">TEXT('Czas budowy'!Y76,"0")&amp;" min bazowo; T="&amp;TEXT('Czas budowy'!V76,"0")&amp;" min; budowa="&amp;TEXT('Czas budowy'!X76,"0")&amp;" min. Kolejka +10%: "&amp;TEXT('Czas budowy'!Y77,"0")&amp;" min (bez czekania)."</f>
        <v>450 min bazowo; T=90 min; budowa=360 min. Kolejka +10%: 500 min (bez czekania).</v>
      </c>
    </row>
    <row r="18" customFormat="false" ht="229.5" hidden="false" customHeight="true" outlineLevel="0" collapsed="false">
      <c r="A18" s="5" t="s">
        <v>552</v>
      </c>
      <c r="B18" s="5" t="s">
        <v>553</v>
      </c>
      <c r="C18" s="5" t="s">
        <v>554</v>
      </c>
      <c r="D18" s="5" t="s">
        <v>555</v>
      </c>
      <c r="E18" s="5" t="s">
        <v>556</v>
      </c>
      <c r="F18" s="5" t="s">
        <v>557</v>
      </c>
      <c r="G18" s="5" t="s">
        <v>481</v>
      </c>
      <c r="H18" s="5" t="s">
        <v>558</v>
      </c>
      <c r="I18" s="5" t="s">
        <v>559</v>
      </c>
      <c r="J18" s="5" t="s">
        <v>560</v>
      </c>
      <c r="K18" s="5" t="s">
        <v>561</v>
      </c>
      <c r="L18" s="5" t="s">
        <v>562</v>
      </c>
      <c r="M18" s="5" t="s">
        <v>563</v>
      </c>
      <c r="N18" s="5" t="s">
        <v>563</v>
      </c>
      <c r="O18" s="5" t="s">
        <v>563</v>
      </c>
    </row>
  </sheetData>
  <autoFilter ref="A5:O18"/>
  <mergeCells count="2">
    <mergeCell ref="A1:O1"/>
    <mergeCell ref="A2:O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6D75"/>
    <pageSetUpPr fitToPage="true"/>
  </sheetPr>
  <dimension ref="A1:E40"/>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26.25" customHeight="false" zeroHeight="false" outlineLevelRow="0" outlineLevelCol="0"/>
  <cols>
    <col collapsed="false" customWidth="true" hidden="false" outlineLevel="0" max="1" min="1" style="1" width="33"/>
    <col collapsed="false" customWidth="true" hidden="false" outlineLevel="0" max="2" min="2" style="1" width="87"/>
    <col collapsed="false" customWidth="true" hidden="false" outlineLevel="0" max="3" min="3" style="1" width="75"/>
    <col collapsed="false" customWidth="true" hidden="false" outlineLevel="0" max="4" min="4" style="1" width="115"/>
    <col collapsed="false" customWidth="true" hidden="false" outlineLevel="0" max="5" min="5" style="1" width="60"/>
    <col collapsed="false" customWidth="false" hidden="false" outlineLevel="0" max="16384" min="6" style="1" width="8.71"/>
  </cols>
  <sheetData>
    <row r="1" customFormat="false" ht="33.75" hidden="false" customHeight="true" outlineLevel="0" collapsed="false">
      <c r="A1" s="21" t="s">
        <v>564</v>
      </c>
      <c r="B1" s="21"/>
      <c r="C1" s="21"/>
      <c r="D1" s="21"/>
      <c r="E1" s="21"/>
    </row>
    <row r="2" customFormat="false" ht="24.75" hidden="false" customHeight="true" outlineLevel="0" collapsed="false">
      <c r="A2" s="3" t="s">
        <v>565</v>
      </c>
      <c r="B2" s="3"/>
      <c r="C2" s="3"/>
      <c r="D2" s="3"/>
      <c r="E2" s="3"/>
    </row>
    <row r="3" customFormat="false" ht="24.75" hidden="false" customHeight="true" outlineLevel="0" collapsed="false">
      <c r="A3" s="3"/>
      <c r="B3" s="3"/>
      <c r="C3" s="3"/>
      <c r="D3" s="3"/>
      <c r="E3" s="3"/>
    </row>
    <row r="5" customFormat="false" ht="48" hidden="false" customHeight="true" outlineLevel="0" collapsed="false">
      <c r="A5" s="4" t="s">
        <v>566</v>
      </c>
      <c r="B5" s="4" t="s">
        <v>567</v>
      </c>
      <c r="C5" s="4" t="s">
        <v>568</v>
      </c>
      <c r="D5" s="4" t="s">
        <v>569</v>
      </c>
      <c r="E5" s="4" t="s">
        <v>322</v>
      </c>
    </row>
    <row r="6" customFormat="false" ht="109.5" hidden="false" customHeight="true" outlineLevel="0" collapsed="false">
      <c r="A6" s="5" t="s">
        <v>570</v>
      </c>
      <c r="B6" s="5" t="s">
        <v>571</v>
      </c>
      <c r="C6" s="5" t="s">
        <v>572</v>
      </c>
      <c r="D6" s="5" t="s">
        <v>573</v>
      </c>
      <c r="E6" s="5" t="s">
        <v>574</v>
      </c>
    </row>
    <row r="7" customFormat="false" ht="109.5" hidden="false" customHeight="true" outlineLevel="0" collapsed="false">
      <c r="A7" s="6" t="s">
        <v>575</v>
      </c>
      <c r="B7" s="6" t="s">
        <v>576</v>
      </c>
      <c r="C7" s="6" t="s">
        <v>577</v>
      </c>
      <c r="D7" s="6" t="s">
        <v>578</v>
      </c>
      <c r="E7" s="6" t="s">
        <v>579</v>
      </c>
    </row>
    <row r="8" customFormat="false" ht="109.5" hidden="false" customHeight="true" outlineLevel="0" collapsed="false">
      <c r="A8" s="5" t="s">
        <v>580</v>
      </c>
      <c r="B8" s="5" t="s">
        <v>581</v>
      </c>
      <c r="C8" s="5" t="s">
        <v>582</v>
      </c>
      <c r="D8" s="5" t="s">
        <v>583</v>
      </c>
      <c r="E8" s="5" t="s">
        <v>584</v>
      </c>
    </row>
    <row r="9" customFormat="false" ht="109.5" hidden="false" customHeight="true" outlineLevel="0" collapsed="false">
      <c r="A9" s="6" t="s">
        <v>585</v>
      </c>
      <c r="B9" s="6" t="s">
        <v>586</v>
      </c>
      <c r="C9" s="6" t="s">
        <v>587</v>
      </c>
      <c r="D9" s="6" t="s">
        <v>588</v>
      </c>
      <c r="E9" s="6" t="s">
        <v>589</v>
      </c>
    </row>
    <row r="10" customFormat="false" ht="109.5" hidden="false" customHeight="true" outlineLevel="0" collapsed="false">
      <c r="A10" s="5" t="s">
        <v>590</v>
      </c>
      <c r="B10" s="5" t="s">
        <v>591</v>
      </c>
      <c r="C10" s="5" t="s">
        <v>592</v>
      </c>
      <c r="D10" s="5" t="s">
        <v>593</v>
      </c>
      <c r="E10" s="5" t="s">
        <v>594</v>
      </c>
    </row>
    <row r="11" customFormat="false" ht="109.5" hidden="false" customHeight="true" outlineLevel="0" collapsed="false">
      <c r="A11" s="6" t="s">
        <v>595</v>
      </c>
      <c r="B11" s="6" t="s">
        <v>596</v>
      </c>
      <c r="C11" s="6" t="s">
        <v>597</v>
      </c>
      <c r="D11" s="6" t="s">
        <v>598</v>
      </c>
      <c r="E11" s="6" t="s">
        <v>599</v>
      </c>
    </row>
    <row r="12" customFormat="false" ht="109.5" hidden="false" customHeight="true" outlineLevel="0" collapsed="false">
      <c r="A12" s="5" t="s">
        <v>600</v>
      </c>
      <c r="B12" s="5" t="s">
        <v>601</v>
      </c>
      <c r="C12" s="5" t="s">
        <v>602</v>
      </c>
      <c r="D12" s="5" t="s">
        <v>603</v>
      </c>
      <c r="E12" s="5" t="s">
        <v>604</v>
      </c>
    </row>
    <row r="13" customFormat="false" ht="109.5" hidden="false" customHeight="true" outlineLevel="0" collapsed="false">
      <c r="A13" s="6" t="s">
        <v>605</v>
      </c>
      <c r="B13" s="6" t="s">
        <v>606</v>
      </c>
      <c r="C13" s="6" t="s">
        <v>607</v>
      </c>
      <c r="D13" s="6" t="s">
        <v>608</v>
      </c>
      <c r="E13" s="6" t="s">
        <v>609</v>
      </c>
    </row>
    <row r="14" customFormat="false" ht="109.5" hidden="false" customHeight="true" outlineLevel="0" collapsed="false">
      <c r="A14" s="5" t="s">
        <v>24</v>
      </c>
      <c r="B14" s="5" t="s">
        <v>610</v>
      </c>
      <c r="C14" s="5" t="s">
        <v>611</v>
      </c>
      <c r="D14" s="5" t="s">
        <v>612</v>
      </c>
      <c r="E14" s="5" t="s">
        <v>613</v>
      </c>
    </row>
    <row r="15" customFormat="false" ht="109.5" hidden="false" customHeight="true" outlineLevel="0" collapsed="false">
      <c r="A15" s="6" t="s">
        <v>614</v>
      </c>
      <c r="B15" s="6" t="s">
        <v>615</v>
      </c>
      <c r="C15" s="6" t="s">
        <v>616</v>
      </c>
      <c r="D15" s="6" t="s">
        <v>617</v>
      </c>
      <c r="E15" s="6" t="s">
        <v>618</v>
      </c>
    </row>
    <row r="16" customFormat="false" ht="109.5" hidden="false" customHeight="true" outlineLevel="0" collapsed="false">
      <c r="A16" s="5" t="s">
        <v>619</v>
      </c>
      <c r="B16" s="5" t="s">
        <v>620</v>
      </c>
      <c r="C16" s="5" t="s">
        <v>621</v>
      </c>
      <c r="D16" s="5" t="s">
        <v>622</v>
      </c>
      <c r="E16" s="5" t="s">
        <v>623</v>
      </c>
    </row>
    <row r="17" customFormat="false" ht="109.5" hidden="false" customHeight="true" outlineLevel="0" collapsed="false">
      <c r="A17" s="6" t="s">
        <v>624</v>
      </c>
      <c r="B17" s="6" t="s">
        <v>625</v>
      </c>
      <c r="C17" s="6" t="s">
        <v>626</v>
      </c>
      <c r="D17" s="6" t="s">
        <v>627</v>
      </c>
      <c r="E17" s="6" t="s">
        <v>623</v>
      </c>
    </row>
    <row r="18" customFormat="false" ht="109.5" hidden="false" customHeight="true" outlineLevel="0" collapsed="false">
      <c r="A18" s="5" t="s">
        <v>628</v>
      </c>
      <c r="B18" s="5" t="s">
        <v>629</v>
      </c>
      <c r="C18" s="5" t="s">
        <v>630</v>
      </c>
      <c r="D18" s="5" t="s">
        <v>631</v>
      </c>
      <c r="E18" s="5" t="s">
        <v>623</v>
      </c>
    </row>
    <row r="19" customFormat="false" ht="109.5" hidden="false" customHeight="true" outlineLevel="0" collapsed="false">
      <c r="A19" s="6" t="s">
        <v>632</v>
      </c>
      <c r="B19" s="6" t="s">
        <v>633</v>
      </c>
      <c r="C19" s="6" t="s">
        <v>634</v>
      </c>
      <c r="D19" s="6" t="s">
        <v>635</v>
      </c>
      <c r="E19" s="6" t="s">
        <v>623</v>
      </c>
    </row>
    <row r="20" customFormat="false" ht="109.5" hidden="false" customHeight="true" outlineLevel="0" collapsed="false">
      <c r="A20" s="5" t="s">
        <v>636</v>
      </c>
      <c r="B20" s="5" t="s">
        <v>637</v>
      </c>
      <c r="C20" s="5" t="s">
        <v>638</v>
      </c>
      <c r="D20" s="5" t="s">
        <v>639</v>
      </c>
      <c r="E20" s="5" t="s">
        <v>623</v>
      </c>
    </row>
    <row r="21" customFormat="false" ht="109.5" hidden="false" customHeight="true" outlineLevel="0" collapsed="false">
      <c r="A21" s="6" t="s">
        <v>640</v>
      </c>
      <c r="B21" s="6" t="s">
        <v>641</v>
      </c>
      <c r="C21" s="6" t="s">
        <v>642</v>
      </c>
      <c r="D21" s="6" t="s">
        <v>643</v>
      </c>
      <c r="E21" s="6" t="s">
        <v>623</v>
      </c>
    </row>
    <row r="22" customFormat="false" ht="109.5" hidden="false" customHeight="true" outlineLevel="0" collapsed="false">
      <c r="A22" s="5" t="s">
        <v>644</v>
      </c>
      <c r="B22" s="5" t="s">
        <v>645</v>
      </c>
      <c r="C22" s="5" t="s">
        <v>646</v>
      </c>
      <c r="D22" s="5" t="s">
        <v>647</v>
      </c>
      <c r="E22" s="5" t="s">
        <v>648</v>
      </c>
    </row>
    <row r="23" customFormat="false" ht="109.5" hidden="false" customHeight="true" outlineLevel="0" collapsed="false">
      <c r="A23" s="6" t="s">
        <v>649</v>
      </c>
      <c r="B23" s="6" t="s">
        <v>650</v>
      </c>
      <c r="C23" s="6" t="s">
        <v>651</v>
      </c>
      <c r="D23" s="6" t="s">
        <v>652</v>
      </c>
      <c r="E23" s="6" t="s">
        <v>618</v>
      </c>
    </row>
    <row r="24" customFormat="false" ht="109.5" hidden="false" customHeight="true" outlineLevel="0" collapsed="false">
      <c r="A24" s="5" t="s">
        <v>653</v>
      </c>
      <c r="B24" s="5" t="s">
        <v>654</v>
      </c>
      <c r="C24" s="5" t="s">
        <v>655</v>
      </c>
      <c r="D24" s="5" t="s">
        <v>656</v>
      </c>
      <c r="E24" s="5" t="s">
        <v>623</v>
      </c>
    </row>
    <row r="25" customFormat="false" ht="109.5" hidden="false" customHeight="true" outlineLevel="0" collapsed="false">
      <c r="A25" s="6" t="s">
        <v>657</v>
      </c>
      <c r="B25" s="6" t="s">
        <v>658</v>
      </c>
      <c r="C25" s="6" t="s">
        <v>659</v>
      </c>
      <c r="D25" s="6" t="s">
        <v>447</v>
      </c>
      <c r="E25" s="6" t="s">
        <v>660</v>
      </c>
    </row>
    <row r="26" customFormat="false" ht="109.5" hidden="false" customHeight="true" outlineLevel="0" collapsed="false">
      <c r="A26" s="5" t="s">
        <v>661</v>
      </c>
      <c r="B26" s="5" t="s">
        <v>662</v>
      </c>
      <c r="C26" s="5" t="s">
        <v>663</v>
      </c>
      <c r="D26" s="5" t="s">
        <v>664</v>
      </c>
      <c r="E26" s="5" t="s">
        <v>665</v>
      </c>
    </row>
    <row r="27" customFormat="false" ht="109.5" hidden="false" customHeight="true" outlineLevel="0" collapsed="false">
      <c r="A27" s="6" t="s">
        <v>666</v>
      </c>
      <c r="B27" s="6" t="s">
        <v>667</v>
      </c>
      <c r="C27" s="6" t="s">
        <v>668</v>
      </c>
      <c r="D27" s="6" t="s">
        <v>669</v>
      </c>
      <c r="E27" s="6" t="s">
        <v>623</v>
      </c>
    </row>
    <row r="28" customFormat="false" ht="109.5" hidden="false" customHeight="true" outlineLevel="0" collapsed="false">
      <c r="A28" s="5" t="s">
        <v>670</v>
      </c>
      <c r="B28" s="5" t="s">
        <v>671</v>
      </c>
      <c r="C28" s="5" t="s">
        <v>672</v>
      </c>
      <c r="D28" s="5" t="s">
        <v>673</v>
      </c>
      <c r="E28" s="5" t="s">
        <v>623</v>
      </c>
    </row>
    <row r="29" customFormat="false" ht="109.5" hidden="false" customHeight="true" outlineLevel="0" collapsed="false">
      <c r="A29" s="6" t="s">
        <v>674</v>
      </c>
      <c r="B29" s="6" t="s">
        <v>675</v>
      </c>
      <c r="C29" s="6" t="s">
        <v>451</v>
      </c>
      <c r="D29" s="6" t="s">
        <v>676</v>
      </c>
      <c r="E29" s="6" t="s">
        <v>677</v>
      </c>
    </row>
    <row r="30" customFormat="false" ht="109.5" hidden="false" customHeight="true" outlineLevel="0" collapsed="false">
      <c r="A30" s="5" t="s">
        <v>678</v>
      </c>
      <c r="B30" s="5" t="s">
        <v>679</v>
      </c>
      <c r="C30" s="5" t="s">
        <v>680</v>
      </c>
      <c r="D30" s="5" t="s">
        <v>681</v>
      </c>
      <c r="E30" s="5" t="s">
        <v>665</v>
      </c>
    </row>
    <row r="31" customFormat="false" ht="109.5" hidden="false" customHeight="true" outlineLevel="0" collapsed="false">
      <c r="A31" s="6" t="s">
        <v>682</v>
      </c>
      <c r="B31" s="6" t="s">
        <v>683</v>
      </c>
      <c r="C31" s="6" t="s">
        <v>396</v>
      </c>
      <c r="D31" s="6" t="s">
        <v>400</v>
      </c>
      <c r="E31" s="6" t="s">
        <v>684</v>
      </c>
    </row>
    <row r="32" customFormat="false" ht="109.5" hidden="false" customHeight="true" outlineLevel="0" collapsed="false">
      <c r="A32" s="5" t="s">
        <v>685</v>
      </c>
      <c r="B32" s="5" t="s">
        <v>686</v>
      </c>
      <c r="C32" s="5" t="s">
        <v>687</v>
      </c>
      <c r="D32" s="5" t="s">
        <v>688</v>
      </c>
      <c r="E32" s="5" t="s">
        <v>648</v>
      </c>
    </row>
    <row r="33" customFormat="false" ht="109.5" hidden="false" customHeight="true" outlineLevel="0" collapsed="false">
      <c r="A33" s="6" t="s">
        <v>689</v>
      </c>
      <c r="B33" s="6" t="s">
        <v>690</v>
      </c>
      <c r="C33" s="6" t="s">
        <v>691</v>
      </c>
      <c r="D33" s="6" t="s">
        <v>692</v>
      </c>
      <c r="E33" s="6" t="s">
        <v>693</v>
      </c>
    </row>
    <row r="34" customFormat="false" ht="109.5" hidden="false" customHeight="true" outlineLevel="0" collapsed="false">
      <c r="A34" s="5" t="s">
        <v>694</v>
      </c>
      <c r="B34" s="5" t="s">
        <v>695</v>
      </c>
      <c r="C34" s="5" t="s">
        <v>443</v>
      </c>
      <c r="D34" s="5" t="s">
        <v>696</v>
      </c>
      <c r="E34" s="5" t="s">
        <v>697</v>
      </c>
    </row>
    <row r="35" customFormat="false" ht="109.5" hidden="false" customHeight="true" outlineLevel="0" collapsed="false">
      <c r="A35" s="6" t="s">
        <v>698</v>
      </c>
      <c r="B35" s="6" t="s">
        <v>699</v>
      </c>
      <c r="C35" s="6" t="s">
        <v>700</v>
      </c>
      <c r="D35" s="6" t="s">
        <v>701</v>
      </c>
      <c r="E35" s="6" t="s">
        <v>665</v>
      </c>
    </row>
    <row r="36" customFormat="false" ht="109.5" hidden="false" customHeight="true" outlineLevel="0" collapsed="false">
      <c r="A36" s="5" t="s">
        <v>702</v>
      </c>
      <c r="B36" s="5" t="s">
        <v>703</v>
      </c>
      <c r="C36" s="5" t="s">
        <v>704</v>
      </c>
      <c r="D36" s="5" t="s">
        <v>705</v>
      </c>
      <c r="E36" s="5" t="s">
        <v>706</v>
      </c>
    </row>
    <row r="37" customFormat="false" ht="109.5" hidden="false" customHeight="true" outlineLevel="0" collapsed="false">
      <c r="A37" s="6" t="s">
        <v>707</v>
      </c>
      <c r="B37" s="6" t="s">
        <v>708</v>
      </c>
      <c r="C37" s="6" t="s">
        <v>709</v>
      </c>
      <c r="D37" s="6" t="s">
        <v>710</v>
      </c>
      <c r="E37" s="6" t="s">
        <v>711</v>
      </c>
    </row>
    <row r="38" customFormat="false" ht="144.75" hidden="false" customHeight="true" outlineLevel="0" collapsed="false">
      <c r="A38" s="8" t="s">
        <v>712</v>
      </c>
      <c r="B38" s="8" t="s">
        <v>408</v>
      </c>
      <c r="C38" s="8" t="s">
        <v>713</v>
      </c>
      <c r="D38" s="8" t="s">
        <v>714</v>
      </c>
      <c r="E38" s="8" t="s">
        <v>715</v>
      </c>
    </row>
    <row r="39" customFormat="false" ht="63.75" hidden="false" customHeight="true" outlineLevel="0" collapsed="false">
      <c r="A39" s="8" t="s">
        <v>80</v>
      </c>
      <c r="B39" s="8" t="s">
        <v>716</v>
      </c>
      <c r="C39" s="8" t="s">
        <v>717</v>
      </c>
      <c r="D39" s="8" t="s">
        <v>718</v>
      </c>
      <c r="E39" s="8" t="s">
        <v>719</v>
      </c>
    </row>
    <row r="40" customFormat="false" ht="63.75" hidden="false" customHeight="true" outlineLevel="0" collapsed="false">
      <c r="A40" s="8" t="s">
        <v>720</v>
      </c>
      <c r="B40" s="8" t="s">
        <v>721</v>
      </c>
      <c r="C40" s="8" t="s">
        <v>722</v>
      </c>
      <c r="D40" s="8" t="s">
        <v>723</v>
      </c>
      <c r="E40" s="8" t="s">
        <v>719</v>
      </c>
    </row>
  </sheetData>
  <autoFilter ref="A5:E40"/>
  <mergeCells count="2">
    <mergeCell ref="A1:E1"/>
    <mergeCell ref="A2:E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6D75"/>
    <pageSetUpPr fitToPage="true"/>
  </sheetPr>
  <dimension ref="A1:H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5"/>
    <col collapsed="false" customWidth="true" hidden="false" outlineLevel="0" max="3" min="2" style="0" width="28"/>
    <col collapsed="false" customWidth="true" hidden="false" outlineLevel="0" max="4" min="4" style="0" width="17"/>
    <col collapsed="false" customWidth="true" hidden="false" outlineLevel="0" max="5" min="5" style="0" width="22"/>
    <col collapsed="false" customWidth="true" hidden="false" outlineLevel="0" max="6" min="6" style="0" width="40"/>
    <col collapsed="false" customWidth="true" hidden="false" outlineLevel="0" max="7" min="7" style="0" width="14"/>
    <col collapsed="false" customWidth="true" hidden="false" outlineLevel="0" max="8" min="8" style="0" width="55"/>
  </cols>
  <sheetData>
    <row r="1" customFormat="false" ht="31.5" hidden="false" customHeight="true" outlineLevel="0" collapsed="false">
      <c r="A1" s="9" t="s">
        <v>724</v>
      </c>
      <c r="B1" s="9"/>
      <c r="C1" s="9"/>
      <c r="D1" s="9"/>
      <c r="E1" s="9"/>
      <c r="F1" s="9"/>
      <c r="G1" s="9"/>
      <c r="H1" s="9"/>
    </row>
    <row r="2" customFormat="false" ht="75.75" hidden="false" customHeight="true" outlineLevel="0" collapsed="false">
      <c r="A2" s="10" t="s">
        <v>725</v>
      </c>
      <c r="B2" s="10"/>
      <c r="C2" s="10"/>
      <c r="D2" s="10"/>
      <c r="E2" s="10"/>
      <c r="F2" s="10"/>
      <c r="G2" s="10"/>
      <c r="H2" s="10"/>
    </row>
    <row r="5" customFormat="false" ht="33.75" hidden="false" customHeight="true" outlineLevel="0" collapsed="false">
      <c r="A5" s="11" t="s">
        <v>97</v>
      </c>
      <c r="B5" s="11" t="s">
        <v>726</v>
      </c>
      <c r="C5" s="11" t="s">
        <v>727</v>
      </c>
      <c r="D5" s="11" t="s">
        <v>728</v>
      </c>
      <c r="E5" s="11" t="s">
        <v>729</v>
      </c>
      <c r="F5" s="11" t="s">
        <v>730</v>
      </c>
      <c r="G5" s="11" t="s">
        <v>731</v>
      </c>
      <c r="H5" s="11" t="s">
        <v>254</v>
      </c>
    </row>
    <row r="6" customFormat="false" ht="31.5" hidden="false" customHeight="true" outlineLevel="0" collapsed="false">
      <c r="A6" s="12" t="s">
        <v>732</v>
      </c>
      <c r="B6" s="12" t="s">
        <v>733</v>
      </c>
      <c r="C6" s="12" t="s">
        <v>734</v>
      </c>
      <c r="D6" s="12" t="s">
        <v>735</v>
      </c>
      <c r="E6" s="12" t="s">
        <v>736</v>
      </c>
      <c r="F6" s="12" t="s">
        <v>737</v>
      </c>
      <c r="G6" s="22" t="n">
        <v>6</v>
      </c>
      <c r="H6" s="12" t="s">
        <v>738</v>
      </c>
    </row>
    <row r="7" customFormat="false" ht="31.5" hidden="false" customHeight="true" outlineLevel="0" collapsed="false">
      <c r="A7" s="13" t="s">
        <v>739</v>
      </c>
      <c r="B7" s="13" t="s">
        <v>740</v>
      </c>
      <c r="C7" s="13" t="s">
        <v>741</v>
      </c>
      <c r="D7" s="13" t="s">
        <v>735</v>
      </c>
      <c r="E7" s="13" t="s">
        <v>736</v>
      </c>
      <c r="F7" s="13" t="s">
        <v>737</v>
      </c>
      <c r="G7" s="23" t="n">
        <v>6</v>
      </c>
      <c r="H7" s="13" t="s">
        <v>738</v>
      </c>
    </row>
    <row r="8" customFormat="false" ht="31.5" hidden="false" customHeight="true" outlineLevel="0" collapsed="false">
      <c r="A8" s="12" t="s">
        <v>742</v>
      </c>
      <c r="B8" s="12" t="s">
        <v>743</v>
      </c>
      <c r="C8" s="12" t="s">
        <v>744</v>
      </c>
      <c r="D8" s="12" t="s">
        <v>735</v>
      </c>
      <c r="E8" s="12" t="s">
        <v>736</v>
      </c>
      <c r="F8" s="12" t="s">
        <v>737</v>
      </c>
      <c r="G8" s="22" t="n">
        <v>6</v>
      </c>
      <c r="H8" s="12" t="s">
        <v>738</v>
      </c>
    </row>
    <row r="9" customFormat="false" ht="31.5" hidden="false" customHeight="true" outlineLevel="0" collapsed="false">
      <c r="A9" s="13" t="s">
        <v>745</v>
      </c>
      <c r="B9" s="13" t="s">
        <v>746</v>
      </c>
      <c r="C9" s="13" t="s">
        <v>747</v>
      </c>
      <c r="D9" s="13" t="s">
        <v>735</v>
      </c>
      <c r="E9" s="13" t="s">
        <v>736</v>
      </c>
      <c r="F9" s="13" t="s">
        <v>737</v>
      </c>
      <c r="G9" s="23" t="n">
        <v>6</v>
      </c>
      <c r="H9" s="13" t="s">
        <v>738</v>
      </c>
    </row>
    <row r="10" customFormat="false" ht="31.5" hidden="false" customHeight="true" outlineLevel="0" collapsed="false">
      <c r="A10" s="12" t="s">
        <v>748</v>
      </c>
      <c r="B10" s="12" t="s">
        <v>749</v>
      </c>
      <c r="C10" s="12" t="s">
        <v>750</v>
      </c>
      <c r="D10" s="12" t="s">
        <v>735</v>
      </c>
      <c r="E10" s="12" t="s">
        <v>736</v>
      </c>
      <c r="F10" s="12" t="s">
        <v>737</v>
      </c>
      <c r="G10" s="22" t="n">
        <v>6</v>
      </c>
      <c r="H10" s="12" t="s">
        <v>738</v>
      </c>
    </row>
    <row r="11" customFormat="false" ht="31.5" hidden="false" customHeight="true" outlineLevel="0" collapsed="false">
      <c r="A11" s="13" t="s">
        <v>751</v>
      </c>
      <c r="B11" s="13" t="s">
        <v>752</v>
      </c>
      <c r="C11" s="13" t="s">
        <v>753</v>
      </c>
      <c r="D11" s="13" t="s">
        <v>735</v>
      </c>
      <c r="E11" s="13" t="s">
        <v>736</v>
      </c>
      <c r="F11" s="13" t="s">
        <v>737</v>
      </c>
      <c r="G11" s="23" t="n">
        <v>6</v>
      </c>
      <c r="H11" s="13" t="s">
        <v>738</v>
      </c>
    </row>
    <row r="12" customFormat="false" ht="31.5" hidden="false" customHeight="true" outlineLevel="0" collapsed="false">
      <c r="A12" s="12" t="s">
        <v>754</v>
      </c>
      <c r="B12" s="12" t="s">
        <v>755</v>
      </c>
      <c r="C12" s="12" t="s">
        <v>756</v>
      </c>
      <c r="D12" s="12" t="s">
        <v>735</v>
      </c>
      <c r="E12" s="12" t="s">
        <v>736</v>
      </c>
      <c r="F12" s="12" t="s">
        <v>737</v>
      </c>
      <c r="G12" s="22" t="n">
        <v>6</v>
      </c>
      <c r="H12" s="12" t="s">
        <v>738</v>
      </c>
    </row>
    <row r="13" customFormat="false" ht="31.5" hidden="false" customHeight="true" outlineLevel="0" collapsed="false">
      <c r="A13" s="13" t="s">
        <v>757</v>
      </c>
      <c r="B13" s="13" t="s">
        <v>758</v>
      </c>
      <c r="C13" s="13" t="s">
        <v>759</v>
      </c>
      <c r="D13" s="13" t="s">
        <v>735</v>
      </c>
      <c r="E13" s="13" t="s">
        <v>736</v>
      </c>
      <c r="F13" s="13" t="s">
        <v>737</v>
      </c>
      <c r="G13" s="23" t="n">
        <v>6</v>
      </c>
      <c r="H13" s="13" t="s">
        <v>738</v>
      </c>
    </row>
    <row r="14" customFormat="false" ht="31.5" hidden="false" customHeight="true" outlineLevel="0" collapsed="false">
      <c r="A14" s="12" t="s">
        <v>760</v>
      </c>
      <c r="B14" s="12" t="s">
        <v>761</v>
      </c>
      <c r="C14" s="12" t="s">
        <v>762</v>
      </c>
      <c r="D14" s="12" t="s">
        <v>735</v>
      </c>
      <c r="E14" s="12" t="s">
        <v>736</v>
      </c>
      <c r="F14" s="12" t="s">
        <v>737</v>
      </c>
      <c r="G14" s="22" t="n">
        <v>6</v>
      </c>
      <c r="H14" s="12" t="s">
        <v>738</v>
      </c>
    </row>
    <row r="15" customFormat="false" ht="31.5" hidden="false" customHeight="true" outlineLevel="0" collapsed="false">
      <c r="A15" s="13" t="s">
        <v>763</v>
      </c>
      <c r="B15" s="13" t="s">
        <v>764</v>
      </c>
      <c r="C15" s="13" t="s">
        <v>765</v>
      </c>
      <c r="D15" s="13" t="s">
        <v>735</v>
      </c>
      <c r="E15" s="13" t="s">
        <v>736</v>
      </c>
      <c r="F15" s="13" t="s">
        <v>737</v>
      </c>
      <c r="G15" s="23" t="n">
        <v>6</v>
      </c>
      <c r="H15" s="13" t="s">
        <v>738</v>
      </c>
    </row>
    <row r="16" customFormat="false" ht="31.5" hidden="false" customHeight="true" outlineLevel="0" collapsed="false">
      <c r="A16" s="12" t="s">
        <v>766</v>
      </c>
      <c r="B16" s="12" t="s">
        <v>767</v>
      </c>
      <c r="C16" s="12" t="s">
        <v>768</v>
      </c>
      <c r="D16" s="12" t="s">
        <v>769</v>
      </c>
      <c r="E16" s="12" t="s">
        <v>736</v>
      </c>
      <c r="F16" s="12" t="s">
        <v>737</v>
      </c>
      <c r="G16" s="22" t="n">
        <v>6</v>
      </c>
      <c r="H16" s="12" t="s">
        <v>738</v>
      </c>
    </row>
    <row r="17" customFormat="false" ht="31.5" hidden="false" customHeight="true" outlineLevel="0" collapsed="false">
      <c r="A17" s="13" t="s">
        <v>770</v>
      </c>
      <c r="B17" s="13" t="s">
        <v>771</v>
      </c>
      <c r="C17" s="13" t="s">
        <v>772</v>
      </c>
      <c r="D17" s="13" t="s">
        <v>769</v>
      </c>
      <c r="E17" s="13" t="s">
        <v>736</v>
      </c>
      <c r="F17" s="13" t="s">
        <v>737</v>
      </c>
      <c r="G17" s="23" t="n">
        <v>6</v>
      </c>
      <c r="H17" s="13" t="s">
        <v>738</v>
      </c>
    </row>
    <row r="18" customFormat="false" ht="31.5" hidden="false" customHeight="true" outlineLevel="0" collapsed="false">
      <c r="A18" s="12" t="s">
        <v>773</v>
      </c>
      <c r="B18" s="12" t="s">
        <v>774</v>
      </c>
      <c r="C18" s="12" t="s">
        <v>775</v>
      </c>
      <c r="D18" s="12" t="s">
        <v>769</v>
      </c>
      <c r="E18" s="12" t="s">
        <v>736</v>
      </c>
      <c r="F18" s="12" t="s">
        <v>737</v>
      </c>
      <c r="G18" s="22" t="n">
        <v>6</v>
      </c>
      <c r="H18" s="12" t="s">
        <v>738</v>
      </c>
    </row>
    <row r="19" customFormat="false" ht="31.5" hidden="false" customHeight="true" outlineLevel="0" collapsed="false">
      <c r="A19" s="13" t="s">
        <v>776</v>
      </c>
      <c r="B19" s="13" t="s">
        <v>777</v>
      </c>
      <c r="C19" s="13" t="s">
        <v>778</v>
      </c>
      <c r="D19" s="13" t="s">
        <v>769</v>
      </c>
      <c r="E19" s="13" t="s">
        <v>736</v>
      </c>
      <c r="F19" s="13" t="s">
        <v>737</v>
      </c>
      <c r="G19" s="23" t="n">
        <v>6</v>
      </c>
      <c r="H19" s="13" t="s">
        <v>738</v>
      </c>
    </row>
    <row r="20" customFormat="false" ht="31.5" hidden="false" customHeight="true" outlineLevel="0" collapsed="false">
      <c r="A20" s="12" t="s">
        <v>779</v>
      </c>
      <c r="B20" s="12" t="s">
        <v>780</v>
      </c>
      <c r="C20" s="12" t="s">
        <v>781</v>
      </c>
      <c r="D20" s="12" t="s">
        <v>769</v>
      </c>
      <c r="E20" s="12" t="s">
        <v>736</v>
      </c>
      <c r="F20" s="12" t="s">
        <v>737</v>
      </c>
      <c r="G20" s="22" t="n">
        <v>6</v>
      </c>
      <c r="H20" s="12" t="s">
        <v>738</v>
      </c>
    </row>
    <row r="21" customFormat="false" ht="31.5" hidden="false" customHeight="true" outlineLevel="0" collapsed="false">
      <c r="A21" s="13" t="s">
        <v>782</v>
      </c>
      <c r="B21" s="13" t="s">
        <v>783</v>
      </c>
      <c r="C21" s="13" t="s">
        <v>784</v>
      </c>
      <c r="D21" s="13" t="s">
        <v>769</v>
      </c>
      <c r="E21" s="13" t="s">
        <v>736</v>
      </c>
      <c r="F21" s="13" t="s">
        <v>737</v>
      </c>
      <c r="G21" s="23" t="n">
        <v>6</v>
      </c>
      <c r="H21" s="13" t="s">
        <v>738</v>
      </c>
    </row>
    <row r="22" customFormat="false" ht="31.5" hidden="false" customHeight="true" outlineLevel="0" collapsed="false">
      <c r="A22" s="12" t="s">
        <v>785</v>
      </c>
      <c r="B22" s="12" t="s">
        <v>786</v>
      </c>
      <c r="C22" s="12" t="s">
        <v>787</v>
      </c>
      <c r="D22" s="12" t="s">
        <v>769</v>
      </c>
      <c r="E22" s="12" t="s">
        <v>736</v>
      </c>
      <c r="F22" s="12" t="s">
        <v>737</v>
      </c>
      <c r="G22" s="22" t="n">
        <v>6</v>
      </c>
      <c r="H22" s="12" t="s">
        <v>738</v>
      </c>
    </row>
    <row r="23" customFormat="false" ht="31.5" hidden="false" customHeight="true" outlineLevel="0" collapsed="false">
      <c r="A23" s="13" t="s">
        <v>788</v>
      </c>
      <c r="B23" s="13" t="s">
        <v>789</v>
      </c>
      <c r="C23" s="13" t="s">
        <v>790</v>
      </c>
      <c r="D23" s="13" t="s">
        <v>769</v>
      </c>
      <c r="E23" s="13" t="s">
        <v>736</v>
      </c>
      <c r="F23" s="13" t="s">
        <v>737</v>
      </c>
      <c r="G23" s="23" t="n">
        <v>6</v>
      </c>
      <c r="H23" s="13" t="s">
        <v>738</v>
      </c>
    </row>
    <row r="24" customFormat="false" ht="31.5" hidden="false" customHeight="true" outlineLevel="0" collapsed="false">
      <c r="A24" s="12" t="s">
        <v>791</v>
      </c>
      <c r="B24" s="12" t="s">
        <v>792</v>
      </c>
      <c r="C24" s="12" t="s">
        <v>793</v>
      </c>
      <c r="D24" s="12" t="s">
        <v>769</v>
      </c>
      <c r="E24" s="12" t="s">
        <v>736</v>
      </c>
      <c r="F24" s="12" t="s">
        <v>737</v>
      </c>
      <c r="G24" s="22" t="n">
        <v>6</v>
      </c>
      <c r="H24" s="12" t="s">
        <v>738</v>
      </c>
    </row>
    <row r="25" customFormat="false" ht="31.5" hidden="false" customHeight="true" outlineLevel="0" collapsed="false">
      <c r="A25" s="13" t="s">
        <v>794</v>
      </c>
      <c r="B25" s="13" t="s">
        <v>795</v>
      </c>
      <c r="C25" s="13" t="s">
        <v>796</v>
      </c>
      <c r="D25" s="13" t="s">
        <v>769</v>
      </c>
      <c r="E25" s="13" t="s">
        <v>736</v>
      </c>
      <c r="F25" s="13" t="s">
        <v>737</v>
      </c>
      <c r="G25" s="23" t="n">
        <v>6</v>
      </c>
      <c r="H25" s="13" t="s">
        <v>738</v>
      </c>
    </row>
  </sheetData>
  <autoFilter ref="A5:H25"/>
  <mergeCells count="2">
    <mergeCell ref="A1:H1"/>
    <mergeCell ref="A2:H2"/>
  </mergeCells>
  <printOptions headings="false" gridLines="false" gridLinesSet="true" horizontalCentered="tru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6D75"/>
    <pageSetUpPr fitToPage="true"/>
  </sheetPr>
  <dimension ref="A1:K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0" width="12"/>
    <col collapsed="false" customWidth="true" hidden="false" outlineLevel="0" max="3" min="3" style="0" width="14"/>
    <col collapsed="false" customWidth="true" hidden="false" outlineLevel="0" max="4" min="4" style="0" width="18"/>
    <col collapsed="false" customWidth="true" hidden="false" outlineLevel="0" max="5" min="5" style="0" width="19"/>
    <col collapsed="false" customWidth="true" hidden="false" outlineLevel="0" max="6" min="6" style="0" width="22"/>
    <col collapsed="false" customWidth="true" hidden="false" outlineLevel="0" max="7" min="7" style="0" width="20"/>
    <col collapsed="false" customWidth="true" hidden="false" outlineLevel="0" max="8" min="8" style="0" width="14"/>
    <col collapsed="false" customWidth="true" hidden="false" outlineLevel="0" max="9" min="9" style="0" width="12"/>
    <col collapsed="false" customWidth="true" hidden="false" outlineLevel="0" max="10" min="10" style="0" width="37"/>
    <col collapsed="false" customWidth="true" hidden="false" outlineLevel="0" max="11" min="11" style="0" width="65"/>
  </cols>
  <sheetData>
    <row r="1" customFormat="false" ht="31.5" hidden="false" customHeight="true" outlineLevel="0" collapsed="false">
      <c r="A1" s="9" t="s">
        <v>797</v>
      </c>
      <c r="B1" s="9"/>
      <c r="C1" s="9"/>
      <c r="D1" s="9"/>
      <c r="E1" s="9"/>
      <c r="F1" s="9"/>
      <c r="G1" s="9"/>
      <c r="H1" s="9"/>
      <c r="I1" s="9"/>
      <c r="J1" s="9"/>
      <c r="K1" s="9"/>
    </row>
    <row r="2" customFormat="false" ht="75.75" hidden="false" customHeight="true" outlineLevel="0" collapsed="false">
      <c r="A2" s="10" t="s">
        <v>798</v>
      </c>
      <c r="B2" s="10"/>
      <c r="C2" s="10"/>
      <c r="D2" s="10"/>
      <c r="E2" s="10"/>
      <c r="F2" s="10"/>
      <c r="G2" s="10"/>
      <c r="H2" s="10"/>
      <c r="I2" s="10"/>
      <c r="J2" s="10"/>
      <c r="K2" s="10"/>
    </row>
    <row r="5" customFormat="false" ht="33.75" hidden="false" customHeight="true" outlineLevel="0" collapsed="false">
      <c r="A5" s="11" t="s">
        <v>799</v>
      </c>
      <c r="B5" s="11" t="s">
        <v>800</v>
      </c>
      <c r="C5" s="11" t="s">
        <v>801</v>
      </c>
      <c r="D5" s="11" t="s">
        <v>802</v>
      </c>
      <c r="E5" s="11" t="s">
        <v>803</v>
      </c>
      <c r="F5" s="11" t="s">
        <v>804</v>
      </c>
      <c r="G5" s="11" t="s">
        <v>805</v>
      </c>
      <c r="H5" s="11" t="s">
        <v>806</v>
      </c>
      <c r="I5" s="11" t="s">
        <v>807</v>
      </c>
      <c r="J5" s="11" t="s">
        <v>808</v>
      </c>
      <c r="K5" s="11" t="s">
        <v>809</v>
      </c>
    </row>
    <row r="6" customFormat="false" ht="37.5" hidden="false" customHeight="true" outlineLevel="0" collapsed="false">
      <c r="A6" s="24" t="n">
        <v>1</v>
      </c>
      <c r="B6" s="24" t="n">
        <v>5</v>
      </c>
      <c r="C6" s="24" t="n">
        <v>1</v>
      </c>
      <c r="D6" s="25" t="n">
        <f aca="false">MAX(0,1-(C6-1)*0.25)</f>
        <v>1</v>
      </c>
      <c r="E6" s="12" t="n">
        <f aca="false">A6*B6</f>
        <v>5</v>
      </c>
      <c r="F6" s="26" t="n">
        <f aca="false">B6*D6</f>
        <v>5</v>
      </c>
      <c r="G6" s="12" t="n">
        <f aca="false">ROUNDUP(F6,0)</f>
        <v>5</v>
      </c>
      <c r="H6" s="12" t="n">
        <f aca="false">A6</f>
        <v>1</v>
      </c>
      <c r="I6" s="27" t="n">
        <f aca="false">Parametry!$C$76</f>
        <v>6</v>
      </c>
      <c r="J6" s="12" t="str">
        <f aca="false">IF(D6&gt;0,"MOŻNA KUPIĆ","ZABLOKOWANE — bez opłaty")</f>
        <v>MOŻNA KUPIĆ</v>
      </c>
      <c r="K6" s="12" t="s">
        <v>810</v>
      </c>
    </row>
    <row r="7" customFormat="false" ht="37.5" hidden="false" customHeight="true" outlineLevel="0" collapsed="false">
      <c r="A7" s="28" t="n">
        <v>1</v>
      </c>
      <c r="B7" s="28" t="n">
        <v>5</v>
      </c>
      <c r="C7" s="28" t="n">
        <v>2</v>
      </c>
      <c r="D7" s="29" t="n">
        <f aca="false">MAX(0,1-(C7-1)*0.25)</f>
        <v>0.75</v>
      </c>
      <c r="E7" s="13" t="n">
        <f aca="false">A7*B7</f>
        <v>5</v>
      </c>
      <c r="F7" s="30" t="n">
        <f aca="false">B7*D7</f>
        <v>3.75</v>
      </c>
      <c r="G7" s="13" t="n">
        <f aca="false">ROUNDUP(F7,0)</f>
        <v>4</v>
      </c>
      <c r="H7" s="13" t="n">
        <f aca="false">A7</f>
        <v>1</v>
      </c>
      <c r="I7" s="31" t="n">
        <f aca="false">Parametry!$C$76</f>
        <v>6</v>
      </c>
      <c r="J7" s="13" t="str">
        <f aca="false">IF(D7&gt;0,"MOŻNA KUPIĆ","ZABLOKOWANE — bez opłaty")</f>
        <v>MOŻNA KUPIĆ</v>
      </c>
      <c r="K7" s="13" t="s">
        <v>810</v>
      </c>
    </row>
    <row r="8" customFormat="false" ht="37.5" hidden="false" customHeight="true" outlineLevel="0" collapsed="false">
      <c r="A8" s="24" t="n">
        <v>1</v>
      </c>
      <c r="B8" s="24" t="n">
        <v>5</v>
      </c>
      <c r="C8" s="24" t="n">
        <v>3</v>
      </c>
      <c r="D8" s="25" t="n">
        <f aca="false">MAX(0,1-(C8-1)*0.25)</f>
        <v>0.5</v>
      </c>
      <c r="E8" s="12" t="n">
        <f aca="false">A8*B8</f>
        <v>5</v>
      </c>
      <c r="F8" s="26" t="n">
        <f aca="false">B8*D8</f>
        <v>2.5</v>
      </c>
      <c r="G8" s="12" t="n">
        <f aca="false">ROUNDUP(F8,0)</f>
        <v>3</v>
      </c>
      <c r="H8" s="12" t="n">
        <f aca="false">A8</f>
        <v>1</v>
      </c>
      <c r="I8" s="27" t="n">
        <f aca="false">Parametry!$C$76</f>
        <v>6</v>
      </c>
      <c r="J8" s="12" t="str">
        <f aca="false">IF(D8&gt;0,"MOŻNA KUPIĆ","ZABLOKOWANE — bez opłaty")</f>
        <v>MOŻNA KUPIĆ</v>
      </c>
      <c r="K8" s="12" t="s">
        <v>810</v>
      </c>
    </row>
    <row r="9" customFormat="false" ht="37.5" hidden="false" customHeight="true" outlineLevel="0" collapsed="false">
      <c r="A9" s="28" t="n">
        <v>1</v>
      </c>
      <c r="B9" s="28" t="n">
        <v>5</v>
      </c>
      <c r="C9" s="28" t="n">
        <v>4</v>
      </c>
      <c r="D9" s="29" t="n">
        <f aca="false">MAX(0,1-(C9-1)*0.25)</f>
        <v>0.25</v>
      </c>
      <c r="E9" s="13" t="n">
        <f aca="false">A9*B9</f>
        <v>5</v>
      </c>
      <c r="F9" s="30" t="n">
        <f aca="false">B9*D9</f>
        <v>1.25</v>
      </c>
      <c r="G9" s="13" t="n">
        <f aca="false">ROUNDUP(F9,0)</f>
        <v>2</v>
      </c>
      <c r="H9" s="13" t="n">
        <f aca="false">A9</f>
        <v>1</v>
      </c>
      <c r="I9" s="31" t="n">
        <f aca="false">Parametry!$C$76</f>
        <v>6</v>
      </c>
      <c r="J9" s="13" t="str">
        <f aca="false">IF(D9&gt;0,"MOŻNA KUPIĆ","ZABLOKOWANE — bez opłaty")</f>
        <v>MOŻNA KUPIĆ</v>
      </c>
      <c r="K9" s="13" t="s">
        <v>810</v>
      </c>
    </row>
    <row r="10" customFormat="false" ht="37.5" hidden="false" customHeight="true" outlineLevel="0" collapsed="false">
      <c r="A10" s="24" t="n">
        <v>1</v>
      </c>
      <c r="B10" s="24" t="n">
        <v>5</v>
      </c>
      <c r="C10" s="24" t="n">
        <v>5</v>
      </c>
      <c r="D10" s="25" t="n">
        <f aca="false">MAX(0,1-(C10-1)*0.25)</f>
        <v>0</v>
      </c>
      <c r="E10" s="12" t="n">
        <f aca="false">A10*B10</f>
        <v>5</v>
      </c>
      <c r="F10" s="26" t="n">
        <f aca="false">B10*D10</f>
        <v>0</v>
      </c>
      <c r="G10" s="12" t="n">
        <f aca="false">ROUNDUP(F10,0)</f>
        <v>0</v>
      </c>
      <c r="H10" s="12" t="n">
        <f aca="false">A10</f>
        <v>1</v>
      </c>
      <c r="I10" s="27" t="n">
        <f aca="false">Parametry!$C$76</f>
        <v>6</v>
      </c>
      <c r="J10" s="12" t="str">
        <f aca="false">IF(D10&gt;0,"MOŻNA KUPIĆ","ZABLOKOWANE — bez opłaty")</f>
        <v>ZABLOKOWANE — bez opłaty</v>
      </c>
      <c r="K10" s="12" t="s">
        <v>810</v>
      </c>
    </row>
    <row r="11" customFormat="false" ht="37.5" hidden="false" customHeight="true" outlineLevel="0" collapsed="false">
      <c r="A11" s="28" t="n">
        <v>1</v>
      </c>
      <c r="B11" s="28" t="n">
        <v>25</v>
      </c>
      <c r="C11" s="28" t="n">
        <v>1</v>
      </c>
      <c r="D11" s="29" t="n">
        <f aca="false">MAX(0,1-(C11-1)*0.25)</f>
        <v>1</v>
      </c>
      <c r="E11" s="13" t="n">
        <f aca="false">A11*B11</f>
        <v>25</v>
      </c>
      <c r="F11" s="30" t="n">
        <f aca="false">B11*D11</f>
        <v>25</v>
      </c>
      <c r="G11" s="13" t="n">
        <f aca="false">ROUNDUP(F11,0)</f>
        <v>25</v>
      </c>
      <c r="H11" s="13" t="n">
        <f aca="false">A11</f>
        <v>1</v>
      </c>
      <c r="I11" s="31" t="n">
        <f aca="false">Parametry!$C$76</f>
        <v>6</v>
      </c>
      <c r="J11" s="13" t="str">
        <f aca="false">IF(D11&gt;0,"MOŻNA KUPIĆ","ZABLOKOWANE — bez opłaty")</f>
        <v>MOŻNA KUPIĆ</v>
      </c>
      <c r="K11" s="13" t="s">
        <v>810</v>
      </c>
    </row>
    <row r="12" customFormat="false" ht="37.5" hidden="false" customHeight="true" outlineLevel="0" collapsed="false">
      <c r="A12" s="24" t="n">
        <v>1</v>
      </c>
      <c r="B12" s="24" t="n">
        <v>25</v>
      </c>
      <c r="C12" s="24" t="n">
        <v>2</v>
      </c>
      <c r="D12" s="25" t="n">
        <f aca="false">MAX(0,1-(C12-1)*0.25)</f>
        <v>0.75</v>
      </c>
      <c r="E12" s="12" t="n">
        <f aca="false">A12*B12</f>
        <v>25</v>
      </c>
      <c r="F12" s="26" t="n">
        <f aca="false">B12*D12</f>
        <v>18.75</v>
      </c>
      <c r="G12" s="12" t="n">
        <f aca="false">ROUNDUP(F12,0)</f>
        <v>19</v>
      </c>
      <c r="H12" s="12" t="n">
        <f aca="false">A12</f>
        <v>1</v>
      </c>
      <c r="I12" s="27" t="n">
        <f aca="false">Parametry!$C$76</f>
        <v>6</v>
      </c>
      <c r="J12" s="12" t="str">
        <f aca="false">IF(D12&gt;0,"MOŻNA KUPIĆ","ZABLOKOWANE — bez opłaty")</f>
        <v>MOŻNA KUPIĆ</v>
      </c>
      <c r="K12" s="12" t="s">
        <v>810</v>
      </c>
    </row>
    <row r="13" customFormat="false" ht="37.5" hidden="false" customHeight="true" outlineLevel="0" collapsed="false">
      <c r="A13" s="28" t="n">
        <v>1</v>
      </c>
      <c r="B13" s="28" t="n">
        <v>25</v>
      </c>
      <c r="C13" s="28" t="n">
        <v>3</v>
      </c>
      <c r="D13" s="29" t="n">
        <f aca="false">MAX(0,1-(C13-1)*0.25)</f>
        <v>0.5</v>
      </c>
      <c r="E13" s="13" t="n">
        <f aca="false">A13*B13</f>
        <v>25</v>
      </c>
      <c r="F13" s="30" t="n">
        <f aca="false">B13*D13</f>
        <v>12.5</v>
      </c>
      <c r="G13" s="13" t="n">
        <f aca="false">ROUNDUP(F13,0)</f>
        <v>13</v>
      </c>
      <c r="H13" s="13" t="n">
        <f aca="false">A13</f>
        <v>1</v>
      </c>
      <c r="I13" s="31" t="n">
        <f aca="false">Parametry!$C$76</f>
        <v>6</v>
      </c>
      <c r="J13" s="13" t="str">
        <f aca="false">IF(D13&gt;0,"MOŻNA KUPIĆ","ZABLOKOWANE — bez opłaty")</f>
        <v>MOŻNA KUPIĆ</v>
      </c>
      <c r="K13" s="13" t="s">
        <v>810</v>
      </c>
    </row>
    <row r="14" customFormat="false" ht="37.5" hidden="false" customHeight="true" outlineLevel="0" collapsed="false">
      <c r="A14" s="24" t="n">
        <v>1</v>
      </c>
      <c r="B14" s="24" t="n">
        <v>25</v>
      </c>
      <c r="C14" s="24" t="n">
        <v>4</v>
      </c>
      <c r="D14" s="25" t="n">
        <f aca="false">MAX(0,1-(C14-1)*0.25)</f>
        <v>0.25</v>
      </c>
      <c r="E14" s="12" t="n">
        <f aca="false">A14*B14</f>
        <v>25</v>
      </c>
      <c r="F14" s="26" t="n">
        <f aca="false">B14*D14</f>
        <v>6.25</v>
      </c>
      <c r="G14" s="12" t="n">
        <f aca="false">ROUNDUP(F14,0)</f>
        <v>7</v>
      </c>
      <c r="H14" s="12" t="n">
        <f aca="false">A14</f>
        <v>1</v>
      </c>
      <c r="I14" s="27" t="n">
        <f aca="false">Parametry!$C$76</f>
        <v>6</v>
      </c>
      <c r="J14" s="12" t="str">
        <f aca="false">IF(D14&gt;0,"MOŻNA KUPIĆ","ZABLOKOWANE — bez opłaty")</f>
        <v>MOŻNA KUPIĆ</v>
      </c>
      <c r="K14" s="12" t="s">
        <v>810</v>
      </c>
    </row>
    <row r="15" customFormat="false" ht="37.5" hidden="false" customHeight="true" outlineLevel="0" collapsed="false">
      <c r="A15" s="28" t="n">
        <v>1</v>
      </c>
      <c r="B15" s="28" t="n">
        <v>25</v>
      </c>
      <c r="C15" s="28" t="n">
        <v>5</v>
      </c>
      <c r="D15" s="29" t="n">
        <f aca="false">MAX(0,1-(C15-1)*0.25)</f>
        <v>0</v>
      </c>
      <c r="E15" s="13" t="n">
        <f aca="false">A15*B15</f>
        <v>25</v>
      </c>
      <c r="F15" s="30" t="n">
        <f aca="false">B15*D15</f>
        <v>0</v>
      </c>
      <c r="G15" s="13" t="n">
        <f aca="false">ROUNDUP(F15,0)</f>
        <v>0</v>
      </c>
      <c r="H15" s="13" t="n">
        <f aca="false">A15</f>
        <v>1</v>
      </c>
      <c r="I15" s="31" t="n">
        <f aca="false">Parametry!$C$76</f>
        <v>6</v>
      </c>
      <c r="J15" s="13" t="str">
        <f aca="false">IF(D15&gt;0,"MOŻNA KUPIĆ","ZABLOKOWANE — bez opłaty")</f>
        <v>ZABLOKOWANE — bez opłaty</v>
      </c>
      <c r="K15" s="13" t="s">
        <v>810</v>
      </c>
    </row>
    <row r="16" customFormat="false" ht="37.5" hidden="false" customHeight="true" outlineLevel="0" collapsed="false">
      <c r="A16" s="24" t="n">
        <v>1</v>
      </c>
      <c r="B16" s="24" t="n">
        <v>50</v>
      </c>
      <c r="C16" s="24" t="n">
        <v>1</v>
      </c>
      <c r="D16" s="25" t="n">
        <f aca="false">MAX(0,1-(C16-1)*0.25)</f>
        <v>1</v>
      </c>
      <c r="E16" s="12" t="n">
        <f aca="false">A16*B16</f>
        <v>50</v>
      </c>
      <c r="F16" s="26" t="n">
        <f aca="false">B16*D16</f>
        <v>50</v>
      </c>
      <c r="G16" s="12" t="n">
        <f aca="false">ROUNDUP(F16,0)</f>
        <v>50</v>
      </c>
      <c r="H16" s="12" t="n">
        <f aca="false">A16</f>
        <v>1</v>
      </c>
      <c r="I16" s="27" t="n">
        <f aca="false">Parametry!$C$76</f>
        <v>6</v>
      </c>
      <c r="J16" s="12" t="str">
        <f aca="false">IF(D16&gt;0,"MOŻNA KUPIĆ","ZABLOKOWANE — bez opłaty")</f>
        <v>MOŻNA KUPIĆ</v>
      </c>
      <c r="K16" s="12" t="s">
        <v>810</v>
      </c>
    </row>
    <row r="17" customFormat="false" ht="37.5" hidden="false" customHeight="true" outlineLevel="0" collapsed="false">
      <c r="A17" s="28" t="n">
        <v>1</v>
      </c>
      <c r="B17" s="28" t="n">
        <v>50</v>
      </c>
      <c r="C17" s="28" t="n">
        <v>2</v>
      </c>
      <c r="D17" s="29" t="n">
        <f aca="false">MAX(0,1-(C17-1)*0.25)</f>
        <v>0.75</v>
      </c>
      <c r="E17" s="13" t="n">
        <f aca="false">A17*B17</f>
        <v>50</v>
      </c>
      <c r="F17" s="30" t="n">
        <f aca="false">B17*D17</f>
        <v>37.5</v>
      </c>
      <c r="G17" s="13" t="n">
        <f aca="false">ROUNDUP(F17,0)</f>
        <v>38</v>
      </c>
      <c r="H17" s="13" t="n">
        <f aca="false">A17</f>
        <v>1</v>
      </c>
      <c r="I17" s="31" t="n">
        <f aca="false">Parametry!$C$76</f>
        <v>6</v>
      </c>
      <c r="J17" s="13" t="str">
        <f aca="false">IF(D17&gt;0,"MOŻNA KUPIĆ","ZABLOKOWANE — bez opłaty")</f>
        <v>MOŻNA KUPIĆ</v>
      </c>
      <c r="K17" s="13" t="s">
        <v>810</v>
      </c>
    </row>
    <row r="18" customFormat="false" ht="37.5" hidden="false" customHeight="true" outlineLevel="0" collapsed="false">
      <c r="A18" s="24" t="n">
        <v>1</v>
      </c>
      <c r="B18" s="24" t="n">
        <v>50</v>
      </c>
      <c r="C18" s="24" t="n">
        <v>3</v>
      </c>
      <c r="D18" s="25" t="n">
        <f aca="false">MAX(0,1-(C18-1)*0.25)</f>
        <v>0.5</v>
      </c>
      <c r="E18" s="12" t="n">
        <f aca="false">A18*B18</f>
        <v>50</v>
      </c>
      <c r="F18" s="26" t="n">
        <f aca="false">B18*D18</f>
        <v>25</v>
      </c>
      <c r="G18" s="12" t="n">
        <f aca="false">ROUNDUP(F18,0)</f>
        <v>25</v>
      </c>
      <c r="H18" s="12" t="n">
        <f aca="false">A18</f>
        <v>1</v>
      </c>
      <c r="I18" s="27" t="n">
        <f aca="false">Parametry!$C$76</f>
        <v>6</v>
      </c>
      <c r="J18" s="12" t="str">
        <f aca="false">IF(D18&gt;0,"MOŻNA KUPIĆ","ZABLOKOWANE — bez opłaty")</f>
        <v>MOŻNA KUPIĆ</v>
      </c>
      <c r="K18" s="12" t="s">
        <v>810</v>
      </c>
    </row>
    <row r="19" customFormat="false" ht="37.5" hidden="false" customHeight="true" outlineLevel="0" collapsed="false">
      <c r="A19" s="28" t="n">
        <v>1</v>
      </c>
      <c r="B19" s="28" t="n">
        <v>50</v>
      </c>
      <c r="C19" s="28" t="n">
        <v>4</v>
      </c>
      <c r="D19" s="29" t="n">
        <f aca="false">MAX(0,1-(C19-1)*0.25)</f>
        <v>0.25</v>
      </c>
      <c r="E19" s="13" t="n">
        <f aca="false">A19*B19</f>
        <v>50</v>
      </c>
      <c r="F19" s="30" t="n">
        <f aca="false">B19*D19</f>
        <v>12.5</v>
      </c>
      <c r="G19" s="13" t="n">
        <f aca="false">ROUNDUP(F19,0)</f>
        <v>13</v>
      </c>
      <c r="H19" s="13" t="n">
        <f aca="false">A19</f>
        <v>1</v>
      </c>
      <c r="I19" s="31" t="n">
        <f aca="false">Parametry!$C$76</f>
        <v>6</v>
      </c>
      <c r="J19" s="13" t="str">
        <f aca="false">IF(D19&gt;0,"MOŻNA KUPIĆ","ZABLOKOWANE — bez opłaty")</f>
        <v>MOŻNA KUPIĆ</v>
      </c>
      <c r="K19" s="13" t="s">
        <v>810</v>
      </c>
    </row>
    <row r="20" customFormat="false" ht="37.5" hidden="false" customHeight="true" outlineLevel="0" collapsed="false">
      <c r="A20" s="24" t="n">
        <v>1</v>
      </c>
      <c r="B20" s="24" t="n">
        <v>50</v>
      </c>
      <c r="C20" s="24" t="n">
        <v>5</v>
      </c>
      <c r="D20" s="25" t="n">
        <f aca="false">MAX(0,1-(C20-1)*0.25)</f>
        <v>0</v>
      </c>
      <c r="E20" s="12" t="n">
        <f aca="false">A20*B20</f>
        <v>50</v>
      </c>
      <c r="F20" s="26" t="n">
        <f aca="false">B20*D20</f>
        <v>0</v>
      </c>
      <c r="G20" s="12" t="n">
        <f aca="false">ROUNDUP(F20,0)</f>
        <v>0</v>
      </c>
      <c r="H20" s="12" t="n">
        <f aca="false">A20</f>
        <v>1</v>
      </c>
      <c r="I20" s="27" t="n">
        <f aca="false">Parametry!$C$76</f>
        <v>6</v>
      </c>
      <c r="J20" s="12" t="str">
        <f aca="false">IF(D20&gt;0,"MOŻNA KUPIĆ","ZABLOKOWANE — bez opłaty")</f>
        <v>ZABLOKOWANE — bez opłaty</v>
      </c>
      <c r="K20" s="12" t="s">
        <v>810</v>
      </c>
    </row>
    <row r="21" customFormat="false" ht="37.5" hidden="false" customHeight="true" outlineLevel="0" collapsed="false">
      <c r="A21" s="28" t="n">
        <v>1</v>
      </c>
      <c r="B21" s="28" t="n">
        <v>100</v>
      </c>
      <c r="C21" s="28" t="n">
        <v>1</v>
      </c>
      <c r="D21" s="29" t="n">
        <f aca="false">MAX(0,1-(C21-1)*0.25)</f>
        <v>1</v>
      </c>
      <c r="E21" s="13" t="n">
        <f aca="false">A21*B21</f>
        <v>100</v>
      </c>
      <c r="F21" s="30" t="n">
        <f aca="false">B21*D21</f>
        <v>100</v>
      </c>
      <c r="G21" s="13" t="n">
        <f aca="false">ROUNDUP(F21,0)</f>
        <v>100</v>
      </c>
      <c r="H21" s="13" t="n">
        <f aca="false">A21</f>
        <v>1</v>
      </c>
      <c r="I21" s="31" t="n">
        <f aca="false">Parametry!$C$76</f>
        <v>6</v>
      </c>
      <c r="J21" s="13" t="str">
        <f aca="false">IF(D21&gt;0,"MOŻNA KUPIĆ","ZABLOKOWANE — bez opłaty")</f>
        <v>MOŻNA KUPIĆ</v>
      </c>
      <c r="K21" s="13" t="s">
        <v>810</v>
      </c>
    </row>
    <row r="22" customFormat="false" ht="37.5" hidden="false" customHeight="true" outlineLevel="0" collapsed="false">
      <c r="A22" s="24" t="n">
        <v>1</v>
      </c>
      <c r="B22" s="24" t="n">
        <v>100</v>
      </c>
      <c r="C22" s="24" t="n">
        <v>2</v>
      </c>
      <c r="D22" s="25" t="n">
        <f aca="false">MAX(0,1-(C22-1)*0.25)</f>
        <v>0.75</v>
      </c>
      <c r="E22" s="12" t="n">
        <f aca="false">A22*B22</f>
        <v>100</v>
      </c>
      <c r="F22" s="26" t="n">
        <f aca="false">B22*D22</f>
        <v>75</v>
      </c>
      <c r="G22" s="12" t="n">
        <f aca="false">ROUNDUP(F22,0)</f>
        <v>75</v>
      </c>
      <c r="H22" s="12" t="n">
        <f aca="false">A22</f>
        <v>1</v>
      </c>
      <c r="I22" s="27" t="n">
        <f aca="false">Parametry!$C$76</f>
        <v>6</v>
      </c>
      <c r="J22" s="12" t="str">
        <f aca="false">IF(D22&gt;0,"MOŻNA KUPIĆ","ZABLOKOWANE — bez opłaty")</f>
        <v>MOŻNA KUPIĆ</v>
      </c>
      <c r="K22" s="12" t="s">
        <v>810</v>
      </c>
    </row>
    <row r="23" customFormat="false" ht="37.5" hidden="false" customHeight="true" outlineLevel="0" collapsed="false">
      <c r="A23" s="28" t="n">
        <v>1</v>
      </c>
      <c r="B23" s="28" t="n">
        <v>100</v>
      </c>
      <c r="C23" s="28" t="n">
        <v>3</v>
      </c>
      <c r="D23" s="29" t="n">
        <f aca="false">MAX(0,1-(C23-1)*0.25)</f>
        <v>0.5</v>
      </c>
      <c r="E23" s="13" t="n">
        <f aca="false">A23*B23</f>
        <v>100</v>
      </c>
      <c r="F23" s="30" t="n">
        <f aca="false">B23*D23</f>
        <v>50</v>
      </c>
      <c r="G23" s="13" t="n">
        <f aca="false">ROUNDUP(F23,0)</f>
        <v>50</v>
      </c>
      <c r="H23" s="13" t="n">
        <f aca="false">A23</f>
        <v>1</v>
      </c>
      <c r="I23" s="31" t="n">
        <f aca="false">Parametry!$C$76</f>
        <v>6</v>
      </c>
      <c r="J23" s="13" t="str">
        <f aca="false">IF(D23&gt;0,"MOŻNA KUPIĆ","ZABLOKOWANE — bez opłaty")</f>
        <v>MOŻNA KUPIĆ</v>
      </c>
      <c r="K23" s="13" t="s">
        <v>810</v>
      </c>
    </row>
    <row r="24" customFormat="false" ht="37.5" hidden="false" customHeight="true" outlineLevel="0" collapsed="false">
      <c r="A24" s="24" t="n">
        <v>1</v>
      </c>
      <c r="B24" s="24" t="n">
        <v>100</v>
      </c>
      <c r="C24" s="24" t="n">
        <v>4</v>
      </c>
      <c r="D24" s="25" t="n">
        <f aca="false">MAX(0,1-(C24-1)*0.25)</f>
        <v>0.25</v>
      </c>
      <c r="E24" s="12" t="n">
        <f aca="false">A24*B24</f>
        <v>100</v>
      </c>
      <c r="F24" s="26" t="n">
        <f aca="false">B24*D24</f>
        <v>25</v>
      </c>
      <c r="G24" s="12" t="n">
        <f aca="false">ROUNDUP(F24,0)</f>
        <v>25</v>
      </c>
      <c r="H24" s="12" t="n">
        <f aca="false">A24</f>
        <v>1</v>
      </c>
      <c r="I24" s="27" t="n">
        <f aca="false">Parametry!$C$76</f>
        <v>6</v>
      </c>
      <c r="J24" s="12" t="str">
        <f aca="false">IF(D24&gt;0,"MOŻNA KUPIĆ","ZABLOKOWANE — bez opłaty")</f>
        <v>MOŻNA KUPIĆ</v>
      </c>
      <c r="K24" s="12" t="s">
        <v>810</v>
      </c>
    </row>
    <row r="25" customFormat="false" ht="37.5" hidden="false" customHeight="true" outlineLevel="0" collapsed="false">
      <c r="A25" s="28" t="n">
        <v>1</v>
      </c>
      <c r="B25" s="28" t="n">
        <v>100</v>
      </c>
      <c r="C25" s="28" t="n">
        <v>5</v>
      </c>
      <c r="D25" s="29" t="n">
        <f aca="false">MAX(0,1-(C25-1)*0.25)</f>
        <v>0</v>
      </c>
      <c r="E25" s="13" t="n">
        <f aca="false">A25*B25</f>
        <v>100</v>
      </c>
      <c r="F25" s="30" t="n">
        <f aca="false">B25*D25</f>
        <v>0</v>
      </c>
      <c r="G25" s="13" t="n">
        <f aca="false">ROUNDUP(F25,0)</f>
        <v>0</v>
      </c>
      <c r="H25" s="13" t="n">
        <f aca="false">A25</f>
        <v>1</v>
      </c>
      <c r="I25" s="31" t="n">
        <f aca="false">Parametry!$C$76</f>
        <v>6</v>
      </c>
      <c r="J25" s="13" t="str">
        <f aca="false">IF(D25&gt;0,"MOŻNA KUPIĆ","ZABLOKOWANE — bez opłaty")</f>
        <v>ZABLOKOWANE — bez opłaty</v>
      </c>
      <c r="K25" s="13" t="s">
        <v>810</v>
      </c>
    </row>
    <row r="26" customFormat="false" ht="37.5" hidden="false" customHeight="true" outlineLevel="0" collapsed="false">
      <c r="A26" s="24" t="n">
        <v>2</v>
      </c>
      <c r="B26" s="24" t="n">
        <v>5</v>
      </c>
      <c r="C26" s="24" t="n">
        <v>1</v>
      </c>
      <c r="D26" s="25" t="n">
        <f aca="false">MAX(0,1-(C26-1)*0.25)</f>
        <v>1</v>
      </c>
      <c r="E26" s="12" t="n">
        <f aca="false">A26*B26</f>
        <v>10</v>
      </c>
      <c r="F26" s="26" t="n">
        <f aca="false">B26*D26</f>
        <v>5</v>
      </c>
      <c r="G26" s="12" t="n">
        <f aca="false">ROUNDUP(F26,0)</f>
        <v>5</v>
      </c>
      <c r="H26" s="12" t="n">
        <f aca="false">A26</f>
        <v>2</v>
      </c>
      <c r="I26" s="27" t="n">
        <f aca="false">Parametry!$C$76</f>
        <v>6</v>
      </c>
      <c r="J26" s="12" t="str">
        <f aca="false">IF(D26&gt;0,"MOŻNA KUPIĆ","ZABLOKOWANE — bez opłaty")</f>
        <v>MOŻNA KUPIĆ</v>
      </c>
      <c r="K26" s="12" t="s">
        <v>810</v>
      </c>
    </row>
    <row r="27" customFormat="false" ht="37.5" hidden="false" customHeight="true" outlineLevel="0" collapsed="false">
      <c r="A27" s="28" t="n">
        <v>2</v>
      </c>
      <c r="B27" s="28" t="n">
        <v>5</v>
      </c>
      <c r="C27" s="28" t="n">
        <v>2</v>
      </c>
      <c r="D27" s="29" t="n">
        <f aca="false">MAX(0,1-(C27-1)*0.25)</f>
        <v>0.75</v>
      </c>
      <c r="E27" s="13" t="n">
        <f aca="false">A27*B27</f>
        <v>10</v>
      </c>
      <c r="F27" s="30" t="n">
        <f aca="false">B27*D27</f>
        <v>3.75</v>
      </c>
      <c r="G27" s="13" t="n">
        <f aca="false">ROUNDUP(F27,0)</f>
        <v>4</v>
      </c>
      <c r="H27" s="13" t="n">
        <f aca="false">A27</f>
        <v>2</v>
      </c>
      <c r="I27" s="31" t="n">
        <f aca="false">Parametry!$C$76</f>
        <v>6</v>
      </c>
      <c r="J27" s="13" t="str">
        <f aca="false">IF(D27&gt;0,"MOŻNA KUPIĆ","ZABLOKOWANE — bez opłaty")</f>
        <v>MOŻNA KUPIĆ</v>
      </c>
      <c r="K27" s="13" t="s">
        <v>810</v>
      </c>
    </row>
    <row r="28" customFormat="false" ht="37.5" hidden="false" customHeight="true" outlineLevel="0" collapsed="false">
      <c r="A28" s="24" t="n">
        <v>2</v>
      </c>
      <c r="B28" s="24" t="n">
        <v>5</v>
      </c>
      <c r="C28" s="24" t="n">
        <v>3</v>
      </c>
      <c r="D28" s="25" t="n">
        <f aca="false">MAX(0,1-(C28-1)*0.25)</f>
        <v>0.5</v>
      </c>
      <c r="E28" s="12" t="n">
        <f aca="false">A28*B28</f>
        <v>10</v>
      </c>
      <c r="F28" s="26" t="n">
        <f aca="false">B28*D28</f>
        <v>2.5</v>
      </c>
      <c r="G28" s="12" t="n">
        <f aca="false">ROUNDUP(F28,0)</f>
        <v>3</v>
      </c>
      <c r="H28" s="12" t="n">
        <f aca="false">A28</f>
        <v>2</v>
      </c>
      <c r="I28" s="27" t="n">
        <f aca="false">Parametry!$C$76</f>
        <v>6</v>
      </c>
      <c r="J28" s="12" t="str">
        <f aca="false">IF(D28&gt;0,"MOŻNA KUPIĆ","ZABLOKOWANE — bez opłaty")</f>
        <v>MOŻNA KUPIĆ</v>
      </c>
      <c r="K28" s="12" t="s">
        <v>810</v>
      </c>
    </row>
    <row r="29" customFormat="false" ht="37.5" hidden="false" customHeight="true" outlineLevel="0" collapsed="false">
      <c r="A29" s="28" t="n">
        <v>2</v>
      </c>
      <c r="B29" s="28" t="n">
        <v>5</v>
      </c>
      <c r="C29" s="28" t="n">
        <v>4</v>
      </c>
      <c r="D29" s="29" t="n">
        <f aca="false">MAX(0,1-(C29-1)*0.25)</f>
        <v>0.25</v>
      </c>
      <c r="E29" s="13" t="n">
        <f aca="false">A29*B29</f>
        <v>10</v>
      </c>
      <c r="F29" s="30" t="n">
        <f aca="false">B29*D29</f>
        <v>1.25</v>
      </c>
      <c r="G29" s="13" t="n">
        <f aca="false">ROUNDUP(F29,0)</f>
        <v>2</v>
      </c>
      <c r="H29" s="13" t="n">
        <f aca="false">A29</f>
        <v>2</v>
      </c>
      <c r="I29" s="31" t="n">
        <f aca="false">Parametry!$C$76</f>
        <v>6</v>
      </c>
      <c r="J29" s="13" t="str">
        <f aca="false">IF(D29&gt;0,"MOŻNA KUPIĆ","ZABLOKOWANE — bez opłaty")</f>
        <v>MOŻNA KUPIĆ</v>
      </c>
      <c r="K29" s="13" t="s">
        <v>810</v>
      </c>
    </row>
    <row r="30" customFormat="false" ht="37.5" hidden="false" customHeight="true" outlineLevel="0" collapsed="false">
      <c r="A30" s="24" t="n">
        <v>2</v>
      </c>
      <c r="B30" s="24" t="n">
        <v>5</v>
      </c>
      <c r="C30" s="24" t="n">
        <v>5</v>
      </c>
      <c r="D30" s="25" t="n">
        <f aca="false">MAX(0,1-(C30-1)*0.25)</f>
        <v>0</v>
      </c>
      <c r="E30" s="12" t="n">
        <f aca="false">A30*B30</f>
        <v>10</v>
      </c>
      <c r="F30" s="26" t="n">
        <f aca="false">B30*D30</f>
        <v>0</v>
      </c>
      <c r="G30" s="12" t="n">
        <f aca="false">ROUNDUP(F30,0)</f>
        <v>0</v>
      </c>
      <c r="H30" s="12" t="n">
        <f aca="false">A30</f>
        <v>2</v>
      </c>
      <c r="I30" s="27" t="n">
        <f aca="false">Parametry!$C$76</f>
        <v>6</v>
      </c>
      <c r="J30" s="12" t="str">
        <f aca="false">IF(D30&gt;0,"MOŻNA KUPIĆ","ZABLOKOWANE — bez opłaty")</f>
        <v>ZABLOKOWANE — bez opłaty</v>
      </c>
      <c r="K30" s="12" t="s">
        <v>810</v>
      </c>
    </row>
    <row r="31" customFormat="false" ht="37.5" hidden="false" customHeight="true" outlineLevel="0" collapsed="false">
      <c r="A31" s="28" t="n">
        <v>2</v>
      </c>
      <c r="B31" s="28" t="n">
        <v>25</v>
      </c>
      <c r="C31" s="28" t="n">
        <v>1</v>
      </c>
      <c r="D31" s="29" t="n">
        <f aca="false">MAX(0,1-(C31-1)*0.25)</f>
        <v>1</v>
      </c>
      <c r="E31" s="13" t="n">
        <f aca="false">A31*B31</f>
        <v>50</v>
      </c>
      <c r="F31" s="30" t="n">
        <f aca="false">B31*D31</f>
        <v>25</v>
      </c>
      <c r="G31" s="13" t="n">
        <f aca="false">ROUNDUP(F31,0)</f>
        <v>25</v>
      </c>
      <c r="H31" s="13" t="n">
        <f aca="false">A31</f>
        <v>2</v>
      </c>
      <c r="I31" s="31" t="n">
        <f aca="false">Parametry!$C$76</f>
        <v>6</v>
      </c>
      <c r="J31" s="13" t="str">
        <f aca="false">IF(D31&gt;0,"MOŻNA KUPIĆ","ZABLOKOWANE — bez opłaty")</f>
        <v>MOŻNA KUPIĆ</v>
      </c>
      <c r="K31" s="13" t="s">
        <v>810</v>
      </c>
    </row>
    <row r="32" customFormat="false" ht="37.5" hidden="false" customHeight="true" outlineLevel="0" collapsed="false">
      <c r="A32" s="24" t="n">
        <v>2</v>
      </c>
      <c r="B32" s="24" t="n">
        <v>25</v>
      </c>
      <c r="C32" s="24" t="n">
        <v>2</v>
      </c>
      <c r="D32" s="25" t="n">
        <f aca="false">MAX(0,1-(C32-1)*0.25)</f>
        <v>0.75</v>
      </c>
      <c r="E32" s="12" t="n">
        <f aca="false">A32*B32</f>
        <v>50</v>
      </c>
      <c r="F32" s="26" t="n">
        <f aca="false">B32*D32</f>
        <v>18.75</v>
      </c>
      <c r="G32" s="12" t="n">
        <f aca="false">ROUNDUP(F32,0)</f>
        <v>19</v>
      </c>
      <c r="H32" s="12" t="n">
        <f aca="false">A32</f>
        <v>2</v>
      </c>
      <c r="I32" s="27" t="n">
        <f aca="false">Parametry!$C$76</f>
        <v>6</v>
      </c>
      <c r="J32" s="12" t="str">
        <f aca="false">IF(D32&gt;0,"MOŻNA KUPIĆ","ZABLOKOWANE — bez opłaty")</f>
        <v>MOŻNA KUPIĆ</v>
      </c>
      <c r="K32" s="12" t="s">
        <v>810</v>
      </c>
    </row>
    <row r="33" customFormat="false" ht="37.5" hidden="false" customHeight="true" outlineLevel="0" collapsed="false">
      <c r="A33" s="28" t="n">
        <v>2</v>
      </c>
      <c r="B33" s="28" t="n">
        <v>25</v>
      </c>
      <c r="C33" s="28" t="n">
        <v>3</v>
      </c>
      <c r="D33" s="29" t="n">
        <f aca="false">MAX(0,1-(C33-1)*0.25)</f>
        <v>0.5</v>
      </c>
      <c r="E33" s="13" t="n">
        <f aca="false">A33*B33</f>
        <v>50</v>
      </c>
      <c r="F33" s="30" t="n">
        <f aca="false">B33*D33</f>
        <v>12.5</v>
      </c>
      <c r="G33" s="13" t="n">
        <f aca="false">ROUNDUP(F33,0)</f>
        <v>13</v>
      </c>
      <c r="H33" s="13" t="n">
        <f aca="false">A33</f>
        <v>2</v>
      </c>
      <c r="I33" s="31" t="n">
        <f aca="false">Parametry!$C$76</f>
        <v>6</v>
      </c>
      <c r="J33" s="13" t="str">
        <f aca="false">IF(D33&gt;0,"MOŻNA KUPIĆ","ZABLOKOWANE — bez opłaty")</f>
        <v>MOŻNA KUPIĆ</v>
      </c>
      <c r="K33" s="13" t="s">
        <v>810</v>
      </c>
    </row>
    <row r="34" customFormat="false" ht="37.5" hidden="false" customHeight="true" outlineLevel="0" collapsed="false">
      <c r="A34" s="24" t="n">
        <v>2</v>
      </c>
      <c r="B34" s="24" t="n">
        <v>25</v>
      </c>
      <c r="C34" s="24" t="n">
        <v>4</v>
      </c>
      <c r="D34" s="25" t="n">
        <f aca="false">MAX(0,1-(C34-1)*0.25)</f>
        <v>0.25</v>
      </c>
      <c r="E34" s="12" t="n">
        <f aca="false">A34*B34</f>
        <v>50</v>
      </c>
      <c r="F34" s="26" t="n">
        <f aca="false">B34*D34</f>
        <v>6.25</v>
      </c>
      <c r="G34" s="12" t="n">
        <f aca="false">ROUNDUP(F34,0)</f>
        <v>7</v>
      </c>
      <c r="H34" s="12" t="n">
        <f aca="false">A34</f>
        <v>2</v>
      </c>
      <c r="I34" s="27" t="n">
        <f aca="false">Parametry!$C$76</f>
        <v>6</v>
      </c>
      <c r="J34" s="12" t="str">
        <f aca="false">IF(D34&gt;0,"MOŻNA KUPIĆ","ZABLOKOWANE — bez opłaty")</f>
        <v>MOŻNA KUPIĆ</v>
      </c>
      <c r="K34" s="12" t="s">
        <v>810</v>
      </c>
    </row>
    <row r="35" customFormat="false" ht="37.5" hidden="false" customHeight="true" outlineLevel="0" collapsed="false">
      <c r="A35" s="28" t="n">
        <v>2</v>
      </c>
      <c r="B35" s="28" t="n">
        <v>25</v>
      </c>
      <c r="C35" s="28" t="n">
        <v>5</v>
      </c>
      <c r="D35" s="29" t="n">
        <f aca="false">MAX(0,1-(C35-1)*0.25)</f>
        <v>0</v>
      </c>
      <c r="E35" s="13" t="n">
        <f aca="false">A35*B35</f>
        <v>50</v>
      </c>
      <c r="F35" s="30" t="n">
        <f aca="false">B35*D35</f>
        <v>0</v>
      </c>
      <c r="G35" s="13" t="n">
        <f aca="false">ROUNDUP(F35,0)</f>
        <v>0</v>
      </c>
      <c r="H35" s="13" t="n">
        <f aca="false">A35</f>
        <v>2</v>
      </c>
      <c r="I35" s="31" t="n">
        <f aca="false">Parametry!$C$76</f>
        <v>6</v>
      </c>
      <c r="J35" s="13" t="str">
        <f aca="false">IF(D35&gt;0,"MOŻNA KUPIĆ","ZABLOKOWANE — bez opłaty")</f>
        <v>ZABLOKOWANE — bez opłaty</v>
      </c>
      <c r="K35" s="13" t="s">
        <v>810</v>
      </c>
    </row>
    <row r="36" customFormat="false" ht="37.5" hidden="false" customHeight="true" outlineLevel="0" collapsed="false">
      <c r="A36" s="24" t="n">
        <v>2</v>
      </c>
      <c r="B36" s="24" t="n">
        <v>50</v>
      </c>
      <c r="C36" s="24" t="n">
        <v>1</v>
      </c>
      <c r="D36" s="25" t="n">
        <f aca="false">MAX(0,1-(C36-1)*0.25)</f>
        <v>1</v>
      </c>
      <c r="E36" s="12" t="n">
        <f aca="false">A36*B36</f>
        <v>100</v>
      </c>
      <c r="F36" s="26" t="n">
        <f aca="false">B36*D36</f>
        <v>50</v>
      </c>
      <c r="G36" s="12" t="n">
        <f aca="false">ROUNDUP(F36,0)</f>
        <v>50</v>
      </c>
      <c r="H36" s="12" t="n">
        <f aca="false">A36</f>
        <v>2</v>
      </c>
      <c r="I36" s="27" t="n">
        <f aca="false">Parametry!$C$76</f>
        <v>6</v>
      </c>
      <c r="J36" s="12" t="str">
        <f aca="false">IF(D36&gt;0,"MOŻNA KUPIĆ","ZABLOKOWANE — bez opłaty")</f>
        <v>MOŻNA KUPIĆ</v>
      </c>
      <c r="K36" s="12" t="s">
        <v>810</v>
      </c>
    </row>
    <row r="37" customFormat="false" ht="37.5" hidden="false" customHeight="true" outlineLevel="0" collapsed="false">
      <c r="A37" s="28" t="n">
        <v>2</v>
      </c>
      <c r="B37" s="28" t="n">
        <v>50</v>
      </c>
      <c r="C37" s="28" t="n">
        <v>2</v>
      </c>
      <c r="D37" s="29" t="n">
        <f aca="false">MAX(0,1-(C37-1)*0.25)</f>
        <v>0.75</v>
      </c>
      <c r="E37" s="13" t="n">
        <f aca="false">A37*B37</f>
        <v>100</v>
      </c>
      <c r="F37" s="30" t="n">
        <f aca="false">B37*D37</f>
        <v>37.5</v>
      </c>
      <c r="G37" s="13" t="n">
        <f aca="false">ROUNDUP(F37,0)</f>
        <v>38</v>
      </c>
      <c r="H37" s="13" t="n">
        <f aca="false">A37</f>
        <v>2</v>
      </c>
      <c r="I37" s="31" t="n">
        <f aca="false">Parametry!$C$76</f>
        <v>6</v>
      </c>
      <c r="J37" s="13" t="str">
        <f aca="false">IF(D37&gt;0,"MOŻNA KUPIĆ","ZABLOKOWANE — bez opłaty")</f>
        <v>MOŻNA KUPIĆ</v>
      </c>
      <c r="K37" s="13" t="s">
        <v>810</v>
      </c>
    </row>
    <row r="38" customFormat="false" ht="37.5" hidden="false" customHeight="true" outlineLevel="0" collapsed="false">
      <c r="A38" s="24" t="n">
        <v>2</v>
      </c>
      <c r="B38" s="24" t="n">
        <v>50</v>
      </c>
      <c r="C38" s="24" t="n">
        <v>3</v>
      </c>
      <c r="D38" s="25" t="n">
        <f aca="false">MAX(0,1-(C38-1)*0.25)</f>
        <v>0.5</v>
      </c>
      <c r="E38" s="12" t="n">
        <f aca="false">A38*B38</f>
        <v>100</v>
      </c>
      <c r="F38" s="26" t="n">
        <f aca="false">B38*D38</f>
        <v>25</v>
      </c>
      <c r="G38" s="12" t="n">
        <f aca="false">ROUNDUP(F38,0)</f>
        <v>25</v>
      </c>
      <c r="H38" s="12" t="n">
        <f aca="false">A38</f>
        <v>2</v>
      </c>
      <c r="I38" s="27" t="n">
        <f aca="false">Parametry!$C$76</f>
        <v>6</v>
      </c>
      <c r="J38" s="12" t="str">
        <f aca="false">IF(D38&gt;0,"MOŻNA KUPIĆ","ZABLOKOWANE — bez opłaty")</f>
        <v>MOŻNA KUPIĆ</v>
      </c>
      <c r="K38" s="12" t="s">
        <v>810</v>
      </c>
    </row>
    <row r="39" customFormat="false" ht="37.5" hidden="false" customHeight="true" outlineLevel="0" collapsed="false">
      <c r="A39" s="28" t="n">
        <v>2</v>
      </c>
      <c r="B39" s="28" t="n">
        <v>50</v>
      </c>
      <c r="C39" s="28" t="n">
        <v>4</v>
      </c>
      <c r="D39" s="29" t="n">
        <f aca="false">MAX(0,1-(C39-1)*0.25)</f>
        <v>0.25</v>
      </c>
      <c r="E39" s="13" t="n">
        <f aca="false">A39*B39</f>
        <v>100</v>
      </c>
      <c r="F39" s="30" t="n">
        <f aca="false">B39*D39</f>
        <v>12.5</v>
      </c>
      <c r="G39" s="13" t="n">
        <f aca="false">ROUNDUP(F39,0)</f>
        <v>13</v>
      </c>
      <c r="H39" s="13" t="n">
        <f aca="false">A39</f>
        <v>2</v>
      </c>
      <c r="I39" s="31" t="n">
        <f aca="false">Parametry!$C$76</f>
        <v>6</v>
      </c>
      <c r="J39" s="13" t="str">
        <f aca="false">IF(D39&gt;0,"MOŻNA KUPIĆ","ZABLOKOWANE — bez opłaty")</f>
        <v>MOŻNA KUPIĆ</v>
      </c>
      <c r="K39" s="13" t="s">
        <v>810</v>
      </c>
    </row>
    <row r="40" customFormat="false" ht="37.5" hidden="false" customHeight="true" outlineLevel="0" collapsed="false">
      <c r="A40" s="24" t="n">
        <v>2</v>
      </c>
      <c r="B40" s="24" t="n">
        <v>50</v>
      </c>
      <c r="C40" s="24" t="n">
        <v>5</v>
      </c>
      <c r="D40" s="25" t="n">
        <f aca="false">MAX(0,1-(C40-1)*0.25)</f>
        <v>0</v>
      </c>
      <c r="E40" s="12" t="n">
        <f aca="false">A40*B40</f>
        <v>100</v>
      </c>
      <c r="F40" s="26" t="n">
        <f aca="false">B40*D40</f>
        <v>0</v>
      </c>
      <c r="G40" s="12" t="n">
        <f aca="false">ROUNDUP(F40,0)</f>
        <v>0</v>
      </c>
      <c r="H40" s="12" t="n">
        <f aca="false">A40</f>
        <v>2</v>
      </c>
      <c r="I40" s="27" t="n">
        <f aca="false">Parametry!$C$76</f>
        <v>6</v>
      </c>
      <c r="J40" s="12" t="str">
        <f aca="false">IF(D40&gt;0,"MOŻNA KUPIĆ","ZABLOKOWANE — bez opłaty")</f>
        <v>ZABLOKOWANE — bez opłaty</v>
      </c>
      <c r="K40" s="12" t="s">
        <v>810</v>
      </c>
    </row>
    <row r="41" customFormat="false" ht="37.5" hidden="false" customHeight="true" outlineLevel="0" collapsed="false">
      <c r="A41" s="28" t="n">
        <v>2</v>
      </c>
      <c r="B41" s="28" t="n">
        <v>100</v>
      </c>
      <c r="C41" s="28" t="n">
        <v>1</v>
      </c>
      <c r="D41" s="29" t="n">
        <f aca="false">MAX(0,1-(C41-1)*0.25)</f>
        <v>1</v>
      </c>
      <c r="E41" s="13" t="n">
        <f aca="false">A41*B41</f>
        <v>200</v>
      </c>
      <c r="F41" s="30" t="n">
        <f aca="false">B41*D41</f>
        <v>100</v>
      </c>
      <c r="G41" s="13" t="n">
        <f aca="false">ROUNDUP(F41,0)</f>
        <v>100</v>
      </c>
      <c r="H41" s="13" t="n">
        <f aca="false">A41</f>
        <v>2</v>
      </c>
      <c r="I41" s="31" t="n">
        <f aca="false">Parametry!$C$76</f>
        <v>6</v>
      </c>
      <c r="J41" s="13" t="str">
        <f aca="false">IF(D41&gt;0,"MOŻNA KUPIĆ","ZABLOKOWANE — bez opłaty")</f>
        <v>MOŻNA KUPIĆ</v>
      </c>
      <c r="K41" s="13" t="s">
        <v>810</v>
      </c>
    </row>
    <row r="42" customFormat="false" ht="37.5" hidden="false" customHeight="true" outlineLevel="0" collapsed="false">
      <c r="A42" s="24" t="n">
        <v>2</v>
      </c>
      <c r="B42" s="24" t="n">
        <v>100</v>
      </c>
      <c r="C42" s="24" t="n">
        <v>2</v>
      </c>
      <c r="D42" s="25" t="n">
        <f aca="false">MAX(0,1-(C42-1)*0.25)</f>
        <v>0.75</v>
      </c>
      <c r="E42" s="12" t="n">
        <f aca="false">A42*B42</f>
        <v>200</v>
      </c>
      <c r="F42" s="26" t="n">
        <f aca="false">B42*D42</f>
        <v>75</v>
      </c>
      <c r="G42" s="12" t="n">
        <f aca="false">ROUNDUP(F42,0)</f>
        <v>75</v>
      </c>
      <c r="H42" s="12" t="n">
        <f aca="false">A42</f>
        <v>2</v>
      </c>
      <c r="I42" s="27" t="n">
        <f aca="false">Parametry!$C$76</f>
        <v>6</v>
      </c>
      <c r="J42" s="12" t="str">
        <f aca="false">IF(D42&gt;0,"MOŻNA KUPIĆ","ZABLOKOWANE — bez opłaty")</f>
        <v>MOŻNA KUPIĆ</v>
      </c>
      <c r="K42" s="12" t="s">
        <v>810</v>
      </c>
    </row>
    <row r="43" customFormat="false" ht="37.5" hidden="false" customHeight="true" outlineLevel="0" collapsed="false">
      <c r="A43" s="28" t="n">
        <v>2</v>
      </c>
      <c r="B43" s="28" t="n">
        <v>100</v>
      </c>
      <c r="C43" s="28" t="n">
        <v>3</v>
      </c>
      <c r="D43" s="29" t="n">
        <f aca="false">MAX(0,1-(C43-1)*0.25)</f>
        <v>0.5</v>
      </c>
      <c r="E43" s="13" t="n">
        <f aca="false">A43*B43</f>
        <v>200</v>
      </c>
      <c r="F43" s="30" t="n">
        <f aca="false">B43*D43</f>
        <v>50</v>
      </c>
      <c r="G43" s="13" t="n">
        <f aca="false">ROUNDUP(F43,0)</f>
        <v>50</v>
      </c>
      <c r="H43" s="13" t="n">
        <f aca="false">A43</f>
        <v>2</v>
      </c>
      <c r="I43" s="31" t="n">
        <f aca="false">Parametry!$C$76</f>
        <v>6</v>
      </c>
      <c r="J43" s="13" t="str">
        <f aca="false">IF(D43&gt;0,"MOŻNA KUPIĆ","ZABLOKOWANE — bez opłaty")</f>
        <v>MOŻNA KUPIĆ</v>
      </c>
      <c r="K43" s="13" t="s">
        <v>810</v>
      </c>
    </row>
    <row r="44" customFormat="false" ht="37.5" hidden="false" customHeight="true" outlineLevel="0" collapsed="false">
      <c r="A44" s="24" t="n">
        <v>2</v>
      </c>
      <c r="B44" s="24" t="n">
        <v>100</v>
      </c>
      <c r="C44" s="24" t="n">
        <v>4</v>
      </c>
      <c r="D44" s="25" t="n">
        <f aca="false">MAX(0,1-(C44-1)*0.25)</f>
        <v>0.25</v>
      </c>
      <c r="E44" s="12" t="n">
        <f aca="false">A44*B44</f>
        <v>200</v>
      </c>
      <c r="F44" s="26" t="n">
        <f aca="false">B44*D44</f>
        <v>25</v>
      </c>
      <c r="G44" s="12" t="n">
        <f aca="false">ROUNDUP(F44,0)</f>
        <v>25</v>
      </c>
      <c r="H44" s="12" t="n">
        <f aca="false">A44</f>
        <v>2</v>
      </c>
      <c r="I44" s="27" t="n">
        <f aca="false">Parametry!$C$76</f>
        <v>6</v>
      </c>
      <c r="J44" s="12" t="str">
        <f aca="false">IF(D44&gt;0,"MOŻNA KUPIĆ","ZABLOKOWANE — bez opłaty")</f>
        <v>MOŻNA KUPIĆ</v>
      </c>
      <c r="K44" s="12" t="s">
        <v>810</v>
      </c>
    </row>
    <row r="45" customFormat="false" ht="37.5" hidden="false" customHeight="true" outlineLevel="0" collapsed="false">
      <c r="A45" s="28" t="n">
        <v>2</v>
      </c>
      <c r="B45" s="28" t="n">
        <v>100</v>
      </c>
      <c r="C45" s="28" t="n">
        <v>5</v>
      </c>
      <c r="D45" s="29" t="n">
        <f aca="false">MAX(0,1-(C45-1)*0.25)</f>
        <v>0</v>
      </c>
      <c r="E45" s="13" t="n">
        <f aca="false">A45*B45</f>
        <v>200</v>
      </c>
      <c r="F45" s="30" t="n">
        <f aca="false">B45*D45</f>
        <v>0</v>
      </c>
      <c r="G45" s="13" t="n">
        <f aca="false">ROUNDUP(F45,0)</f>
        <v>0</v>
      </c>
      <c r="H45" s="13" t="n">
        <f aca="false">A45</f>
        <v>2</v>
      </c>
      <c r="I45" s="31" t="n">
        <f aca="false">Parametry!$C$76</f>
        <v>6</v>
      </c>
      <c r="J45" s="13" t="str">
        <f aca="false">IF(D45&gt;0,"MOŻNA KUPIĆ","ZABLOKOWANE — bez opłaty")</f>
        <v>ZABLOKOWANE — bez opłaty</v>
      </c>
      <c r="K45" s="13" t="s">
        <v>810</v>
      </c>
    </row>
    <row r="46" customFormat="false" ht="37.5" hidden="false" customHeight="true" outlineLevel="0" collapsed="false">
      <c r="A46" s="24" t="n">
        <v>3</v>
      </c>
      <c r="B46" s="24" t="n">
        <v>5</v>
      </c>
      <c r="C46" s="24" t="n">
        <v>1</v>
      </c>
      <c r="D46" s="25" t="n">
        <f aca="false">MAX(0,1-(C46-1)*0.25)</f>
        <v>1</v>
      </c>
      <c r="E46" s="12" t="n">
        <f aca="false">A46*B46</f>
        <v>15</v>
      </c>
      <c r="F46" s="26" t="n">
        <f aca="false">B46*D46</f>
        <v>5</v>
      </c>
      <c r="G46" s="12" t="n">
        <f aca="false">ROUNDUP(F46,0)</f>
        <v>5</v>
      </c>
      <c r="H46" s="12" t="n">
        <f aca="false">A46</f>
        <v>3</v>
      </c>
      <c r="I46" s="27" t="n">
        <f aca="false">Parametry!$C$76</f>
        <v>6</v>
      </c>
      <c r="J46" s="12" t="str">
        <f aca="false">IF(D46&gt;0,"MOŻNA KUPIĆ","ZABLOKOWANE — bez opłaty")</f>
        <v>MOŻNA KUPIĆ</v>
      </c>
      <c r="K46" s="12" t="s">
        <v>810</v>
      </c>
    </row>
    <row r="47" customFormat="false" ht="37.5" hidden="false" customHeight="true" outlineLevel="0" collapsed="false">
      <c r="A47" s="28" t="n">
        <v>3</v>
      </c>
      <c r="B47" s="28" t="n">
        <v>5</v>
      </c>
      <c r="C47" s="28" t="n">
        <v>2</v>
      </c>
      <c r="D47" s="29" t="n">
        <f aca="false">MAX(0,1-(C47-1)*0.25)</f>
        <v>0.75</v>
      </c>
      <c r="E47" s="13" t="n">
        <f aca="false">A47*B47</f>
        <v>15</v>
      </c>
      <c r="F47" s="30" t="n">
        <f aca="false">B47*D47</f>
        <v>3.75</v>
      </c>
      <c r="G47" s="13" t="n">
        <f aca="false">ROUNDUP(F47,0)</f>
        <v>4</v>
      </c>
      <c r="H47" s="13" t="n">
        <f aca="false">A47</f>
        <v>3</v>
      </c>
      <c r="I47" s="31" t="n">
        <f aca="false">Parametry!$C$76</f>
        <v>6</v>
      </c>
      <c r="J47" s="13" t="str">
        <f aca="false">IF(D47&gt;0,"MOŻNA KUPIĆ","ZABLOKOWANE — bez opłaty")</f>
        <v>MOŻNA KUPIĆ</v>
      </c>
      <c r="K47" s="13" t="s">
        <v>810</v>
      </c>
    </row>
    <row r="48" customFormat="false" ht="37.5" hidden="false" customHeight="true" outlineLevel="0" collapsed="false">
      <c r="A48" s="24" t="n">
        <v>3</v>
      </c>
      <c r="B48" s="24" t="n">
        <v>5</v>
      </c>
      <c r="C48" s="24" t="n">
        <v>3</v>
      </c>
      <c r="D48" s="25" t="n">
        <f aca="false">MAX(0,1-(C48-1)*0.25)</f>
        <v>0.5</v>
      </c>
      <c r="E48" s="12" t="n">
        <f aca="false">A48*B48</f>
        <v>15</v>
      </c>
      <c r="F48" s="26" t="n">
        <f aca="false">B48*D48</f>
        <v>2.5</v>
      </c>
      <c r="G48" s="12" t="n">
        <f aca="false">ROUNDUP(F48,0)</f>
        <v>3</v>
      </c>
      <c r="H48" s="12" t="n">
        <f aca="false">A48</f>
        <v>3</v>
      </c>
      <c r="I48" s="27" t="n">
        <f aca="false">Parametry!$C$76</f>
        <v>6</v>
      </c>
      <c r="J48" s="12" t="str">
        <f aca="false">IF(D48&gt;0,"MOŻNA KUPIĆ","ZABLOKOWANE — bez opłaty")</f>
        <v>MOŻNA KUPIĆ</v>
      </c>
      <c r="K48" s="12" t="s">
        <v>810</v>
      </c>
    </row>
    <row r="49" customFormat="false" ht="37.5" hidden="false" customHeight="true" outlineLevel="0" collapsed="false">
      <c r="A49" s="28" t="n">
        <v>3</v>
      </c>
      <c r="B49" s="28" t="n">
        <v>5</v>
      </c>
      <c r="C49" s="28" t="n">
        <v>4</v>
      </c>
      <c r="D49" s="29" t="n">
        <f aca="false">MAX(0,1-(C49-1)*0.25)</f>
        <v>0.25</v>
      </c>
      <c r="E49" s="13" t="n">
        <f aca="false">A49*B49</f>
        <v>15</v>
      </c>
      <c r="F49" s="30" t="n">
        <f aca="false">B49*D49</f>
        <v>1.25</v>
      </c>
      <c r="G49" s="13" t="n">
        <f aca="false">ROUNDUP(F49,0)</f>
        <v>2</v>
      </c>
      <c r="H49" s="13" t="n">
        <f aca="false">A49</f>
        <v>3</v>
      </c>
      <c r="I49" s="31" t="n">
        <f aca="false">Parametry!$C$76</f>
        <v>6</v>
      </c>
      <c r="J49" s="13" t="str">
        <f aca="false">IF(D49&gt;0,"MOŻNA KUPIĆ","ZABLOKOWANE — bez opłaty")</f>
        <v>MOŻNA KUPIĆ</v>
      </c>
      <c r="K49" s="13" t="s">
        <v>810</v>
      </c>
    </row>
    <row r="50" customFormat="false" ht="37.5" hidden="false" customHeight="true" outlineLevel="0" collapsed="false">
      <c r="A50" s="24" t="n">
        <v>3</v>
      </c>
      <c r="B50" s="24" t="n">
        <v>5</v>
      </c>
      <c r="C50" s="24" t="n">
        <v>5</v>
      </c>
      <c r="D50" s="25" t="n">
        <f aca="false">MAX(0,1-(C50-1)*0.25)</f>
        <v>0</v>
      </c>
      <c r="E50" s="12" t="n">
        <f aca="false">A50*B50</f>
        <v>15</v>
      </c>
      <c r="F50" s="26" t="n">
        <f aca="false">B50*D50</f>
        <v>0</v>
      </c>
      <c r="G50" s="12" t="n">
        <f aca="false">ROUNDUP(F50,0)</f>
        <v>0</v>
      </c>
      <c r="H50" s="12" t="n">
        <f aca="false">A50</f>
        <v>3</v>
      </c>
      <c r="I50" s="27" t="n">
        <f aca="false">Parametry!$C$76</f>
        <v>6</v>
      </c>
      <c r="J50" s="12" t="str">
        <f aca="false">IF(D50&gt;0,"MOŻNA KUPIĆ","ZABLOKOWANE — bez opłaty")</f>
        <v>ZABLOKOWANE — bez opłaty</v>
      </c>
      <c r="K50" s="12" t="s">
        <v>810</v>
      </c>
    </row>
    <row r="51" customFormat="false" ht="37.5" hidden="false" customHeight="true" outlineLevel="0" collapsed="false">
      <c r="A51" s="28" t="n">
        <v>3</v>
      </c>
      <c r="B51" s="28" t="n">
        <v>25</v>
      </c>
      <c r="C51" s="28" t="n">
        <v>1</v>
      </c>
      <c r="D51" s="29" t="n">
        <f aca="false">MAX(0,1-(C51-1)*0.25)</f>
        <v>1</v>
      </c>
      <c r="E51" s="13" t="n">
        <f aca="false">A51*B51</f>
        <v>75</v>
      </c>
      <c r="F51" s="30" t="n">
        <f aca="false">B51*D51</f>
        <v>25</v>
      </c>
      <c r="G51" s="13" t="n">
        <f aca="false">ROUNDUP(F51,0)</f>
        <v>25</v>
      </c>
      <c r="H51" s="13" t="n">
        <f aca="false">A51</f>
        <v>3</v>
      </c>
      <c r="I51" s="31" t="n">
        <f aca="false">Parametry!$C$76</f>
        <v>6</v>
      </c>
      <c r="J51" s="13" t="str">
        <f aca="false">IF(D51&gt;0,"MOŻNA KUPIĆ","ZABLOKOWANE — bez opłaty")</f>
        <v>MOŻNA KUPIĆ</v>
      </c>
      <c r="K51" s="13" t="s">
        <v>810</v>
      </c>
    </row>
    <row r="52" customFormat="false" ht="37.5" hidden="false" customHeight="true" outlineLevel="0" collapsed="false">
      <c r="A52" s="24" t="n">
        <v>3</v>
      </c>
      <c r="B52" s="24" t="n">
        <v>25</v>
      </c>
      <c r="C52" s="24" t="n">
        <v>2</v>
      </c>
      <c r="D52" s="25" t="n">
        <f aca="false">MAX(0,1-(C52-1)*0.25)</f>
        <v>0.75</v>
      </c>
      <c r="E52" s="12" t="n">
        <f aca="false">A52*B52</f>
        <v>75</v>
      </c>
      <c r="F52" s="26" t="n">
        <f aca="false">B52*D52</f>
        <v>18.75</v>
      </c>
      <c r="G52" s="12" t="n">
        <f aca="false">ROUNDUP(F52,0)</f>
        <v>19</v>
      </c>
      <c r="H52" s="12" t="n">
        <f aca="false">A52</f>
        <v>3</v>
      </c>
      <c r="I52" s="27" t="n">
        <f aca="false">Parametry!$C$76</f>
        <v>6</v>
      </c>
      <c r="J52" s="12" t="str">
        <f aca="false">IF(D52&gt;0,"MOŻNA KUPIĆ","ZABLOKOWANE — bez opłaty")</f>
        <v>MOŻNA KUPIĆ</v>
      </c>
      <c r="K52" s="12" t="s">
        <v>810</v>
      </c>
    </row>
    <row r="53" customFormat="false" ht="37.5" hidden="false" customHeight="true" outlineLevel="0" collapsed="false">
      <c r="A53" s="28" t="n">
        <v>3</v>
      </c>
      <c r="B53" s="28" t="n">
        <v>25</v>
      </c>
      <c r="C53" s="28" t="n">
        <v>3</v>
      </c>
      <c r="D53" s="29" t="n">
        <f aca="false">MAX(0,1-(C53-1)*0.25)</f>
        <v>0.5</v>
      </c>
      <c r="E53" s="13" t="n">
        <f aca="false">A53*B53</f>
        <v>75</v>
      </c>
      <c r="F53" s="30" t="n">
        <f aca="false">B53*D53</f>
        <v>12.5</v>
      </c>
      <c r="G53" s="13" t="n">
        <f aca="false">ROUNDUP(F53,0)</f>
        <v>13</v>
      </c>
      <c r="H53" s="13" t="n">
        <f aca="false">A53</f>
        <v>3</v>
      </c>
      <c r="I53" s="31" t="n">
        <f aca="false">Parametry!$C$76</f>
        <v>6</v>
      </c>
      <c r="J53" s="13" t="str">
        <f aca="false">IF(D53&gt;0,"MOŻNA KUPIĆ","ZABLOKOWANE — bez opłaty")</f>
        <v>MOŻNA KUPIĆ</v>
      </c>
      <c r="K53" s="13" t="s">
        <v>810</v>
      </c>
    </row>
    <row r="54" customFormat="false" ht="37.5" hidden="false" customHeight="true" outlineLevel="0" collapsed="false">
      <c r="A54" s="24" t="n">
        <v>3</v>
      </c>
      <c r="B54" s="24" t="n">
        <v>25</v>
      </c>
      <c r="C54" s="24" t="n">
        <v>4</v>
      </c>
      <c r="D54" s="25" t="n">
        <f aca="false">MAX(0,1-(C54-1)*0.25)</f>
        <v>0.25</v>
      </c>
      <c r="E54" s="12" t="n">
        <f aca="false">A54*B54</f>
        <v>75</v>
      </c>
      <c r="F54" s="26" t="n">
        <f aca="false">B54*D54</f>
        <v>6.25</v>
      </c>
      <c r="G54" s="12" t="n">
        <f aca="false">ROUNDUP(F54,0)</f>
        <v>7</v>
      </c>
      <c r="H54" s="12" t="n">
        <f aca="false">A54</f>
        <v>3</v>
      </c>
      <c r="I54" s="27" t="n">
        <f aca="false">Parametry!$C$76</f>
        <v>6</v>
      </c>
      <c r="J54" s="12" t="str">
        <f aca="false">IF(D54&gt;0,"MOŻNA KUPIĆ","ZABLOKOWANE — bez opłaty")</f>
        <v>MOŻNA KUPIĆ</v>
      </c>
      <c r="K54" s="12" t="s">
        <v>810</v>
      </c>
    </row>
    <row r="55" customFormat="false" ht="37.5" hidden="false" customHeight="true" outlineLevel="0" collapsed="false">
      <c r="A55" s="28" t="n">
        <v>3</v>
      </c>
      <c r="B55" s="28" t="n">
        <v>25</v>
      </c>
      <c r="C55" s="28" t="n">
        <v>5</v>
      </c>
      <c r="D55" s="29" t="n">
        <f aca="false">MAX(0,1-(C55-1)*0.25)</f>
        <v>0</v>
      </c>
      <c r="E55" s="13" t="n">
        <f aca="false">A55*B55</f>
        <v>75</v>
      </c>
      <c r="F55" s="30" t="n">
        <f aca="false">B55*D55</f>
        <v>0</v>
      </c>
      <c r="G55" s="13" t="n">
        <f aca="false">ROUNDUP(F55,0)</f>
        <v>0</v>
      </c>
      <c r="H55" s="13" t="n">
        <f aca="false">A55</f>
        <v>3</v>
      </c>
      <c r="I55" s="31" t="n">
        <f aca="false">Parametry!$C$76</f>
        <v>6</v>
      </c>
      <c r="J55" s="13" t="str">
        <f aca="false">IF(D55&gt;0,"MOŻNA KUPIĆ","ZABLOKOWANE — bez opłaty")</f>
        <v>ZABLOKOWANE — bez opłaty</v>
      </c>
      <c r="K55" s="13" t="s">
        <v>810</v>
      </c>
    </row>
    <row r="56" customFormat="false" ht="37.5" hidden="false" customHeight="true" outlineLevel="0" collapsed="false">
      <c r="A56" s="24" t="n">
        <v>3</v>
      </c>
      <c r="B56" s="24" t="n">
        <v>50</v>
      </c>
      <c r="C56" s="24" t="n">
        <v>1</v>
      </c>
      <c r="D56" s="25" t="n">
        <f aca="false">MAX(0,1-(C56-1)*0.25)</f>
        <v>1</v>
      </c>
      <c r="E56" s="12" t="n">
        <f aca="false">A56*B56</f>
        <v>150</v>
      </c>
      <c r="F56" s="26" t="n">
        <f aca="false">B56*D56</f>
        <v>50</v>
      </c>
      <c r="G56" s="12" t="n">
        <f aca="false">ROUNDUP(F56,0)</f>
        <v>50</v>
      </c>
      <c r="H56" s="12" t="n">
        <f aca="false">A56</f>
        <v>3</v>
      </c>
      <c r="I56" s="27" t="n">
        <f aca="false">Parametry!$C$76</f>
        <v>6</v>
      </c>
      <c r="J56" s="12" t="str">
        <f aca="false">IF(D56&gt;0,"MOŻNA KUPIĆ","ZABLOKOWANE — bez opłaty")</f>
        <v>MOŻNA KUPIĆ</v>
      </c>
      <c r="K56" s="12" t="s">
        <v>810</v>
      </c>
    </row>
    <row r="57" customFormat="false" ht="37.5" hidden="false" customHeight="true" outlineLevel="0" collapsed="false">
      <c r="A57" s="28" t="n">
        <v>3</v>
      </c>
      <c r="B57" s="28" t="n">
        <v>50</v>
      </c>
      <c r="C57" s="28" t="n">
        <v>2</v>
      </c>
      <c r="D57" s="29" t="n">
        <f aca="false">MAX(0,1-(C57-1)*0.25)</f>
        <v>0.75</v>
      </c>
      <c r="E57" s="13" t="n">
        <f aca="false">A57*B57</f>
        <v>150</v>
      </c>
      <c r="F57" s="30" t="n">
        <f aca="false">B57*D57</f>
        <v>37.5</v>
      </c>
      <c r="G57" s="13" t="n">
        <f aca="false">ROUNDUP(F57,0)</f>
        <v>38</v>
      </c>
      <c r="H57" s="13" t="n">
        <f aca="false">A57</f>
        <v>3</v>
      </c>
      <c r="I57" s="31" t="n">
        <f aca="false">Parametry!$C$76</f>
        <v>6</v>
      </c>
      <c r="J57" s="13" t="str">
        <f aca="false">IF(D57&gt;0,"MOŻNA KUPIĆ","ZABLOKOWANE — bez opłaty")</f>
        <v>MOŻNA KUPIĆ</v>
      </c>
      <c r="K57" s="13" t="s">
        <v>810</v>
      </c>
    </row>
    <row r="58" customFormat="false" ht="37.5" hidden="false" customHeight="true" outlineLevel="0" collapsed="false">
      <c r="A58" s="24" t="n">
        <v>3</v>
      </c>
      <c r="B58" s="24" t="n">
        <v>50</v>
      </c>
      <c r="C58" s="24" t="n">
        <v>3</v>
      </c>
      <c r="D58" s="25" t="n">
        <f aca="false">MAX(0,1-(C58-1)*0.25)</f>
        <v>0.5</v>
      </c>
      <c r="E58" s="12" t="n">
        <f aca="false">A58*B58</f>
        <v>150</v>
      </c>
      <c r="F58" s="26" t="n">
        <f aca="false">B58*D58</f>
        <v>25</v>
      </c>
      <c r="G58" s="12" t="n">
        <f aca="false">ROUNDUP(F58,0)</f>
        <v>25</v>
      </c>
      <c r="H58" s="12" t="n">
        <f aca="false">A58</f>
        <v>3</v>
      </c>
      <c r="I58" s="27" t="n">
        <f aca="false">Parametry!$C$76</f>
        <v>6</v>
      </c>
      <c r="J58" s="12" t="str">
        <f aca="false">IF(D58&gt;0,"MOŻNA KUPIĆ","ZABLOKOWANE — bez opłaty")</f>
        <v>MOŻNA KUPIĆ</v>
      </c>
      <c r="K58" s="12" t="s">
        <v>810</v>
      </c>
    </row>
    <row r="59" customFormat="false" ht="37.5" hidden="false" customHeight="true" outlineLevel="0" collapsed="false">
      <c r="A59" s="28" t="n">
        <v>3</v>
      </c>
      <c r="B59" s="28" t="n">
        <v>50</v>
      </c>
      <c r="C59" s="28" t="n">
        <v>4</v>
      </c>
      <c r="D59" s="29" t="n">
        <f aca="false">MAX(0,1-(C59-1)*0.25)</f>
        <v>0.25</v>
      </c>
      <c r="E59" s="13" t="n">
        <f aca="false">A59*B59</f>
        <v>150</v>
      </c>
      <c r="F59" s="30" t="n">
        <f aca="false">B59*D59</f>
        <v>12.5</v>
      </c>
      <c r="G59" s="13" t="n">
        <f aca="false">ROUNDUP(F59,0)</f>
        <v>13</v>
      </c>
      <c r="H59" s="13" t="n">
        <f aca="false">A59</f>
        <v>3</v>
      </c>
      <c r="I59" s="31" t="n">
        <f aca="false">Parametry!$C$76</f>
        <v>6</v>
      </c>
      <c r="J59" s="13" t="str">
        <f aca="false">IF(D59&gt;0,"MOŻNA KUPIĆ","ZABLOKOWANE — bez opłaty")</f>
        <v>MOŻNA KUPIĆ</v>
      </c>
      <c r="K59" s="13" t="s">
        <v>810</v>
      </c>
    </row>
    <row r="60" customFormat="false" ht="37.5" hidden="false" customHeight="true" outlineLevel="0" collapsed="false">
      <c r="A60" s="24" t="n">
        <v>3</v>
      </c>
      <c r="B60" s="24" t="n">
        <v>50</v>
      </c>
      <c r="C60" s="24" t="n">
        <v>5</v>
      </c>
      <c r="D60" s="25" t="n">
        <f aca="false">MAX(0,1-(C60-1)*0.25)</f>
        <v>0</v>
      </c>
      <c r="E60" s="12" t="n">
        <f aca="false">A60*B60</f>
        <v>150</v>
      </c>
      <c r="F60" s="26" t="n">
        <f aca="false">B60*D60</f>
        <v>0</v>
      </c>
      <c r="G60" s="12" t="n">
        <f aca="false">ROUNDUP(F60,0)</f>
        <v>0</v>
      </c>
      <c r="H60" s="12" t="n">
        <f aca="false">A60</f>
        <v>3</v>
      </c>
      <c r="I60" s="27" t="n">
        <f aca="false">Parametry!$C$76</f>
        <v>6</v>
      </c>
      <c r="J60" s="12" t="str">
        <f aca="false">IF(D60&gt;0,"MOŻNA KUPIĆ","ZABLOKOWANE — bez opłaty")</f>
        <v>ZABLOKOWANE — bez opłaty</v>
      </c>
      <c r="K60" s="12" t="s">
        <v>810</v>
      </c>
    </row>
    <row r="61" customFormat="false" ht="37.5" hidden="false" customHeight="true" outlineLevel="0" collapsed="false">
      <c r="A61" s="28" t="n">
        <v>3</v>
      </c>
      <c r="B61" s="28" t="n">
        <v>100</v>
      </c>
      <c r="C61" s="28" t="n">
        <v>1</v>
      </c>
      <c r="D61" s="29" t="n">
        <f aca="false">MAX(0,1-(C61-1)*0.25)</f>
        <v>1</v>
      </c>
      <c r="E61" s="13" t="n">
        <f aca="false">A61*B61</f>
        <v>300</v>
      </c>
      <c r="F61" s="30" t="n">
        <f aca="false">B61*D61</f>
        <v>100</v>
      </c>
      <c r="G61" s="13" t="n">
        <f aca="false">ROUNDUP(F61,0)</f>
        <v>100</v>
      </c>
      <c r="H61" s="13" t="n">
        <f aca="false">A61</f>
        <v>3</v>
      </c>
      <c r="I61" s="31" t="n">
        <f aca="false">Parametry!$C$76</f>
        <v>6</v>
      </c>
      <c r="J61" s="13" t="str">
        <f aca="false">IF(D61&gt;0,"MOŻNA KUPIĆ","ZABLOKOWANE — bez opłaty")</f>
        <v>MOŻNA KUPIĆ</v>
      </c>
      <c r="K61" s="13" t="s">
        <v>810</v>
      </c>
    </row>
    <row r="62" customFormat="false" ht="37.5" hidden="false" customHeight="true" outlineLevel="0" collapsed="false">
      <c r="A62" s="24" t="n">
        <v>3</v>
      </c>
      <c r="B62" s="24" t="n">
        <v>100</v>
      </c>
      <c r="C62" s="24" t="n">
        <v>2</v>
      </c>
      <c r="D62" s="25" t="n">
        <f aca="false">MAX(0,1-(C62-1)*0.25)</f>
        <v>0.75</v>
      </c>
      <c r="E62" s="12" t="n">
        <f aca="false">A62*B62</f>
        <v>300</v>
      </c>
      <c r="F62" s="26" t="n">
        <f aca="false">B62*D62</f>
        <v>75</v>
      </c>
      <c r="G62" s="12" t="n">
        <f aca="false">ROUNDUP(F62,0)</f>
        <v>75</v>
      </c>
      <c r="H62" s="12" t="n">
        <f aca="false">A62</f>
        <v>3</v>
      </c>
      <c r="I62" s="27" t="n">
        <f aca="false">Parametry!$C$76</f>
        <v>6</v>
      </c>
      <c r="J62" s="12" t="str">
        <f aca="false">IF(D62&gt;0,"MOŻNA KUPIĆ","ZABLOKOWANE — bez opłaty")</f>
        <v>MOŻNA KUPIĆ</v>
      </c>
      <c r="K62" s="12" t="s">
        <v>810</v>
      </c>
    </row>
    <row r="63" customFormat="false" ht="37.5" hidden="false" customHeight="true" outlineLevel="0" collapsed="false">
      <c r="A63" s="28" t="n">
        <v>3</v>
      </c>
      <c r="B63" s="28" t="n">
        <v>100</v>
      </c>
      <c r="C63" s="28" t="n">
        <v>3</v>
      </c>
      <c r="D63" s="29" t="n">
        <f aca="false">MAX(0,1-(C63-1)*0.25)</f>
        <v>0.5</v>
      </c>
      <c r="E63" s="13" t="n">
        <f aca="false">A63*B63</f>
        <v>300</v>
      </c>
      <c r="F63" s="30" t="n">
        <f aca="false">B63*D63</f>
        <v>50</v>
      </c>
      <c r="G63" s="13" t="n">
        <f aca="false">ROUNDUP(F63,0)</f>
        <v>50</v>
      </c>
      <c r="H63" s="13" t="n">
        <f aca="false">A63</f>
        <v>3</v>
      </c>
      <c r="I63" s="31" t="n">
        <f aca="false">Parametry!$C$76</f>
        <v>6</v>
      </c>
      <c r="J63" s="13" t="str">
        <f aca="false">IF(D63&gt;0,"MOŻNA KUPIĆ","ZABLOKOWANE — bez opłaty")</f>
        <v>MOŻNA KUPIĆ</v>
      </c>
      <c r="K63" s="13" t="s">
        <v>810</v>
      </c>
    </row>
    <row r="64" customFormat="false" ht="37.5" hidden="false" customHeight="true" outlineLevel="0" collapsed="false">
      <c r="A64" s="24" t="n">
        <v>3</v>
      </c>
      <c r="B64" s="24" t="n">
        <v>100</v>
      </c>
      <c r="C64" s="24" t="n">
        <v>4</v>
      </c>
      <c r="D64" s="25" t="n">
        <f aca="false">MAX(0,1-(C64-1)*0.25)</f>
        <v>0.25</v>
      </c>
      <c r="E64" s="12" t="n">
        <f aca="false">A64*B64</f>
        <v>300</v>
      </c>
      <c r="F64" s="26" t="n">
        <f aca="false">B64*D64</f>
        <v>25</v>
      </c>
      <c r="G64" s="12" t="n">
        <f aca="false">ROUNDUP(F64,0)</f>
        <v>25</v>
      </c>
      <c r="H64" s="12" t="n">
        <f aca="false">A64</f>
        <v>3</v>
      </c>
      <c r="I64" s="27" t="n">
        <f aca="false">Parametry!$C$76</f>
        <v>6</v>
      </c>
      <c r="J64" s="12" t="str">
        <f aca="false">IF(D64&gt;0,"MOŻNA KUPIĆ","ZABLOKOWANE — bez opłaty")</f>
        <v>MOŻNA KUPIĆ</v>
      </c>
      <c r="K64" s="12" t="s">
        <v>810</v>
      </c>
    </row>
    <row r="65" customFormat="false" ht="37.5" hidden="false" customHeight="true" outlineLevel="0" collapsed="false">
      <c r="A65" s="28" t="n">
        <v>3</v>
      </c>
      <c r="B65" s="28" t="n">
        <v>100</v>
      </c>
      <c r="C65" s="28" t="n">
        <v>5</v>
      </c>
      <c r="D65" s="29" t="n">
        <f aca="false">MAX(0,1-(C65-1)*0.25)</f>
        <v>0</v>
      </c>
      <c r="E65" s="13" t="n">
        <f aca="false">A65*B65</f>
        <v>300</v>
      </c>
      <c r="F65" s="30" t="n">
        <f aca="false">B65*D65</f>
        <v>0</v>
      </c>
      <c r="G65" s="13" t="n">
        <f aca="false">ROUNDUP(F65,0)</f>
        <v>0</v>
      </c>
      <c r="H65" s="13" t="n">
        <f aca="false">A65</f>
        <v>3</v>
      </c>
      <c r="I65" s="31" t="n">
        <f aca="false">Parametry!$C$76</f>
        <v>6</v>
      </c>
      <c r="J65" s="13" t="str">
        <f aca="false">IF(D65&gt;0,"MOŻNA KUPIĆ","ZABLOKOWANE — bez opłaty")</f>
        <v>ZABLOKOWANE — bez opłaty</v>
      </c>
      <c r="K65" s="13" t="s">
        <v>810</v>
      </c>
    </row>
    <row r="66" customFormat="false" ht="37.5" hidden="false" customHeight="true" outlineLevel="0" collapsed="false">
      <c r="A66" s="24" t="n">
        <v>5</v>
      </c>
      <c r="B66" s="24" t="n">
        <v>5</v>
      </c>
      <c r="C66" s="24" t="n">
        <v>1</v>
      </c>
      <c r="D66" s="25" t="n">
        <f aca="false">MAX(0,1-(C66-1)*0.25)</f>
        <v>1</v>
      </c>
      <c r="E66" s="12" t="n">
        <f aca="false">A66*B66</f>
        <v>25</v>
      </c>
      <c r="F66" s="26" t="n">
        <f aca="false">B66*D66</f>
        <v>5</v>
      </c>
      <c r="G66" s="12" t="n">
        <f aca="false">ROUNDUP(F66,0)</f>
        <v>5</v>
      </c>
      <c r="H66" s="12" t="n">
        <f aca="false">A66</f>
        <v>5</v>
      </c>
      <c r="I66" s="27" t="n">
        <f aca="false">Parametry!$C$76</f>
        <v>6</v>
      </c>
      <c r="J66" s="12" t="str">
        <f aca="false">IF(D66&gt;0,"MOŻNA KUPIĆ","ZABLOKOWANE — bez opłaty")</f>
        <v>MOŻNA KUPIĆ</v>
      </c>
      <c r="K66" s="12" t="s">
        <v>810</v>
      </c>
    </row>
    <row r="67" customFormat="false" ht="37.5" hidden="false" customHeight="true" outlineLevel="0" collapsed="false">
      <c r="A67" s="28" t="n">
        <v>5</v>
      </c>
      <c r="B67" s="28" t="n">
        <v>5</v>
      </c>
      <c r="C67" s="28" t="n">
        <v>2</v>
      </c>
      <c r="D67" s="29" t="n">
        <f aca="false">MAX(0,1-(C67-1)*0.25)</f>
        <v>0.75</v>
      </c>
      <c r="E67" s="13" t="n">
        <f aca="false">A67*B67</f>
        <v>25</v>
      </c>
      <c r="F67" s="30" t="n">
        <f aca="false">B67*D67</f>
        <v>3.75</v>
      </c>
      <c r="G67" s="13" t="n">
        <f aca="false">ROUNDUP(F67,0)</f>
        <v>4</v>
      </c>
      <c r="H67" s="13" t="n">
        <f aca="false">A67</f>
        <v>5</v>
      </c>
      <c r="I67" s="31" t="n">
        <f aca="false">Parametry!$C$76</f>
        <v>6</v>
      </c>
      <c r="J67" s="13" t="str">
        <f aca="false">IF(D67&gt;0,"MOŻNA KUPIĆ","ZABLOKOWANE — bez opłaty")</f>
        <v>MOŻNA KUPIĆ</v>
      </c>
      <c r="K67" s="13" t="s">
        <v>810</v>
      </c>
    </row>
    <row r="68" customFormat="false" ht="37.5" hidden="false" customHeight="true" outlineLevel="0" collapsed="false">
      <c r="A68" s="24" t="n">
        <v>5</v>
      </c>
      <c r="B68" s="24" t="n">
        <v>5</v>
      </c>
      <c r="C68" s="24" t="n">
        <v>3</v>
      </c>
      <c r="D68" s="25" t="n">
        <f aca="false">MAX(0,1-(C68-1)*0.25)</f>
        <v>0.5</v>
      </c>
      <c r="E68" s="12" t="n">
        <f aca="false">A68*B68</f>
        <v>25</v>
      </c>
      <c r="F68" s="26" t="n">
        <f aca="false">B68*D68</f>
        <v>2.5</v>
      </c>
      <c r="G68" s="12" t="n">
        <f aca="false">ROUNDUP(F68,0)</f>
        <v>3</v>
      </c>
      <c r="H68" s="12" t="n">
        <f aca="false">A68</f>
        <v>5</v>
      </c>
      <c r="I68" s="27" t="n">
        <f aca="false">Parametry!$C$76</f>
        <v>6</v>
      </c>
      <c r="J68" s="12" t="str">
        <f aca="false">IF(D68&gt;0,"MOŻNA KUPIĆ","ZABLOKOWANE — bez opłaty")</f>
        <v>MOŻNA KUPIĆ</v>
      </c>
      <c r="K68" s="12" t="s">
        <v>810</v>
      </c>
    </row>
    <row r="69" customFormat="false" ht="37.5" hidden="false" customHeight="true" outlineLevel="0" collapsed="false">
      <c r="A69" s="28" t="n">
        <v>5</v>
      </c>
      <c r="B69" s="28" t="n">
        <v>5</v>
      </c>
      <c r="C69" s="28" t="n">
        <v>4</v>
      </c>
      <c r="D69" s="29" t="n">
        <f aca="false">MAX(0,1-(C69-1)*0.25)</f>
        <v>0.25</v>
      </c>
      <c r="E69" s="13" t="n">
        <f aca="false">A69*B69</f>
        <v>25</v>
      </c>
      <c r="F69" s="30" t="n">
        <f aca="false">B69*D69</f>
        <v>1.25</v>
      </c>
      <c r="G69" s="13" t="n">
        <f aca="false">ROUNDUP(F69,0)</f>
        <v>2</v>
      </c>
      <c r="H69" s="13" t="n">
        <f aca="false">A69</f>
        <v>5</v>
      </c>
      <c r="I69" s="31" t="n">
        <f aca="false">Parametry!$C$76</f>
        <v>6</v>
      </c>
      <c r="J69" s="13" t="str">
        <f aca="false">IF(D69&gt;0,"MOŻNA KUPIĆ","ZABLOKOWANE — bez opłaty")</f>
        <v>MOŻNA KUPIĆ</v>
      </c>
      <c r="K69" s="13" t="s">
        <v>810</v>
      </c>
    </row>
    <row r="70" customFormat="false" ht="37.5" hidden="false" customHeight="true" outlineLevel="0" collapsed="false">
      <c r="A70" s="24" t="n">
        <v>5</v>
      </c>
      <c r="B70" s="24" t="n">
        <v>5</v>
      </c>
      <c r="C70" s="24" t="n">
        <v>5</v>
      </c>
      <c r="D70" s="25" t="n">
        <f aca="false">MAX(0,1-(C70-1)*0.25)</f>
        <v>0</v>
      </c>
      <c r="E70" s="12" t="n">
        <f aca="false">A70*B70</f>
        <v>25</v>
      </c>
      <c r="F70" s="26" t="n">
        <f aca="false">B70*D70</f>
        <v>0</v>
      </c>
      <c r="G70" s="12" t="n">
        <f aca="false">ROUNDUP(F70,0)</f>
        <v>0</v>
      </c>
      <c r="H70" s="12" t="n">
        <f aca="false">A70</f>
        <v>5</v>
      </c>
      <c r="I70" s="27" t="n">
        <f aca="false">Parametry!$C$76</f>
        <v>6</v>
      </c>
      <c r="J70" s="12" t="str">
        <f aca="false">IF(D70&gt;0,"MOŻNA KUPIĆ","ZABLOKOWANE — bez opłaty")</f>
        <v>ZABLOKOWANE — bez opłaty</v>
      </c>
      <c r="K70" s="12" t="s">
        <v>810</v>
      </c>
    </row>
    <row r="71" customFormat="false" ht="37.5" hidden="false" customHeight="true" outlineLevel="0" collapsed="false">
      <c r="A71" s="28" t="n">
        <v>5</v>
      </c>
      <c r="B71" s="28" t="n">
        <v>25</v>
      </c>
      <c r="C71" s="28" t="n">
        <v>1</v>
      </c>
      <c r="D71" s="29" t="n">
        <f aca="false">MAX(0,1-(C71-1)*0.25)</f>
        <v>1</v>
      </c>
      <c r="E71" s="13" t="n">
        <f aca="false">A71*B71</f>
        <v>125</v>
      </c>
      <c r="F71" s="30" t="n">
        <f aca="false">B71*D71</f>
        <v>25</v>
      </c>
      <c r="G71" s="13" t="n">
        <f aca="false">ROUNDUP(F71,0)</f>
        <v>25</v>
      </c>
      <c r="H71" s="13" t="n">
        <f aca="false">A71</f>
        <v>5</v>
      </c>
      <c r="I71" s="31" t="n">
        <f aca="false">Parametry!$C$76</f>
        <v>6</v>
      </c>
      <c r="J71" s="13" t="str">
        <f aca="false">IF(D71&gt;0,"MOŻNA KUPIĆ","ZABLOKOWANE — bez opłaty")</f>
        <v>MOŻNA KUPIĆ</v>
      </c>
      <c r="K71" s="13" t="s">
        <v>810</v>
      </c>
    </row>
    <row r="72" customFormat="false" ht="37.5" hidden="false" customHeight="true" outlineLevel="0" collapsed="false">
      <c r="A72" s="24" t="n">
        <v>5</v>
      </c>
      <c r="B72" s="24" t="n">
        <v>25</v>
      </c>
      <c r="C72" s="24" t="n">
        <v>2</v>
      </c>
      <c r="D72" s="25" t="n">
        <f aca="false">MAX(0,1-(C72-1)*0.25)</f>
        <v>0.75</v>
      </c>
      <c r="E72" s="12" t="n">
        <f aca="false">A72*B72</f>
        <v>125</v>
      </c>
      <c r="F72" s="26" t="n">
        <f aca="false">B72*D72</f>
        <v>18.75</v>
      </c>
      <c r="G72" s="12" t="n">
        <f aca="false">ROUNDUP(F72,0)</f>
        <v>19</v>
      </c>
      <c r="H72" s="12" t="n">
        <f aca="false">A72</f>
        <v>5</v>
      </c>
      <c r="I72" s="27" t="n">
        <f aca="false">Parametry!$C$76</f>
        <v>6</v>
      </c>
      <c r="J72" s="12" t="str">
        <f aca="false">IF(D72&gt;0,"MOŻNA KUPIĆ","ZABLOKOWANE — bez opłaty")</f>
        <v>MOŻNA KUPIĆ</v>
      </c>
      <c r="K72" s="12" t="s">
        <v>810</v>
      </c>
    </row>
    <row r="73" customFormat="false" ht="37.5" hidden="false" customHeight="true" outlineLevel="0" collapsed="false">
      <c r="A73" s="28" t="n">
        <v>5</v>
      </c>
      <c r="B73" s="28" t="n">
        <v>25</v>
      </c>
      <c r="C73" s="28" t="n">
        <v>3</v>
      </c>
      <c r="D73" s="29" t="n">
        <f aca="false">MAX(0,1-(C73-1)*0.25)</f>
        <v>0.5</v>
      </c>
      <c r="E73" s="13" t="n">
        <f aca="false">A73*B73</f>
        <v>125</v>
      </c>
      <c r="F73" s="30" t="n">
        <f aca="false">B73*D73</f>
        <v>12.5</v>
      </c>
      <c r="G73" s="13" t="n">
        <f aca="false">ROUNDUP(F73,0)</f>
        <v>13</v>
      </c>
      <c r="H73" s="13" t="n">
        <f aca="false">A73</f>
        <v>5</v>
      </c>
      <c r="I73" s="31" t="n">
        <f aca="false">Parametry!$C$76</f>
        <v>6</v>
      </c>
      <c r="J73" s="13" t="str">
        <f aca="false">IF(D73&gt;0,"MOŻNA KUPIĆ","ZABLOKOWANE — bez opłaty")</f>
        <v>MOŻNA KUPIĆ</v>
      </c>
      <c r="K73" s="13" t="s">
        <v>810</v>
      </c>
    </row>
    <row r="74" customFormat="false" ht="37.5" hidden="false" customHeight="true" outlineLevel="0" collapsed="false">
      <c r="A74" s="24" t="n">
        <v>5</v>
      </c>
      <c r="B74" s="24" t="n">
        <v>25</v>
      </c>
      <c r="C74" s="24" t="n">
        <v>4</v>
      </c>
      <c r="D74" s="25" t="n">
        <f aca="false">MAX(0,1-(C74-1)*0.25)</f>
        <v>0.25</v>
      </c>
      <c r="E74" s="12" t="n">
        <f aca="false">A74*B74</f>
        <v>125</v>
      </c>
      <c r="F74" s="26" t="n">
        <f aca="false">B74*D74</f>
        <v>6.25</v>
      </c>
      <c r="G74" s="12" t="n">
        <f aca="false">ROUNDUP(F74,0)</f>
        <v>7</v>
      </c>
      <c r="H74" s="12" t="n">
        <f aca="false">A74</f>
        <v>5</v>
      </c>
      <c r="I74" s="27" t="n">
        <f aca="false">Parametry!$C$76</f>
        <v>6</v>
      </c>
      <c r="J74" s="12" t="str">
        <f aca="false">IF(D74&gt;0,"MOŻNA KUPIĆ","ZABLOKOWANE — bez opłaty")</f>
        <v>MOŻNA KUPIĆ</v>
      </c>
      <c r="K74" s="12" t="s">
        <v>810</v>
      </c>
    </row>
    <row r="75" customFormat="false" ht="37.5" hidden="false" customHeight="true" outlineLevel="0" collapsed="false">
      <c r="A75" s="28" t="n">
        <v>5</v>
      </c>
      <c r="B75" s="28" t="n">
        <v>25</v>
      </c>
      <c r="C75" s="28" t="n">
        <v>5</v>
      </c>
      <c r="D75" s="29" t="n">
        <f aca="false">MAX(0,1-(C75-1)*0.25)</f>
        <v>0</v>
      </c>
      <c r="E75" s="13" t="n">
        <f aca="false">A75*B75</f>
        <v>125</v>
      </c>
      <c r="F75" s="30" t="n">
        <f aca="false">B75*D75</f>
        <v>0</v>
      </c>
      <c r="G75" s="13" t="n">
        <f aca="false">ROUNDUP(F75,0)</f>
        <v>0</v>
      </c>
      <c r="H75" s="13" t="n">
        <f aca="false">A75</f>
        <v>5</v>
      </c>
      <c r="I75" s="31" t="n">
        <f aca="false">Parametry!$C$76</f>
        <v>6</v>
      </c>
      <c r="J75" s="13" t="str">
        <f aca="false">IF(D75&gt;0,"MOŻNA KUPIĆ","ZABLOKOWANE — bez opłaty")</f>
        <v>ZABLOKOWANE — bez opłaty</v>
      </c>
      <c r="K75" s="13" t="s">
        <v>810</v>
      </c>
    </row>
    <row r="76" customFormat="false" ht="37.5" hidden="false" customHeight="true" outlineLevel="0" collapsed="false">
      <c r="A76" s="24" t="n">
        <v>5</v>
      </c>
      <c r="B76" s="24" t="n">
        <v>50</v>
      </c>
      <c r="C76" s="24" t="n">
        <v>1</v>
      </c>
      <c r="D76" s="25" t="n">
        <f aca="false">MAX(0,1-(C76-1)*0.25)</f>
        <v>1</v>
      </c>
      <c r="E76" s="12" t="n">
        <f aca="false">A76*B76</f>
        <v>250</v>
      </c>
      <c r="F76" s="26" t="n">
        <f aca="false">B76*D76</f>
        <v>50</v>
      </c>
      <c r="G76" s="12" t="n">
        <f aca="false">ROUNDUP(F76,0)</f>
        <v>50</v>
      </c>
      <c r="H76" s="12" t="n">
        <f aca="false">A76</f>
        <v>5</v>
      </c>
      <c r="I76" s="27" t="n">
        <f aca="false">Parametry!$C$76</f>
        <v>6</v>
      </c>
      <c r="J76" s="12" t="str">
        <f aca="false">IF(D76&gt;0,"MOŻNA KUPIĆ","ZABLOKOWANE — bez opłaty")</f>
        <v>MOŻNA KUPIĆ</v>
      </c>
      <c r="K76" s="12" t="s">
        <v>810</v>
      </c>
    </row>
    <row r="77" customFormat="false" ht="37.5" hidden="false" customHeight="true" outlineLevel="0" collapsed="false">
      <c r="A77" s="28" t="n">
        <v>5</v>
      </c>
      <c r="B77" s="28" t="n">
        <v>50</v>
      </c>
      <c r="C77" s="28" t="n">
        <v>2</v>
      </c>
      <c r="D77" s="29" t="n">
        <f aca="false">MAX(0,1-(C77-1)*0.25)</f>
        <v>0.75</v>
      </c>
      <c r="E77" s="13" t="n">
        <f aca="false">A77*B77</f>
        <v>250</v>
      </c>
      <c r="F77" s="30" t="n">
        <f aca="false">B77*D77</f>
        <v>37.5</v>
      </c>
      <c r="G77" s="13" t="n">
        <f aca="false">ROUNDUP(F77,0)</f>
        <v>38</v>
      </c>
      <c r="H77" s="13" t="n">
        <f aca="false">A77</f>
        <v>5</v>
      </c>
      <c r="I77" s="31" t="n">
        <f aca="false">Parametry!$C$76</f>
        <v>6</v>
      </c>
      <c r="J77" s="13" t="str">
        <f aca="false">IF(D77&gt;0,"MOŻNA KUPIĆ","ZABLOKOWANE — bez opłaty")</f>
        <v>MOŻNA KUPIĆ</v>
      </c>
      <c r="K77" s="13" t="s">
        <v>810</v>
      </c>
    </row>
    <row r="78" customFormat="false" ht="37.5" hidden="false" customHeight="true" outlineLevel="0" collapsed="false">
      <c r="A78" s="24" t="n">
        <v>5</v>
      </c>
      <c r="B78" s="24" t="n">
        <v>50</v>
      </c>
      <c r="C78" s="24" t="n">
        <v>3</v>
      </c>
      <c r="D78" s="25" t="n">
        <f aca="false">MAX(0,1-(C78-1)*0.25)</f>
        <v>0.5</v>
      </c>
      <c r="E78" s="12" t="n">
        <f aca="false">A78*B78</f>
        <v>250</v>
      </c>
      <c r="F78" s="26" t="n">
        <f aca="false">B78*D78</f>
        <v>25</v>
      </c>
      <c r="G78" s="12" t="n">
        <f aca="false">ROUNDUP(F78,0)</f>
        <v>25</v>
      </c>
      <c r="H78" s="12" t="n">
        <f aca="false">A78</f>
        <v>5</v>
      </c>
      <c r="I78" s="27" t="n">
        <f aca="false">Parametry!$C$76</f>
        <v>6</v>
      </c>
      <c r="J78" s="12" t="str">
        <f aca="false">IF(D78&gt;0,"MOŻNA KUPIĆ","ZABLOKOWANE — bez opłaty")</f>
        <v>MOŻNA KUPIĆ</v>
      </c>
      <c r="K78" s="12" t="s">
        <v>810</v>
      </c>
    </row>
    <row r="79" customFormat="false" ht="37.5" hidden="false" customHeight="true" outlineLevel="0" collapsed="false">
      <c r="A79" s="28" t="n">
        <v>5</v>
      </c>
      <c r="B79" s="28" t="n">
        <v>50</v>
      </c>
      <c r="C79" s="28" t="n">
        <v>4</v>
      </c>
      <c r="D79" s="29" t="n">
        <f aca="false">MAX(0,1-(C79-1)*0.25)</f>
        <v>0.25</v>
      </c>
      <c r="E79" s="13" t="n">
        <f aca="false">A79*B79</f>
        <v>250</v>
      </c>
      <c r="F79" s="30" t="n">
        <f aca="false">B79*D79</f>
        <v>12.5</v>
      </c>
      <c r="G79" s="13" t="n">
        <f aca="false">ROUNDUP(F79,0)</f>
        <v>13</v>
      </c>
      <c r="H79" s="13" t="n">
        <f aca="false">A79</f>
        <v>5</v>
      </c>
      <c r="I79" s="31" t="n">
        <f aca="false">Parametry!$C$76</f>
        <v>6</v>
      </c>
      <c r="J79" s="13" t="str">
        <f aca="false">IF(D79&gt;0,"MOŻNA KUPIĆ","ZABLOKOWANE — bez opłaty")</f>
        <v>MOŻNA KUPIĆ</v>
      </c>
      <c r="K79" s="13" t="s">
        <v>810</v>
      </c>
    </row>
    <row r="80" customFormat="false" ht="37.5" hidden="false" customHeight="true" outlineLevel="0" collapsed="false">
      <c r="A80" s="24" t="n">
        <v>5</v>
      </c>
      <c r="B80" s="24" t="n">
        <v>50</v>
      </c>
      <c r="C80" s="24" t="n">
        <v>5</v>
      </c>
      <c r="D80" s="25" t="n">
        <f aca="false">MAX(0,1-(C80-1)*0.25)</f>
        <v>0</v>
      </c>
      <c r="E80" s="12" t="n">
        <f aca="false">A80*B80</f>
        <v>250</v>
      </c>
      <c r="F80" s="26" t="n">
        <f aca="false">B80*D80</f>
        <v>0</v>
      </c>
      <c r="G80" s="12" t="n">
        <f aca="false">ROUNDUP(F80,0)</f>
        <v>0</v>
      </c>
      <c r="H80" s="12" t="n">
        <f aca="false">A80</f>
        <v>5</v>
      </c>
      <c r="I80" s="27" t="n">
        <f aca="false">Parametry!$C$76</f>
        <v>6</v>
      </c>
      <c r="J80" s="12" t="str">
        <f aca="false">IF(D80&gt;0,"MOŻNA KUPIĆ","ZABLOKOWANE — bez opłaty")</f>
        <v>ZABLOKOWANE — bez opłaty</v>
      </c>
      <c r="K80" s="12" t="s">
        <v>810</v>
      </c>
    </row>
    <row r="81" customFormat="false" ht="37.5" hidden="false" customHeight="true" outlineLevel="0" collapsed="false">
      <c r="A81" s="28" t="n">
        <v>5</v>
      </c>
      <c r="B81" s="28" t="n">
        <v>100</v>
      </c>
      <c r="C81" s="28" t="n">
        <v>1</v>
      </c>
      <c r="D81" s="29" t="n">
        <f aca="false">MAX(0,1-(C81-1)*0.25)</f>
        <v>1</v>
      </c>
      <c r="E81" s="13" t="n">
        <f aca="false">A81*B81</f>
        <v>500</v>
      </c>
      <c r="F81" s="30" t="n">
        <f aca="false">B81*D81</f>
        <v>100</v>
      </c>
      <c r="G81" s="13" t="n">
        <f aca="false">ROUNDUP(F81,0)</f>
        <v>100</v>
      </c>
      <c r="H81" s="13" t="n">
        <f aca="false">A81</f>
        <v>5</v>
      </c>
      <c r="I81" s="31" t="n">
        <f aca="false">Parametry!$C$76</f>
        <v>6</v>
      </c>
      <c r="J81" s="13" t="str">
        <f aca="false">IF(D81&gt;0,"MOŻNA KUPIĆ","ZABLOKOWANE — bez opłaty")</f>
        <v>MOŻNA KUPIĆ</v>
      </c>
      <c r="K81" s="13" t="s">
        <v>810</v>
      </c>
    </row>
    <row r="82" customFormat="false" ht="37.5" hidden="false" customHeight="true" outlineLevel="0" collapsed="false">
      <c r="A82" s="24" t="n">
        <v>5</v>
      </c>
      <c r="B82" s="24" t="n">
        <v>100</v>
      </c>
      <c r="C82" s="24" t="n">
        <v>2</v>
      </c>
      <c r="D82" s="25" t="n">
        <f aca="false">MAX(0,1-(C82-1)*0.25)</f>
        <v>0.75</v>
      </c>
      <c r="E82" s="12" t="n">
        <f aca="false">A82*B82</f>
        <v>500</v>
      </c>
      <c r="F82" s="26" t="n">
        <f aca="false">B82*D82</f>
        <v>75</v>
      </c>
      <c r="G82" s="12" t="n">
        <f aca="false">ROUNDUP(F82,0)</f>
        <v>75</v>
      </c>
      <c r="H82" s="12" t="n">
        <f aca="false">A82</f>
        <v>5</v>
      </c>
      <c r="I82" s="27" t="n">
        <f aca="false">Parametry!$C$76</f>
        <v>6</v>
      </c>
      <c r="J82" s="12" t="str">
        <f aca="false">IF(D82&gt;0,"MOŻNA KUPIĆ","ZABLOKOWANE — bez opłaty")</f>
        <v>MOŻNA KUPIĆ</v>
      </c>
      <c r="K82" s="12" t="s">
        <v>810</v>
      </c>
    </row>
    <row r="83" customFormat="false" ht="37.5" hidden="false" customHeight="true" outlineLevel="0" collapsed="false">
      <c r="A83" s="28" t="n">
        <v>5</v>
      </c>
      <c r="B83" s="28" t="n">
        <v>100</v>
      </c>
      <c r="C83" s="28" t="n">
        <v>3</v>
      </c>
      <c r="D83" s="29" t="n">
        <f aca="false">MAX(0,1-(C83-1)*0.25)</f>
        <v>0.5</v>
      </c>
      <c r="E83" s="13" t="n">
        <f aca="false">A83*B83</f>
        <v>500</v>
      </c>
      <c r="F83" s="30" t="n">
        <f aca="false">B83*D83</f>
        <v>50</v>
      </c>
      <c r="G83" s="13" t="n">
        <f aca="false">ROUNDUP(F83,0)</f>
        <v>50</v>
      </c>
      <c r="H83" s="13" t="n">
        <f aca="false">A83</f>
        <v>5</v>
      </c>
      <c r="I83" s="31" t="n">
        <f aca="false">Parametry!$C$76</f>
        <v>6</v>
      </c>
      <c r="J83" s="13" t="str">
        <f aca="false">IF(D83&gt;0,"MOŻNA KUPIĆ","ZABLOKOWANE — bez opłaty")</f>
        <v>MOŻNA KUPIĆ</v>
      </c>
      <c r="K83" s="13" t="s">
        <v>810</v>
      </c>
    </row>
    <row r="84" customFormat="false" ht="37.5" hidden="false" customHeight="true" outlineLevel="0" collapsed="false">
      <c r="A84" s="24" t="n">
        <v>5</v>
      </c>
      <c r="B84" s="24" t="n">
        <v>100</v>
      </c>
      <c r="C84" s="24" t="n">
        <v>4</v>
      </c>
      <c r="D84" s="25" t="n">
        <f aca="false">MAX(0,1-(C84-1)*0.25)</f>
        <v>0.25</v>
      </c>
      <c r="E84" s="12" t="n">
        <f aca="false">A84*B84</f>
        <v>500</v>
      </c>
      <c r="F84" s="26" t="n">
        <f aca="false">B84*D84</f>
        <v>25</v>
      </c>
      <c r="G84" s="12" t="n">
        <f aca="false">ROUNDUP(F84,0)</f>
        <v>25</v>
      </c>
      <c r="H84" s="12" t="n">
        <f aca="false">A84</f>
        <v>5</v>
      </c>
      <c r="I84" s="27" t="n">
        <f aca="false">Parametry!$C$76</f>
        <v>6</v>
      </c>
      <c r="J84" s="12" t="str">
        <f aca="false">IF(D84&gt;0,"MOŻNA KUPIĆ","ZABLOKOWANE — bez opłaty")</f>
        <v>MOŻNA KUPIĆ</v>
      </c>
      <c r="K84" s="12" t="s">
        <v>810</v>
      </c>
    </row>
    <row r="85" customFormat="false" ht="37.5" hidden="false" customHeight="true" outlineLevel="0" collapsed="false">
      <c r="A85" s="28" t="n">
        <v>5</v>
      </c>
      <c r="B85" s="28" t="n">
        <v>100</v>
      </c>
      <c r="C85" s="28" t="n">
        <v>5</v>
      </c>
      <c r="D85" s="29" t="n">
        <f aca="false">MAX(0,1-(C85-1)*0.25)</f>
        <v>0</v>
      </c>
      <c r="E85" s="13" t="n">
        <f aca="false">A85*B85</f>
        <v>500</v>
      </c>
      <c r="F85" s="30" t="n">
        <f aca="false">B85*D85</f>
        <v>0</v>
      </c>
      <c r="G85" s="13" t="n">
        <f aca="false">ROUNDUP(F85,0)</f>
        <v>0</v>
      </c>
      <c r="H85" s="13" t="n">
        <f aca="false">A85</f>
        <v>5</v>
      </c>
      <c r="I85" s="31" t="n">
        <f aca="false">Parametry!$C$76</f>
        <v>6</v>
      </c>
      <c r="J85" s="13" t="str">
        <f aca="false">IF(D85&gt;0,"MOŻNA KUPIĆ","ZABLOKOWANE — bez opłaty")</f>
        <v>ZABLOKOWANE — bez opłaty</v>
      </c>
      <c r="K85" s="13" t="s">
        <v>810</v>
      </c>
    </row>
    <row r="86" customFormat="false" ht="37.5" hidden="false" customHeight="true" outlineLevel="0" collapsed="false">
      <c r="A86" s="24" t="n">
        <v>10</v>
      </c>
      <c r="B86" s="24" t="n">
        <v>5</v>
      </c>
      <c r="C86" s="24" t="n">
        <v>1</v>
      </c>
      <c r="D86" s="25" t="n">
        <f aca="false">MAX(0,1-(C86-1)*0.25)</f>
        <v>1</v>
      </c>
      <c r="E86" s="12" t="n">
        <f aca="false">A86*B86</f>
        <v>50</v>
      </c>
      <c r="F86" s="26" t="n">
        <f aca="false">B86*D86</f>
        <v>5</v>
      </c>
      <c r="G86" s="12" t="n">
        <f aca="false">ROUNDUP(F86,0)</f>
        <v>5</v>
      </c>
      <c r="H86" s="12" t="n">
        <f aca="false">A86</f>
        <v>10</v>
      </c>
      <c r="I86" s="27" t="n">
        <f aca="false">Parametry!$C$76</f>
        <v>6</v>
      </c>
      <c r="J86" s="12" t="str">
        <f aca="false">IF(D86&gt;0,"MOŻNA KUPIĆ","ZABLOKOWANE — bez opłaty")</f>
        <v>MOŻNA KUPIĆ</v>
      </c>
      <c r="K86" s="12" t="s">
        <v>810</v>
      </c>
    </row>
    <row r="87" customFormat="false" ht="37.5" hidden="false" customHeight="true" outlineLevel="0" collapsed="false">
      <c r="A87" s="28" t="n">
        <v>10</v>
      </c>
      <c r="B87" s="28" t="n">
        <v>5</v>
      </c>
      <c r="C87" s="28" t="n">
        <v>2</v>
      </c>
      <c r="D87" s="29" t="n">
        <f aca="false">MAX(0,1-(C87-1)*0.25)</f>
        <v>0.75</v>
      </c>
      <c r="E87" s="13" t="n">
        <f aca="false">A87*B87</f>
        <v>50</v>
      </c>
      <c r="F87" s="30" t="n">
        <f aca="false">B87*D87</f>
        <v>3.75</v>
      </c>
      <c r="G87" s="13" t="n">
        <f aca="false">ROUNDUP(F87,0)</f>
        <v>4</v>
      </c>
      <c r="H87" s="13" t="n">
        <f aca="false">A87</f>
        <v>10</v>
      </c>
      <c r="I87" s="31" t="n">
        <f aca="false">Parametry!$C$76</f>
        <v>6</v>
      </c>
      <c r="J87" s="13" t="str">
        <f aca="false">IF(D87&gt;0,"MOŻNA KUPIĆ","ZABLOKOWANE — bez opłaty")</f>
        <v>MOŻNA KUPIĆ</v>
      </c>
      <c r="K87" s="13" t="s">
        <v>810</v>
      </c>
    </row>
    <row r="88" customFormat="false" ht="37.5" hidden="false" customHeight="true" outlineLevel="0" collapsed="false">
      <c r="A88" s="24" t="n">
        <v>10</v>
      </c>
      <c r="B88" s="24" t="n">
        <v>5</v>
      </c>
      <c r="C88" s="24" t="n">
        <v>3</v>
      </c>
      <c r="D88" s="25" t="n">
        <f aca="false">MAX(0,1-(C88-1)*0.25)</f>
        <v>0.5</v>
      </c>
      <c r="E88" s="12" t="n">
        <f aca="false">A88*B88</f>
        <v>50</v>
      </c>
      <c r="F88" s="26" t="n">
        <f aca="false">B88*D88</f>
        <v>2.5</v>
      </c>
      <c r="G88" s="12" t="n">
        <f aca="false">ROUNDUP(F88,0)</f>
        <v>3</v>
      </c>
      <c r="H88" s="12" t="n">
        <f aca="false">A88</f>
        <v>10</v>
      </c>
      <c r="I88" s="27" t="n">
        <f aca="false">Parametry!$C$76</f>
        <v>6</v>
      </c>
      <c r="J88" s="12" t="str">
        <f aca="false">IF(D88&gt;0,"MOŻNA KUPIĆ","ZABLOKOWANE — bez opłaty")</f>
        <v>MOŻNA KUPIĆ</v>
      </c>
      <c r="K88" s="12" t="s">
        <v>810</v>
      </c>
    </row>
    <row r="89" customFormat="false" ht="37.5" hidden="false" customHeight="true" outlineLevel="0" collapsed="false">
      <c r="A89" s="28" t="n">
        <v>10</v>
      </c>
      <c r="B89" s="28" t="n">
        <v>5</v>
      </c>
      <c r="C89" s="28" t="n">
        <v>4</v>
      </c>
      <c r="D89" s="29" t="n">
        <f aca="false">MAX(0,1-(C89-1)*0.25)</f>
        <v>0.25</v>
      </c>
      <c r="E89" s="13" t="n">
        <f aca="false">A89*B89</f>
        <v>50</v>
      </c>
      <c r="F89" s="30" t="n">
        <f aca="false">B89*D89</f>
        <v>1.25</v>
      </c>
      <c r="G89" s="13" t="n">
        <f aca="false">ROUNDUP(F89,0)</f>
        <v>2</v>
      </c>
      <c r="H89" s="13" t="n">
        <f aca="false">A89</f>
        <v>10</v>
      </c>
      <c r="I89" s="31" t="n">
        <f aca="false">Parametry!$C$76</f>
        <v>6</v>
      </c>
      <c r="J89" s="13" t="str">
        <f aca="false">IF(D89&gt;0,"MOŻNA KUPIĆ","ZABLOKOWANE — bez opłaty")</f>
        <v>MOŻNA KUPIĆ</v>
      </c>
      <c r="K89" s="13" t="s">
        <v>810</v>
      </c>
    </row>
    <row r="90" customFormat="false" ht="37.5" hidden="false" customHeight="true" outlineLevel="0" collapsed="false">
      <c r="A90" s="24" t="n">
        <v>10</v>
      </c>
      <c r="B90" s="24" t="n">
        <v>5</v>
      </c>
      <c r="C90" s="24" t="n">
        <v>5</v>
      </c>
      <c r="D90" s="25" t="n">
        <f aca="false">MAX(0,1-(C90-1)*0.25)</f>
        <v>0</v>
      </c>
      <c r="E90" s="12" t="n">
        <f aca="false">A90*B90</f>
        <v>50</v>
      </c>
      <c r="F90" s="26" t="n">
        <f aca="false">B90*D90</f>
        <v>0</v>
      </c>
      <c r="G90" s="12" t="n">
        <f aca="false">ROUNDUP(F90,0)</f>
        <v>0</v>
      </c>
      <c r="H90" s="12" t="n">
        <f aca="false">A90</f>
        <v>10</v>
      </c>
      <c r="I90" s="27" t="n">
        <f aca="false">Parametry!$C$76</f>
        <v>6</v>
      </c>
      <c r="J90" s="12" t="str">
        <f aca="false">IF(D90&gt;0,"MOŻNA KUPIĆ","ZABLOKOWANE — bez opłaty")</f>
        <v>ZABLOKOWANE — bez opłaty</v>
      </c>
      <c r="K90" s="12" t="s">
        <v>810</v>
      </c>
    </row>
    <row r="91" customFormat="false" ht="37.5" hidden="false" customHeight="true" outlineLevel="0" collapsed="false">
      <c r="A91" s="28" t="n">
        <v>10</v>
      </c>
      <c r="B91" s="28" t="n">
        <v>25</v>
      </c>
      <c r="C91" s="28" t="n">
        <v>1</v>
      </c>
      <c r="D91" s="29" t="n">
        <f aca="false">MAX(0,1-(C91-1)*0.25)</f>
        <v>1</v>
      </c>
      <c r="E91" s="13" t="n">
        <f aca="false">A91*B91</f>
        <v>250</v>
      </c>
      <c r="F91" s="30" t="n">
        <f aca="false">B91*D91</f>
        <v>25</v>
      </c>
      <c r="G91" s="13" t="n">
        <f aca="false">ROUNDUP(F91,0)</f>
        <v>25</v>
      </c>
      <c r="H91" s="13" t="n">
        <f aca="false">A91</f>
        <v>10</v>
      </c>
      <c r="I91" s="31" t="n">
        <f aca="false">Parametry!$C$76</f>
        <v>6</v>
      </c>
      <c r="J91" s="13" t="str">
        <f aca="false">IF(D91&gt;0,"MOŻNA KUPIĆ","ZABLOKOWANE — bez opłaty")</f>
        <v>MOŻNA KUPIĆ</v>
      </c>
      <c r="K91" s="13" t="s">
        <v>810</v>
      </c>
    </row>
    <row r="92" customFormat="false" ht="37.5" hidden="false" customHeight="true" outlineLevel="0" collapsed="false">
      <c r="A92" s="24" t="n">
        <v>10</v>
      </c>
      <c r="B92" s="24" t="n">
        <v>25</v>
      </c>
      <c r="C92" s="24" t="n">
        <v>2</v>
      </c>
      <c r="D92" s="25" t="n">
        <f aca="false">MAX(0,1-(C92-1)*0.25)</f>
        <v>0.75</v>
      </c>
      <c r="E92" s="12" t="n">
        <f aca="false">A92*B92</f>
        <v>250</v>
      </c>
      <c r="F92" s="26" t="n">
        <f aca="false">B92*D92</f>
        <v>18.75</v>
      </c>
      <c r="G92" s="12" t="n">
        <f aca="false">ROUNDUP(F92,0)</f>
        <v>19</v>
      </c>
      <c r="H92" s="12" t="n">
        <f aca="false">A92</f>
        <v>10</v>
      </c>
      <c r="I92" s="27" t="n">
        <f aca="false">Parametry!$C$76</f>
        <v>6</v>
      </c>
      <c r="J92" s="12" t="str">
        <f aca="false">IF(D92&gt;0,"MOŻNA KUPIĆ","ZABLOKOWANE — bez opłaty")</f>
        <v>MOŻNA KUPIĆ</v>
      </c>
      <c r="K92" s="12" t="s">
        <v>810</v>
      </c>
    </row>
    <row r="93" customFormat="false" ht="37.5" hidden="false" customHeight="true" outlineLevel="0" collapsed="false">
      <c r="A93" s="28" t="n">
        <v>10</v>
      </c>
      <c r="B93" s="28" t="n">
        <v>25</v>
      </c>
      <c r="C93" s="28" t="n">
        <v>3</v>
      </c>
      <c r="D93" s="29" t="n">
        <f aca="false">MAX(0,1-(C93-1)*0.25)</f>
        <v>0.5</v>
      </c>
      <c r="E93" s="13" t="n">
        <f aca="false">A93*B93</f>
        <v>250</v>
      </c>
      <c r="F93" s="30" t="n">
        <f aca="false">B93*D93</f>
        <v>12.5</v>
      </c>
      <c r="G93" s="13" t="n">
        <f aca="false">ROUNDUP(F93,0)</f>
        <v>13</v>
      </c>
      <c r="H93" s="13" t="n">
        <f aca="false">A93</f>
        <v>10</v>
      </c>
      <c r="I93" s="31" t="n">
        <f aca="false">Parametry!$C$76</f>
        <v>6</v>
      </c>
      <c r="J93" s="13" t="str">
        <f aca="false">IF(D93&gt;0,"MOŻNA KUPIĆ","ZABLOKOWANE — bez opłaty")</f>
        <v>MOŻNA KUPIĆ</v>
      </c>
      <c r="K93" s="13" t="s">
        <v>810</v>
      </c>
    </row>
    <row r="94" customFormat="false" ht="37.5" hidden="false" customHeight="true" outlineLevel="0" collapsed="false">
      <c r="A94" s="24" t="n">
        <v>10</v>
      </c>
      <c r="B94" s="24" t="n">
        <v>25</v>
      </c>
      <c r="C94" s="24" t="n">
        <v>4</v>
      </c>
      <c r="D94" s="25" t="n">
        <f aca="false">MAX(0,1-(C94-1)*0.25)</f>
        <v>0.25</v>
      </c>
      <c r="E94" s="12" t="n">
        <f aca="false">A94*B94</f>
        <v>250</v>
      </c>
      <c r="F94" s="26" t="n">
        <f aca="false">B94*D94</f>
        <v>6.25</v>
      </c>
      <c r="G94" s="12" t="n">
        <f aca="false">ROUNDUP(F94,0)</f>
        <v>7</v>
      </c>
      <c r="H94" s="12" t="n">
        <f aca="false">A94</f>
        <v>10</v>
      </c>
      <c r="I94" s="27" t="n">
        <f aca="false">Parametry!$C$76</f>
        <v>6</v>
      </c>
      <c r="J94" s="12" t="str">
        <f aca="false">IF(D94&gt;0,"MOŻNA KUPIĆ","ZABLOKOWANE — bez opłaty")</f>
        <v>MOŻNA KUPIĆ</v>
      </c>
      <c r="K94" s="12" t="s">
        <v>810</v>
      </c>
    </row>
    <row r="95" customFormat="false" ht="37.5" hidden="false" customHeight="true" outlineLevel="0" collapsed="false">
      <c r="A95" s="28" t="n">
        <v>10</v>
      </c>
      <c r="B95" s="28" t="n">
        <v>25</v>
      </c>
      <c r="C95" s="28" t="n">
        <v>5</v>
      </c>
      <c r="D95" s="29" t="n">
        <f aca="false">MAX(0,1-(C95-1)*0.25)</f>
        <v>0</v>
      </c>
      <c r="E95" s="13" t="n">
        <f aca="false">A95*B95</f>
        <v>250</v>
      </c>
      <c r="F95" s="30" t="n">
        <f aca="false">B95*D95</f>
        <v>0</v>
      </c>
      <c r="G95" s="13" t="n">
        <f aca="false">ROUNDUP(F95,0)</f>
        <v>0</v>
      </c>
      <c r="H95" s="13" t="n">
        <f aca="false">A95</f>
        <v>10</v>
      </c>
      <c r="I95" s="31" t="n">
        <f aca="false">Parametry!$C$76</f>
        <v>6</v>
      </c>
      <c r="J95" s="13" t="str">
        <f aca="false">IF(D95&gt;0,"MOŻNA KUPIĆ","ZABLOKOWANE — bez opłaty")</f>
        <v>ZABLOKOWANE — bez opłaty</v>
      </c>
      <c r="K95" s="13" t="s">
        <v>810</v>
      </c>
    </row>
    <row r="96" customFormat="false" ht="37.5" hidden="false" customHeight="true" outlineLevel="0" collapsed="false">
      <c r="A96" s="24" t="n">
        <v>10</v>
      </c>
      <c r="B96" s="24" t="n">
        <v>50</v>
      </c>
      <c r="C96" s="24" t="n">
        <v>1</v>
      </c>
      <c r="D96" s="25" t="n">
        <f aca="false">MAX(0,1-(C96-1)*0.25)</f>
        <v>1</v>
      </c>
      <c r="E96" s="12" t="n">
        <f aca="false">A96*B96</f>
        <v>500</v>
      </c>
      <c r="F96" s="26" t="n">
        <f aca="false">B96*D96</f>
        <v>50</v>
      </c>
      <c r="G96" s="12" t="n">
        <f aca="false">ROUNDUP(F96,0)</f>
        <v>50</v>
      </c>
      <c r="H96" s="12" t="n">
        <f aca="false">A96</f>
        <v>10</v>
      </c>
      <c r="I96" s="27" t="n">
        <f aca="false">Parametry!$C$76</f>
        <v>6</v>
      </c>
      <c r="J96" s="12" t="str">
        <f aca="false">IF(D96&gt;0,"MOŻNA KUPIĆ","ZABLOKOWANE — bez opłaty")</f>
        <v>MOŻNA KUPIĆ</v>
      </c>
      <c r="K96" s="12" t="s">
        <v>810</v>
      </c>
    </row>
    <row r="97" customFormat="false" ht="37.5" hidden="false" customHeight="true" outlineLevel="0" collapsed="false">
      <c r="A97" s="28" t="n">
        <v>10</v>
      </c>
      <c r="B97" s="28" t="n">
        <v>50</v>
      </c>
      <c r="C97" s="28" t="n">
        <v>2</v>
      </c>
      <c r="D97" s="29" t="n">
        <f aca="false">MAX(0,1-(C97-1)*0.25)</f>
        <v>0.75</v>
      </c>
      <c r="E97" s="13" t="n">
        <f aca="false">A97*B97</f>
        <v>500</v>
      </c>
      <c r="F97" s="30" t="n">
        <f aca="false">B97*D97</f>
        <v>37.5</v>
      </c>
      <c r="G97" s="13" t="n">
        <f aca="false">ROUNDUP(F97,0)</f>
        <v>38</v>
      </c>
      <c r="H97" s="13" t="n">
        <f aca="false">A97</f>
        <v>10</v>
      </c>
      <c r="I97" s="31" t="n">
        <f aca="false">Parametry!$C$76</f>
        <v>6</v>
      </c>
      <c r="J97" s="13" t="str">
        <f aca="false">IF(D97&gt;0,"MOŻNA KUPIĆ","ZABLOKOWANE — bez opłaty")</f>
        <v>MOŻNA KUPIĆ</v>
      </c>
      <c r="K97" s="13" t="s">
        <v>810</v>
      </c>
    </row>
    <row r="98" customFormat="false" ht="37.5" hidden="false" customHeight="true" outlineLevel="0" collapsed="false">
      <c r="A98" s="24" t="n">
        <v>10</v>
      </c>
      <c r="B98" s="24" t="n">
        <v>50</v>
      </c>
      <c r="C98" s="24" t="n">
        <v>3</v>
      </c>
      <c r="D98" s="25" t="n">
        <f aca="false">MAX(0,1-(C98-1)*0.25)</f>
        <v>0.5</v>
      </c>
      <c r="E98" s="12" t="n">
        <f aca="false">A98*B98</f>
        <v>500</v>
      </c>
      <c r="F98" s="26" t="n">
        <f aca="false">B98*D98</f>
        <v>25</v>
      </c>
      <c r="G98" s="12" t="n">
        <f aca="false">ROUNDUP(F98,0)</f>
        <v>25</v>
      </c>
      <c r="H98" s="12" t="n">
        <f aca="false">A98</f>
        <v>10</v>
      </c>
      <c r="I98" s="27" t="n">
        <f aca="false">Parametry!$C$76</f>
        <v>6</v>
      </c>
      <c r="J98" s="12" t="str">
        <f aca="false">IF(D98&gt;0,"MOŻNA KUPIĆ","ZABLOKOWANE — bez opłaty")</f>
        <v>MOŻNA KUPIĆ</v>
      </c>
      <c r="K98" s="12" t="s">
        <v>810</v>
      </c>
    </row>
    <row r="99" customFormat="false" ht="37.5" hidden="false" customHeight="true" outlineLevel="0" collapsed="false">
      <c r="A99" s="28" t="n">
        <v>10</v>
      </c>
      <c r="B99" s="28" t="n">
        <v>50</v>
      </c>
      <c r="C99" s="28" t="n">
        <v>4</v>
      </c>
      <c r="D99" s="29" t="n">
        <f aca="false">MAX(0,1-(C99-1)*0.25)</f>
        <v>0.25</v>
      </c>
      <c r="E99" s="13" t="n">
        <f aca="false">A99*B99</f>
        <v>500</v>
      </c>
      <c r="F99" s="30" t="n">
        <f aca="false">B99*D99</f>
        <v>12.5</v>
      </c>
      <c r="G99" s="13" t="n">
        <f aca="false">ROUNDUP(F99,0)</f>
        <v>13</v>
      </c>
      <c r="H99" s="13" t="n">
        <f aca="false">A99</f>
        <v>10</v>
      </c>
      <c r="I99" s="31" t="n">
        <f aca="false">Parametry!$C$76</f>
        <v>6</v>
      </c>
      <c r="J99" s="13" t="str">
        <f aca="false">IF(D99&gt;0,"MOŻNA KUPIĆ","ZABLOKOWANE — bez opłaty")</f>
        <v>MOŻNA KUPIĆ</v>
      </c>
      <c r="K99" s="13" t="s">
        <v>810</v>
      </c>
    </row>
    <row r="100" customFormat="false" ht="37.5" hidden="false" customHeight="true" outlineLevel="0" collapsed="false">
      <c r="A100" s="24" t="n">
        <v>10</v>
      </c>
      <c r="B100" s="24" t="n">
        <v>50</v>
      </c>
      <c r="C100" s="24" t="n">
        <v>5</v>
      </c>
      <c r="D100" s="25" t="n">
        <f aca="false">MAX(0,1-(C100-1)*0.25)</f>
        <v>0</v>
      </c>
      <c r="E100" s="12" t="n">
        <f aca="false">A100*B100</f>
        <v>500</v>
      </c>
      <c r="F100" s="26" t="n">
        <f aca="false">B100*D100</f>
        <v>0</v>
      </c>
      <c r="G100" s="12" t="n">
        <f aca="false">ROUNDUP(F100,0)</f>
        <v>0</v>
      </c>
      <c r="H100" s="12" t="n">
        <f aca="false">A100</f>
        <v>10</v>
      </c>
      <c r="I100" s="27" t="n">
        <f aca="false">Parametry!$C$76</f>
        <v>6</v>
      </c>
      <c r="J100" s="12" t="str">
        <f aca="false">IF(D100&gt;0,"MOŻNA KUPIĆ","ZABLOKOWANE — bez opłaty")</f>
        <v>ZABLOKOWANE — bez opłaty</v>
      </c>
      <c r="K100" s="12" t="s">
        <v>810</v>
      </c>
    </row>
    <row r="101" customFormat="false" ht="37.5" hidden="false" customHeight="true" outlineLevel="0" collapsed="false">
      <c r="A101" s="28" t="n">
        <v>10</v>
      </c>
      <c r="B101" s="28" t="n">
        <v>100</v>
      </c>
      <c r="C101" s="28" t="n">
        <v>1</v>
      </c>
      <c r="D101" s="29" t="n">
        <f aca="false">MAX(0,1-(C101-1)*0.25)</f>
        <v>1</v>
      </c>
      <c r="E101" s="13" t="n">
        <f aca="false">A101*B101</f>
        <v>1000</v>
      </c>
      <c r="F101" s="30" t="n">
        <f aca="false">B101*D101</f>
        <v>100</v>
      </c>
      <c r="G101" s="13" t="n">
        <f aca="false">ROUNDUP(F101,0)</f>
        <v>100</v>
      </c>
      <c r="H101" s="13" t="n">
        <f aca="false">A101</f>
        <v>10</v>
      </c>
      <c r="I101" s="31" t="n">
        <f aca="false">Parametry!$C$76</f>
        <v>6</v>
      </c>
      <c r="J101" s="13" t="str">
        <f aca="false">IF(D101&gt;0,"MOŻNA KUPIĆ","ZABLOKOWANE — bez opłaty")</f>
        <v>MOŻNA KUPIĆ</v>
      </c>
      <c r="K101" s="13" t="s">
        <v>810</v>
      </c>
    </row>
    <row r="102" customFormat="false" ht="37.5" hidden="false" customHeight="true" outlineLevel="0" collapsed="false">
      <c r="A102" s="24" t="n">
        <v>10</v>
      </c>
      <c r="B102" s="24" t="n">
        <v>100</v>
      </c>
      <c r="C102" s="24" t="n">
        <v>2</v>
      </c>
      <c r="D102" s="25" t="n">
        <f aca="false">MAX(0,1-(C102-1)*0.25)</f>
        <v>0.75</v>
      </c>
      <c r="E102" s="12" t="n">
        <f aca="false">A102*B102</f>
        <v>1000</v>
      </c>
      <c r="F102" s="26" t="n">
        <f aca="false">B102*D102</f>
        <v>75</v>
      </c>
      <c r="G102" s="12" t="n">
        <f aca="false">ROUNDUP(F102,0)</f>
        <v>75</v>
      </c>
      <c r="H102" s="12" t="n">
        <f aca="false">A102</f>
        <v>10</v>
      </c>
      <c r="I102" s="27" t="n">
        <f aca="false">Parametry!$C$76</f>
        <v>6</v>
      </c>
      <c r="J102" s="12" t="str">
        <f aca="false">IF(D102&gt;0,"MOŻNA KUPIĆ","ZABLOKOWANE — bez opłaty")</f>
        <v>MOŻNA KUPIĆ</v>
      </c>
      <c r="K102" s="12" t="s">
        <v>810</v>
      </c>
    </row>
    <row r="103" customFormat="false" ht="37.5" hidden="false" customHeight="true" outlineLevel="0" collapsed="false">
      <c r="A103" s="28" t="n">
        <v>10</v>
      </c>
      <c r="B103" s="28" t="n">
        <v>100</v>
      </c>
      <c r="C103" s="28" t="n">
        <v>3</v>
      </c>
      <c r="D103" s="29" t="n">
        <f aca="false">MAX(0,1-(C103-1)*0.25)</f>
        <v>0.5</v>
      </c>
      <c r="E103" s="13" t="n">
        <f aca="false">A103*B103</f>
        <v>1000</v>
      </c>
      <c r="F103" s="30" t="n">
        <f aca="false">B103*D103</f>
        <v>50</v>
      </c>
      <c r="G103" s="13" t="n">
        <f aca="false">ROUNDUP(F103,0)</f>
        <v>50</v>
      </c>
      <c r="H103" s="13" t="n">
        <f aca="false">A103</f>
        <v>10</v>
      </c>
      <c r="I103" s="31" t="n">
        <f aca="false">Parametry!$C$76</f>
        <v>6</v>
      </c>
      <c r="J103" s="13" t="str">
        <f aca="false">IF(D103&gt;0,"MOŻNA KUPIĆ","ZABLOKOWANE — bez opłaty")</f>
        <v>MOŻNA KUPIĆ</v>
      </c>
      <c r="K103" s="13" t="s">
        <v>810</v>
      </c>
    </row>
    <row r="104" customFormat="false" ht="37.5" hidden="false" customHeight="true" outlineLevel="0" collapsed="false">
      <c r="A104" s="24" t="n">
        <v>10</v>
      </c>
      <c r="B104" s="24" t="n">
        <v>100</v>
      </c>
      <c r="C104" s="24" t="n">
        <v>4</v>
      </c>
      <c r="D104" s="25" t="n">
        <f aca="false">MAX(0,1-(C104-1)*0.25)</f>
        <v>0.25</v>
      </c>
      <c r="E104" s="12" t="n">
        <f aca="false">A104*B104</f>
        <v>1000</v>
      </c>
      <c r="F104" s="26" t="n">
        <f aca="false">B104*D104</f>
        <v>25</v>
      </c>
      <c r="G104" s="12" t="n">
        <f aca="false">ROUNDUP(F104,0)</f>
        <v>25</v>
      </c>
      <c r="H104" s="12" t="n">
        <f aca="false">A104</f>
        <v>10</v>
      </c>
      <c r="I104" s="27" t="n">
        <f aca="false">Parametry!$C$76</f>
        <v>6</v>
      </c>
      <c r="J104" s="12" t="str">
        <f aca="false">IF(D104&gt;0,"MOŻNA KUPIĆ","ZABLOKOWANE — bez opłaty")</f>
        <v>MOŻNA KUPIĆ</v>
      </c>
      <c r="K104" s="12" t="s">
        <v>810</v>
      </c>
    </row>
    <row r="105" customFormat="false" ht="37.5" hidden="false" customHeight="true" outlineLevel="0" collapsed="false">
      <c r="A105" s="28" t="n">
        <v>10</v>
      </c>
      <c r="B105" s="28" t="n">
        <v>100</v>
      </c>
      <c r="C105" s="28" t="n">
        <v>5</v>
      </c>
      <c r="D105" s="29" t="n">
        <f aca="false">MAX(0,1-(C105-1)*0.25)</f>
        <v>0</v>
      </c>
      <c r="E105" s="13" t="n">
        <f aca="false">A105*B105</f>
        <v>1000</v>
      </c>
      <c r="F105" s="30" t="n">
        <f aca="false">B105*D105</f>
        <v>0</v>
      </c>
      <c r="G105" s="13" t="n">
        <f aca="false">ROUNDUP(F105,0)</f>
        <v>0</v>
      </c>
      <c r="H105" s="13" t="n">
        <f aca="false">A105</f>
        <v>10</v>
      </c>
      <c r="I105" s="31" t="n">
        <f aca="false">Parametry!$C$76</f>
        <v>6</v>
      </c>
      <c r="J105" s="13" t="str">
        <f aca="false">IF(D105&gt;0,"MOŻNA KUPIĆ","ZABLOKOWANE — bez opłaty")</f>
        <v>ZABLOKOWANE — bez opłaty</v>
      </c>
      <c r="K105" s="13" t="s">
        <v>810</v>
      </c>
    </row>
  </sheetData>
  <autoFilter ref="A5:K105"/>
  <mergeCells count="2">
    <mergeCell ref="A1:K1"/>
    <mergeCell ref="A2:K2"/>
  </mergeCells>
  <printOptions headings="false" gridLines="false" gridLinesSet="true" horizontalCentered="tru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6D75"/>
    <pageSetUpPr fitToPage="true"/>
  </sheetPr>
  <dimension ref="A1:K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20"/>
    <col collapsed="false" customWidth="true" hidden="false" outlineLevel="0" max="3" min="3" style="0" width="16"/>
    <col collapsed="false" customWidth="true" hidden="false" outlineLevel="0" max="4" min="4" style="0" width="25"/>
    <col collapsed="false" customWidth="true" hidden="false" outlineLevel="0" max="5" min="5" style="0" width="21"/>
    <col collapsed="false" customWidth="true" hidden="false" outlineLevel="0" max="6" min="6" style="0" width="20"/>
    <col collapsed="false" customWidth="true" hidden="false" outlineLevel="0" max="7" min="7" style="0" width="22"/>
    <col collapsed="false" customWidth="true" hidden="false" outlineLevel="0" max="8" min="8" style="0" width="19"/>
    <col collapsed="false" customWidth="true" hidden="false" outlineLevel="0" max="9" min="9" style="0" width="21"/>
    <col collapsed="false" customWidth="true" hidden="false" outlineLevel="0" max="10" min="10" style="0" width="23"/>
    <col collapsed="false" customWidth="true" hidden="false" outlineLevel="0" max="11" min="11" style="0" width="80"/>
  </cols>
  <sheetData>
    <row r="1" customFormat="false" ht="31.5" hidden="false" customHeight="true" outlineLevel="0" collapsed="false">
      <c r="A1" s="9" t="s">
        <v>811</v>
      </c>
      <c r="B1" s="9"/>
      <c r="C1" s="9"/>
      <c r="D1" s="9"/>
      <c r="E1" s="9"/>
      <c r="F1" s="9"/>
      <c r="G1" s="9"/>
      <c r="H1" s="9"/>
      <c r="I1" s="9"/>
      <c r="J1" s="9"/>
      <c r="K1" s="9"/>
    </row>
    <row r="2" customFormat="false" ht="75.75" hidden="false" customHeight="true" outlineLevel="0" collapsed="false">
      <c r="A2" s="10" t="s">
        <v>812</v>
      </c>
      <c r="B2" s="10"/>
      <c r="C2" s="10"/>
      <c r="D2" s="10"/>
      <c r="E2" s="10"/>
      <c r="F2" s="10"/>
      <c r="G2" s="10"/>
      <c r="H2" s="10"/>
      <c r="I2" s="10"/>
      <c r="J2" s="10"/>
      <c r="K2" s="10"/>
    </row>
    <row r="5" customFormat="false" ht="33.75" hidden="false" customHeight="true" outlineLevel="0" collapsed="false">
      <c r="A5" s="11" t="s">
        <v>813</v>
      </c>
      <c r="B5" s="11" t="s">
        <v>814</v>
      </c>
      <c r="C5" s="11" t="s">
        <v>815</v>
      </c>
      <c r="D5" s="11" t="s">
        <v>816</v>
      </c>
      <c r="E5" s="11" t="s">
        <v>817</v>
      </c>
      <c r="F5" s="11" t="s">
        <v>818</v>
      </c>
      <c r="G5" s="11" t="s">
        <v>819</v>
      </c>
      <c r="H5" s="11" t="s">
        <v>820</v>
      </c>
      <c r="I5" s="11" t="s">
        <v>821</v>
      </c>
      <c r="J5" s="11" t="s">
        <v>822</v>
      </c>
      <c r="K5" s="11" t="s">
        <v>823</v>
      </c>
    </row>
    <row r="6" customFormat="false" ht="33.75" hidden="false" customHeight="true" outlineLevel="0" collapsed="false">
      <c r="A6" s="12" t="n">
        <v>0</v>
      </c>
      <c r="B6" s="12" t="n">
        <v>0</v>
      </c>
      <c r="C6" s="27" t="n">
        <f aca="false">Parametry!$C$70</f>
        <v>100</v>
      </c>
      <c r="D6" s="12" t="n">
        <f aca="false">IF(A6=0,0,Parametry!$C$68*C6)</f>
        <v>0</v>
      </c>
      <c r="E6" s="12" t="n">
        <f aca="false">A6*Parametry!$C$68*C6</f>
        <v>0</v>
      </c>
      <c r="F6" s="25" t="n">
        <f aca="false">A6*Parametry!$C$71</f>
        <v>0</v>
      </c>
      <c r="G6" s="32" t="n">
        <f aca="false">1+F6</f>
        <v>1</v>
      </c>
      <c r="H6" s="25" t="n">
        <f aca="false">MAX(0,A6-2)*Parametry!$C$72</f>
        <v>0</v>
      </c>
      <c r="I6" s="32" t="n">
        <f aca="false">1+H6</f>
        <v>1</v>
      </c>
      <c r="J6" s="33" t="n">
        <f aca="false">300/G6</f>
        <v>300</v>
      </c>
      <c r="K6" s="12" t="s">
        <v>824</v>
      </c>
    </row>
    <row r="7" customFormat="false" ht="33.75" hidden="false" customHeight="true" outlineLevel="0" collapsed="false">
      <c r="A7" s="13" t="n">
        <v>1</v>
      </c>
      <c r="B7" s="13" t="n">
        <v>100</v>
      </c>
      <c r="C7" s="31" t="n">
        <f aca="false">Parametry!$C$70</f>
        <v>100</v>
      </c>
      <c r="D7" s="13" t="n">
        <f aca="false">IF(A7=0,0,Parametry!$C$68*C7)</f>
        <v>10000</v>
      </c>
      <c r="E7" s="13" t="n">
        <f aca="false">A7*Parametry!$C$68*C7</f>
        <v>10000</v>
      </c>
      <c r="F7" s="29" t="n">
        <f aca="false">A7*Parametry!$C$71</f>
        <v>0.1</v>
      </c>
      <c r="G7" s="34" t="n">
        <f aca="false">1+F7</f>
        <v>1.1</v>
      </c>
      <c r="H7" s="29" t="n">
        <f aca="false">MAX(0,A7-2)*Parametry!$C$72</f>
        <v>0</v>
      </c>
      <c r="I7" s="34" t="n">
        <f aca="false">1+H7</f>
        <v>1</v>
      </c>
      <c r="J7" s="35" t="n">
        <f aca="false">300/G7</f>
        <v>272.727272727273</v>
      </c>
      <c r="K7" s="13" t="s">
        <v>824</v>
      </c>
    </row>
    <row r="8" customFormat="false" ht="33.75" hidden="false" customHeight="true" outlineLevel="0" collapsed="false">
      <c r="A8" s="12" t="n">
        <v>2</v>
      </c>
      <c r="B8" s="12" t="n">
        <v>100</v>
      </c>
      <c r="C8" s="27" t="n">
        <f aca="false">Parametry!$C$70</f>
        <v>100</v>
      </c>
      <c r="D8" s="12" t="n">
        <f aca="false">IF(A8=0,0,Parametry!$C$68*C8)</f>
        <v>10000</v>
      </c>
      <c r="E8" s="12" t="n">
        <f aca="false">A8*Parametry!$C$68*C8</f>
        <v>20000</v>
      </c>
      <c r="F8" s="25" t="n">
        <f aca="false">A8*Parametry!$C$71</f>
        <v>0.2</v>
      </c>
      <c r="G8" s="32" t="n">
        <f aca="false">1+F8</f>
        <v>1.2</v>
      </c>
      <c r="H8" s="25" t="n">
        <f aca="false">MAX(0,A8-2)*Parametry!$C$72</f>
        <v>0</v>
      </c>
      <c r="I8" s="32" t="n">
        <f aca="false">1+H8</f>
        <v>1</v>
      </c>
      <c r="J8" s="33" t="n">
        <f aca="false">300/G8</f>
        <v>250</v>
      </c>
      <c r="K8" s="12" t="s">
        <v>824</v>
      </c>
    </row>
    <row r="9" customFormat="false" ht="33.75" hidden="false" customHeight="true" outlineLevel="0" collapsed="false">
      <c r="A9" s="13" t="n">
        <v>3</v>
      </c>
      <c r="B9" s="13" t="n">
        <v>100</v>
      </c>
      <c r="C9" s="31" t="n">
        <f aca="false">Parametry!$C$70</f>
        <v>100</v>
      </c>
      <c r="D9" s="13" t="n">
        <f aca="false">IF(A9=0,0,Parametry!$C$68*C9)</f>
        <v>10000</v>
      </c>
      <c r="E9" s="13" t="n">
        <f aca="false">A9*Parametry!$C$68*C9</f>
        <v>30000</v>
      </c>
      <c r="F9" s="29" t="n">
        <f aca="false">A9*Parametry!$C$71</f>
        <v>0.3</v>
      </c>
      <c r="G9" s="34" t="n">
        <f aca="false">1+F9</f>
        <v>1.3</v>
      </c>
      <c r="H9" s="29" t="n">
        <f aca="false">MAX(0,A9-2)*Parametry!$C$72</f>
        <v>0.1</v>
      </c>
      <c r="I9" s="34" t="n">
        <f aca="false">1+H9</f>
        <v>1.1</v>
      </c>
      <c r="J9" s="35" t="n">
        <f aca="false">300/G9</f>
        <v>230.769230769231</v>
      </c>
      <c r="K9" s="13" t="s">
        <v>824</v>
      </c>
    </row>
    <row r="10" customFormat="false" ht="33.75" hidden="false" customHeight="true" outlineLevel="0" collapsed="false">
      <c r="A10" s="12" t="n">
        <v>4</v>
      </c>
      <c r="B10" s="12" t="n">
        <v>100</v>
      </c>
      <c r="C10" s="27" t="n">
        <f aca="false">Parametry!$C$70</f>
        <v>100</v>
      </c>
      <c r="D10" s="12" t="n">
        <f aca="false">IF(A10=0,0,Parametry!$C$68*C10)</f>
        <v>10000</v>
      </c>
      <c r="E10" s="12" t="n">
        <f aca="false">A10*Parametry!$C$68*C10</f>
        <v>40000</v>
      </c>
      <c r="F10" s="25" t="n">
        <f aca="false">A10*Parametry!$C$71</f>
        <v>0.4</v>
      </c>
      <c r="G10" s="32" t="n">
        <f aca="false">1+F10</f>
        <v>1.4</v>
      </c>
      <c r="H10" s="25" t="n">
        <f aca="false">MAX(0,A10-2)*Parametry!$C$72</f>
        <v>0.2</v>
      </c>
      <c r="I10" s="32" t="n">
        <f aca="false">1+H10</f>
        <v>1.2</v>
      </c>
      <c r="J10" s="33" t="n">
        <f aca="false">300/G10</f>
        <v>214.285714285714</v>
      </c>
      <c r="K10" s="12" t="s">
        <v>824</v>
      </c>
    </row>
    <row r="11" customFormat="false" ht="33.75" hidden="false" customHeight="true" outlineLevel="0" collapsed="false">
      <c r="A11" s="13" t="n">
        <v>5</v>
      </c>
      <c r="B11" s="13" t="n">
        <v>100</v>
      </c>
      <c r="C11" s="31" t="n">
        <f aca="false">Parametry!$C$70</f>
        <v>100</v>
      </c>
      <c r="D11" s="13" t="n">
        <f aca="false">IF(A11=0,0,Parametry!$C$68*C11)</f>
        <v>10000</v>
      </c>
      <c r="E11" s="13" t="n">
        <f aca="false">A11*Parametry!$C$68*C11</f>
        <v>50000</v>
      </c>
      <c r="F11" s="29" t="n">
        <f aca="false">A11*Parametry!$C$71</f>
        <v>0.5</v>
      </c>
      <c r="G11" s="34" t="n">
        <f aca="false">1+F11</f>
        <v>1.5</v>
      </c>
      <c r="H11" s="29" t="n">
        <f aca="false">MAX(0,A11-2)*Parametry!$C$72</f>
        <v>0.3</v>
      </c>
      <c r="I11" s="34" t="n">
        <f aca="false">1+H11</f>
        <v>1.3</v>
      </c>
      <c r="J11" s="35" t="n">
        <f aca="false">300/G11</f>
        <v>200</v>
      </c>
      <c r="K11" s="13" t="s">
        <v>824</v>
      </c>
    </row>
  </sheetData>
  <autoFilter ref="A5:K11"/>
  <mergeCells count="2">
    <mergeCell ref="A1:K1"/>
    <mergeCell ref="A2:K2"/>
  </mergeCells>
  <printOptions headings="false" gridLines="false" gridLinesSet="true" horizontalCentered="tru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6D75"/>
    <pageSetUpPr fitToPage="true"/>
  </sheetPr>
  <dimension ref="A1:M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0" width="14"/>
    <col collapsed="false" customWidth="true" hidden="false" outlineLevel="0" max="5" min="3" style="0" width="18"/>
    <col collapsed="false" customWidth="true" hidden="false" outlineLevel="0" max="6" min="6" style="0" width="22"/>
    <col collapsed="false" customWidth="true" hidden="false" outlineLevel="0" max="8" min="7" style="0" width="23"/>
    <col collapsed="false" customWidth="true" hidden="false" outlineLevel="0" max="9" min="9" style="0" width="20"/>
    <col collapsed="false" customWidth="true" hidden="false" outlineLevel="0" max="10" min="10" style="0" width="18"/>
    <col collapsed="false" customWidth="true" hidden="false" outlineLevel="0" max="12" min="11" style="0" width="20"/>
    <col collapsed="false" customWidth="true" hidden="false" outlineLevel="0" max="13" min="13" style="0" width="78"/>
  </cols>
  <sheetData>
    <row r="1" customFormat="false" ht="31.5" hidden="false" customHeight="true" outlineLevel="0" collapsed="false">
      <c r="A1" s="9" t="s">
        <v>825</v>
      </c>
      <c r="B1" s="9"/>
      <c r="C1" s="9"/>
      <c r="D1" s="9"/>
      <c r="E1" s="9"/>
      <c r="F1" s="9"/>
      <c r="G1" s="9"/>
      <c r="H1" s="9"/>
      <c r="I1" s="9"/>
      <c r="J1" s="9"/>
      <c r="K1" s="9"/>
      <c r="L1" s="9"/>
      <c r="M1" s="9"/>
    </row>
    <row r="2" customFormat="false" ht="75.75" hidden="false" customHeight="true" outlineLevel="0" collapsed="false">
      <c r="A2" s="10" t="s">
        <v>826</v>
      </c>
      <c r="B2" s="10"/>
      <c r="C2" s="10"/>
      <c r="D2" s="10"/>
      <c r="E2" s="10"/>
      <c r="F2" s="10"/>
      <c r="G2" s="10"/>
      <c r="H2" s="10"/>
      <c r="I2" s="10"/>
      <c r="J2" s="10"/>
      <c r="K2" s="10"/>
      <c r="L2" s="10"/>
      <c r="M2" s="10"/>
    </row>
    <row r="5" customFormat="false" ht="33.75" hidden="false" customHeight="true" outlineLevel="0" collapsed="false">
      <c r="A5" s="11" t="s">
        <v>827</v>
      </c>
      <c r="B5" s="11" t="s">
        <v>828</v>
      </c>
      <c r="C5" s="11" t="s">
        <v>829</v>
      </c>
      <c r="D5" s="11" t="s">
        <v>830</v>
      </c>
      <c r="E5" s="11" t="s">
        <v>831</v>
      </c>
      <c r="F5" s="11" t="s">
        <v>819</v>
      </c>
      <c r="G5" s="11" t="s">
        <v>832</v>
      </c>
      <c r="H5" s="11" t="s">
        <v>833</v>
      </c>
      <c r="I5" s="11" t="s">
        <v>834</v>
      </c>
      <c r="J5" s="11" t="s">
        <v>835</v>
      </c>
      <c r="K5" s="11" t="s">
        <v>836</v>
      </c>
      <c r="L5" s="11" t="s">
        <v>837</v>
      </c>
      <c r="M5" s="11" t="s">
        <v>838</v>
      </c>
    </row>
    <row r="6" customFormat="false" ht="33.75" hidden="false" customHeight="true" outlineLevel="0" collapsed="false">
      <c r="A6" s="12" t="n">
        <v>1</v>
      </c>
      <c r="B6" s="12" t="n">
        <v>0</v>
      </c>
      <c r="C6" s="12" t="n">
        <f aca="false">ROUNDDOWN(Parametry!$C$9*Parametry!$C$10^(A6-1),0)</f>
        <v>60</v>
      </c>
      <c r="D6" s="12" t="n">
        <f aca="false">1+Parametry!$C$72*MAX(0,B6-2)</f>
        <v>1</v>
      </c>
      <c r="E6" s="12" t="n">
        <f aca="false">ROUNDDOWN(C6*D6,0)</f>
        <v>60</v>
      </c>
      <c r="F6" s="12" t="n">
        <f aca="false">1+Parametry!$C$71*B6</f>
        <v>1</v>
      </c>
      <c r="G6" s="26" t="n">
        <f aca="false">300/F6</f>
        <v>300</v>
      </c>
      <c r="H6" s="26" t="n">
        <f aca="false">G6/0.5</f>
        <v>600</v>
      </c>
      <c r="I6" s="12" t="n">
        <v>100</v>
      </c>
      <c r="J6" s="12" t="n">
        <f aca="false">ROUNDUP(I6/E6,0)</f>
        <v>2</v>
      </c>
      <c r="K6" s="26" t="n">
        <f aca="false">J6*G6</f>
        <v>600</v>
      </c>
      <c r="L6" s="12" t="n">
        <f aca="false">J6*Parametry!$C$43</f>
        <v>20</v>
      </c>
      <c r="M6" s="12" t="s">
        <v>839</v>
      </c>
    </row>
    <row r="7" customFormat="false" ht="33.75" hidden="false" customHeight="true" outlineLevel="0" collapsed="false">
      <c r="A7" s="13" t="n">
        <v>1</v>
      </c>
      <c r="B7" s="13" t="n">
        <v>1</v>
      </c>
      <c r="C7" s="13" t="n">
        <f aca="false">ROUNDDOWN(Parametry!$C$9*Parametry!$C$10^(A7-1),0)</f>
        <v>60</v>
      </c>
      <c r="D7" s="13" t="n">
        <f aca="false">1+Parametry!$C$72*MAX(0,B7-2)</f>
        <v>1</v>
      </c>
      <c r="E7" s="13" t="n">
        <f aca="false">ROUNDDOWN(C7*D7,0)</f>
        <v>60</v>
      </c>
      <c r="F7" s="13" t="n">
        <f aca="false">1+Parametry!$C$71*B7</f>
        <v>1.1</v>
      </c>
      <c r="G7" s="30" t="n">
        <f aca="false">300/F7</f>
        <v>272.727272727273</v>
      </c>
      <c r="H7" s="30" t="n">
        <f aca="false">G7/0.5</f>
        <v>545.454545454545</v>
      </c>
      <c r="I7" s="13" t="n">
        <v>100</v>
      </c>
      <c r="J7" s="13" t="n">
        <f aca="false">ROUNDUP(I7/E7,0)</f>
        <v>2</v>
      </c>
      <c r="K7" s="30" t="n">
        <f aca="false">J7*G7</f>
        <v>545.454545454545</v>
      </c>
      <c r="L7" s="13" t="n">
        <f aca="false">J7*Parametry!$C$43</f>
        <v>20</v>
      </c>
      <c r="M7" s="13" t="s">
        <v>839</v>
      </c>
    </row>
    <row r="8" customFormat="false" ht="33.75" hidden="false" customHeight="true" outlineLevel="0" collapsed="false">
      <c r="A8" s="12" t="n">
        <v>1</v>
      </c>
      <c r="B8" s="12" t="n">
        <v>2</v>
      </c>
      <c r="C8" s="12" t="n">
        <f aca="false">ROUNDDOWN(Parametry!$C$9*Parametry!$C$10^(A8-1),0)</f>
        <v>60</v>
      </c>
      <c r="D8" s="12" t="n">
        <f aca="false">1+Parametry!$C$72*MAX(0,B8-2)</f>
        <v>1</v>
      </c>
      <c r="E8" s="12" t="n">
        <f aca="false">ROUNDDOWN(C8*D8,0)</f>
        <v>60</v>
      </c>
      <c r="F8" s="12" t="n">
        <f aca="false">1+Parametry!$C$71*B8</f>
        <v>1.2</v>
      </c>
      <c r="G8" s="26" t="n">
        <f aca="false">300/F8</f>
        <v>250</v>
      </c>
      <c r="H8" s="26" t="n">
        <f aca="false">G8/0.5</f>
        <v>500</v>
      </c>
      <c r="I8" s="12" t="n">
        <v>100</v>
      </c>
      <c r="J8" s="12" t="n">
        <f aca="false">ROUNDUP(I8/E8,0)</f>
        <v>2</v>
      </c>
      <c r="K8" s="26" t="n">
        <f aca="false">J8*G8</f>
        <v>500</v>
      </c>
      <c r="L8" s="12" t="n">
        <f aca="false">J8*Parametry!$C$43</f>
        <v>20</v>
      </c>
      <c r="M8" s="12" t="s">
        <v>839</v>
      </c>
    </row>
    <row r="9" customFormat="false" ht="33.75" hidden="false" customHeight="true" outlineLevel="0" collapsed="false">
      <c r="A9" s="13" t="n">
        <v>1</v>
      </c>
      <c r="B9" s="13" t="n">
        <v>3</v>
      </c>
      <c r="C9" s="13" t="n">
        <f aca="false">ROUNDDOWN(Parametry!$C$9*Parametry!$C$10^(A9-1),0)</f>
        <v>60</v>
      </c>
      <c r="D9" s="13" t="n">
        <f aca="false">1+Parametry!$C$72*MAX(0,B9-2)</f>
        <v>1.1</v>
      </c>
      <c r="E9" s="13" t="n">
        <f aca="false">ROUNDDOWN(C9*D9,0)</f>
        <v>66</v>
      </c>
      <c r="F9" s="13" t="n">
        <f aca="false">1+Parametry!$C$71*B9</f>
        <v>1.3</v>
      </c>
      <c r="G9" s="30" t="n">
        <f aca="false">300/F9</f>
        <v>230.769230769231</v>
      </c>
      <c r="H9" s="30" t="n">
        <f aca="false">G9/0.5</f>
        <v>461.538461538462</v>
      </c>
      <c r="I9" s="13" t="n">
        <v>100</v>
      </c>
      <c r="J9" s="13" t="n">
        <f aca="false">ROUNDUP(I9/E9,0)</f>
        <v>2</v>
      </c>
      <c r="K9" s="30" t="n">
        <f aca="false">J9*G9</f>
        <v>461.538461538462</v>
      </c>
      <c r="L9" s="13" t="n">
        <f aca="false">J9*Parametry!$C$43</f>
        <v>20</v>
      </c>
      <c r="M9" s="13" t="s">
        <v>839</v>
      </c>
    </row>
    <row r="10" customFormat="false" ht="33.75" hidden="false" customHeight="true" outlineLevel="0" collapsed="false">
      <c r="A10" s="12" t="n">
        <v>1</v>
      </c>
      <c r="B10" s="12" t="n">
        <v>4</v>
      </c>
      <c r="C10" s="12" t="n">
        <f aca="false">ROUNDDOWN(Parametry!$C$9*Parametry!$C$10^(A10-1),0)</f>
        <v>60</v>
      </c>
      <c r="D10" s="12" t="n">
        <f aca="false">1+Parametry!$C$72*MAX(0,B10-2)</f>
        <v>1.2</v>
      </c>
      <c r="E10" s="12" t="n">
        <f aca="false">ROUNDDOWN(C10*D10,0)</f>
        <v>72</v>
      </c>
      <c r="F10" s="12" t="n">
        <f aca="false">1+Parametry!$C$71*B10</f>
        <v>1.4</v>
      </c>
      <c r="G10" s="26" t="n">
        <f aca="false">300/F10</f>
        <v>214.285714285714</v>
      </c>
      <c r="H10" s="26" t="n">
        <f aca="false">G10/0.5</f>
        <v>428.571428571429</v>
      </c>
      <c r="I10" s="12" t="n">
        <v>100</v>
      </c>
      <c r="J10" s="12" t="n">
        <f aca="false">ROUNDUP(I10/E10,0)</f>
        <v>2</v>
      </c>
      <c r="K10" s="26" t="n">
        <f aca="false">J10*G10</f>
        <v>428.571428571429</v>
      </c>
      <c r="L10" s="12" t="n">
        <f aca="false">J10*Parametry!$C$43</f>
        <v>20</v>
      </c>
      <c r="M10" s="12" t="s">
        <v>839</v>
      </c>
    </row>
    <row r="11" customFormat="false" ht="33.75" hidden="false" customHeight="true" outlineLevel="0" collapsed="false">
      <c r="A11" s="13" t="n">
        <v>1</v>
      </c>
      <c r="B11" s="13" t="n">
        <v>5</v>
      </c>
      <c r="C11" s="13" t="n">
        <f aca="false">ROUNDDOWN(Parametry!$C$9*Parametry!$C$10^(A11-1),0)</f>
        <v>60</v>
      </c>
      <c r="D11" s="13" t="n">
        <f aca="false">1+Parametry!$C$72*MAX(0,B11-2)</f>
        <v>1.3</v>
      </c>
      <c r="E11" s="13" t="n">
        <f aca="false">ROUNDDOWN(C11*D11,0)</f>
        <v>78</v>
      </c>
      <c r="F11" s="13" t="n">
        <f aca="false">1+Parametry!$C$71*B11</f>
        <v>1.5</v>
      </c>
      <c r="G11" s="30" t="n">
        <f aca="false">300/F11</f>
        <v>200</v>
      </c>
      <c r="H11" s="30" t="n">
        <f aca="false">G11/0.5</f>
        <v>400</v>
      </c>
      <c r="I11" s="13" t="n">
        <v>100</v>
      </c>
      <c r="J11" s="13" t="n">
        <f aca="false">ROUNDUP(I11/E11,0)</f>
        <v>2</v>
      </c>
      <c r="K11" s="30" t="n">
        <f aca="false">J11*G11</f>
        <v>400</v>
      </c>
      <c r="L11" s="13" t="n">
        <f aca="false">J11*Parametry!$C$43</f>
        <v>20</v>
      </c>
      <c r="M11" s="13" t="s">
        <v>839</v>
      </c>
    </row>
    <row r="12" customFormat="false" ht="33.75" hidden="false" customHeight="true" outlineLevel="0" collapsed="false">
      <c r="A12" s="12" t="n">
        <v>2</v>
      </c>
      <c r="B12" s="12" t="n">
        <v>0</v>
      </c>
      <c r="C12" s="12" t="n">
        <f aca="false">ROUNDDOWN(Parametry!$C$9*Parametry!$C$10^(A12-1),0)</f>
        <v>66</v>
      </c>
      <c r="D12" s="12" t="n">
        <f aca="false">1+Parametry!$C$72*MAX(0,B12-2)</f>
        <v>1</v>
      </c>
      <c r="E12" s="12" t="n">
        <f aca="false">ROUNDDOWN(C12*D12,0)</f>
        <v>66</v>
      </c>
      <c r="F12" s="12" t="n">
        <f aca="false">1+Parametry!$C$71*B12</f>
        <v>1</v>
      </c>
      <c r="G12" s="26" t="n">
        <f aca="false">300/F12</f>
        <v>300</v>
      </c>
      <c r="H12" s="26" t="n">
        <f aca="false">G12/0.5</f>
        <v>600</v>
      </c>
      <c r="I12" s="12" t="n">
        <v>100</v>
      </c>
      <c r="J12" s="12" t="n">
        <f aca="false">ROUNDUP(I12/E12,0)</f>
        <v>2</v>
      </c>
      <c r="K12" s="26" t="n">
        <f aca="false">J12*G12</f>
        <v>600</v>
      </c>
      <c r="L12" s="12" t="n">
        <f aca="false">J12*Parametry!$C$43</f>
        <v>20</v>
      </c>
      <c r="M12" s="12" t="s">
        <v>839</v>
      </c>
    </row>
    <row r="13" customFormat="false" ht="33.75" hidden="false" customHeight="true" outlineLevel="0" collapsed="false">
      <c r="A13" s="13" t="n">
        <v>2</v>
      </c>
      <c r="B13" s="13" t="n">
        <v>1</v>
      </c>
      <c r="C13" s="13" t="n">
        <f aca="false">ROUNDDOWN(Parametry!$C$9*Parametry!$C$10^(A13-1),0)</f>
        <v>66</v>
      </c>
      <c r="D13" s="13" t="n">
        <f aca="false">1+Parametry!$C$72*MAX(0,B13-2)</f>
        <v>1</v>
      </c>
      <c r="E13" s="13" t="n">
        <f aca="false">ROUNDDOWN(C13*D13,0)</f>
        <v>66</v>
      </c>
      <c r="F13" s="13" t="n">
        <f aca="false">1+Parametry!$C$71*B13</f>
        <v>1.1</v>
      </c>
      <c r="G13" s="30" t="n">
        <f aca="false">300/F13</f>
        <v>272.727272727273</v>
      </c>
      <c r="H13" s="30" t="n">
        <f aca="false">G13/0.5</f>
        <v>545.454545454545</v>
      </c>
      <c r="I13" s="13" t="n">
        <v>100</v>
      </c>
      <c r="J13" s="13" t="n">
        <f aca="false">ROUNDUP(I13/E13,0)</f>
        <v>2</v>
      </c>
      <c r="K13" s="30" t="n">
        <f aca="false">J13*G13</f>
        <v>545.454545454545</v>
      </c>
      <c r="L13" s="13" t="n">
        <f aca="false">J13*Parametry!$C$43</f>
        <v>20</v>
      </c>
      <c r="M13" s="13" t="s">
        <v>839</v>
      </c>
    </row>
    <row r="14" customFormat="false" ht="33.75" hidden="false" customHeight="true" outlineLevel="0" collapsed="false">
      <c r="A14" s="12" t="n">
        <v>2</v>
      </c>
      <c r="B14" s="12" t="n">
        <v>2</v>
      </c>
      <c r="C14" s="12" t="n">
        <f aca="false">ROUNDDOWN(Parametry!$C$9*Parametry!$C$10^(A14-1),0)</f>
        <v>66</v>
      </c>
      <c r="D14" s="12" t="n">
        <f aca="false">1+Parametry!$C$72*MAX(0,B14-2)</f>
        <v>1</v>
      </c>
      <c r="E14" s="12" t="n">
        <f aca="false">ROUNDDOWN(C14*D14,0)</f>
        <v>66</v>
      </c>
      <c r="F14" s="12" t="n">
        <f aca="false">1+Parametry!$C$71*B14</f>
        <v>1.2</v>
      </c>
      <c r="G14" s="26" t="n">
        <f aca="false">300/F14</f>
        <v>250</v>
      </c>
      <c r="H14" s="26" t="n">
        <f aca="false">G14/0.5</f>
        <v>500</v>
      </c>
      <c r="I14" s="12" t="n">
        <v>100</v>
      </c>
      <c r="J14" s="12" t="n">
        <f aca="false">ROUNDUP(I14/E14,0)</f>
        <v>2</v>
      </c>
      <c r="K14" s="26" t="n">
        <f aca="false">J14*G14</f>
        <v>500</v>
      </c>
      <c r="L14" s="12" t="n">
        <f aca="false">J14*Parametry!$C$43</f>
        <v>20</v>
      </c>
      <c r="M14" s="12" t="s">
        <v>839</v>
      </c>
    </row>
    <row r="15" customFormat="false" ht="33.75" hidden="false" customHeight="true" outlineLevel="0" collapsed="false">
      <c r="A15" s="13" t="n">
        <v>2</v>
      </c>
      <c r="B15" s="13" t="n">
        <v>3</v>
      </c>
      <c r="C15" s="13" t="n">
        <f aca="false">ROUNDDOWN(Parametry!$C$9*Parametry!$C$10^(A15-1),0)</f>
        <v>66</v>
      </c>
      <c r="D15" s="13" t="n">
        <f aca="false">1+Parametry!$C$72*MAX(0,B15-2)</f>
        <v>1.1</v>
      </c>
      <c r="E15" s="13" t="n">
        <f aca="false">ROUNDDOWN(C15*D15,0)</f>
        <v>72</v>
      </c>
      <c r="F15" s="13" t="n">
        <f aca="false">1+Parametry!$C$71*B15</f>
        <v>1.3</v>
      </c>
      <c r="G15" s="30" t="n">
        <f aca="false">300/F15</f>
        <v>230.769230769231</v>
      </c>
      <c r="H15" s="30" t="n">
        <f aca="false">G15/0.5</f>
        <v>461.538461538462</v>
      </c>
      <c r="I15" s="13" t="n">
        <v>100</v>
      </c>
      <c r="J15" s="13" t="n">
        <f aca="false">ROUNDUP(I15/E15,0)</f>
        <v>2</v>
      </c>
      <c r="K15" s="30" t="n">
        <f aca="false">J15*G15</f>
        <v>461.538461538462</v>
      </c>
      <c r="L15" s="13" t="n">
        <f aca="false">J15*Parametry!$C$43</f>
        <v>20</v>
      </c>
      <c r="M15" s="13" t="s">
        <v>839</v>
      </c>
    </row>
    <row r="16" customFormat="false" ht="33.75" hidden="false" customHeight="true" outlineLevel="0" collapsed="false">
      <c r="A16" s="12" t="n">
        <v>2</v>
      </c>
      <c r="B16" s="12" t="n">
        <v>4</v>
      </c>
      <c r="C16" s="12" t="n">
        <f aca="false">ROUNDDOWN(Parametry!$C$9*Parametry!$C$10^(A16-1),0)</f>
        <v>66</v>
      </c>
      <c r="D16" s="12" t="n">
        <f aca="false">1+Parametry!$C$72*MAX(0,B16-2)</f>
        <v>1.2</v>
      </c>
      <c r="E16" s="12" t="n">
        <f aca="false">ROUNDDOWN(C16*D16,0)</f>
        <v>79</v>
      </c>
      <c r="F16" s="12" t="n">
        <f aca="false">1+Parametry!$C$71*B16</f>
        <v>1.4</v>
      </c>
      <c r="G16" s="26" t="n">
        <f aca="false">300/F16</f>
        <v>214.285714285714</v>
      </c>
      <c r="H16" s="26" t="n">
        <f aca="false">G16/0.5</f>
        <v>428.571428571429</v>
      </c>
      <c r="I16" s="12" t="n">
        <v>100</v>
      </c>
      <c r="J16" s="12" t="n">
        <f aca="false">ROUNDUP(I16/E16,0)</f>
        <v>2</v>
      </c>
      <c r="K16" s="26" t="n">
        <f aca="false">J16*G16</f>
        <v>428.571428571429</v>
      </c>
      <c r="L16" s="12" t="n">
        <f aca="false">J16*Parametry!$C$43</f>
        <v>20</v>
      </c>
      <c r="M16" s="12" t="s">
        <v>839</v>
      </c>
    </row>
    <row r="17" customFormat="false" ht="33.75" hidden="false" customHeight="true" outlineLevel="0" collapsed="false">
      <c r="A17" s="13" t="n">
        <v>2</v>
      </c>
      <c r="B17" s="13" t="n">
        <v>5</v>
      </c>
      <c r="C17" s="13" t="n">
        <f aca="false">ROUNDDOWN(Parametry!$C$9*Parametry!$C$10^(A17-1),0)</f>
        <v>66</v>
      </c>
      <c r="D17" s="13" t="n">
        <f aca="false">1+Parametry!$C$72*MAX(0,B17-2)</f>
        <v>1.3</v>
      </c>
      <c r="E17" s="13" t="n">
        <f aca="false">ROUNDDOWN(C17*D17,0)</f>
        <v>85</v>
      </c>
      <c r="F17" s="13" t="n">
        <f aca="false">1+Parametry!$C$71*B17</f>
        <v>1.5</v>
      </c>
      <c r="G17" s="30" t="n">
        <f aca="false">300/F17</f>
        <v>200</v>
      </c>
      <c r="H17" s="30" t="n">
        <f aca="false">G17/0.5</f>
        <v>400</v>
      </c>
      <c r="I17" s="13" t="n">
        <v>100</v>
      </c>
      <c r="J17" s="13" t="n">
        <f aca="false">ROUNDUP(I17/E17,0)</f>
        <v>2</v>
      </c>
      <c r="K17" s="30" t="n">
        <f aca="false">J17*G17</f>
        <v>400</v>
      </c>
      <c r="L17" s="13" t="n">
        <f aca="false">J17*Parametry!$C$43</f>
        <v>20</v>
      </c>
      <c r="M17" s="13" t="s">
        <v>839</v>
      </c>
    </row>
    <row r="18" customFormat="false" ht="33.75" hidden="false" customHeight="true" outlineLevel="0" collapsed="false">
      <c r="A18" s="12" t="n">
        <v>3</v>
      </c>
      <c r="B18" s="12" t="n">
        <v>0</v>
      </c>
      <c r="C18" s="12" t="n">
        <f aca="false">ROUNDDOWN(Parametry!$C$9*Parametry!$C$10^(A18-1),0)</f>
        <v>72</v>
      </c>
      <c r="D18" s="12" t="n">
        <f aca="false">1+Parametry!$C$72*MAX(0,B18-2)</f>
        <v>1</v>
      </c>
      <c r="E18" s="12" t="n">
        <f aca="false">ROUNDDOWN(C18*D18,0)</f>
        <v>72</v>
      </c>
      <c r="F18" s="12" t="n">
        <f aca="false">1+Parametry!$C$71*B18</f>
        <v>1</v>
      </c>
      <c r="G18" s="26" t="n">
        <f aca="false">300/F18</f>
        <v>300</v>
      </c>
      <c r="H18" s="26" t="n">
        <f aca="false">G18/0.5</f>
        <v>600</v>
      </c>
      <c r="I18" s="12" t="n">
        <v>100</v>
      </c>
      <c r="J18" s="12" t="n">
        <f aca="false">ROUNDUP(I18/E18,0)</f>
        <v>2</v>
      </c>
      <c r="K18" s="26" t="n">
        <f aca="false">J18*G18</f>
        <v>600</v>
      </c>
      <c r="L18" s="12" t="n">
        <f aca="false">J18*Parametry!$C$43</f>
        <v>20</v>
      </c>
      <c r="M18" s="12" t="s">
        <v>839</v>
      </c>
    </row>
    <row r="19" customFormat="false" ht="33.75" hidden="false" customHeight="true" outlineLevel="0" collapsed="false">
      <c r="A19" s="13" t="n">
        <v>3</v>
      </c>
      <c r="B19" s="13" t="n">
        <v>1</v>
      </c>
      <c r="C19" s="13" t="n">
        <f aca="false">ROUNDDOWN(Parametry!$C$9*Parametry!$C$10^(A19-1),0)</f>
        <v>72</v>
      </c>
      <c r="D19" s="13" t="n">
        <f aca="false">1+Parametry!$C$72*MAX(0,B19-2)</f>
        <v>1</v>
      </c>
      <c r="E19" s="13" t="n">
        <f aca="false">ROUNDDOWN(C19*D19,0)</f>
        <v>72</v>
      </c>
      <c r="F19" s="13" t="n">
        <f aca="false">1+Parametry!$C$71*B19</f>
        <v>1.1</v>
      </c>
      <c r="G19" s="30" t="n">
        <f aca="false">300/F19</f>
        <v>272.727272727273</v>
      </c>
      <c r="H19" s="30" t="n">
        <f aca="false">G19/0.5</f>
        <v>545.454545454545</v>
      </c>
      <c r="I19" s="13" t="n">
        <v>100</v>
      </c>
      <c r="J19" s="13" t="n">
        <f aca="false">ROUNDUP(I19/E19,0)</f>
        <v>2</v>
      </c>
      <c r="K19" s="30" t="n">
        <f aca="false">J19*G19</f>
        <v>545.454545454545</v>
      </c>
      <c r="L19" s="13" t="n">
        <f aca="false">J19*Parametry!$C$43</f>
        <v>20</v>
      </c>
      <c r="M19" s="13" t="s">
        <v>839</v>
      </c>
    </row>
    <row r="20" customFormat="false" ht="33.75" hidden="false" customHeight="true" outlineLevel="0" collapsed="false">
      <c r="A20" s="12" t="n">
        <v>3</v>
      </c>
      <c r="B20" s="12" t="n">
        <v>2</v>
      </c>
      <c r="C20" s="12" t="n">
        <f aca="false">ROUNDDOWN(Parametry!$C$9*Parametry!$C$10^(A20-1),0)</f>
        <v>72</v>
      </c>
      <c r="D20" s="12" t="n">
        <f aca="false">1+Parametry!$C$72*MAX(0,B20-2)</f>
        <v>1</v>
      </c>
      <c r="E20" s="12" t="n">
        <f aca="false">ROUNDDOWN(C20*D20,0)</f>
        <v>72</v>
      </c>
      <c r="F20" s="12" t="n">
        <f aca="false">1+Parametry!$C$71*B20</f>
        <v>1.2</v>
      </c>
      <c r="G20" s="26" t="n">
        <f aca="false">300/F20</f>
        <v>250</v>
      </c>
      <c r="H20" s="26" t="n">
        <f aca="false">G20/0.5</f>
        <v>500</v>
      </c>
      <c r="I20" s="12" t="n">
        <v>100</v>
      </c>
      <c r="J20" s="12" t="n">
        <f aca="false">ROUNDUP(I20/E20,0)</f>
        <v>2</v>
      </c>
      <c r="K20" s="26" t="n">
        <f aca="false">J20*G20</f>
        <v>500</v>
      </c>
      <c r="L20" s="12" t="n">
        <f aca="false">J20*Parametry!$C$43</f>
        <v>20</v>
      </c>
      <c r="M20" s="12" t="s">
        <v>839</v>
      </c>
    </row>
    <row r="21" customFormat="false" ht="33.75" hidden="false" customHeight="true" outlineLevel="0" collapsed="false">
      <c r="A21" s="13" t="n">
        <v>3</v>
      </c>
      <c r="B21" s="13" t="n">
        <v>3</v>
      </c>
      <c r="C21" s="13" t="n">
        <f aca="false">ROUNDDOWN(Parametry!$C$9*Parametry!$C$10^(A21-1),0)</f>
        <v>72</v>
      </c>
      <c r="D21" s="13" t="n">
        <f aca="false">1+Parametry!$C$72*MAX(0,B21-2)</f>
        <v>1.1</v>
      </c>
      <c r="E21" s="13" t="n">
        <f aca="false">ROUNDDOWN(C21*D21,0)</f>
        <v>79</v>
      </c>
      <c r="F21" s="13" t="n">
        <f aca="false">1+Parametry!$C$71*B21</f>
        <v>1.3</v>
      </c>
      <c r="G21" s="30" t="n">
        <f aca="false">300/F21</f>
        <v>230.769230769231</v>
      </c>
      <c r="H21" s="30" t="n">
        <f aca="false">G21/0.5</f>
        <v>461.538461538462</v>
      </c>
      <c r="I21" s="13" t="n">
        <v>100</v>
      </c>
      <c r="J21" s="13" t="n">
        <f aca="false">ROUNDUP(I21/E21,0)</f>
        <v>2</v>
      </c>
      <c r="K21" s="30" t="n">
        <f aca="false">J21*G21</f>
        <v>461.538461538462</v>
      </c>
      <c r="L21" s="13" t="n">
        <f aca="false">J21*Parametry!$C$43</f>
        <v>20</v>
      </c>
      <c r="M21" s="13" t="s">
        <v>839</v>
      </c>
    </row>
    <row r="22" customFormat="false" ht="33.75" hidden="false" customHeight="true" outlineLevel="0" collapsed="false">
      <c r="A22" s="12" t="n">
        <v>3</v>
      </c>
      <c r="B22" s="12" t="n">
        <v>4</v>
      </c>
      <c r="C22" s="12" t="n">
        <f aca="false">ROUNDDOWN(Parametry!$C$9*Parametry!$C$10^(A22-1),0)</f>
        <v>72</v>
      </c>
      <c r="D22" s="12" t="n">
        <f aca="false">1+Parametry!$C$72*MAX(0,B22-2)</f>
        <v>1.2</v>
      </c>
      <c r="E22" s="12" t="n">
        <f aca="false">ROUNDDOWN(C22*D22,0)</f>
        <v>86</v>
      </c>
      <c r="F22" s="12" t="n">
        <f aca="false">1+Parametry!$C$71*B22</f>
        <v>1.4</v>
      </c>
      <c r="G22" s="26" t="n">
        <f aca="false">300/F22</f>
        <v>214.285714285714</v>
      </c>
      <c r="H22" s="26" t="n">
        <f aca="false">G22/0.5</f>
        <v>428.571428571429</v>
      </c>
      <c r="I22" s="12" t="n">
        <v>100</v>
      </c>
      <c r="J22" s="12" t="n">
        <f aca="false">ROUNDUP(I22/E22,0)</f>
        <v>2</v>
      </c>
      <c r="K22" s="26" t="n">
        <f aca="false">J22*G22</f>
        <v>428.571428571429</v>
      </c>
      <c r="L22" s="12" t="n">
        <f aca="false">J22*Parametry!$C$43</f>
        <v>20</v>
      </c>
      <c r="M22" s="12" t="s">
        <v>839</v>
      </c>
    </row>
    <row r="23" customFormat="false" ht="33.75" hidden="false" customHeight="true" outlineLevel="0" collapsed="false">
      <c r="A23" s="13" t="n">
        <v>3</v>
      </c>
      <c r="B23" s="13" t="n">
        <v>5</v>
      </c>
      <c r="C23" s="13" t="n">
        <f aca="false">ROUNDDOWN(Parametry!$C$9*Parametry!$C$10^(A23-1),0)</f>
        <v>72</v>
      </c>
      <c r="D23" s="13" t="n">
        <f aca="false">1+Parametry!$C$72*MAX(0,B23-2)</f>
        <v>1.3</v>
      </c>
      <c r="E23" s="13" t="n">
        <f aca="false">ROUNDDOWN(C23*D23,0)</f>
        <v>93</v>
      </c>
      <c r="F23" s="13" t="n">
        <f aca="false">1+Parametry!$C$71*B23</f>
        <v>1.5</v>
      </c>
      <c r="G23" s="30" t="n">
        <f aca="false">300/F23</f>
        <v>200</v>
      </c>
      <c r="H23" s="30" t="n">
        <f aca="false">G23/0.5</f>
        <v>400</v>
      </c>
      <c r="I23" s="13" t="n">
        <v>100</v>
      </c>
      <c r="J23" s="13" t="n">
        <f aca="false">ROUNDUP(I23/E23,0)</f>
        <v>2</v>
      </c>
      <c r="K23" s="30" t="n">
        <f aca="false">J23*G23</f>
        <v>400</v>
      </c>
      <c r="L23" s="13" t="n">
        <f aca="false">J23*Parametry!$C$43</f>
        <v>20</v>
      </c>
      <c r="M23" s="13" t="s">
        <v>839</v>
      </c>
    </row>
    <row r="24" customFormat="false" ht="33.75" hidden="false" customHeight="true" outlineLevel="0" collapsed="false">
      <c r="A24" s="12" t="n">
        <v>4</v>
      </c>
      <c r="B24" s="12" t="n">
        <v>0</v>
      </c>
      <c r="C24" s="12" t="n">
        <f aca="false">ROUNDDOWN(Parametry!$C$9*Parametry!$C$10^(A24-1),0)</f>
        <v>79</v>
      </c>
      <c r="D24" s="12" t="n">
        <f aca="false">1+Parametry!$C$72*MAX(0,B24-2)</f>
        <v>1</v>
      </c>
      <c r="E24" s="12" t="n">
        <f aca="false">ROUNDDOWN(C24*D24,0)</f>
        <v>79</v>
      </c>
      <c r="F24" s="12" t="n">
        <f aca="false">1+Parametry!$C$71*B24</f>
        <v>1</v>
      </c>
      <c r="G24" s="26" t="n">
        <f aca="false">300/F24</f>
        <v>300</v>
      </c>
      <c r="H24" s="26" t="n">
        <f aca="false">G24/0.5</f>
        <v>600</v>
      </c>
      <c r="I24" s="12" t="n">
        <v>100</v>
      </c>
      <c r="J24" s="12" t="n">
        <f aca="false">ROUNDUP(I24/E24,0)</f>
        <v>2</v>
      </c>
      <c r="K24" s="26" t="n">
        <f aca="false">J24*G24</f>
        <v>600</v>
      </c>
      <c r="L24" s="12" t="n">
        <f aca="false">J24*Parametry!$C$43</f>
        <v>20</v>
      </c>
      <c r="M24" s="12" t="s">
        <v>839</v>
      </c>
    </row>
    <row r="25" customFormat="false" ht="33.75" hidden="false" customHeight="true" outlineLevel="0" collapsed="false">
      <c r="A25" s="13" t="n">
        <v>4</v>
      </c>
      <c r="B25" s="13" t="n">
        <v>1</v>
      </c>
      <c r="C25" s="13" t="n">
        <f aca="false">ROUNDDOWN(Parametry!$C$9*Parametry!$C$10^(A25-1),0)</f>
        <v>79</v>
      </c>
      <c r="D25" s="13" t="n">
        <f aca="false">1+Parametry!$C$72*MAX(0,B25-2)</f>
        <v>1</v>
      </c>
      <c r="E25" s="13" t="n">
        <f aca="false">ROUNDDOWN(C25*D25,0)</f>
        <v>79</v>
      </c>
      <c r="F25" s="13" t="n">
        <f aca="false">1+Parametry!$C$71*B25</f>
        <v>1.1</v>
      </c>
      <c r="G25" s="30" t="n">
        <f aca="false">300/F25</f>
        <v>272.727272727273</v>
      </c>
      <c r="H25" s="30" t="n">
        <f aca="false">G25/0.5</f>
        <v>545.454545454545</v>
      </c>
      <c r="I25" s="13" t="n">
        <v>100</v>
      </c>
      <c r="J25" s="13" t="n">
        <f aca="false">ROUNDUP(I25/E25,0)</f>
        <v>2</v>
      </c>
      <c r="K25" s="30" t="n">
        <f aca="false">J25*G25</f>
        <v>545.454545454545</v>
      </c>
      <c r="L25" s="13" t="n">
        <f aca="false">J25*Parametry!$C$43</f>
        <v>20</v>
      </c>
      <c r="M25" s="13" t="s">
        <v>839</v>
      </c>
    </row>
    <row r="26" customFormat="false" ht="33.75" hidden="false" customHeight="true" outlineLevel="0" collapsed="false">
      <c r="A26" s="12" t="n">
        <v>4</v>
      </c>
      <c r="B26" s="12" t="n">
        <v>2</v>
      </c>
      <c r="C26" s="12" t="n">
        <f aca="false">ROUNDDOWN(Parametry!$C$9*Parametry!$C$10^(A26-1),0)</f>
        <v>79</v>
      </c>
      <c r="D26" s="12" t="n">
        <f aca="false">1+Parametry!$C$72*MAX(0,B26-2)</f>
        <v>1</v>
      </c>
      <c r="E26" s="12" t="n">
        <f aca="false">ROUNDDOWN(C26*D26,0)</f>
        <v>79</v>
      </c>
      <c r="F26" s="12" t="n">
        <f aca="false">1+Parametry!$C$71*B26</f>
        <v>1.2</v>
      </c>
      <c r="G26" s="26" t="n">
        <f aca="false">300/F26</f>
        <v>250</v>
      </c>
      <c r="H26" s="26" t="n">
        <f aca="false">G26/0.5</f>
        <v>500</v>
      </c>
      <c r="I26" s="12" t="n">
        <v>100</v>
      </c>
      <c r="J26" s="12" t="n">
        <f aca="false">ROUNDUP(I26/E26,0)</f>
        <v>2</v>
      </c>
      <c r="K26" s="26" t="n">
        <f aca="false">J26*G26</f>
        <v>500</v>
      </c>
      <c r="L26" s="12" t="n">
        <f aca="false">J26*Parametry!$C$43</f>
        <v>20</v>
      </c>
      <c r="M26" s="12" t="s">
        <v>839</v>
      </c>
    </row>
    <row r="27" customFormat="false" ht="33.75" hidden="false" customHeight="true" outlineLevel="0" collapsed="false">
      <c r="A27" s="13" t="n">
        <v>4</v>
      </c>
      <c r="B27" s="13" t="n">
        <v>3</v>
      </c>
      <c r="C27" s="13" t="n">
        <f aca="false">ROUNDDOWN(Parametry!$C$9*Parametry!$C$10^(A27-1),0)</f>
        <v>79</v>
      </c>
      <c r="D27" s="13" t="n">
        <f aca="false">1+Parametry!$C$72*MAX(0,B27-2)</f>
        <v>1.1</v>
      </c>
      <c r="E27" s="13" t="n">
        <f aca="false">ROUNDDOWN(C27*D27,0)</f>
        <v>86</v>
      </c>
      <c r="F27" s="13" t="n">
        <f aca="false">1+Parametry!$C$71*B27</f>
        <v>1.3</v>
      </c>
      <c r="G27" s="30" t="n">
        <f aca="false">300/F27</f>
        <v>230.769230769231</v>
      </c>
      <c r="H27" s="30" t="n">
        <f aca="false">G27/0.5</f>
        <v>461.538461538462</v>
      </c>
      <c r="I27" s="13" t="n">
        <v>100</v>
      </c>
      <c r="J27" s="13" t="n">
        <f aca="false">ROUNDUP(I27/E27,0)</f>
        <v>2</v>
      </c>
      <c r="K27" s="30" t="n">
        <f aca="false">J27*G27</f>
        <v>461.538461538462</v>
      </c>
      <c r="L27" s="13" t="n">
        <f aca="false">J27*Parametry!$C$43</f>
        <v>20</v>
      </c>
      <c r="M27" s="13" t="s">
        <v>839</v>
      </c>
    </row>
    <row r="28" customFormat="false" ht="33.75" hidden="false" customHeight="true" outlineLevel="0" collapsed="false">
      <c r="A28" s="12" t="n">
        <v>4</v>
      </c>
      <c r="B28" s="12" t="n">
        <v>4</v>
      </c>
      <c r="C28" s="12" t="n">
        <f aca="false">ROUNDDOWN(Parametry!$C$9*Parametry!$C$10^(A28-1),0)</f>
        <v>79</v>
      </c>
      <c r="D28" s="12" t="n">
        <f aca="false">1+Parametry!$C$72*MAX(0,B28-2)</f>
        <v>1.2</v>
      </c>
      <c r="E28" s="12" t="n">
        <f aca="false">ROUNDDOWN(C28*D28,0)</f>
        <v>94</v>
      </c>
      <c r="F28" s="12" t="n">
        <f aca="false">1+Parametry!$C$71*B28</f>
        <v>1.4</v>
      </c>
      <c r="G28" s="26" t="n">
        <f aca="false">300/F28</f>
        <v>214.285714285714</v>
      </c>
      <c r="H28" s="26" t="n">
        <f aca="false">G28/0.5</f>
        <v>428.571428571429</v>
      </c>
      <c r="I28" s="12" t="n">
        <v>100</v>
      </c>
      <c r="J28" s="12" t="n">
        <f aca="false">ROUNDUP(I28/E28,0)</f>
        <v>2</v>
      </c>
      <c r="K28" s="26" t="n">
        <f aca="false">J28*G28</f>
        <v>428.571428571429</v>
      </c>
      <c r="L28" s="12" t="n">
        <f aca="false">J28*Parametry!$C$43</f>
        <v>20</v>
      </c>
      <c r="M28" s="12" t="s">
        <v>839</v>
      </c>
    </row>
    <row r="29" customFormat="false" ht="33.75" hidden="false" customHeight="true" outlineLevel="0" collapsed="false">
      <c r="A29" s="13" t="n">
        <v>4</v>
      </c>
      <c r="B29" s="13" t="n">
        <v>5</v>
      </c>
      <c r="C29" s="13" t="n">
        <f aca="false">ROUNDDOWN(Parametry!$C$9*Parametry!$C$10^(A29-1),0)</f>
        <v>79</v>
      </c>
      <c r="D29" s="13" t="n">
        <f aca="false">1+Parametry!$C$72*MAX(0,B29-2)</f>
        <v>1.3</v>
      </c>
      <c r="E29" s="13" t="n">
        <f aca="false">ROUNDDOWN(C29*D29,0)</f>
        <v>102</v>
      </c>
      <c r="F29" s="13" t="n">
        <f aca="false">1+Parametry!$C$71*B29</f>
        <v>1.5</v>
      </c>
      <c r="G29" s="30" t="n">
        <f aca="false">300/F29</f>
        <v>200</v>
      </c>
      <c r="H29" s="30" t="n">
        <f aca="false">G29/0.5</f>
        <v>400</v>
      </c>
      <c r="I29" s="13" t="n">
        <v>100</v>
      </c>
      <c r="J29" s="13" t="n">
        <f aca="false">ROUNDUP(I29/E29,0)</f>
        <v>1</v>
      </c>
      <c r="K29" s="30" t="n">
        <f aca="false">J29*G29</f>
        <v>200</v>
      </c>
      <c r="L29" s="13" t="n">
        <f aca="false">J29*Parametry!$C$43</f>
        <v>10</v>
      </c>
      <c r="M29" s="13" t="s">
        <v>839</v>
      </c>
    </row>
  </sheetData>
  <autoFilter ref="A5:M29"/>
  <mergeCells count="2">
    <mergeCell ref="A1:M1"/>
    <mergeCell ref="A2:M2"/>
  </mergeCells>
  <printOptions headings="false" gridLines="false" gridLinesSet="true" horizontalCentered="tru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6D75"/>
    <pageSetUpPr fitToPage="true"/>
  </sheetPr>
  <dimension ref="A1:F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57"/>
    <col collapsed="false" customWidth="true" hidden="false" outlineLevel="0" max="3" min="3" style="0" width="46"/>
    <col collapsed="false" customWidth="true" hidden="false" outlineLevel="0" max="5" min="4" style="0" width="50"/>
    <col collapsed="false" customWidth="true" hidden="false" outlineLevel="0" max="6" min="6" style="0" width="65"/>
  </cols>
  <sheetData>
    <row r="1" customFormat="false" ht="31.5" hidden="false" customHeight="true" outlineLevel="0" collapsed="false">
      <c r="A1" s="9" t="s">
        <v>840</v>
      </c>
      <c r="B1" s="9"/>
      <c r="C1" s="9"/>
      <c r="D1" s="9"/>
      <c r="E1" s="9"/>
      <c r="F1" s="9"/>
    </row>
    <row r="2" customFormat="false" ht="75.75" hidden="false" customHeight="true" outlineLevel="0" collapsed="false">
      <c r="A2" s="10" t="s">
        <v>841</v>
      </c>
      <c r="B2" s="10"/>
      <c r="C2" s="10"/>
      <c r="D2" s="10"/>
      <c r="E2" s="10"/>
      <c r="F2" s="10"/>
    </row>
    <row r="5" customFormat="false" ht="33.75" hidden="false" customHeight="true" outlineLevel="0" collapsed="false">
      <c r="A5" s="11" t="s">
        <v>842</v>
      </c>
      <c r="B5" s="11" t="s">
        <v>843</v>
      </c>
      <c r="C5" s="11" t="s">
        <v>844</v>
      </c>
      <c r="D5" s="11" t="s">
        <v>845</v>
      </c>
      <c r="E5" s="11" t="s">
        <v>846</v>
      </c>
      <c r="F5" s="11" t="s">
        <v>847</v>
      </c>
    </row>
    <row r="6" customFormat="false" ht="31.5" hidden="false" customHeight="true" outlineLevel="0" collapsed="false">
      <c r="A6" s="12" t="s">
        <v>585</v>
      </c>
      <c r="B6" s="12" t="s">
        <v>848</v>
      </c>
      <c r="C6" s="12" t="s">
        <v>849</v>
      </c>
      <c r="D6" s="12" t="s">
        <v>850</v>
      </c>
      <c r="E6" s="12" t="s">
        <v>851</v>
      </c>
      <c r="F6" s="12" t="s">
        <v>852</v>
      </c>
    </row>
    <row r="7" customFormat="false" ht="31.5" hidden="false" customHeight="true" outlineLevel="0" collapsed="false">
      <c r="A7" s="13" t="s">
        <v>853</v>
      </c>
      <c r="B7" s="13" t="s">
        <v>848</v>
      </c>
      <c r="C7" s="13" t="s">
        <v>854</v>
      </c>
      <c r="D7" s="13" t="s">
        <v>855</v>
      </c>
      <c r="E7" s="13" t="s">
        <v>856</v>
      </c>
      <c r="F7" s="13" t="s">
        <v>857</v>
      </c>
    </row>
    <row r="8" customFormat="false" ht="31.5" hidden="false" customHeight="true" outlineLevel="0" collapsed="false">
      <c r="A8" s="12" t="s">
        <v>858</v>
      </c>
      <c r="B8" s="12" t="s">
        <v>859</v>
      </c>
      <c r="C8" s="12" t="s">
        <v>860</v>
      </c>
      <c r="D8" s="12" t="s">
        <v>861</v>
      </c>
      <c r="E8" s="12" t="s">
        <v>862</v>
      </c>
      <c r="F8" s="12" t="s">
        <v>857</v>
      </c>
    </row>
    <row r="9" customFormat="false" ht="31.5" hidden="false" customHeight="true" outlineLevel="0" collapsed="false">
      <c r="A9" s="13" t="s">
        <v>863</v>
      </c>
      <c r="B9" s="13" t="s">
        <v>864</v>
      </c>
      <c r="C9" s="13" t="s">
        <v>865</v>
      </c>
      <c r="D9" s="13" t="s">
        <v>866</v>
      </c>
      <c r="E9" s="13" t="s">
        <v>862</v>
      </c>
      <c r="F9" s="13" t="s">
        <v>857</v>
      </c>
    </row>
    <row r="10" customFormat="false" ht="31.5" hidden="false" customHeight="true" outlineLevel="0" collapsed="false">
      <c r="A10" s="12" t="s">
        <v>867</v>
      </c>
      <c r="B10" s="12" t="s">
        <v>868</v>
      </c>
      <c r="C10" s="12" t="s">
        <v>869</v>
      </c>
      <c r="D10" s="12" t="s">
        <v>870</v>
      </c>
      <c r="E10" s="12" t="s">
        <v>871</v>
      </c>
      <c r="F10" s="12" t="s">
        <v>857</v>
      </c>
    </row>
    <row r="11" customFormat="false" ht="31.5" hidden="false" customHeight="true" outlineLevel="0" collapsed="false">
      <c r="A11" s="13" t="s">
        <v>666</v>
      </c>
      <c r="B11" s="13" t="s">
        <v>872</v>
      </c>
      <c r="C11" s="13" t="s">
        <v>873</v>
      </c>
      <c r="D11" s="13" t="s">
        <v>874</v>
      </c>
      <c r="E11" s="13" t="s">
        <v>875</v>
      </c>
      <c r="F11" s="13" t="s">
        <v>857</v>
      </c>
    </row>
    <row r="12" customFormat="false" ht="31.5" hidden="false" customHeight="true" outlineLevel="0" collapsed="false">
      <c r="A12" s="12" t="s">
        <v>876</v>
      </c>
      <c r="B12" s="12" t="s">
        <v>877</v>
      </c>
      <c r="C12" s="12" t="s">
        <v>878</v>
      </c>
      <c r="D12" s="12" t="s">
        <v>879</v>
      </c>
      <c r="E12" s="12" t="s">
        <v>880</v>
      </c>
      <c r="F12" s="12" t="s">
        <v>881</v>
      </c>
    </row>
    <row r="13" customFormat="false" ht="31.5" hidden="false" customHeight="true" outlineLevel="0" collapsed="false">
      <c r="A13" s="13" t="s">
        <v>882</v>
      </c>
      <c r="B13" s="13" t="s">
        <v>883</v>
      </c>
      <c r="C13" s="13" t="s">
        <v>884</v>
      </c>
      <c r="D13" s="13" t="s">
        <v>885</v>
      </c>
      <c r="E13" s="13" t="s">
        <v>886</v>
      </c>
      <c r="F13" s="13" t="s">
        <v>887</v>
      </c>
    </row>
    <row r="14" customFormat="false" ht="31.5" hidden="false" customHeight="true" outlineLevel="0" collapsed="false">
      <c r="A14" s="12" t="s">
        <v>674</v>
      </c>
      <c r="B14" s="12" t="s">
        <v>888</v>
      </c>
      <c r="C14" s="12" t="s">
        <v>884</v>
      </c>
      <c r="D14" s="12" t="s">
        <v>889</v>
      </c>
      <c r="E14" s="12" t="s">
        <v>890</v>
      </c>
      <c r="F14" s="12" t="s">
        <v>857</v>
      </c>
    </row>
    <row r="15" customFormat="false" ht="31.5" hidden="false" customHeight="true" outlineLevel="0" collapsed="false">
      <c r="A15" s="13" t="s">
        <v>891</v>
      </c>
      <c r="B15" s="13" t="s">
        <v>892</v>
      </c>
      <c r="C15" s="13" t="s">
        <v>893</v>
      </c>
      <c r="D15" s="13" t="s">
        <v>894</v>
      </c>
      <c r="E15" s="13" t="s">
        <v>886</v>
      </c>
      <c r="F15" s="13" t="s">
        <v>857</v>
      </c>
    </row>
    <row r="16" customFormat="false" ht="31.5" hidden="false" customHeight="true" outlineLevel="0" collapsed="false">
      <c r="A16" s="12" t="s">
        <v>895</v>
      </c>
      <c r="B16" s="12" t="s">
        <v>896</v>
      </c>
      <c r="C16" s="12" t="s">
        <v>897</v>
      </c>
      <c r="D16" s="12" t="s">
        <v>898</v>
      </c>
      <c r="E16" s="12" t="s">
        <v>899</v>
      </c>
      <c r="F16" s="12" t="s">
        <v>857</v>
      </c>
    </row>
    <row r="17" customFormat="false" ht="31.5" hidden="false" customHeight="true" outlineLevel="0" collapsed="false">
      <c r="A17" s="13" t="s">
        <v>900</v>
      </c>
      <c r="B17" s="13" t="s">
        <v>901</v>
      </c>
      <c r="C17" s="13" t="s">
        <v>873</v>
      </c>
      <c r="D17" s="13" t="s">
        <v>902</v>
      </c>
      <c r="E17" s="13" t="s">
        <v>903</v>
      </c>
      <c r="F17" s="13" t="s">
        <v>904</v>
      </c>
    </row>
    <row r="18" customFormat="false" ht="31.5" hidden="false" customHeight="true" outlineLevel="0" collapsed="false">
      <c r="A18" s="12" t="s">
        <v>905</v>
      </c>
      <c r="B18" s="12" t="s">
        <v>906</v>
      </c>
      <c r="C18" s="12" t="s">
        <v>907</v>
      </c>
      <c r="D18" s="12" t="s">
        <v>908</v>
      </c>
      <c r="E18" s="12" t="s">
        <v>890</v>
      </c>
      <c r="F18" s="12" t="s">
        <v>857</v>
      </c>
    </row>
    <row r="19" customFormat="false" ht="31.5" hidden="false" customHeight="true" outlineLevel="0" collapsed="false">
      <c r="A19" s="13" t="s">
        <v>909</v>
      </c>
      <c r="B19" s="13" t="s">
        <v>910</v>
      </c>
      <c r="C19" s="13" t="s">
        <v>911</v>
      </c>
      <c r="D19" s="13" t="s">
        <v>912</v>
      </c>
      <c r="E19" s="13" t="s">
        <v>913</v>
      </c>
      <c r="F19" s="13" t="s">
        <v>914</v>
      </c>
    </row>
    <row r="20" customFormat="false" ht="31.5" hidden="false" customHeight="true" outlineLevel="0" collapsed="false">
      <c r="A20" s="12" t="s">
        <v>915</v>
      </c>
      <c r="B20" s="12" t="s">
        <v>916</v>
      </c>
      <c r="C20" s="12" t="s">
        <v>917</v>
      </c>
      <c r="D20" s="12" t="s">
        <v>918</v>
      </c>
      <c r="E20" s="12" t="s">
        <v>919</v>
      </c>
      <c r="F20" s="12" t="s">
        <v>857</v>
      </c>
    </row>
    <row r="21" customFormat="false" ht="31.5" hidden="false" customHeight="true" outlineLevel="0" collapsed="false">
      <c r="A21" s="13" t="s">
        <v>920</v>
      </c>
      <c r="B21" s="13" t="s">
        <v>921</v>
      </c>
      <c r="C21" s="13" t="s">
        <v>917</v>
      </c>
      <c r="D21" s="13" t="s">
        <v>918</v>
      </c>
      <c r="E21" s="13" t="s">
        <v>922</v>
      </c>
      <c r="F21" s="13" t="s">
        <v>857</v>
      </c>
    </row>
    <row r="22" customFormat="false" ht="31.5" hidden="false" customHeight="true" outlineLevel="0" collapsed="false">
      <c r="A22" s="12" t="s">
        <v>923</v>
      </c>
      <c r="B22" s="12" t="s">
        <v>924</v>
      </c>
      <c r="C22" s="12" t="s">
        <v>925</v>
      </c>
      <c r="D22" s="12" t="s">
        <v>926</v>
      </c>
      <c r="E22" s="12" t="s">
        <v>927</v>
      </c>
      <c r="F22" s="12" t="s">
        <v>857</v>
      </c>
    </row>
    <row r="23" customFormat="false" ht="31.5" hidden="false" customHeight="true" outlineLevel="0" collapsed="false">
      <c r="A23" s="13" t="s">
        <v>928</v>
      </c>
      <c r="B23" s="13" t="s">
        <v>929</v>
      </c>
      <c r="C23" s="13" t="s">
        <v>930</v>
      </c>
      <c r="D23" s="13" t="s">
        <v>931</v>
      </c>
      <c r="E23" s="13" t="s">
        <v>932</v>
      </c>
      <c r="F23" s="13" t="s">
        <v>933</v>
      </c>
    </row>
    <row r="24" customFormat="false" ht="31.5" hidden="false" customHeight="true" outlineLevel="0" collapsed="false">
      <c r="A24" s="12" t="s">
        <v>934</v>
      </c>
      <c r="B24" s="12" t="s">
        <v>935</v>
      </c>
      <c r="C24" s="12" t="s">
        <v>936</v>
      </c>
      <c r="D24" s="12" t="s">
        <v>937</v>
      </c>
      <c r="E24" s="12" t="s">
        <v>938</v>
      </c>
      <c r="F24" s="12" t="s">
        <v>846</v>
      </c>
    </row>
  </sheetData>
  <autoFilter ref="A5:F24"/>
  <mergeCells count="2">
    <mergeCell ref="A1:F1"/>
    <mergeCell ref="A2:F2"/>
  </mergeCells>
  <printOptions headings="false" gridLines="false" gridLinesSet="true" horizontalCentered="tru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6D75"/>
    <pageSetUpPr fitToPage="true"/>
  </sheetPr>
  <dimension ref="A1:E2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54"/>
    <col collapsed="false" customWidth="true" hidden="false" outlineLevel="0" max="3" min="2" style="0" width="25"/>
    <col collapsed="false" customWidth="true" hidden="false" outlineLevel="0" max="4" min="4" style="0" width="17"/>
    <col collapsed="false" customWidth="true" hidden="false" outlineLevel="0" max="5" min="5" style="0" width="85"/>
  </cols>
  <sheetData>
    <row r="1" customFormat="false" ht="31.5" hidden="false" customHeight="true" outlineLevel="0" collapsed="false">
      <c r="A1" s="9" t="s">
        <v>939</v>
      </c>
      <c r="B1" s="9"/>
      <c r="C1" s="9"/>
      <c r="D1" s="9"/>
      <c r="E1" s="9"/>
    </row>
    <row r="2" customFormat="false" ht="75.75" hidden="false" customHeight="true" outlineLevel="0" collapsed="false">
      <c r="A2" s="10" t="s">
        <v>940</v>
      </c>
      <c r="B2" s="10"/>
      <c r="C2" s="10"/>
      <c r="D2" s="10"/>
      <c r="E2" s="10"/>
    </row>
    <row r="5" customFormat="false" ht="33.75" hidden="false" customHeight="true" outlineLevel="0" collapsed="false">
      <c r="A5" s="11" t="s">
        <v>941</v>
      </c>
      <c r="B5" s="11" t="s">
        <v>942</v>
      </c>
      <c r="C5" s="11" t="s">
        <v>943</v>
      </c>
      <c r="D5" s="11" t="s">
        <v>944</v>
      </c>
      <c r="E5" s="11" t="s">
        <v>809</v>
      </c>
    </row>
    <row r="6" customFormat="false" ht="27.75" hidden="false" customHeight="true" outlineLevel="0" collapsed="false">
      <c r="A6" s="12" t="s">
        <v>945</v>
      </c>
      <c r="B6" s="27" t="n">
        <f aca="false">Parametry!C6</f>
        <v>12</v>
      </c>
      <c r="C6" s="12" t="n">
        <v>12</v>
      </c>
      <c r="D6" s="36" t="b">
        <f aca="false">B6=C6</f>
        <v>1</v>
      </c>
      <c r="E6" s="12"/>
    </row>
    <row r="7" customFormat="false" ht="27.75" hidden="false" customHeight="true" outlineLevel="0" collapsed="false">
      <c r="A7" s="13" t="s">
        <v>946</v>
      </c>
      <c r="B7" s="31" t="n">
        <f aca="false">Parametry!C8</f>
        <v>12</v>
      </c>
      <c r="C7" s="13" t="n">
        <v>12</v>
      </c>
      <c r="D7" s="37" t="b">
        <f aca="false">B7=C7</f>
        <v>1</v>
      </c>
      <c r="E7" s="13"/>
    </row>
    <row r="8" customFormat="false" ht="27.75" hidden="false" customHeight="true" outlineLevel="0" collapsed="false">
      <c r="A8" s="12" t="s">
        <v>947</v>
      </c>
      <c r="B8" s="27" t="n">
        <f aca="false">Parametry!C27</f>
        <v>1</v>
      </c>
      <c r="C8" s="12" t="n">
        <v>1</v>
      </c>
      <c r="D8" s="36" t="b">
        <f aca="false">B8=C8</f>
        <v>1</v>
      </c>
      <c r="E8" s="12" t="s">
        <v>948</v>
      </c>
    </row>
    <row r="9" customFormat="false" ht="27.75" hidden="false" customHeight="true" outlineLevel="0" collapsed="false">
      <c r="A9" s="13" t="s">
        <v>949</v>
      </c>
      <c r="B9" s="31" t="n">
        <f aca="false">Parametry!$C$81</f>
        <v>500</v>
      </c>
      <c r="C9" s="13" t="n">
        <v>500</v>
      </c>
      <c r="D9" s="37" t="b">
        <f aca="false">B9=C9</f>
        <v>1</v>
      </c>
      <c r="E9" s="13"/>
    </row>
    <row r="10" customFormat="false" ht="27.75" hidden="false" customHeight="true" outlineLevel="0" collapsed="false">
      <c r="A10" s="12" t="s">
        <v>950</v>
      </c>
      <c r="B10" s="12" t="n">
        <f aca="false">COUNTA(Atrakcje!A6:A25)</f>
        <v>20</v>
      </c>
      <c r="C10" s="12" t="n">
        <v>20</v>
      </c>
      <c r="D10" s="36" t="b">
        <f aca="false">B10=C10</f>
        <v>1</v>
      </c>
      <c r="E10" s="12"/>
    </row>
    <row r="11" customFormat="false" ht="27.75" hidden="false" customHeight="true" outlineLevel="0" collapsed="false">
      <c r="A11" s="13" t="s">
        <v>951</v>
      </c>
      <c r="B11" s="31" t="n">
        <f aca="false">Parametry!$C$80</f>
        <v>5</v>
      </c>
      <c r="C11" s="13" t="n">
        <v>5</v>
      </c>
      <c r="D11" s="37" t="b">
        <f aca="false">B11=C11</f>
        <v>1</v>
      </c>
      <c r="E11" s="13"/>
    </row>
    <row r="12" customFormat="false" ht="27.75" hidden="false" customHeight="true" outlineLevel="0" collapsed="false">
      <c r="A12" s="12" t="s">
        <v>952</v>
      </c>
      <c r="B12" s="27" t="n">
        <f aca="false">Parametry!$C$78</f>
        <v>24</v>
      </c>
      <c r="C12" s="12" t="n">
        <v>24</v>
      </c>
      <c r="D12" s="36" t="b">
        <f aca="false">B12=C12</f>
        <v>1</v>
      </c>
      <c r="E12" s="12"/>
    </row>
    <row r="13" customFormat="false" ht="27.75" hidden="false" customHeight="true" outlineLevel="0" collapsed="false">
      <c r="A13" s="13" t="s">
        <v>953</v>
      </c>
      <c r="B13" s="31" t="n">
        <f aca="false">Parametry!$C$77</f>
        <v>24</v>
      </c>
      <c r="C13" s="13" t="n">
        <v>24</v>
      </c>
      <c r="D13" s="37" t="b">
        <f aca="false">B13=C13</f>
        <v>1</v>
      </c>
      <c r="E13" s="13"/>
    </row>
    <row r="14" customFormat="false" ht="27.75" hidden="false" customHeight="true" outlineLevel="0" collapsed="false">
      <c r="A14" s="12" t="s">
        <v>954</v>
      </c>
      <c r="B14" s="27" t="n">
        <f aca="false">Parametry!$C$76</f>
        <v>6</v>
      </c>
      <c r="C14" s="12" t="n">
        <v>6</v>
      </c>
      <c r="D14" s="36" t="b">
        <f aca="false">B14=C14</f>
        <v>1</v>
      </c>
      <c r="E14" s="12"/>
    </row>
    <row r="15" customFormat="false" ht="27.75" hidden="false" customHeight="true" outlineLevel="0" collapsed="false">
      <c r="A15" s="13" t="s">
        <v>955</v>
      </c>
      <c r="B15" s="34" t="n">
        <f aca="false">Sciezki!G6</f>
        <v>1</v>
      </c>
      <c r="C15" s="13" t="n">
        <v>1</v>
      </c>
      <c r="D15" s="37" t="b">
        <f aca="false">B15=C15</f>
        <v>1</v>
      </c>
      <c r="E15" s="13"/>
    </row>
    <row r="16" customFormat="false" ht="27.75" hidden="false" customHeight="true" outlineLevel="0" collapsed="false">
      <c r="A16" s="12" t="s">
        <v>956</v>
      </c>
      <c r="B16" s="32" t="n">
        <f aca="false">Sciezki!I6</f>
        <v>1</v>
      </c>
      <c r="C16" s="12" t="n">
        <v>1</v>
      </c>
      <c r="D16" s="36" t="b">
        <f aca="false">B16=C16</f>
        <v>1</v>
      </c>
      <c r="E16" s="12"/>
    </row>
    <row r="17" customFormat="false" ht="27.75" hidden="false" customHeight="true" outlineLevel="0" collapsed="false">
      <c r="A17" s="13" t="s">
        <v>957</v>
      </c>
      <c r="B17" s="13" t="n">
        <f aca="false">Sciezki!E6</f>
        <v>0</v>
      </c>
      <c r="C17" s="13" t="n">
        <v>0</v>
      </c>
      <c r="D17" s="37" t="b">
        <f aca="false">B17=C17</f>
        <v>1</v>
      </c>
      <c r="E17" s="13"/>
    </row>
    <row r="18" customFormat="false" ht="27.75" hidden="false" customHeight="true" outlineLevel="0" collapsed="false">
      <c r="A18" s="12" t="s">
        <v>958</v>
      </c>
      <c r="B18" s="32" t="n">
        <f aca="false">Sciezki!G7</f>
        <v>1.1</v>
      </c>
      <c r="C18" s="12" t="n">
        <v>1.1</v>
      </c>
      <c r="D18" s="36" t="b">
        <f aca="false">B18=C18</f>
        <v>1</v>
      </c>
      <c r="E18" s="12"/>
    </row>
    <row r="19" customFormat="false" ht="27.75" hidden="false" customHeight="true" outlineLevel="0" collapsed="false">
      <c r="A19" s="13" t="s">
        <v>959</v>
      </c>
      <c r="B19" s="34" t="n">
        <f aca="false">Sciezki!I7</f>
        <v>1</v>
      </c>
      <c r="C19" s="13" t="n">
        <v>1</v>
      </c>
      <c r="D19" s="37" t="b">
        <f aca="false">B19=C19</f>
        <v>1</v>
      </c>
      <c r="E19" s="13"/>
    </row>
    <row r="20" customFormat="false" ht="27.75" hidden="false" customHeight="true" outlineLevel="0" collapsed="false">
      <c r="A20" s="12" t="s">
        <v>960</v>
      </c>
      <c r="B20" s="12" t="n">
        <f aca="false">Sciezki!E7</f>
        <v>10000</v>
      </c>
      <c r="C20" s="12" t="n">
        <v>10000</v>
      </c>
      <c r="D20" s="36" t="b">
        <f aca="false">B20=C20</f>
        <v>1</v>
      </c>
      <c r="E20" s="12"/>
    </row>
    <row r="21" customFormat="false" ht="27.75" hidden="false" customHeight="true" outlineLevel="0" collapsed="false">
      <c r="A21" s="13" t="s">
        <v>961</v>
      </c>
      <c r="B21" s="34" t="n">
        <f aca="false">Sciezki!G8</f>
        <v>1.2</v>
      </c>
      <c r="C21" s="13" t="n">
        <v>1.2</v>
      </c>
      <c r="D21" s="37" t="b">
        <f aca="false">B21=C21</f>
        <v>1</v>
      </c>
      <c r="E21" s="13"/>
    </row>
    <row r="22" customFormat="false" ht="27.75" hidden="false" customHeight="true" outlineLevel="0" collapsed="false">
      <c r="A22" s="12" t="s">
        <v>962</v>
      </c>
      <c r="B22" s="32" t="n">
        <f aca="false">Sciezki!I8</f>
        <v>1</v>
      </c>
      <c r="C22" s="12" t="n">
        <v>1</v>
      </c>
      <c r="D22" s="36" t="b">
        <f aca="false">B22=C22</f>
        <v>1</v>
      </c>
      <c r="E22" s="12"/>
    </row>
    <row r="23" customFormat="false" ht="27.75" hidden="false" customHeight="true" outlineLevel="0" collapsed="false">
      <c r="A23" s="13" t="s">
        <v>963</v>
      </c>
      <c r="B23" s="13" t="n">
        <f aca="false">Sciezki!E8</f>
        <v>20000</v>
      </c>
      <c r="C23" s="13" t="n">
        <v>20000</v>
      </c>
      <c r="D23" s="37" t="b">
        <f aca="false">B23=C23</f>
        <v>1</v>
      </c>
      <c r="E23" s="13"/>
    </row>
    <row r="24" customFormat="false" ht="27.75" hidden="false" customHeight="true" outlineLevel="0" collapsed="false">
      <c r="A24" s="12" t="s">
        <v>964</v>
      </c>
      <c r="B24" s="32" t="n">
        <f aca="false">Sciezki!G9</f>
        <v>1.3</v>
      </c>
      <c r="C24" s="12" t="n">
        <v>1.3</v>
      </c>
      <c r="D24" s="36" t="b">
        <f aca="false">B24=C24</f>
        <v>1</v>
      </c>
      <c r="E24" s="12"/>
    </row>
    <row r="25" customFormat="false" ht="27.75" hidden="false" customHeight="true" outlineLevel="0" collapsed="false">
      <c r="A25" s="13" t="s">
        <v>965</v>
      </c>
      <c r="B25" s="34" t="n">
        <f aca="false">Sciezki!I9</f>
        <v>1.1</v>
      </c>
      <c r="C25" s="13" t="n">
        <v>1.1</v>
      </c>
      <c r="D25" s="37" t="b">
        <f aca="false">B25=C25</f>
        <v>1</v>
      </c>
      <c r="E25" s="13"/>
    </row>
    <row r="26" customFormat="false" ht="27.75" hidden="false" customHeight="true" outlineLevel="0" collapsed="false">
      <c r="A26" s="12" t="s">
        <v>966</v>
      </c>
      <c r="B26" s="12" t="n">
        <f aca="false">Sciezki!E9</f>
        <v>30000</v>
      </c>
      <c r="C26" s="12" t="n">
        <v>30000</v>
      </c>
      <c r="D26" s="36" t="b">
        <f aca="false">B26=C26</f>
        <v>1</v>
      </c>
      <c r="E26" s="12"/>
    </row>
    <row r="27" customFormat="false" ht="27.75" hidden="false" customHeight="true" outlineLevel="0" collapsed="false">
      <c r="A27" s="13" t="s">
        <v>967</v>
      </c>
      <c r="B27" s="34" t="n">
        <f aca="false">Sciezki!G10</f>
        <v>1.4</v>
      </c>
      <c r="C27" s="13" t="n">
        <v>1.4</v>
      </c>
      <c r="D27" s="37" t="b">
        <f aca="false">B27=C27</f>
        <v>1</v>
      </c>
      <c r="E27" s="13"/>
    </row>
    <row r="28" customFormat="false" ht="27.75" hidden="false" customHeight="true" outlineLevel="0" collapsed="false">
      <c r="A28" s="12" t="s">
        <v>968</v>
      </c>
      <c r="B28" s="32" t="n">
        <f aca="false">Sciezki!I10</f>
        <v>1.2</v>
      </c>
      <c r="C28" s="12" t="n">
        <v>1.2</v>
      </c>
      <c r="D28" s="36" t="b">
        <f aca="false">B28=C28</f>
        <v>1</v>
      </c>
      <c r="E28" s="12"/>
    </row>
    <row r="29" customFormat="false" ht="27.75" hidden="false" customHeight="true" outlineLevel="0" collapsed="false">
      <c r="A29" s="13" t="s">
        <v>969</v>
      </c>
      <c r="B29" s="13" t="n">
        <f aca="false">Sciezki!E10</f>
        <v>40000</v>
      </c>
      <c r="C29" s="13" t="n">
        <v>40000</v>
      </c>
      <c r="D29" s="37" t="b">
        <f aca="false">B29=C29</f>
        <v>1</v>
      </c>
      <c r="E29" s="13"/>
    </row>
    <row r="30" customFormat="false" ht="27.75" hidden="false" customHeight="true" outlineLevel="0" collapsed="false">
      <c r="A30" s="12" t="s">
        <v>970</v>
      </c>
      <c r="B30" s="32" t="n">
        <f aca="false">Sciezki!G11</f>
        <v>1.5</v>
      </c>
      <c r="C30" s="12" t="n">
        <v>1.5</v>
      </c>
      <c r="D30" s="36" t="b">
        <f aca="false">B30=C30</f>
        <v>1</v>
      </c>
      <c r="E30" s="12"/>
    </row>
    <row r="31" customFormat="false" ht="27.75" hidden="false" customHeight="true" outlineLevel="0" collapsed="false">
      <c r="A31" s="13" t="s">
        <v>971</v>
      </c>
      <c r="B31" s="34" t="n">
        <f aca="false">Sciezki!I11</f>
        <v>1.3</v>
      </c>
      <c r="C31" s="13" t="n">
        <v>1.3</v>
      </c>
      <c r="D31" s="37" t="b">
        <f aca="false">B31=C31</f>
        <v>1</v>
      </c>
      <c r="E31" s="13"/>
    </row>
    <row r="32" customFormat="false" ht="27.75" hidden="false" customHeight="true" outlineLevel="0" collapsed="false">
      <c r="A32" s="12" t="s">
        <v>972</v>
      </c>
      <c r="B32" s="12" t="n">
        <f aca="false">Sciezki!E11</f>
        <v>50000</v>
      </c>
      <c r="C32" s="12" t="n">
        <v>50000</v>
      </c>
      <c r="D32" s="36" t="b">
        <f aca="false">B32=C32</f>
        <v>1</v>
      </c>
      <c r="E32" s="12"/>
    </row>
    <row r="33" customFormat="false" ht="27.75" hidden="false" customHeight="true" outlineLevel="0" collapsed="false">
      <c r="A33" s="13" t="s">
        <v>973</v>
      </c>
      <c r="B33" s="13" t="n">
        <f aca="false">Sciezki!E11</f>
        <v>50000</v>
      </c>
      <c r="C33" s="13" t="n">
        <v>50000</v>
      </c>
      <c r="D33" s="37" t="b">
        <f aca="false">B33=C33</f>
        <v>1</v>
      </c>
      <c r="E33" s="13"/>
    </row>
    <row r="34" customFormat="false" ht="27.75" hidden="false" customHeight="true" outlineLevel="0" collapsed="false">
      <c r="A34" s="12" t="s">
        <v>974</v>
      </c>
      <c r="B34" s="12" t="n">
        <f aca="false">ROUND(Sciezki!J7,6)</f>
        <v>272.727273</v>
      </c>
      <c r="C34" s="12" t="n">
        <v>272.727273</v>
      </c>
      <c r="D34" s="36" t="b">
        <f aca="false">B34=C34</f>
        <v>1</v>
      </c>
      <c r="E34" s="12"/>
    </row>
    <row r="35" customFormat="false" ht="27.75" hidden="false" customHeight="true" outlineLevel="0" collapsed="false">
      <c r="A35" s="13" t="s">
        <v>975</v>
      </c>
      <c r="B35" s="13" t="n">
        <f aca="false">'Atrakcje - kalkulator'!E6</f>
        <v>5</v>
      </c>
      <c r="C35" s="13" t="n">
        <v>5</v>
      </c>
      <c r="D35" s="37" t="b">
        <f aca="false">B35=C35</f>
        <v>1</v>
      </c>
      <c r="E35" s="13"/>
    </row>
    <row r="36" customFormat="false" ht="27.75" hidden="false" customHeight="true" outlineLevel="0" collapsed="false">
      <c r="A36" s="12" t="s">
        <v>976</v>
      </c>
      <c r="B36" s="26" t="n">
        <f aca="false">'Atrakcje - kalkulator'!F6</f>
        <v>5</v>
      </c>
      <c r="C36" s="12" t="n">
        <v>5</v>
      </c>
      <c r="D36" s="36" t="b">
        <f aca="false">B36=C36</f>
        <v>1</v>
      </c>
      <c r="E36" s="12"/>
    </row>
    <row r="37" customFormat="false" ht="27.75" hidden="false" customHeight="true" outlineLevel="0" collapsed="false">
      <c r="A37" s="13" t="s">
        <v>977</v>
      </c>
      <c r="B37" s="13" t="n">
        <f aca="false">'Atrakcje - kalkulator'!E7</f>
        <v>5</v>
      </c>
      <c r="C37" s="13" t="n">
        <v>5</v>
      </c>
      <c r="D37" s="37" t="b">
        <f aca="false">B37=C37</f>
        <v>1</v>
      </c>
      <c r="E37" s="13"/>
    </row>
    <row r="38" customFormat="false" ht="27.75" hidden="false" customHeight="true" outlineLevel="0" collapsed="false">
      <c r="A38" s="12" t="s">
        <v>978</v>
      </c>
      <c r="B38" s="26" t="n">
        <f aca="false">'Atrakcje - kalkulator'!F7</f>
        <v>3.75</v>
      </c>
      <c r="C38" s="12" t="n">
        <v>3.75</v>
      </c>
      <c r="D38" s="36" t="b">
        <f aca="false">B38=C38</f>
        <v>1</v>
      </c>
      <c r="E38" s="12"/>
    </row>
    <row r="39" customFormat="false" ht="27.75" hidden="false" customHeight="true" outlineLevel="0" collapsed="false">
      <c r="A39" s="13" t="s">
        <v>979</v>
      </c>
      <c r="B39" s="13" t="n">
        <f aca="false">'Atrakcje - kalkulator'!E8</f>
        <v>5</v>
      </c>
      <c r="C39" s="13" t="n">
        <v>5</v>
      </c>
      <c r="D39" s="37" t="b">
        <f aca="false">B39=C39</f>
        <v>1</v>
      </c>
      <c r="E39" s="13"/>
    </row>
    <row r="40" customFormat="false" ht="27.75" hidden="false" customHeight="true" outlineLevel="0" collapsed="false">
      <c r="A40" s="12" t="s">
        <v>980</v>
      </c>
      <c r="B40" s="26" t="n">
        <f aca="false">'Atrakcje - kalkulator'!F8</f>
        <v>2.5</v>
      </c>
      <c r="C40" s="12" t="n">
        <v>2.5</v>
      </c>
      <c r="D40" s="36" t="b">
        <f aca="false">B40=C40</f>
        <v>1</v>
      </c>
      <c r="E40" s="12"/>
    </row>
    <row r="41" customFormat="false" ht="27.75" hidden="false" customHeight="true" outlineLevel="0" collapsed="false">
      <c r="A41" s="13" t="s">
        <v>981</v>
      </c>
      <c r="B41" s="13" t="n">
        <f aca="false">'Atrakcje - kalkulator'!E9</f>
        <v>5</v>
      </c>
      <c r="C41" s="13" t="n">
        <v>5</v>
      </c>
      <c r="D41" s="37" t="b">
        <f aca="false">B41=C41</f>
        <v>1</v>
      </c>
      <c r="E41" s="13"/>
    </row>
    <row r="42" customFormat="false" ht="27.75" hidden="false" customHeight="true" outlineLevel="0" collapsed="false">
      <c r="A42" s="12" t="s">
        <v>982</v>
      </c>
      <c r="B42" s="26" t="n">
        <f aca="false">'Atrakcje - kalkulator'!F9</f>
        <v>1.25</v>
      </c>
      <c r="C42" s="12" t="n">
        <v>1.25</v>
      </c>
      <c r="D42" s="36" t="b">
        <f aca="false">B42=C42</f>
        <v>1</v>
      </c>
      <c r="E42" s="12"/>
    </row>
    <row r="43" customFormat="false" ht="27.75" hidden="false" customHeight="true" outlineLevel="0" collapsed="false">
      <c r="A43" s="13" t="s">
        <v>983</v>
      </c>
      <c r="B43" s="13" t="n">
        <f aca="false">'Atrakcje - kalkulator'!E10</f>
        <v>5</v>
      </c>
      <c r="C43" s="13" t="n">
        <v>5</v>
      </c>
      <c r="D43" s="37" t="b">
        <f aca="false">B43=C43</f>
        <v>1</v>
      </c>
      <c r="E43" s="13"/>
    </row>
    <row r="44" customFormat="false" ht="27.75" hidden="false" customHeight="true" outlineLevel="0" collapsed="false">
      <c r="A44" s="12" t="s">
        <v>984</v>
      </c>
      <c r="B44" s="26" t="n">
        <f aca="false">'Atrakcje - kalkulator'!F10</f>
        <v>0</v>
      </c>
      <c r="C44" s="12" t="n">
        <v>0</v>
      </c>
      <c r="D44" s="36" t="b">
        <f aca="false">B44=C44</f>
        <v>1</v>
      </c>
      <c r="E44" s="12"/>
    </row>
    <row r="45" customFormat="false" ht="27.75" hidden="false" customHeight="true" outlineLevel="0" collapsed="false">
      <c r="A45" s="13" t="s">
        <v>985</v>
      </c>
      <c r="B45" s="13" t="n">
        <f aca="false">'Atrakcje - kalkulator'!E11</f>
        <v>25</v>
      </c>
      <c r="C45" s="13" t="n">
        <v>25</v>
      </c>
      <c r="D45" s="37" t="b">
        <f aca="false">B45=C45</f>
        <v>1</v>
      </c>
      <c r="E45" s="13"/>
    </row>
    <row r="46" customFormat="false" ht="27.75" hidden="false" customHeight="true" outlineLevel="0" collapsed="false">
      <c r="A46" s="12" t="s">
        <v>986</v>
      </c>
      <c r="B46" s="26" t="n">
        <f aca="false">'Atrakcje - kalkulator'!F11</f>
        <v>25</v>
      </c>
      <c r="C46" s="12" t="n">
        <v>25</v>
      </c>
      <c r="D46" s="36" t="b">
        <f aca="false">B46=C46</f>
        <v>1</v>
      </c>
      <c r="E46" s="12"/>
    </row>
    <row r="47" customFormat="false" ht="27.75" hidden="false" customHeight="true" outlineLevel="0" collapsed="false">
      <c r="A47" s="13" t="s">
        <v>987</v>
      </c>
      <c r="B47" s="13" t="n">
        <f aca="false">'Atrakcje - kalkulator'!E12</f>
        <v>25</v>
      </c>
      <c r="C47" s="13" t="n">
        <v>25</v>
      </c>
      <c r="D47" s="37" t="b">
        <f aca="false">B47=C47</f>
        <v>1</v>
      </c>
      <c r="E47" s="13"/>
    </row>
    <row r="48" customFormat="false" ht="27.75" hidden="false" customHeight="true" outlineLevel="0" collapsed="false">
      <c r="A48" s="12" t="s">
        <v>988</v>
      </c>
      <c r="B48" s="26" t="n">
        <f aca="false">'Atrakcje - kalkulator'!F12</f>
        <v>18.75</v>
      </c>
      <c r="C48" s="12" t="n">
        <v>18.75</v>
      </c>
      <c r="D48" s="36" t="b">
        <f aca="false">B48=C48</f>
        <v>1</v>
      </c>
      <c r="E48" s="12"/>
    </row>
    <row r="49" customFormat="false" ht="27.75" hidden="false" customHeight="true" outlineLevel="0" collapsed="false">
      <c r="A49" s="13" t="s">
        <v>989</v>
      </c>
      <c r="B49" s="13" t="n">
        <f aca="false">'Atrakcje - kalkulator'!E13</f>
        <v>25</v>
      </c>
      <c r="C49" s="13" t="n">
        <v>25</v>
      </c>
      <c r="D49" s="37" t="b">
        <f aca="false">B49=C49</f>
        <v>1</v>
      </c>
      <c r="E49" s="13"/>
    </row>
    <row r="50" customFormat="false" ht="27.75" hidden="false" customHeight="true" outlineLevel="0" collapsed="false">
      <c r="A50" s="12" t="s">
        <v>990</v>
      </c>
      <c r="B50" s="26" t="n">
        <f aca="false">'Atrakcje - kalkulator'!F13</f>
        <v>12.5</v>
      </c>
      <c r="C50" s="12" t="n">
        <v>12.5</v>
      </c>
      <c r="D50" s="36" t="b">
        <f aca="false">B50=C50</f>
        <v>1</v>
      </c>
      <c r="E50" s="12"/>
    </row>
    <row r="51" customFormat="false" ht="27.75" hidden="false" customHeight="true" outlineLevel="0" collapsed="false">
      <c r="A51" s="13" t="s">
        <v>991</v>
      </c>
      <c r="B51" s="13" t="n">
        <f aca="false">'Atrakcje - kalkulator'!E14</f>
        <v>25</v>
      </c>
      <c r="C51" s="13" t="n">
        <v>25</v>
      </c>
      <c r="D51" s="37" t="b">
        <f aca="false">B51=C51</f>
        <v>1</v>
      </c>
      <c r="E51" s="13"/>
    </row>
    <row r="52" customFormat="false" ht="27.75" hidden="false" customHeight="true" outlineLevel="0" collapsed="false">
      <c r="A52" s="12" t="s">
        <v>992</v>
      </c>
      <c r="B52" s="26" t="n">
        <f aca="false">'Atrakcje - kalkulator'!F14</f>
        <v>6.25</v>
      </c>
      <c r="C52" s="12" t="n">
        <v>6.25</v>
      </c>
      <c r="D52" s="36" t="b">
        <f aca="false">B52=C52</f>
        <v>1</v>
      </c>
      <c r="E52" s="12"/>
    </row>
    <row r="53" customFormat="false" ht="27.75" hidden="false" customHeight="true" outlineLevel="0" collapsed="false">
      <c r="A53" s="13" t="s">
        <v>993</v>
      </c>
      <c r="B53" s="13" t="n">
        <f aca="false">'Atrakcje - kalkulator'!E15</f>
        <v>25</v>
      </c>
      <c r="C53" s="13" t="n">
        <v>25</v>
      </c>
      <c r="D53" s="37" t="b">
        <f aca="false">B53=C53</f>
        <v>1</v>
      </c>
      <c r="E53" s="13"/>
    </row>
    <row r="54" customFormat="false" ht="27.75" hidden="false" customHeight="true" outlineLevel="0" collapsed="false">
      <c r="A54" s="12" t="s">
        <v>994</v>
      </c>
      <c r="B54" s="26" t="n">
        <f aca="false">'Atrakcje - kalkulator'!F15</f>
        <v>0</v>
      </c>
      <c r="C54" s="12" t="n">
        <v>0</v>
      </c>
      <c r="D54" s="36" t="b">
        <f aca="false">B54=C54</f>
        <v>1</v>
      </c>
      <c r="E54" s="12"/>
    </row>
    <row r="55" customFormat="false" ht="27.75" hidden="false" customHeight="true" outlineLevel="0" collapsed="false">
      <c r="A55" s="13" t="s">
        <v>995</v>
      </c>
      <c r="B55" s="13" t="n">
        <f aca="false">'Atrakcje - kalkulator'!E16</f>
        <v>50</v>
      </c>
      <c r="C55" s="13" t="n">
        <v>50</v>
      </c>
      <c r="D55" s="37" t="b">
        <f aca="false">B55=C55</f>
        <v>1</v>
      </c>
      <c r="E55" s="13"/>
    </row>
    <row r="56" customFormat="false" ht="27.75" hidden="false" customHeight="true" outlineLevel="0" collapsed="false">
      <c r="A56" s="12" t="s">
        <v>996</v>
      </c>
      <c r="B56" s="26" t="n">
        <f aca="false">'Atrakcje - kalkulator'!F16</f>
        <v>50</v>
      </c>
      <c r="C56" s="12" t="n">
        <v>50</v>
      </c>
      <c r="D56" s="36" t="b">
        <f aca="false">B56=C56</f>
        <v>1</v>
      </c>
      <c r="E56" s="12"/>
    </row>
    <row r="57" customFormat="false" ht="27.75" hidden="false" customHeight="true" outlineLevel="0" collapsed="false">
      <c r="A57" s="13" t="s">
        <v>997</v>
      </c>
      <c r="B57" s="13" t="n">
        <f aca="false">'Atrakcje - kalkulator'!E17</f>
        <v>50</v>
      </c>
      <c r="C57" s="13" t="n">
        <v>50</v>
      </c>
      <c r="D57" s="37" t="b">
        <f aca="false">B57=C57</f>
        <v>1</v>
      </c>
      <c r="E57" s="13"/>
    </row>
    <row r="58" customFormat="false" ht="27.75" hidden="false" customHeight="true" outlineLevel="0" collapsed="false">
      <c r="A58" s="12" t="s">
        <v>998</v>
      </c>
      <c r="B58" s="26" t="n">
        <f aca="false">'Atrakcje - kalkulator'!F17</f>
        <v>37.5</v>
      </c>
      <c r="C58" s="12" t="n">
        <v>37.5</v>
      </c>
      <c r="D58" s="36" t="b">
        <f aca="false">B58=C58</f>
        <v>1</v>
      </c>
      <c r="E58" s="12"/>
    </row>
    <row r="59" customFormat="false" ht="27.75" hidden="false" customHeight="true" outlineLevel="0" collapsed="false">
      <c r="A59" s="13" t="s">
        <v>999</v>
      </c>
      <c r="B59" s="13" t="n">
        <f aca="false">'Atrakcje - kalkulator'!E18</f>
        <v>50</v>
      </c>
      <c r="C59" s="13" t="n">
        <v>50</v>
      </c>
      <c r="D59" s="37" t="b">
        <f aca="false">B59=C59</f>
        <v>1</v>
      </c>
      <c r="E59" s="13"/>
    </row>
    <row r="60" customFormat="false" ht="27.75" hidden="false" customHeight="true" outlineLevel="0" collapsed="false">
      <c r="A60" s="12" t="s">
        <v>1000</v>
      </c>
      <c r="B60" s="26" t="n">
        <f aca="false">'Atrakcje - kalkulator'!F18</f>
        <v>25</v>
      </c>
      <c r="C60" s="12" t="n">
        <v>25</v>
      </c>
      <c r="D60" s="36" t="b">
        <f aca="false">B60=C60</f>
        <v>1</v>
      </c>
      <c r="E60" s="12"/>
    </row>
    <row r="61" customFormat="false" ht="27.75" hidden="false" customHeight="true" outlineLevel="0" collapsed="false">
      <c r="A61" s="13" t="s">
        <v>1001</v>
      </c>
      <c r="B61" s="13" t="n">
        <f aca="false">'Atrakcje - kalkulator'!E19</f>
        <v>50</v>
      </c>
      <c r="C61" s="13" t="n">
        <v>50</v>
      </c>
      <c r="D61" s="37" t="b">
        <f aca="false">B61=C61</f>
        <v>1</v>
      </c>
      <c r="E61" s="13"/>
    </row>
    <row r="62" customFormat="false" ht="27.75" hidden="false" customHeight="true" outlineLevel="0" collapsed="false">
      <c r="A62" s="12" t="s">
        <v>1002</v>
      </c>
      <c r="B62" s="26" t="n">
        <f aca="false">'Atrakcje - kalkulator'!F19</f>
        <v>12.5</v>
      </c>
      <c r="C62" s="12" t="n">
        <v>12.5</v>
      </c>
      <c r="D62" s="36" t="b">
        <f aca="false">B62=C62</f>
        <v>1</v>
      </c>
      <c r="E62" s="12"/>
    </row>
    <row r="63" customFormat="false" ht="27.75" hidden="false" customHeight="true" outlineLevel="0" collapsed="false">
      <c r="A63" s="13" t="s">
        <v>1003</v>
      </c>
      <c r="B63" s="13" t="n">
        <f aca="false">'Atrakcje - kalkulator'!E20</f>
        <v>50</v>
      </c>
      <c r="C63" s="13" t="n">
        <v>50</v>
      </c>
      <c r="D63" s="37" t="b">
        <f aca="false">B63=C63</f>
        <v>1</v>
      </c>
      <c r="E63" s="13"/>
    </row>
    <row r="64" customFormat="false" ht="27.75" hidden="false" customHeight="true" outlineLevel="0" collapsed="false">
      <c r="A64" s="12" t="s">
        <v>1004</v>
      </c>
      <c r="B64" s="26" t="n">
        <f aca="false">'Atrakcje - kalkulator'!F20</f>
        <v>0</v>
      </c>
      <c r="C64" s="12" t="n">
        <v>0</v>
      </c>
      <c r="D64" s="36" t="b">
        <f aca="false">B64=C64</f>
        <v>1</v>
      </c>
      <c r="E64" s="12"/>
    </row>
    <row r="65" customFormat="false" ht="27.75" hidden="false" customHeight="true" outlineLevel="0" collapsed="false">
      <c r="A65" s="13" t="s">
        <v>1005</v>
      </c>
      <c r="B65" s="13" t="n">
        <f aca="false">'Atrakcje - kalkulator'!E21</f>
        <v>100</v>
      </c>
      <c r="C65" s="13" t="n">
        <v>100</v>
      </c>
      <c r="D65" s="37" t="b">
        <f aca="false">B65=C65</f>
        <v>1</v>
      </c>
      <c r="E65" s="13"/>
    </row>
    <row r="66" customFormat="false" ht="27.75" hidden="false" customHeight="true" outlineLevel="0" collapsed="false">
      <c r="A66" s="12" t="s">
        <v>1006</v>
      </c>
      <c r="B66" s="26" t="n">
        <f aca="false">'Atrakcje - kalkulator'!F21</f>
        <v>100</v>
      </c>
      <c r="C66" s="12" t="n">
        <v>100</v>
      </c>
      <c r="D66" s="36" t="b">
        <f aca="false">B66=C66</f>
        <v>1</v>
      </c>
      <c r="E66" s="12"/>
    </row>
    <row r="67" customFormat="false" ht="27.75" hidden="false" customHeight="true" outlineLevel="0" collapsed="false">
      <c r="A67" s="13" t="s">
        <v>1007</v>
      </c>
      <c r="B67" s="13" t="n">
        <f aca="false">'Atrakcje - kalkulator'!E22</f>
        <v>100</v>
      </c>
      <c r="C67" s="13" t="n">
        <v>100</v>
      </c>
      <c r="D67" s="37" t="b">
        <f aca="false">B67=C67</f>
        <v>1</v>
      </c>
      <c r="E67" s="13"/>
    </row>
    <row r="68" customFormat="false" ht="27.75" hidden="false" customHeight="true" outlineLevel="0" collapsed="false">
      <c r="A68" s="12" t="s">
        <v>1008</v>
      </c>
      <c r="B68" s="26" t="n">
        <f aca="false">'Atrakcje - kalkulator'!F22</f>
        <v>75</v>
      </c>
      <c r="C68" s="12" t="n">
        <v>75</v>
      </c>
      <c r="D68" s="36" t="b">
        <f aca="false">B68=C68</f>
        <v>1</v>
      </c>
      <c r="E68" s="12"/>
    </row>
    <row r="69" customFormat="false" ht="27.75" hidden="false" customHeight="true" outlineLevel="0" collapsed="false">
      <c r="A69" s="13" t="s">
        <v>1009</v>
      </c>
      <c r="B69" s="13" t="n">
        <f aca="false">'Atrakcje - kalkulator'!E23</f>
        <v>100</v>
      </c>
      <c r="C69" s="13" t="n">
        <v>100</v>
      </c>
      <c r="D69" s="37" t="b">
        <f aca="false">B69=C69</f>
        <v>1</v>
      </c>
      <c r="E69" s="13"/>
    </row>
    <row r="70" customFormat="false" ht="27.75" hidden="false" customHeight="true" outlineLevel="0" collapsed="false">
      <c r="A70" s="12" t="s">
        <v>1010</v>
      </c>
      <c r="B70" s="26" t="n">
        <f aca="false">'Atrakcje - kalkulator'!F23</f>
        <v>50</v>
      </c>
      <c r="C70" s="12" t="n">
        <v>50</v>
      </c>
      <c r="D70" s="36" t="b">
        <f aca="false">B70=C70</f>
        <v>1</v>
      </c>
      <c r="E70" s="12"/>
    </row>
    <row r="71" customFormat="false" ht="27.75" hidden="false" customHeight="true" outlineLevel="0" collapsed="false">
      <c r="A71" s="13" t="s">
        <v>1011</v>
      </c>
      <c r="B71" s="13" t="n">
        <f aca="false">'Atrakcje - kalkulator'!E24</f>
        <v>100</v>
      </c>
      <c r="C71" s="13" t="n">
        <v>100</v>
      </c>
      <c r="D71" s="37" t="b">
        <f aca="false">B71=C71</f>
        <v>1</v>
      </c>
      <c r="E71" s="13"/>
    </row>
    <row r="72" customFormat="false" ht="27.75" hidden="false" customHeight="true" outlineLevel="0" collapsed="false">
      <c r="A72" s="12" t="s">
        <v>1012</v>
      </c>
      <c r="B72" s="26" t="n">
        <f aca="false">'Atrakcje - kalkulator'!F24</f>
        <v>25</v>
      </c>
      <c r="C72" s="12" t="n">
        <v>25</v>
      </c>
      <c r="D72" s="36" t="b">
        <f aca="false">B72=C72</f>
        <v>1</v>
      </c>
      <c r="E72" s="12"/>
    </row>
    <row r="73" customFormat="false" ht="27.75" hidden="false" customHeight="true" outlineLevel="0" collapsed="false">
      <c r="A73" s="13" t="s">
        <v>1013</v>
      </c>
      <c r="B73" s="13" t="n">
        <f aca="false">'Atrakcje - kalkulator'!E25</f>
        <v>100</v>
      </c>
      <c r="C73" s="13" t="n">
        <v>100</v>
      </c>
      <c r="D73" s="37" t="b">
        <f aca="false">B73=C73</f>
        <v>1</v>
      </c>
      <c r="E73" s="13"/>
    </row>
    <row r="74" customFormat="false" ht="27.75" hidden="false" customHeight="true" outlineLevel="0" collapsed="false">
      <c r="A74" s="12" t="s">
        <v>1014</v>
      </c>
      <c r="B74" s="26" t="n">
        <f aca="false">'Atrakcje - kalkulator'!F25</f>
        <v>0</v>
      </c>
      <c r="C74" s="12" t="n">
        <v>0</v>
      </c>
      <c r="D74" s="36" t="b">
        <f aca="false">B74=C74</f>
        <v>1</v>
      </c>
      <c r="E74" s="12"/>
    </row>
    <row r="75" customFormat="false" ht="27.75" hidden="false" customHeight="true" outlineLevel="0" collapsed="false">
      <c r="A75" s="13" t="s">
        <v>1015</v>
      </c>
      <c r="B75" s="13" t="n">
        <f aca="false">'Atrakcje - kalkulator'!E26</f>
        <v>10</v>
      </c>
      <c r="C75" s="13" t="n">
        <v>10</v>
      </c>
      <c r="D75" s="37" t="b">
        <f aca="false">B75=C75</f>
        <v>1</v>
      </c>
      <c r="E75" s="13"/>
    </row>
    <row r="76" customFormat="false" ht="27.75" hidden="false" customHeight="true" outlineLevel="0" collapsed="false">
      <c r="A76" s="12" t="s">
        <v>1016</v>
      </c>
      <c r="B76" s="26" t="n">
        <f aca="false">'Atrakcje - kalkulator'!F26</f>
        <v>5</v>
      </c>
      <c r="C76" s="12" t="n">
        <v>5</v>
      </c>
      <c r="D76" s="36" t="b">
        <f aca="false">B76=C76</f>
        <v>1</v>
      </c>
      <c r="E76" s="12"/>
    </row>
    <row r="77" customFormat="false" ht="27.75" hidden="false" customHeight="true" outlineLevel="0" collapsed="false">
      <c r="A77" s="13" t="s">
        <v>1017</v>
      </c>
      <c r="B77" s="13" t="n">
        <f aca="false">'Atrakcje - kalkulator'!E27</f>
        <v>10</v>
      </c>
      <c r="C77" s="13" t="n">
        <v>10</v>
      </c>
      <c r="D77" s="37" t="b">
        <f aca="false">B77=C77</f>
        <v>1</v>
      </c>
      <c r="E77" s="13"/>
    </row>
    <row r="78" customFormat="false" ht="27.75" hidden="false" customHeight="true" outlineLevel="0" collapsed="false">
      <c r="A78" s="12" t="s">
        <v>1018</v>
      </c>
      <c r="B78" s="26" t="n">
        <f aca="false">'Atrakcje - kalkulator'!F27</f>
        <v>3.75</v>
      </c>
      <c r="C78" s="12" t="n">
        <v>3.75</v>
      </c>
      <c r="D78" s="36" t="b">
        <f aca="false">B78=C78</f>
        <v>1</v>
      </c>
      <c r="E78" s="12"/>
    </row>
    <row r="79" customFormat="false" ht="27.75" hidden="false" customHeight="true" outlineLevel="0" collapsed="false">
      <c r="A79" s="13" t="s">
        <v>1019</v>
      </c>
      <c r="B79" s="13" t="n">
        <f aca="false">'Atrakcje - kalkulator'!E28</f>
        <v>10</v>
      </c>
      <c r="C79" s="13" t="n">
        <v>10</v>
      </c>
      <c r="D79" s="37" t="b">
        <f aca="false">B79=C79</f>
        <v>1</v>
      </c>
      <c r="E79" s="13"/>
    </row>
    <row r="80" customFormat="false" ht="27.75" hidden="false" customHeight="true" outlineLevel="0" collapsed="false">
      <c r="A80" s="12" t="s">
        <v>1020</v>
      </c>
      <c r="B80" s="26" t="n">
        <f aca="false">'Atrakcje - kalkulator'!F28</f>
        <v>2.5</v>
      </c>
      <c r="C80" s="12" t="n">
        <v>2.5</v>
      </c>
      <c r="D80" s="36" t="b">
        <f aca="false">B80=C80</f>
        <v>1</v>
      </c>
      <c r="E80" s="12"/>
    </row>
    <row r="81" customFormat="false" ht="27.75" hidden="false" customHeight="true" outlineLevel="0" collapsed="false">
      <c r="A81" s="13" t="s">
        <v>1021</v>
      </c>
      <c r="B81" s="13" t="n">
        <f aca="false">'Atrakcje - kalkulator'!E29</f>
        <v>10</v>
      </c>
      <c r="C81" s="13" t="n">
        <v>10</v>
      </c>
      <c r="D81" s="37" t="b">
        <f aca="false">B81=C81</f>
        <v>1</v>
      </c>
      <c r="E81" s="13"/>
    </row>
    <row r="82" customFormat="false" ht="27.75" hidden="false" customHeight="true" outlineLevel="0" collapsed="false">
      <c r="A82" s="12" t="s">
        <v>1022</v>
      </c>
      <c r="B82" s="26" t="n">
        <f aca="false">'Atrakcje - kalkulator'!F29</f>
        <v>1.25</v>
      </c>
      <c r="C82" s="12" t="n">
        <v>1.25</v>
      </c>
      <c r="D82" s="36" t="b">
        <f aca="false">B82=C82</f>
        <v>1</v>
      </c>
      <c r="E82" s="12"/>
    </row>
    <row r="83" customFormat="false" ht="27.75" hidden="false" customHeight="true" outlineLevel="0" collapsed="false">
      <c r="A83" s="13" t="s">
        <v>1023</v>
      </c>
      <c r="B83" s="13" t="n">
        <f aca="false">'Atrakcje - kalkulator'!E30</f>
        <v>10</v>
      </c>
      <c r="C83" s="13" t="n">
        <v>10</v>
      </c>
      <c r="D83" s="37" t="b">
        <f aca="false">B83=C83</f>
        <v>1</v>
      </c>
      <c r="E83" s="13"/>
    </row>
    <row r="84" customFormat="false" ht="27.75" hidden="false" customHeight="true" outlineLevel="0" collapsed="false">
      <c r="A84" s="12" t="s">
        <v>1024</v>
      </c>
      <c r="B84" s="26" t="n">
        <f aca="false">'Atrakcje - kalkulator'!F30</f>
        <v>0</v>
      </c>
      <c r="C84" s="12" t="n">
        <v>0</v>
      </c>
      <c r="D84" s="36" t="b">
        <f aca="false">B84=C84</f>
        <v>1</v>
      </c>
      <c r="E84" s="12"/>
    </row>
    <row r="85" customFormat="false" ht="27.75" hidden="false" customHeight="true" outlineLevel="0" collapsed="false">
      <c r="A85" s="13" t="s">
        <v>1025</v>
      </c>
      <c r="B85" s="13" t="n">
        <f aca="false">'Atrakcje - kalkulator'!E31</f>
        <v>50</v>
      </c>
      <c r="C85" s="13" t="n">
        <v>50</v>
      </c>
      <c r="D85" s="37" t="b">
        <f aca="false">B85=C85</f>
        <v>1</v>
      </c>
      <c r="E85" s="13"/>
    </row>
    <row r="86" customFormat="false" ht="27.75" hidden="false" customHeight="true" outlineLevel="0" collapsed="false">
      <c r="A86" s="12" t="s">
        <v>1026</v>
      </c>
      <c r="B86" s="26" t="n">
        <f aca="false">'Atrakcje - kalkulator'!F31</f>
        <v>25</v>
      </c>
      <c r="C86" s="12" t="n">
        <v>25</v>
      </c>
      <c r="D86" s="36" t="b">
        <f aca="false">B86=C86</f>
        <v>1</v>
      </c>
      <c r="E86" s="12"/>
    </row>
    <row r="87" customFormat="false" ht="27.75" hidden="false" customHeight="true" outlineLevel="0" collapsed="false">
      <c r="A87" s="13" t="s">
        <v>1027</v>
      </c>
      <c r="B87" s="13" t="n">
        <f aca="false">'Atrakcje - kalkulator'!E32</f>
        <v>50</v>
      </c>
      <c r="C87" s="13" t="n">
        <v>50</v>
      </c>
      <c r="D87" s="37" t="b">
        <f aca="false">B87=C87</f>
        <v>1</v>
      </c>
      <c r="E87" s="13"/>
    </row>
    <row r="88" customFormat="false" ht="27.75" hidden="false" customHeight="true" outlineLevel="0" collapsed="false">
      <c r="A88" s="12" t="s">
        <v>1028</v>
      </c>
      <c r="B88" s="26" t="n">
        <f aca="false">'Atrakcje - kalkulator'!F32</f>
        <v>18.75</v>
      </c>
      <c r="C88" s="12" t="n">
        <v>18.75</v>
      </c>
      <c r="D88" s="36" t="b">
        <f aca="false">B88=C88</f>
        <v>1</v>
      </c>
      <c r="E88" s="12"/>
    </row>
    <row r="89" customFormat="false" ht="27.75" hidden="false" customHeight="true" outlineLevel="0" collapsed="false">
      <c r="A89" s="13" t="s">
        <v>1029</v>
      </c>
      <c r="B89" s="13" t="n">
        <f aca="false">'Atrakcje - kalkulator'!E33</f>
        <v>50</v>
      </c>
      <c r="C89" s="13" t="n">
        <v>50</v>
      </c>
      <c r="D89" s="37" t="b">
        <f aca="false">B89=C89</f>
        <v>1</v>
      </c>
      <c r="E89" s="13"/>
    </row>
    <row r="90" customFormat="false" ht="27.75" hidden="false" customHeight="true" outlineLevel="0" collapsed="false">
      <c r="A90" s="12" t="s">
        <v>1030</v>
      </c>
      <c r="B90" s="26" t="n">
        <f aca="false">'Atrakcje - kalkulator'!F33</f>
        <v>12.5</v>
      </c>
      <c r="C90" s="12" t="n">
        <v>12.5</v>
      </c>
      <c r="D90" s="36" t="b">
        <f aca="false">B90=C90</f>
        <v>1</v>
      </c>
      <c r="E90" s="12"/>
    </row>
    <row r="91" customFormat="false" ht="27.75" hidden="false" customHeight="true" outlineLevel="0" collapsed="false">
      <c r="A91" s="13" t="s">
        <v>1031</v>
      </c>
      <c r="B91" s="13" t="n">
        <f aca="false">'Atrakcje - kalkulator'!E34</f>
        <v>50</v>
      </c>
      <c r="C91" s="13" t="n">
        <v>50</v>
      </c>
      <c r="D91" s="37" t="b">
        <f aca="false">B91=C91</f>
        <v>1</v>
      </c>
      <c r="E91" s="13"/>
    </row>
    <row r="92" customFormat="false" ht="27.75" hidden="false" customHeight="true" outlineLevel="0" collapsed="false">
      <c r="A92" s="12" t="s">
        <v>1032</v>
      </c>
      <c r="B92" s="26" t="n">
        <f aca="false">'Atrakcje - kalkulator'!F34</f>
        <v>6.25</v>
      </c>
      <c r="C92" s="12" t="n">
        <v>6.25</v>
      </c>
      <c r="D92" s="36" t="b">
        <f aca="false">B92=C92</f>
        <v>1</v>
      </c>
      <c r="E92" s="12"/>
    </row>
    <row r="93" customFormat="false" ht="27.75" hidden="false" customHeight="true" outlineLevel="0" collapsed="false">
      <c r="A93" s="13" t="s">
        <v>1033</v>
      </c>
      <c r="B93" s="13" t="n">
        <f aca="false">'Atrakcje - kalkulator'!E35</f>
        <v>50</v>
      </c>
      <c r="C93" s="13" t="n">
        <v>50</v>
      </c>
      <c r="D93" s="37" t="b">
        <f aca="false">B93=C93</f>
        <v>1</v>
      </c>
      <c r="E93" s="13"/>
    </row>
    <row r="94" customFormat="false" ht="27.75" hidden="false" customHeight="true" outlineLevel="0" collapsed="false">
      <c r="A94" s="12" t="s">
        <v>1034</v>
      </c>
      <c r="B94" s="26" t="n">
        <f aca="false">'Atrakcje - kalkulator'!F35</f>
        <v>0</v>
      </c>
      <c r="C94" s="12" t="n">
        <v>0</v>
      </c>
      <c r="D94" s="36" t="b">
        <f aca="false">B94=C94</f>
        <v>1</v>
      </c>
      <c r="E94" s="12"/>
    </row>
    <row r="95" customFormat="false" ht="27.75" hidden="false" customHeight="true" outlineLevel="0" collapsed="false">
      <c r="A95" s="13" t="s">
        <v>1035</v>
      </c>
      <c r="B95" s="13" t="n">
        <f aca="false">'Atrakcje - kalkulator'!E36</f>
        <v>100</v>
      </c>
      <c r="C95" s="13" t="n">
        <v>100</v>
      </c>
      <c r="D95" s="37" t="b">
        <f aca="false">B95=C95</f>
        <v>1</v>
      </c>
      <c r="E95" s="13"/>
    </row>
    <row r="96" customFormat="false" ht="27.75" hidden="false" customHeight="true" outlineLevel="0" collapsed="false">
      <c r="A96" s="12" t="s">
        <v>1036</v>
      </c>
      <c r="B96" s="26" t="n">
        <f aca="false">'Atrakcje - kalkulator'!F36</f>
        <v>50</v>
      </c>
      <c r="C96" s="12" t="n">
        <v>50</v>
      </c>
      <c r="D96" s="36" t="b">
        <f aca="false">B96=C96</f>
        <v>1</v>
      </c>
      <c r="E96" s="12"/>
    </row>
    <row r="97" customFormat="false" ht="27.75" hidden="false" customHeight="true" outlineLevel="0" collapsed="false">
      <c r="A97" s="13" t="s">
        <v>1037</v>
      </c>
      <c r="B97" s="13" t="n">
        <f aca="false">'Atrakcje - kalkulator'!E37</f>
        <v>100</v>
      </c>
      <c r="C97" s="13" t="n">
        <v>100</v>
      </c>
      <c r="D97" s="37" t="b">
        <f aca="false">B97=C97</f>
        <v>1</v>
      </c>
      <c r="E97" s="13"/>
    </row>
    <row r="98" customFormat="false" ht="27.75" hidden="false" customHeight="true" outlineLevel="0" collapsed="false">
      <c r="A98" s="12" t="s">
        <v>1038</v>
      </c>
      <c r="B98" s="26" t="n">
        <f aca="false">'Atrakcje - kalkulator'!F37</f>
        <v>37.5</v>
      </c>
      <c r="C98" s="12" t="n">
        <v>37.5</v>
      </c>
      <c r="D98" s="36" t="b">
        <f aca="false">B98=C98</f>
        <v>1</v>
      </c>
      <c r="E98" s="12"/>
    </row>
    <row r="99" customFormat="false" ht="27.75" hidden="false" customHeight="true" outlineLevel="0" collapsed="false">
      <c r="A99" s="13" t="s">
        <v>1039</v>
      </c>
      <c r="B99" s="13" t="n">
        <f aca="false">'Atrakcje - kalkulator'!E38</f>
        <v>100</v>
      </c>
      <c r="C99" s="13" t="n">
        <v>100</v>
      </c>
      <c r="D99" s="37" t="b">
        <f aca="false">B99=C99</f>
        <v>1</v>
      </c>
      <c r="E99" s="13"/>
    </row>
    <row r="100" customFormat="false" ht="27.75" hidden="false" customHeight="true" outlineLevel="0" collapsed="false">
      <c r="A100" s="12" t="s">
        <v>1040</v>
      </c>
      <c r="B100" s="26" t="n">
        <f aca="false">'Atrakcje - kalkulator'!F38</f>
        <v>25</v>
      </c>
      <c r="C100" s="12" t="n">
        <v>25</v>
      </c>
      <c r="D100" s="36" t="b">
        <f aca="false">B100=C100</f>
        <v>1</v>
      </c>
      <c r="E100" s="12"/>
    </row>
    <row r="101" customFormat="false" ht="27.75" hidden="false" customHeight="true" outlineLevel="0" collapsed="false">
      <c r="A101" s="13" t="s">
        <v>1041</v>
      </c>
      <c r="B101" s="13" t="n">
        <f aca="false">'Atrakcje - kalkulator'!E39</f>
        <v>100</v>
      </c>
      <c r="C101" s="13" t="n">
        <v>100</v>
      </c>
      <c r="D101" s="37" t="b">
        <f aca="false">B101=C101</f>
        <v>1</v>
      </c>
      <c r="E101" s="13"/>
    </row>
    <row r="102" customFormat="false" ht="27.75" hidden="false" customHeight="true" outlineLevel="0" collapsed="false">
      <c r="A102" s="12" t="s">
        <v>1042</v>
      </c>
      <c r="B102" s="26" t="n">
        <f aca="false">'Atrakcje - kalkulator'!F39</f>
        <v>12.5</v>
      </c>
      <c r="C102" s="12" t="n">
        <v>12.5</v>
      </c>
      <c r="D102" s="36" t="b">
        <f aca="false">B102=C102</f>
        <v>1</v>
      </c>
      <c r="E102" s="12"/>
    </row>
    <row r="103" customFormat="false" ht="27.75" hidden="false" customHeight="true" outlineLevel="0" collapsed="false">
      <c r="A103" s="13" t="s">
        <v>1043</v>
      </c>
      <c r="B103" s="13" t="n">
        <f aca="false">'Atrakcje - kalkulator'!E40</f>
        <v>100</v>
      </c>
      <c r="C103" s="13" t="n">
        <v>100</v>
      </c>
      <c r="D103" s="37" t="b">
        <f aca="false">B103=C103</f>
        <v>1</v>
      </c>
      <c r="E103" s="13"/>
    </row>
    <row r="104" customFormat="false" ht="27.75" hidden="false" customHeight="true" outlineLevel="0" collapsed="false">
      <c r="A104" s="12" t="s">
        <v>1044</v>
      </c>
      <c r="B104" s="26" t="n">
        <f aca="false">'Atrakcje - kalkulator'!F40</f>
        <v>0</v>
      </c>
      <c r="C104" s="12" t="n">
        <v>0</v>
      </c>
      <c r="D104" s="36" t="b">
        <f aca="false">B104=C104</f>
        <v>1</v>
      </c>
      <c r="E104" s="12"/>
    </row>
    <row r="105" customFormat="false" ht="27.75" hidden="false" customHeight="true" outlineLevel="0" collapsed="false">
      <c r="A105" s="13" t="s">
        <v>1045</v>
      </c>
      <c r="B105" s="13" t="n">
        <f aca="false">'Atrakcje - kalkulator'!E41</f>
        <v>200</v>
      </c>
      <c r="C105" s="13" t="n">
        <v>200</v>
      </c>
      <c r="D105" s="37" t="b">
        <f aca="false">B105=C105</f>
        <v>1</v>
      </c>
      <c r="E105" s="13"/>
    </row>
    <row r="106" customFormat="false" ht="27.75" hidden="false" customHeight="true" outlineLevel="0" collapsed="false">
      <c r="A106" s="12" t="s">
        <v>1046</v>
      </c>
      <c r="B106" s="26" t="n">
        <f aca="false">'Atrakcje - kalkulator'!F41</f>
        <v>100</v>
      </c>
      <c r="C106" s="12" t="n">
        <v>100</v>
      </c>
      <c r="D106" s="36" t="b">
        <f aca="false">B106=C106</f>
        <v>1</v>
      </c>
      <c r="E106" s="12"/>
    </row>
    <row r="107" customFormat="false" ht="27.75" hidden="false" customHeight="true" outlineLevel="0" collapsed="false">
      <c r="A107" s="13" t="s">
        <v>1047</v>
      </c>
      <c r="B107" s="13" t="n">
        <f aca="false">'Atrakcje - kalkulator'!E42</f>
        <v>200</v>
      </c>
      <c r="C107" s="13" t="n">
        <v>200</v>
      </c>
      <c r="D107" s="37" t="b">
        <f aca="false">B107=C107</f>
        <v>1</v>
      </c>
      <c r="E107" s="13"/>
    </row>
    <row r="108" customFormat="false" ht="27.75" hidden="false" customHeight="true" outlineLevel="0" collapsed="false">
      <c r="A108" s="12" t="s">
        <v>1048</v>
      </c>
      <c r="B108" s="26" t="n">
        <f aca="false">'Atrakcje - kalkulator'!F42</f>
        <v>75</v>
      </c>
      <c r="C108" s="12" t="n">
        <v>75</v>
      </c>
      <c r="D108" s="36" t="b">
        <f aca="false">B108=C108</f>
        <v>1</v>
      </c>
      <c r="E108" s="12"/>
    </row>
    <row r="109" customFormat="false" ht="27.75" hidden="false" customHeight="true" outlineLevel="0" collapsed="false">
      <c r="A109" s="13" t="s">
        <v>1049</v>
      </c>
      <c r="B109" s="13" t="n">
        <f aca="false">'Atrakcje - kalkulator'!E43</f>
        <v>200</v>
      </c>
      <c r="C109" s="13" t="n">
        <v>200</v>
      </c>
      <c r="D109" s="37" t="b">
        <f aca="false">B109=C109</f>
        <v>1</v>
      </c>
      <c r="E109" s="13"/>
    </row>
    <row r="110" customFormat="false" ht="27.75" hidden="false" customHeight="true" outlineLevel="0" collapsed="false">
      <c r="A110" s="12" t="s">
        <v>1050</v>
      </c>
      <c r="B110" s="26" t="n">
        <f aca="false">'Atrakcje - kalkulator'!F43</f>
        <v>50</v>
      </c>
      <c r="C110" s="12" t="n">
        <v>50</v>
      </c>
      <c r="D110" s="36" t="b">
        <f aca="false">B110=C110</f>
        <v>1</v>
      </c>
      <c r="E110" s="12"/>
    </row>
    <row r="111" customFormat="false" ht="27.75" hidden="false" customHeight="true" outlineLevel="0" collapsed="false">
      <c r="A111" s="13" t="s">
        <v>1051</v>
      </c>
      <c r="B111" s="13" t="n">
        <f aca="false">'Atrakcje - kalkulator'!E44</f>
        <v>200</v>
      </c>
      <c r="C111" s="13" t="n">
        <v>200</v>
      </c>
      <c r="D111" s="37" t="b">
        <f aca="false">B111=C111</f>
        <v>1</v>
      </c>
      <c r="E111" s="13"/>
    </row>
    <row r="112" customFormat="false" ht="27.75" hidden="false" customHeight="true" outlineLevel="0" collapsed="false">
      <c r="A112" s="12" t="s">
        <v>1052</v>
      </c>
      <c r="B112" s="26" t="n">
        <f aca="false">'Atrakcje - kalkulator'!F44</f>
        <v>25</v>
      </c>
      <c r="C112" s="12" t="n">
        <v>25</v>
      </c>
      <c r="D112" s="36" t="b">
        <f aca="false">B112=C112</f>
        <v>1</v>
      </c>
      <c r="E112" s="12"/>
    </row>
    <row r="113" customFormat="false" ht="27.75" hidden="false" customHeight="true" outlineLevel="0" collapsed="false">
      <c r="A113" s="13" t="s">
        <v>1053</v>
      </c>
      <c r="B113" s="13" t="n">
        <f aca="false">'Atrakcje - kalkulator'!E45</f>
        <v>200</v>
      </c>
      <c r="C113" s="13" t="n">
        <v>200</v>
      </c>
      <c r="D113" s="37" t="b">
        <f aca="false">B113=C113</f>
        <v>1</v>
      </c>
      <c r="E113" s="13"/>
    </row>
    <row r="114" customFormat="false" ht="27.75" hidden="false" customHeight="true" outlineLevel="0" collapsed="false">
      <c r="A114" s="12" t="s">
        <v>1054</v>
      </c>
      <c r="B114" s="26" t="n">
        <f aca="false">'Atrakcje - kalkulator'!F45</f>
        <v>0</v>
      </c>
      <c r="C114" s="12" t="n">
        <v>0</v>
      </c>
      <c r="D114" s="36" t="b">
        <f aca="false">B114=C114</f>
        <v>1</v>
      </c>
      <c r="E114" s="12"/>
    </row>
    <row r="115" customFormat="false" ht="27.75" hidden="false" customHeight="true" outlineLevel="0" collapsed="false">
      <c r="A115" s="13" t="s">
        <v>1055</v>
      </c>
      <c r="B115" s="13" t="n">
        <f aca="false">'Atrakcje - kalkulator'!E46</f>
        <v>15</v>
      </c>
      <c r="C115" s="13" t="n">
        <v>15</v>
      </c>
      <c r="D115" s="37" t="b">
        <f aca="false">B115=C115</f>
        <v>1</v>
      </c>
      <c r="E115" s="13"/>
    </row>
    <row r="116" customFormat="false" ht="27.75" hidden="false" customHeight="true" outlineLevel="0" collapsed="false">
      <c r="A116" s="12" t="s">
        <v>1056</v>
      </c>
      <c r="B116" s="26" t="n">
        <f aca="false">'Atrakcje - kalkulator'!F46</f>
        <v>5</v>
      </c>
      <c r="C116" s="12" t="n">
        <v>5</v>
      </c>
      <c r="D116" s="36" t="b">
        <f aca="false">B116=C116</f>
        <v>1</v>
      </c>
      <c r="E116" s="12"/>
    </row>
    <row r="117" customFormat="false" ht="27.75" hidden="false" customHeight="true" outlineLevel="0" collapsed="false">
      <c r="A117" s="13" t="s">
        <v>1057</v>
      </c>
      <c r="B117" s="13" t="n">
        <f aca="false">'Atrakcje - kalkulator'!E47</f>
        <v>15</v>
      </c>
      <c r="C117" s="13" t="n">
        <v>15</v>
      </c>
      <c r="D117" s="37" t="b">
        <f aca="false">B117=C117</f>
        <v>1</v>
      </c>
      <c r="E117" s="13"/>
    </row>
    <row r="118" customFormat="false" ht="27.75" hidden="false" customHeight="true" outlineLevel="0" collapsed="false">
      <c r="A118" s="12" t="s">
        <v>1058</v>
      </c>
      <c r="B118" s="26" t="n">
        <f aca="false">'Atrakcje - kalkulator'!F47</f>
        <v>3.75</v>
      </c>
      <c r="C118" s="12" t="n">
        <v>3.75</v>
      </c>
      <c r="D118" s="36" t="b">
        <f aca="false">B118=C118</f>
        <v>1</v>
      </c>
      <c r="E118" s="12"/>
    </row>
    <row r="119" customFormat="false" ht="27.75" hidden="false" customHeight="true" outlineLevel="0" collapsed="false">
      <c r="A119" s="13" t="s">
        <v>1059</v>
      </c>
      <c r="B119" s="13" t="n">
        <f aca="false">'Atrakcje - kalkulator'!E48</f>
        <v>15</v>
      </c>
      <c r="C119" s="13" t="n">
        <v>15</v>
      </c>
      <c r="D119" s="37" t="b">
        <f aca="false">B119=C119</f>
        <v>1</v>
      </c>
      <c r="E119" s="13"/>
    </row>
    <row r="120" customFormat="false" ht="27.75" hidden="false" customHeight="true" outlineLevel="0" collapsed="false">
      <c r="A120" s="12" t="s">
        <v>1060</v>
      </c>
      <c r="B120" s="26" t="n">
        <f aca="false">'Atrakcje - kalkulator'!F48</f>
        <v>2.5</v>
      </c>
      <c r="C120" s="12" t="n">
        <v>2.5</v>
      </c>
      <c r="D120" s="36" t="b">
        <f aca="false">B120=C120</f>
        <v>1</v>
      </c>
      <c r="E120" s="12"/>
    </row>
    <row r="121" customFormat="false" ht="27.75" hidden="false" customHeight="true" outlineLevel="0" collapsed="false">
      <c r="A121" s="13" t="s">
        <v>1061</v>
      </c>
      <c r="B121" s="13" t="n">
        <f aca="false">'Atrakcje - kalkulator'!E49</f>
        <v>15</v>
      </c>
      <c r="C121" s="13" t="n">
        <v>15</v>
      </c>
      <c r="D121" s="37" t="b">
        <f aca="false">B121=C121</f>
        <v>1</v>
      </c>
      <c r="E121" s="13"/>
    </row>
    <row r="122" customFormat="false" ht="27.75" hidden="false" customHeight="true" outlineLevel="0" collapsed="false">
      <c r="A122" s="12" t="s">
        <v>1062</v>
      </c>
      <c r="B122" s="26" t="n">
        <f aca="false">'Atrakcje - kalkulator'!F49</f>
        <v>1.25</v>
      </c>
      <c r="C122" s="12" t="n">
        <v>1.25</v>
      </c>
      <c r="D122" s="36" t="b">
        <f aca="false">B122=C122</f>
        <v>1</v>
      </c>
      <c r="E122" s="12"/>
    </row>
    <row r="123" customFormat="false" ht="27.75" hidden="false" customHeight="true" outlineLevel="0" collapsed="false">
      <c r="A123" s="13" t="s">
        <v>1063</v>
      </c>
      <c r="B123" s="13" t="n">
        <f aca="false">'Atrakcje - kalkulator'!E50</f>
        <v>15</v>
      </c>
      <c r="C123" s="13" t="n">
        <v>15</v>
      </c>
      <c r="D123" s="37" t="b">
        <f aca="false">B123=C123</f>
        <v>1</v>
      </c>
      <c r="E123" s="13"/>
    </row>
    <row r="124" customFormat="false" ht="27.75" hidden="false" customHeight="true" outlineLevel="0" collapsed="false">
      <c r="A124" s="12" t="s">
        <v>1064</v>
      </c>
      <c r="B124" s="26" t="n">
        <f aca="false">'Atrakcje - kalkulator'!F50</f>
        <v>0</v>
      </c>
      <c r="C124" s="12" t="n">
        <v>0</v>
      </c>
      <c r="D124" s="36" t="b">
        <f aca="false">B124=C124</f>
        <v>1</v>
      </c>
      <c r="E124" s="12"/>
    </row>
    <row r="125" customFormat="false" ht="27.75" hidden="false" customHeight="true" outlineLevel="0" collapsed="false">
      <c r="A125" s="13" t="s">
        <v>1065</v>
      </c>
      <c r="B125" s="13" t="n">
        <f aca="false">'Atrakcje - kalkulator'!E51</f>
        <v>75</v>
      </c>
      <c r="C125" s="13" t="n">
        <v>75</v>
      </c>
      <c r="D125" s="37" t="b">
        <f aca="false">B125=C125</f>
        <v>1</v>
      </c>
      <c r="E125" s="13"/>
    </row>
    <row r="126" customFormat="false" ht="27.75" hidden="false" customHeight="true" outlineLevel="0" collapsed="false">
      <c r="A126" s="12" t="s">
        <v>1066</v>
      </c>
      <c r="B126" s="26" t="n">
        <f aca="false">'Atrakcje - kalkulator'!F51</f>
        <v>25</v>
      </c>
      <c r="C126" s="12" t="n">
        <v>25</v>
      </c>
      <c r="D126" s="36" t="b">
        <f aca="false">B126=C126</f>
        <v>1</v>
      </c>
      <c r="E126" s="12"/>
    </row>
    <row r="127" customFormat="false" ht="27.75" hidden="false" customHeight="true" outlineLevel="0" collapsed="false">
      <c r="A127" s="13" t="s">
        <v>1067</v>
      </c>
      <c r="B127" s="13" t="n">
        <f aca="false">'Atrakcje - kalkulator'!E52</f>
        <v>75</v>
      </c>
      <c r="C127" s="13" t="n">
        <v>75</v>
      </c>
      <c r="D127" s="37" t="b">
        <f aca="false">B127=C127</f>
        <v>1</v>
      </c>
      <c r="E127" s="13"/>
    </row>
    <row r="128" customFormat="false" ht="27.75" hidden="false" customHeight="true" outlineLevel="0" collapsed="false">
      <c r="A128" s="12" t="s">
        <v>1068</v>
      </c>
      <c r="B128" s="26" t="n">
        <f aca="false">'Atrakcje - kalkulator'!F52</f>
        <v>18.75</v>
      </c>
      <c r="C128" s="12" t="n">
        <v>18.75</v>
      </c>
      <c r="D128" s="36" t="b">
        <f aca="false">B128=C128</f>
        <v>1</v>
      </c>
      <c r="E128" s="12"/>
    </row>
    <row r="129" customFormat="false" ht="27.75" hidden="false" customHeight="true" outlineLevel="0" collapsed="false">
      <c r="A129" s="13" t="s">
        <v>1069</v>
      </c>
      <c r="B129" s="13" t="n">
        <f aca="false">'Atrakcje - kalkulator'!E53</f>
        <v>75</v>
      </c>
      <c r="C129" s="13" t="n">
        <v>75</v>
      </c>
      <c r="D129" s="37" t="b">
        <f aca="false">B129=C129</f>
        <v>1</v>
      </c>
      <c r="E129" s="13"/>
    </row>
    <row r="130" customFormat="false" ht="27.75" hidden="false" customHeight="true" outlineLevel="0" collapsed="false">
      <c r="A130" s="12" t="s">
        <v>1070</v>
      </c>
      <c r="B130" s="26" t="n">
        <f aca="false">'Atrakcje - kalkulator'!F53</f>
        <v>12.5</v>
      </c>
      <c r="C130" s="12" t="n">
        <v>12.5</v>
      </c>
      <c r="D130" s="36" t="b">
        <f aca="false">B130=C130</f>
        <v>1</v>
      </c>
      <c r="E130" s="12"/>
    </row>
    <row r="131" customFormat="false" ht="27.75" hidden="false" customHeight="true" outlineLevel="0" collapsed="false">
      <c r="A131" s="13" t="s">
        <v>1071</v>
      </c>
      <c r="B131" s="13" t="n">
        <f aca="false">'Atrakcje - kalkulator'!E54</f>
        <v>75</v>
      </c>
      <c r="C131" s="13" t="n">
        <v>75</v>
      </c>
      <c r="D131" s="37" t="b">
        <f aca="false">B131=C131</f>
        <v>1</v>
      </c>
      <c r="E131" s="13"/>
    </row>
    <row r="132" customFormat="false" ht="27.75" hidden="false" customHeight="true" outlineLevel="0" collapsed="false">
      <c r="A132" s="12" t="s">
        <v>1072</v>
      </c>
      <c r="B132" s="26" t="n">
        <f aca="false">'Atrakcje - kalkulator'!F54</f>
        <v>6.25</v>
      </c>
      <c r="C132" s="12" t="n">
        <v>6.25</v>
      </c>
      <c r="D132" s="36" t="b">
        <f aca="false">B132=C132</f>
        <v>1</v>
      </c>
      <c r="E132" s="12"/>
    </row>
    <row r="133" customFormat="false" ht="27.75" hidden="false" customHeight="true" outlineLevel="0" collapsed="false">
      <c r="A133" s="13" t="s">
        <v>1073</v>
      </c>
      <c r="B133" s="13" t="n">
        <f aca="false">'Atrakcje - kalkulator'!E55</f>
        <v>75</v>
      </c>
      <c r="C133" s="13" t="n">
        <v>75</v>
      </c>
      <c r="D133" s="37" t="b">
        <f aca="false">B133=C133</f>
        <v>1</v>
      </c>
      <c r="E133" s="13"/>
    </row>
    <row r="134" customFormat="false" ht="27.75" hidden="false" customHeight="true" outlineLevel="0" collapsed="false">
      <c r="A134" s="12" t="s">
        <v>1074</v>
      </c>
      <c r="B134" s="26" t="n">
        <f aca="false">'Atrakcje - kalkulator'!F55</f>
        <v>0</v>
      </c>
      <c r="C134" s="12" t="n">
        <v>0</v>
      </c>
      <c r="D134" s="36" t="b">
        <f aca="false">B134=C134</f>
        <v>1</v>
      </c>
      <c r="E134" s="12"/>
    </row>
    <row r="135" customFormat="false" ht="27.75" hidden="false" customHeight="true" outlineLevel="0" collapsed="false">
      <c r="A135" s="13" t="s">
        <v>1075</v>
      </c>
      <c r="B135" s="13" t="n">
        <f aca="false">'Atrakcje - kalkulator'!E56</f>
        <v>150</v>
      </c>
      <c r="C135" s="13" t="n">
        <v>150</v>
      </c>
      <c r="D135" s="37" t="b">
        <f aca="false">B135=C135</f>
        <v>1</v>
      </c>
      <c r="E135" s="13"/>
    </row>
    <row r="136" customFormat="false" ht="27.75" hidden="false" customHeight="true" outlineLevel="0" collapsed="false">
      <c r="A136" s="12" t="s">
        <v>1076</v>
      </c>
      <c r="B136" s="26" t="n">
        <f aca="false">'Atrakcje - kalkulator'!F56</f>
        <v>50</v>
      </c>
      <c r="C136" s="12" t="n">
        <v>50</v>
      </c>
      <c r="D136" s="36" t="b">
        <f aca="false">B136=C136</f>
        <v>1</v>
      </c>
      <c r="E136" s="12"/>
    </row>
    <row r="137" customFormat="false" ht="27.75" hidden="false" customHeight="true" outlineLevel="0" collapsed="false">
      <c r="A137" s="13" t="s">
        <v>1077</v>
      </c>
      <c r="B137" s="13" t="n">
        <f aca="false">'Atrakcje - kalkulator'!E57</f>
        <v>150</v>
      </c>
      <c r="C137" s="13" t="n">
        <v>150</v>
      </c>
      <c r="D137" s="37" t="b">
        <f aca="false">B137=C137</f>
        <v>1</v>
      </c>
      <c r="E137" s="13"/>
    </row>
    <row r="138" customFormat="false" ht="27.75" hidden="false" customHeight="true" outlineLevel="0" collapsed="false">
      <c r="A138" s="12" t="s">
        <v>1078</v>
      </c>
      <c r="B138" s="26" t="n">
        <f aca="false">'Atrakcje - kalkulator'!F57</f>
        <v>37.5</v>
      </c>
      <c r="C138" s="12" t="n">
        <v>37.5</v>
      </c>
      <c r="D138" s="36" t="b">
        <f aca="false">B138=C138</f>
        <v>1</v>
      </c>
      <c r="E138" s="12"/>
    </row>
    <row r="139" customFormat="false" ht="27.75" hidden="false" customHeight="true" outlineLevel="0" collapsed="false">
      <c r="A139" s="13" t="s">
        <v>1079</v>
      </c>
      <c r="B139" s="13" t="n">
        <f aca="false">'Atrakcje - kalkulator'!E58</f>
        <v>150</v>
      </c>
      <c r="C139" s="13" t="n">
        <v>150</v>
      </c>
      <c r="D139" s="37" t="b">
        <f aca="false">B139=C139</f>
        <v>1</v>
      </c>
      <c r="E139" s="13"/>
    </row>
    <row r="140" customFormat="false" ht="27.75" hidden="false" customHeight="true" outlineLevel="0" collapsed="false">
      <c r="A140" s="12" t="s">
        <v>1080</v>
      </c>
      <c r="B140" s="26" t="n">
        <f aca="false">'Atrakcje - kalkulator'!F58</f>
        <v>25</v>
      </c>
      <c r="C140" s="12" t="n">
        <v>25</v>
      </c>
      <c r="D140" s="36" t="b">
        <f aca="false">B140=C140</f>
        <v>1</v>
      </c>
      <c r="E140" s="12"/>
    </row>
    <row r="141" customFormat="false" ht="27.75" hidden="false" customHeight="true" outlineLevel="0" collapsed="false">
      <c r="A141" s="13" t="s">
        <v>1081</v>
      </c>
      <c r="B141" s="13" t="n">
        <f aca="false">'Atrakcje - kalkulator'!E59</f>
        <v>150</v>
      </c>
      <c r="C141" s="13" t="n">
        <v>150</v>
      </c>
      <c r="D141" s="37" t="b">
        <f aca="false">B141=C141</f>
        <v>1</v>
      </c>
      <c r="E141" s="13"/>
    </row>
    <row r="142" customFormat="false" ht="27.75" hidden="false" customHeight="true" outlineLevel="0" collapsed="false">
      <c r="A142" s="12" t="s">
        <v>1082</v>
      </c>
      <c r="B142" s="26" t="n">
        <f aca="false">'Atrakcje - kalkulator'!F59</f>
        <v>12.5</v>
      </c>
      <c r="C142" s="12" t="n">
        <v>12.5</v>
      </c>
      <c r="D142" s="36" t="b">
        <f aca="false">B142=C142</f>
        <v>1</v>
      </c>
      <c r="E142" s="12"/>
    </row>
    <row r="143" customFormat="false" ht="27.75" hidden="false" customHeight="true" outlineLevel="0" collapsed="false">
      <c r="A143" s="13" t="s">
        <v>1083</v>
      </c>
      <c r="B143" s="13" t="n">
        <f aca="false">'Atrakcje - kalkulator'!E60</f>
        <v>150</v>
      </c>
      <c r="C143" s="13" t="n">
        <v>150</v>
      </c>
      <c r="D143" s="37" t="b">
        <f aca="false">B143=C143</f>
        <v>1</v>
      </c>
      <c r="E143" s="13"/>
    </row>
    <row r="144" customFormat="false" ht="27.75" hidden="false" customHeight="true" outlineLevel="0" collapsed="false">
      <c r="A144" s="12" t="s">
        <v>1084</v>
      </c>
      <c r="B144" s="26" t="n">
        <f aca="false">'Atrakcje - kalkulator'!F60</f>
        <v>0</v>
      </c>
      <c r="C144" s="12" t="n">
        <v>0</v>
      </c>
      <c r="D144" s="36" t="b">
        <f aca="false">B144=C144</f>
        <v>1</v>
      </c>
      <c r="E144" s="12"/>
    </row>
    <row r="145" customFormat="false" ht="27.75" hidden="false" customHeight="true" outlineLevel="0" collapsed="false">
      <c r="A145" s="13" t="s">
        <v>1085</v>
      </c>
      <c r="B145" s="13" t="n">
        <f aca="false">'Atrakcje - kalkulator'!E61</f>
        <v>300</v>
      </c>
      <c r="C145" s="13" t="n">
        <v>300</v>
      </c>
      <c r="D145" s="37" t="b">
        <f aca="false">B145=C145</f>
        <v>1</v>
      </c>
      <c r="E145" s="13"/>
    </row>
    <row r="146" customFormat="false" ht="27.75" hidden="false" customHeight="true" outlineLevel="0" collapsed="false">
      <c r="A146" s="12" t="s">
        <v>1086</v>
      </c>
      <c r="B146" s="26" t="n">
        <f aca="false">'Atrakcje - kalkulator'!F61</f>
        <v>100</v>
      </c>
      <c r="C146" s="12" t="n">
        <v>100</v>
      </c>
      <c r="D146" s="36" t="b">
        <f aca="false">B146=C146</f>
        <v>1</v>
      </c>
      <c r="E146" s="12"/>
    </row>
    <row r="147" customFormat="false" ht="27.75" hidden="false" customHeight="true" outlineLevel="0" collapsed="false">
      <c r="A147" s="13" t="s">
        <v>1087</v>
      </c>
      <c r="B147" s="13" t="n">
        <f aca="false">'Atrakcje - kalkulator'!E62</f>
        <v>300</v>
      </c>
      <c r="C147" s="13" t="n">
        <v>300</v>
      </c>
      <c r="D147" s="37" t="b">
        <f aca="false">B147=C147</f>
        <v>1</v>
      </c>
      <c r="E147" s="13"/>
    </row>
    <row r="148" customFormat="false" ht="27.75" hidden="false" customHeight="true" outlineLevel="0" collapsed="false">
      <c r="A148" s="12" t="s">
        <v>1088</v>
      </c>
      <c r="B148" s="26" t="n">
        <f aca="false">'Atrakcje - kalkulator'!F62</f>
        <v>75</v>
      </c>
      <c r="C148" s="12" t="n">
        <v>75</v>
      </c>
      <c r="D148" s="36" t="b">
        <f aca="false">B148=C148</f>
        <v>1</v>
      </c>
      <c r="E148" s="12"/>
    </row>
    <row r="149" customFormat="false" ht="27.75" hidden="false" customHeight="true" outlineLevel="0" collapsed="false">
      <c r="A149" s="13" t="s">
        <v>1089</v>
      </c>
      <c r="B149" s="13" t="n">
        <f aca="false">'Atrakcje - kalkulator'!E63</f>
        <v>300</v>
      </c>
      <c r="C149" s="13" t="n">
        <v>300</v>
      </c>
      <c r="D149" s="37" t="b">
        <f aca="false">B149=C149</f>
        <v>1</v>
      </c>
      <c r="E149" s="13"/>
    </row>
    <row r="150" customFormat="false" ht="27.75" hidden="false" customHeight="true" outlineLevel="0" collapsed="false">
      <c r="A150" s="12" t="s">
        <v>1090</v>
      </c>
      <c r="B150" s="26" t="n">
        <f aca="false">'Atrakcje - kalkulator'!F63</f>
        <v>50</v>
      </c>
      <c r="C150" s="12" t="n">
        <v>50</v>
      </c>
      <c r="D150" s="36" t="b">
        <f aca="false">B150=C150</f>
        <v>1</v>
      </c>
      <c r="E150" s="12"/>
    </row>
    <row r="151" customFormat="false" ht="27.75" hidden="false" customHeight="true" outlineLevel="0" collapsed="false">
      <c r="A151" s="13" t="s">
        <v>1091</v>
      </c>
      <c r="B151" s="13" t="n">
        <f aca="false">'Atrakcje - kalkulator'!E64</f>
        <v>300</v>
      </c>
      <c r="C151" s="13" t="n">
        <v>300</v>
      </c>
      <c r="D151" s="37" t="b">
        <f aca="false">B151=C151</f>
        <v>1</v>
      </c>
      <c r="E151" s="13"/>
    </row>
    <row r="152" customFormat="false" ht="27.75" hidden="false" customHeight="true" outlineLevel="0" collapsed="false">
      <c r="A152" s="12" t="s">
        <v>1092</v>
      </c>
      <c r="B152" s="26" t="n">
        <f aca="false">'Atrakcje - kalkulator'!F64</f>
        <v>25</v>
      </c>
      <c r="C152" s="12" t="n">
        <v>25</v>
      </c>
      <c r="D152" s="36" t="b">
        <f aca="false">B152=C152</f>
        <v>1</v>
      </c>
      <c r="E152" s="12"/>
    </row>
    <row r="153" customFormat="false" ht="27.75" hidden="false" customHeight="true" outlineLevel="0" collapsed="false">
      <c r="A153" s="13" t="s">
        <v>1093</v>
      </c>
      <c r="B153" s="13" t="n">
        <f aca="false">'Atrakcje - kalkulator'!E65</f>
        <v>300</v>
      </c>
      <c r="C153" s="13" t="n">
        <v>300</v>
      </c>
      <c r="D153" s="37" t="b">
        <f aca="false">B153=C153</f>
        <v>1</v>
      </c>
      <c r="E153" s="13"/>
    </row>
    <row r="154" customFormat="false" ht="27.75" hidden="false" customHeight="true" outlineLevel="0" collapsed="false">
      <c r="A154" s="12" t="s">
        <v>1094</v>
      </c>
      <c r="B154" s="26" t="n">
        <f aca="false">'Atrakcje - kalkulator'!F65</f>
        <v>0</v>
      </c>
      <c r="C154" s="12" t="n">
        <v>0</v>
      </c>
      <c r="D154" s="36" t="b">
        <f aca="false">B154=C154</f>
        <v>1</v>
      </c>
      <c r="E154" s="12"/>
    </row>
    <row r="155" customFormat="false" ht="27.75" hidden="false" customHeight="true" outlineLevel="0" collapsed="false">
      <c r="A155" s="13" t="s">
        <v>1095</v>
      </c>
      <c r="B155" s="13" t="n">
        <f aca="false">'Atrakcje - kalkulator'!E66</f>
        <v>25</v>
      </c>
      <c r="C155" s="13" t="n">
        <v>25</v>
      </c>
      <c r="D155" s="37" t="b">
        <f aca="false">B155=C155</f>
        <v>1</v>
      </c>
      <c r="E155" s="13"/>
    </row>
    <row r="156" customFormat="false" ht="27.75" hidden="false" customHeight="true" outlineLevel="0" collapsed="false">
      <c r="A156" s="12" t="s">
        <v>1096</v>
      </c>
      <c r="B156" s="26" t="n">
        <f aca="false">'Atrakcje - kalkulator'!F66</f>
        <v>5</v>
      </c>
      <c r="C156" s="12" t="n">
        <v>5</v>
      </c>
      <c r="D156" s="36" t="b">
        <f aca="false">B156=C156</f>
        <v>1</v>
      </c>
      <c r="E156" s="12"/>
    </row>
    <row r="157" customFormat="false" ht="27.75" hidden="false" customHeight="true" outlineLevel="0" collapsed="false">
      <c r="A157" s="13" t="s">
        <v>1097</v>
      </c>
      <c r="B157" s="13" t="n">
        <f aca="false">'Atrakcje - kalkulator'!E67</f>
        <v>25</v>
      </c>
      <c r="C157" s="13" t="n">
        <v>25</v>
      </c>
      <c r="D157" s="37" t="b">
        <f aca="false">B157=C157</f>
        <v>1</v>
      </c>
      <c r="E157" s="13"/>
    </row>
    <row r="158" customFormat="false" ht="27.75" hidden="false" customHeight="true" outlineLevel="0" collapsed="false">
      <c r="A158" s="12" t="s">
        <v>1098</v>
      </c>
      <c r="B158" s="26" t="n">
        <f aca="false">'Atrakcje - kalkulator'!F67</f>
        <v>3.75</v>
      </c>
      <c r="C158" s="12" t="n">
        <v>3.75</v>
      </c>
      <c r="D158" s="36" t="b">
        <f aca="false">B158=C158</f>
        <v>1</v>
      </c>
      <c r="E158" s="12"/>
    </row>
    <row r="159" customFormat="false" ht="27.75" hidden="false" customHeight="true" outlineLevel="0" collapsed="false">
      <c r="A159" s="13" t="s">
        <v>1099</v>
      </c>
      <c r="B159" s="13" t="n">
        <f aca="false">'Atrakcje - kalkulator'!E68</f>
        <v>25</v>
      </c>
      <c r="C159" s="13" t="n">
        <v>25</v>
      </c>
      <c r="D159" s="37" t="b">
        <f aca="false">B159=C159</f>
        <v>1</v>
      </c>
      <c r="E159" s="13"/>
    </row>
    <row r="160" customFormat="false" ht="27.75" hidden="false" customHeight="true" outlineLevel="0" collapsed="false">
      <c r="A160" s="12" t="s">
        <v>1100</v>
      </c>
      <c r="B160" s="26" t="n">
        <f aca="false">'Atrakcje - kalkulator'!F68</f>
        <v>2.5</v>
      </c>
      <c r="C160" s="12" t="n">
        <v>2.5</v>
      </c>
      <c r="D160" s="36" t="b">
        <f aca="false">B160=C160</f>
        <v>1</v>
      </c>
      <c r="E160" s="12"/>
    </row>
    <row r="161" customFormat="false" ht="27.75" hidden="false" customHeight="true" outlineLevel="0" collapsed="false">
      <c r="A161" s="13" t="s">
        <v>1101</v>
      </c>
      <c r="B161" s="13" t="n">
        <f aca="false">'Atrakcje - kalkulator'!E69</f>
        <v>25</v>
      </c>
      <c r="C161" s="13" t="n">
        <v>25</v>
      </c>
      <c r="D161" s="37" t="b">
        <f aca="false">B161=C161</f>
        <v>1</v>
      </c>
      <c r="E161" s="13"/>
    </row>
    <row r="162" customFormat="false" ht="27.75" hidden="false" customHeight="true" outlineLevel="0" collapsed="false">
      <c r="A162" s="12" t="s">
        <v>1102</v>
      </c>
      <c r="B162" s="26" t="n">
        <f aca="false">'Atrakcje - kalkulator'!F69</f>
        <v>1.25</v>
      </c>
      <c r="C162" s="12" t="n">
        <v>1.25</v>
      </c>
      <c r="D162" s="36" t="b">
        <f aca="false">B162=C162</f>
        <v>1</v>
      </c>
      <c r="E162" s="12"/>
    </row>
    <row r="163" customFormat="false" ht="27.75" hidden="false" customHeight="true" outlineLevel="0" collapsed="false">
      <c r="A163" s="13" t="s">
        <v>1103</v>
      </c>
      <c r="B163" s="13" t="n">
        <f aca="false">'Atrakcje - kalkulator'!E70</f>
        <v>25</v>
      </c>
      <c r="C163" s="13" t="n">
        <v>25</v>
      </c>
      <c r="D163" s="37" t="b">
        <f aca="false">B163=C163</f>
        <v>1</v>
      </c>
      <c r="E163" s="13"/>
    </row>
    <row r="164" customFormat="false" ht="27.75" hidden="false" customHeight="true" outlineLevel="0" collapsed="false">
      <c r="A164" s="12" t="s">
        <v>1104</v>
      </c>
      <c r="B164" s="26" t="n">
        <f aca="false">'Atrakcje - kalkulator'!F70</f>
        <v>0</v>
      </c>
      <c r="C164" s="12" t="n">
        <v>0</v>
      </c>
      <c r="D164" s="36" t="b">
        <f aca="false">B164=C164</f>
        <v>1</v>
      </c>
      <c r="E164" s="12"/>
    </row>
    <row r="165" customFormat="false" ht="27.75" hidden="false" customHeight="true" outlineLevel="0" collapsed="false">
      <c r="A165" s="13" t="s">
        <v>1105</v>
      </c>
      <c r="B165" s="13" t="n">
        <f aca="false">'Atrakcje - kalkulator'!E71</f>
        <v>125</v>
      </c>
      <c r="C165" s="13" t="n">
        <v>125</v>
      </c>
      <c r="D165" s="37" t="b">
        <f aca="false">B165=C165</f>
        <v>1</v>
      </c>
      <c r="E165" s="13"/>
    </row>
    <row r="166" customFormat="false" ht="27.75" hidden="false" customHeight="true" outlineLevel="0" collapsed="false">
      <c r="A166" s="12" t="s">
        <v>1106</v>
      </c>
      <c r="B166" s="26" t="n">
        <f aca="false">'Atrakcje - kalkulator'!F71</f>
        <v>25</v>
      </c>
      <c r="C166" s="12" t="n">
        <v>25</v>
      </c>
      <c r="D166" s="36" t="b">
        <f aca="false">B166=C166</f>
        <v>1</v>
      </c>
      <c r="E166" s="12"/>
    </row>
    <row r="167" customFormat="false" ht="27.75" hidden="false" customHeight="true" outlineLevel="0" collapsed="false">
      <c r="A167" s="13" t="s">
        <v>1107</v>
      </c>
      <c r="B167" s="13" t="n">
        <f aca="false">'Atrakcje - kalkulator'!E72</f>
        <v>125</v>
      </c>
      <c r="C167" s="13" t="n">
        <v>125</v>
      </c>
      <c r="D167" s="37" t="b">
        <f aca="false">B167=C167</f>
        <v>1</v>
      </c>
      <c r="E167" s="13"/>
    </row>
    <row r="168" customFormat="false" ht="27.75" hidden="false" customHeight="true" outlineLevel="0" collapsed="false">
      <c r="A168" s="12" t="s">
        <v>1108</v>
      </c>
      <c r="B168" s="26" t="n">
        <f aca="false">'Atrakcje - kalkulator'!F72</f>
        <v>18.75</v>
      </c>
      <c r="C168" s="12" t="n">
        <v>18.75</v>
      </c>
      <c r="D168" s="36" t="b">
        <f aca="false">B168=C168</f>
        <v>1</v>
      </c>
      <c r="E168" s="12"/>
    </row>
    <row r="169" customFormat="false" ht="27.75" hidden="false" customHeight="true" outlineLevel="0" collapsed="false">
      <c r="A169" s="13" t="s">
        <v>1109</v>
      </c>
      <c r="B169" s="13" t="n">
        <f aca="false">'Atrakcje - kalkulator'!E73</f>
        <v>125</v>
      </c>
      <c r="C169" s="13" t="n">
        <v>125</v>
      </c>
      <c r="D169" s="37" t="b">
        <f aca="false">B169=C169</f>
        <v>1</v>
      </c>
      <c r="E169" s="13"/>
    </row>
    <row r="170" customFormat="false" ht="27.75" hidden="false" customHeight="true" outlineLevel="0" collapsed="false">
      <c r="A170" s="12" t="s">
        <v>1110</v>
      </c>
      <c r="B170" s="26" t="n">
        <f aca="false">'Atrakcje - kalkulator'!F73</f>
        <v>12.5</v>
      </c>
      <c r="C170" s="12" t="n">
        <v>12.5</v>
      </c>
      <c r="D170" s="36" t="b">
        <f aca="false">B170=C170</f>
        <v>1</v>
      </c>
      <c r="E170" s="12"/>
    </row>
    <row r="171" customFormat="false" ht="27.75" hidden="false" customHeight="true" outlineLevel="0" collapsed="false">
      <c r="A171" s="13" t="s">
        <v>1111</v>
      </c>
      <c r="B171" s="13" t="n">
        <f aca="false">'Atrakcje - kalkulator'!E74</f>
        <v>125</v>
      </c>
      <c r="C171" s="13" t="n">
        <v>125</v>
      </c>
      <c r="D171" s="37" t="b">
        <f aca="false">B171=C171</f>
        <v>1</v>
      </c>
      <c r="E171" s="13"/>
    </row>
    <row r="172" customFormat="false" ht="27.75" hidden="false" customHeight="true" outlineLevel="0" collapsed="false">
      <c r="A172" s="12" t="s">
        <v>1112</v>
      </c>
      <c r="B172" s="26" t="n">
        <f aca="false">'Atrakcje - kalkulator'!F74</f>
        <v>6.25</v>
      </c>
      <c r="C172" s="12" t="n">
        <v>6.25</v>
      </c>
      <c r="D172" s="36" t="b">
        <f aca="false">B172=C172</f>
        <v>1</v>
      </c>
      <c r="E172" s="12"/>
    </row>
    <row r="173" customFormat="false" ht="27.75" hidden="false" customHeight="true" outlineLevel="0" collapsed="false">
      <c r="A173" s="13" t="s">
        <v>1113</v>
      </c>
      <c r="B173" s="13" t="n">
        <f aca="false">'Atrakcje - kalkulator'!E75</f>
        <v>125</v>
      </c>
      <c r="C173" s="13" t="n">
        <v>125</v>
      </c>
      <c r="D173" s="37" t="b">
        <f aca="false">B173=C173</f>
        <v>1</v>
      </c>
      <c r="E173" s="13"/>
    </row>
    <row r="174" customFormat="false" ht="27.75" hidden="false" customHeight="true" outlineLevel="0" collapsed="false">
      <c r="A174" s="12" t="s">
        <v>1114</v>
      </c>
      <c r="B174" s="26" t="n">
        <f aca="false">'Atrakcje - kalkulator'!F75</f>
        <v>0</v>
      </c>
      <c r="C174" s="12" t="n">
        <v>0</v>
      </c>
      <c r="D174" s="36" t="b">
        <f aca="false">B174=C174</f>
        <v>1</v>
      </c>
      <c r="E174" s="12"/>
    </row>
    <row r="175" customFormat="false" ht="27.75" hidden="false" customHeight="true" outlineLevel="0" collapsed="false">
      <c r="A175" s="13" t="s">
        <v>1115</v>
      </c>
      <c r="B175" s="13" t="n">
        <f aca="false">'Atrakcje - kalkulator'!E76</f>
        <v>250</v>
      </c>
      <c r="C175" s="13" t="n">
        <v>250</v>
      </c>
      <c r="D175" s="37" t="b">
        <f aca="false">B175=C175</f>
        <v>1</v>
      </c>
      <c r="E175" s="13"/>
    </row>
    <row r="176" customFormat="false" ht="27.75" hidden="false" customHeight="true" outlineLevel="0" collapsed="false">
      <c r="A176" s="12" t="s">
        <v>1116</v>
      </c>
      <c r="B176" s="26" t="n">
        <f aca="false">'Atrakcje - kalkulator'!F76</f>
        <v>50</v>
      </c>
      <c r="C176" s="12" t="n">
        <v>50</v>
      </c>
      <c r="D176" s="36" t="b">
        <f aca="false">B176=C176</f>
        <v>1</v>
      </c>
      <c r="E176" s="12"/>
    </row>
    <row r="177" customFormat="false" ht="27.75" hidden="false" customHeight="true" outlineLevel="0" collapsed="false">
      <c r="A177" s="13" t="s">
        <v>1117</v>
      </c>
      <c r="B177" s="13" t="n">
        <f aca="false">'Atrakcje - kalkulator'!E77</f>
        <v>250</v>
      </c>
      <c r="C177" s="13" t="n">
        <v>250</v>
      </c>
      <c r="D177" s="37" t="b">
        <f aca="false">B177=C177</f>
        <v>1</v>
      </c>
      <c r="E177" s="13"/>
    </row>
    <row r="178" customFormat="false" ht="27.75" hidden="false" customHeight="true" outlineLevel="0" collapsed="false">
      <c r="A178" s="12" t="s">
        <v>1118</v>
      </c>
      <c r="B178" s="26" t="n">
        <f aca="false">'Atrakcje - kalkulator'!F77</f>
        <v>37.5</v>
      </c>
      <c r="C178" s="12" t="n">
        <v>37.5</v>
      </c>
      <c r="D178" s="36" t="b">
        <f aca="false">B178=C178</f>
        <v>1</v>
      </c>
      <c r="E178" s="12"/>
    </row>
    <row r="179" customFormat="false" ht="27.75" hidden="false" customHeight="true" outlineLevel="0" collapsed="false">
      <c r="A179" s="13" t="s">
        <v>1119</v>
      </c>
      <c r="B179" s="13" t="n">
        <f aca="false">'Atrakcje - kalkulator'!E78</f>
        <v>250</v>
      </c>
      <c r="C179" s="13" t="n">
        <v>250</v>
      </c>
      <c r="D179" s="37" t="b">
        <f aca="false">B179=C179</f>
        <v>1</v>
      </c>
      <c r="E179" s="13"/>
    </row>
    <row r="180" customFormat="false" ht="27.75" hidden="false" customHeight="true" outlineLevel="0" collapsed="false">
      <c r="A180" s="12" t="s">
        <v>1120</v>
      </c>
      <c r="B180" s="26" t="n">
        <f aca="false">'Atrakcje - kalkulator'!F78</f>
        <v>25</v>
      </c>
      <c r="C180" s="12" t="n">
        <v>25</v>
      </c>
      <c r="D180" s="36" t="b">
        <f aca="false">B180=C180</f>
        <v>1</v>
      </c>
      <c r="E180" s="12"/>
    </row>
    <row r="181" customFormat="false" ht="27.75" hidden="false" customHeight="true" outlineLevel="0" collapsed="false">
      <c r="A181" s="13" t="s">
        <v>1121</v>
      </c>
      <c r="B181" s="13" t="n">
        <f aca="false">'Atrakcje - kalkulator'!E79</f>
        <v>250</v>
      </c>
      <c r="C181" s="13" t="n">
        <v>250</v>
      </c>
      <c r="D181" s="37" t="b">
        <f aca="false">B181=C181</f>
        <v>1</v>
      </c>
      <c r="E181" s="13"/>
    </row>
    <row r="182" customFormat="false" ht="27.75" hidden="false" customHeight="true" outlineLevel="0" collapsed="false">
      <c r="A182" s="12" t="s">
        <v>1122</v>
      </c>
      <c r="B182" s="26" t="n">
        <f aca="false">'Atrakcje - kalkulator'!F79</f>
        <v>12.5</v>
      </c>
      <c r="C182" s="12" t="n">
        <v>12.5</v>
      </c>
      <c r="D182" s="36" t="b">
        <f aca="false">B182=C182</f>
        <v>1</v>
      </c>
      <c r="E182" s="12"/>
    </row>
    <row r="183" customFormat="false" ht="27.75" hidden="false" customHeight="true" outlineLevel="0" collapsed="false">
      <c r="A183" s="13" t="s">
        <v>1123</v>
      </c>
      <c r="B183" s="13" t="n">
        <f aca="false">'Atrakcje - kalkulator'!E80</f>
        <v>250</v>
      </c>
      <c r="C183" s="13" t="n">
        <v>250</v>
      </c>
      <c r="D183" s="37" t="b">
        <f aca="false">B183=C183</f>
        <v>1</v>
      </c>
      <c r="E183" s="13"/>
    </row>
    <row r="184" customFormat="false" ht="27.75" hidden="false" customHeight="true" outlineLevel="0" collapsed="false">
      <c r="A184" s="12" t="s">
        <v>1124</v>
      </c>
      <c r="B184" s="26" t="n">
        <f aca="false">'Atrakcje - kalkulator'!F80</f>
        <v>0</v>
      </c>
      <c r="C184" s="12" t="n">
        <v>0</v>
      </c>
      <c r="D184" s="36" t="b">
        <f aca="false">B184=C184</f>
        <v>1</v>
      </c>
      <c r="E184" s="12"/>
    </row>
    <row r="185" customFormat="false" ht="27.75" hidden="false" customHeight="true" outlineLevel="0" collapsed="false">
      <c r="A185" s="13" t="s">
        <v>1125</v>
      </c>
      <c r="B185" s="13" t="n">
        <f aca="false">'Atrakcje - kalkulator'!E81</f>
        <v>500</v>
      </c>
      <c r="C185" s="13" t="n">
        <v>500</v>
      </c>
      <c r="D185" s="37" t="b">
        <f aca="false">B185=C185</f>
        <v>1</v>
      </c>
      <c r="E185" s="13"/>
    </row>
    <row r="186" customFormat="false" ht="27.75" hidden="false" customHeight="true" outlineLevel="0" collapsed="false">
      <c r="A186" s="12" t="s">
        <v>1126</v>
      </c>
      <c r="B186" s="26" t="n">
        <f aca="false">'Atrakcje - kalkulator'!F81</f>
        <v>100</v>
      </c>
      <c r="C186" s="12" t="n">
        <v>100</v>
      </c>
      <c r="D186" s="36" t="b">
        <f aca="false">B186=C186</f>
        <v>1</v>
      </c>
      <c r="E186" s="12"/>
    </row>
    <row r="187" customFormat="false" ht="27.75" hidden="false" customHeight="true" outlineLevel="0" collapsed="false">
      <c r="A187" s="13" t="s">
        <v>1127</v>
      </c>
      <c r="B187" s="13" t="n">
        <f aca="false">'Atrakcje - kalkulator'!E82</f>
        <v>500</v>
      </c>
      <c r="C187" s="13" t="n">
        <v>500</v>
      </c>
      <c r="D187" s="37" t="b">
        <f aca="false">B187=C187</f>
        <v>1</v>
      </c>
      <c r="E187" s="13"/>
    </row>
    <row r="188" customFormat="false" ht="27.75" hidden="false" customHeight="true" outlineLevel="0" collapsed="false">
      <c r="A188" s="12" t="s">
        <v>1128</v>
      </c>
      <c r="B188" s="26" t="n">
        <f aca="false">'Atrakcje - kalkulator'!F82</f>
        <v>75</v>
      </c>
      <c r="C188" s="12" t="n">
        <v>75</v>
      </c>
      <c r="D188" s="36" t="b">
        <f aca="false">B188=C188</f>
        <v>1</v>
      </c>
      <c r="E188" s="12"/>
    </row>
    <row r="189" customFormat="false" ht="27.75" hidden="false" customHeight="true" outlineLevel="0" collapsed="false">
      <c r="A189" s="13" t="s">
        <v>1129</v>
      </c>
      <c r="B189" s="13" t="n">
        <f aca="false">'Atrakcje - kalkulator'!E83</f>
        <v>500</v>
      </c>
      <c r="C189" s="13" t="n">
        <v>500</v>
      </c>
      <c r="D189" s="37" t="b">
        <f aca="false">B189=C189</f>
        <v>1</v>
      </c>
      <c r="E189" s="13"/>
    </row>
    <row r="190" customFormat="false" ht="27.75" hidden="false" customHeight="true" outlineLevel="0" collapsed="false">
      <c r="A190" s="12" t="s">
        <v>1130</v>
      </c>
      <c r="B190" s="26" t="n">
        <f aca="false">'Atrakcje - kalkulator'!F83</f>
        <v>50</v>
      </c>
      <c r="C190" s="12" t="n">
        <v>50</v>
      </c>
      <c r="D190" s="36" t="b">
        <f aca="false">B190=C190</f>
        <v>1</v>
      </c>
      <c r="E190" s="12"/>
    </row>
    <row r="191" customFormat="false" ht="27.75" hidden="false" customHeight="true" outlineLevel="0" collapsed="false">
      <c r="A191" s="13" t="s">
        <v>1131</v>
      </c>
      <c r="B191" s="13" t="n">
        <f aca="false">'Atrakcje - kalkulator'!E84</f>
        <v>500</v>
      </c>
      <c r="C191" s="13" t="n">
        <v>500</v>
      </c>
      <c r="D191" s="37" t="b">
        <f aca="false">B191=C191</f>
        <v>1</v>
      </c>
      <c r="E191" s="13"/>
    </row>
    <row r="192" customFormat="false" ht="27.75" hidden="false" customHeight="true" outlineLevel="0" collapsed="false">
      <c r="A192" s="12" t="s">
        <v>1132</v>
      </c>
      <c r="B192" s="26" t="n">
        <f aca="false">'Atrakcje - kalkulator'!F84</f>
        <v>25</v>
      </c>
      <c r="C192" s="12" t="n">
        <v>25</v>
      </c>
      <c r="D192" s="36" t="b">
        <f aca="false">B192=C192</f>
        <v>1</v>
      </c>
      <c r="E192" s="12"/>
    </row>
    <row r="193" customFormat="false" ht="27.75" hidden="false" customHeight="true" outlineLevel="0" collapsed="false">
      <c r="A193" s="13" t="s">
        <v>1133</v>
      </c>
      <c r="B193" s="13" t="n">
        <f aca="false">'Atrakcje - kalkulator'!E85</f>
        <v>500</v>
      </c>
      <c r="C193" s="13" t="n">
        <v>500</v>
      </c>
      <c r="D193" s="37" t="b">
        <f aca="false">B193=C193</f>
        <v>1</v>
      </c>
      <c r="E193" s="13"/>
    </row>
    <row r="194" customFormat="false" ht="27.75" hidden="false" customHeight="true" outlineLevel="0" collapsed="false">
      <c r="A194" s="12" t="s">
        <v>1134</v>
      </c>
      <c r="B194" s="26" t="n">
        <f aca="false">'Atrakcje - kalkulator'!F85</f>
        <v>0</v>
      </c>
      <c r="C194" s="12" t="n">
        <v>0</v>
      </c>
      <c r="D194" s="36" t="b">
        <f aca="false">B194=C194</f>
        <v>1</v>
      </c>
      <c r="E194" s="12"/>
    </row>
    <row r="195" customFormat="false" ht="27.75" hidden="false" customHeight="true" outlineLevel="0" collapsed="false">
      <c r="A195" s="13" t="s">
        <v>1135</v>
      </c>
      <c r="B195" s="13" t="n">
        <f aca="false">'Atrakcje - kalkulator'!E86</f>
        <v>50</v>
      </c>
      <c r="C195" s="13" t="n">
        <v>50</v>
      </c>
      <c r="D195" s="37" t="b">
        <f aca="false">B195=C195</f>
        <v>1</v>
      </c>
      <c r="E195" s="13"/>
    </row>
    <row r="196" customFormat="false" ht="27.75" hidden="false" customHeight="true" outlineLevel="0" collapsed="false">
      <c r="A196" s="12" t="s">
        <v>1136</v>
      </c>
      <c r="B196" s="26" t="n">
        <f aca="false">'Atrakcje - kalkulator'!F86</f>
        <v>5</v>
      </c>
      <c r="C196" s="12" t="n">
        <v>5</v>
      </c>
      <c r="D196" s="36" t="b">
        <f aca="false">B196=C196</f>
        <v>1</v>
      </c>
      <c r="E196" s="12"/>
    </row>
    <row r="197" customFormat="false" ht="27.75" hidden="false" customHeight="true" outlineLevel="0" collapsed="false">
      <c r="A197" s="13" t="s">
        <v>1137</v>
      </c>
      <c r="B197" s="13" t="n">
        <f aca="false">'Atrakcje - kalkulator'!E87</f>
        <v>50</v>
      </c>
      <c r="C197" s="13" t="n">
        <v>50</v>
      </c>
      <c r="D197" s="37" t="b">
        <f aca="false">B197=C197</f>
        <v>1</v>
      </c>
      <c r="E197" s="13"/>
    </row>
    <row r="198" customFormat="false" ht="27.75" hidden="false" customHeight="true" outlineLevel="0" collapsed="false">
      <c r="A198" s="12" t="s">
        <v>1138</v>
      </c>
      <c r="B198" s="26" t="n">
        <f aca="false">'Atrakcje - kalkulator'!F87</f>
        <v>3.75</v>
      </c>
      <c r="C198" s="12" t="n">
        <v>3.75</v>
      </c>
      <c r="D198" s="36" t="b">
        <f aca="false">B198=C198</f>
        <v>1</v>
      </c>
      <c r="E198" s="12"/>
    </row>
    <row r="199" customFormat="false" ht="27.75" hidden="false" customHeight="true" outlineLevel="0" collapsed="false">
      <c r="A199" s="13" t="s">
        <v>1139</v>
      </c>
      <c r="B199" s="13" t="n">
        <f aca="false">'Atrakcje - kalkulator'!E88</f>
        <v>50</v>
      </c>
      <c r="C199" s="13" t="n">
        <v>50</v>
      </c>
      <c r="D199" s="37" t="b">
        <f aca="false">B199=C199</f>
        <v>1</v>
      </c>
      <c r="E199" s="13"/>
    </row>
    <row r="200" customFormat="false" ht="27.75" hidden="false" customHeight="true" outlineLevel="0" collapsed="false">
      <c r="A200" s="12" t="s">
        <v>1140</v>
      </c>
      <c r="B200" s="26" t="n">
        <f aca="false">'Atrakcje - kalkulator'!F88</f>
        <v>2.5</v>
      </c>
      <c r="C200" s="12" t="n">
        <v>2.5</v>
      </c>
      <c r="D200" s="36" t="b">
        <f aca="false">B200=C200</f>
        <v>1</v>
      </c>
      <c r="E200" s="12"/>
    </row>
    <row r="201" customFormat="false" ht="27.75" hidden="false" customHeight="true" outlineLevel="0" collapsed="false">
      <c r="A201" s="13" t="s">
        <v>1141</v>
      </c>
      <c r="B201" s="13" t="n">
        <f aca="false">'Atrakcje - kalkulator'!E89</f>
        <v>50</v>
      </c>
      <c r="C201" s="13" t="n">
        <v>50</v>
      </c>
      <c r="D201" s="37" t="b">
        <f aca="false">B201=C201</f>
        <v>1</v>
      </c>
      <c r="E201" s="13"/>
    </row>
    <row r="202" customFormat="false" ht="27.75" hidden="false" customHeight="true" outlineLevel="0" collapsed="false">
      <c r="A202" s="12" t="s">
        <v>1142</v>
      </c>
      <c r="B202" s="26" t="n">
        <f aca="false">'Atrakcje - kalkulator'!F89</f>
        <v>1.25</v>
      </c>
      <c r="C202" s="12" t="n">
        <v>1.25</v>
      </c>
      <c r="D202" s="36" t="b">
        <f aca="false">B202=C202</f>
        <v>1</v>
      </c>
      <c r="E202" s="12"/>
    </row>
    <row r="203" customFormat="false" ht="27.75" hidden="false" customHeight="true" outlineLevel="0" collapsed="false">
      <c r="A203" s="13" t="s">
        <v>1143</v>
      </c>
      <c r="B203" s="13" t="n">
        <f aca="false">'Atrakcje - kalkulator'!E90</f>
        <v>50</v>
      </c>
      <c r="C203" s="13" t="n">
        <v>50</v>
      </c>
      <c r="D203" s="37" t="b">
        <f aca="false">B203=C203</f>
        <v>1</v>
      </c>
      <c r="E203" s="13"/>
    </row>
    <row r="204" customFormat="false" ht="27.75" hidden="false" customHeight="true" outlineLevel="0" collapsed="false">
      <c r="A204" s="12" t="s">
        <v>1144</v>
      </c>
      <c r="B204" s="26" t="n">
        <f aca="false">'Atrakcje - kalkulator'!F90</f>
        <v>0</v>
      </c>
      <c r="C204" s="12" t="n">
        <v>0</v>
      </c>
      <c r="D204" s="36" t="b">
        <f aca="false">B204=C204</f>
        <v>1</v>
      </c>
      <c r="E204" s="12"/>
    </row>
    <row r="205" customFormat="false" ht="27.75" hidden="false" customHeight="true" outlineLevel="0" collapsed="false">
      <c r="A205" s="13" t="s">
        <v>1145</v>
      </c>
      <c r="B205" s="13" t="n">
        <f aca="false">'Atrakcje - kalkulator'!E91</f>
        <v>250</v>
      </c>
      <c r="C205" s="13" t="n">
        <v>250</v>
      </c>
      <c r="D205" s="37" t="b">
        <f aca="false">B205=C205</f>
        <v>1</v>
      </c>
      <c r="E205" s="13"/>
    </row>
    <row r="206" customFormat="false" ht="27.75" hidden="false" customHeight="true" outlineLevel="0" collapsed="false">
      <c r="A206" s="12" t="s">
        <v>1146</v>
      </c>
      <c r="B206" s="26" t="n">
        <f aca="false">'Atrakcje - kalkulator'!F91</f>
        <v>25</v>
      </c>
      <c r="C206" s="12" t="n">
        <v>25</v>
      </c>
      <c r="D206" s="36" t="b">
        <f aca="false">B206=C206</f>
        <v>1</v>
      </c>
      <c r="E206" s="12"/>
    </row>
    <row r="207" customFormat="false" ht="27.75" hidden="false" customHeight="true" outlineLevel="0" collapsed="false">
      <c r="A207" s="13" t="s">
        <v>1147</v>
      </c>
      <c r="B207" s="13" t="n">
        <f aca="false">'Atrakcje - kalkulator'!E92</f>
        <v>250</v>
      </c>
      <c r="C207" s="13" t="n">
        <v>250</v>
      </c>
      <c r="D207" s="37" t="b">
        <f aca="false">B207=C207</f>
        <v>1</v>
      </c>
      <c r="E207" s="13"/>
    </row>
    <row r="208" customFormat="false" ht="27.75" hidden="false" customHeight="true" outlineLevel="0" collapsed="false">
      <c r="A208" s="12" t="s">
        <v>1148</v>
      </c>
      <c r="B208" s="26" t="n">
        <f aca="false">'Atrakcje - kalkulator'!F92</f>
        <v>18.75</v>
      </c>
      <c r="C208" s="12" t="n">
        <v>18.75</v>
      </c>
      <c r="D208" s="36" t="b">
        <f aca="false">B208=C208</f>
        <v>1</v>
      </c>
      <c r="E208" s="12"/>
    </row>
    <row r="209" customFormat="false" ht="27.75" hidden="false" customHeight="true" outlineLevel="0" collapsed="false">
      <c r="A209" s="13" t="s">
        <v>1149</v>
      </c>
      <c r="B209" s="13" t="n">
        <f aca="false">'Atrakcje - kalkulator'!E93</f>
        <v>250</v>
      </c>
      <c r="C209" s="13" t="n">
        <v>250</v>
      </c>
      <c r="D209" s="37" t="b">
        <f aca="false">B209=C209</f>
        <v>1</v>
      </c>
      <c r="E209" s="13"/>
    </row>
    <row r="210" customFormat="false" ht="27.75" hidden="false" customHeight="true" outlineLevel="0" collapsed="false">
      <c r="A210" s="12" t="s">
        <v>1150</v>
      </c>
      <c r="B210" s="26" t="n">
        <f aca="false">'Atrakcje - kalkulator'!F93</f>
        <v>12.5</v>
      </c>
      <c r="C210" s="12" t="n">
        <v>12.5</v>
      </c>
      <c r="D210" s="36" t="b">
        <f aca="false">B210=C210</f>
        <v>1</v>
      </c>
      <c r="E210" s="12"/>
    </row>
    <row r="211" customFormat="false" ht="27.75" hidden="false" customHeight="true" outlineLevel="0" collapsed="false">
      <c r="A211" s="13" t="s">
        <v>1151</v>
      </c>
      <c r="B211" s="13" t="n">
        <f aca="false">'Atrakcje - kalkulator'!E94</f>
        <v>250</v>
      </c>
      <c r="C211" s="13" t="n">
        <v>250</v>
      </c>
      <c r="D211" s="37" t="b">
        <f aca="false">B211=C211</f>
        <v>1</v>
      </c>
      <c r="E211" s="13"/>
    </row>
    <row r="212" customFormat="false" ht="27.75" hidden="false" customHeight="true" outlineLevel="0" collapsed="false">
      <c r="A212" s="12" t="s">
        <v>1152</v>
      </c>
      <c r="B212" s="26" t="n">
        <f aca="false">'Atrakcje - kalkulator'!F94</f>
        <v>6.25</v>
      </c>
      <c r="C212" s="12" t="n">
        <v>6.25</v>
      </c>
      <c r="D212" s="36" t="b">
        <f aca="false">B212=C212</f>
        <v>1</v>
      </c>
      <c r="E212" s="12"/>
    </row>
    <row r="213" customFormat="false" ht="27.75" hidden="false" customHeight="true" outlineLevel="0" collapsed="false">
      <c r="A213" s="13" t="s">
        <v>1153</v>
      </c>
      <c r="B213" s="13" t="n">
        <f aca="false">'Atrakcje - kalkulator'!E95</f>
        <v>250</v>
      </c>
      <c r="C213" s="13" t="n">
        <v>250</v>
      </c>
      <c r="D213" s="37" t="b">
        <f aca="false">B213=C213</f>
        <v>1</v>
      </c>
      <c r="E213" s="13"/>
    </row>
    <row r="214" customFormat="false" ht="27.75" hidden="false" customHeight="true" outlineLevel="0" collapsed="false">
      <c r="A214" s="12" t="s">
        <v>1154</v>
      </c>
      <c r="B214" s="26" t="n">
        <f aca="false">'Atrakcje - kalkulator'!F95</f>
        <v>0</v>
      </c>
      <c r="C214" s="12" t="n">
        <v>0</v>
      </c>
      <c r="D214" s="36" t="b">
        <f aca="false">B214=C214</f>
        <v>1</v>
      </c>
      <c r="E214" s="12"/>
    </row>
    <row r="215" customFormat="false" ht="27.75" hidden="false" customHeight="true" outlineLevel="0" collapsed="false">
      <c r="A215" s="13" t="s">
        <v>1155</v>
      </c>
      <c r="B215" s="13" t="n">
        <f aca="false">'Atrakcje - kalkulator'!E96</f>
        <v>500</v>
      </c>
      <c r="C215" s="13" t="n">
        <v>500</v>
      </c>
      <c r="D215" s="37" t="b">
        <f aca="false">B215=C215</f>
        <v>1</v>
      </c>
      <c r="E215" s="13"/>
    </row>
    <row r="216" customFormat="false" ht="27.75" hidden="false" customHeight="true" outlineLevel="0" collapsed="false">
      <c r="A216" s="12" t="s">
        <v>1156</v>
      </c>
      <c r="B216" s="26" t="n">
        <f aca="false">'Atrakcje - kalkulator'!F96</f>
        <v>50</v>
      </c>
      <c r="C216" s="12" t="n">
        <v>50</v>
      </c>
      <c r="D216" s="36" t="b">
        <f aca="false">B216=C216</f>
        <v>1</v>
      </c>
      <c r="E216" s="12"/>
    </row>
    <row r="217" customFormat="false" ht="27.75" hidden="false" customHeight="true" outlineLevel="0" collapsed="false">
      <c r="A217" s="13" t="s">
        <v>1157</v>
      </c>
      <c r="B217" s="13" t="n">
        <f aca="false">'Atrakcje - kalkulator'!E97</f>
        <v>500</v>
      </c>
      <c r="C217" s="13" t="n">
        <v>500</v>
      </c>
      <c r="D217" s="37" t="b">
        <f aca="false">B217=C217</f>
        <v>1</v>
      </c>
      <c r="E217" s="13"/>
    </row>
    <row r="218" customFormat="false" ht="27.75" hidden="false" customHeight="true" outlineLevel="0" collapsed="false">
      <c r="A218" s="12" t="s">
        <v>1158</v>
      </c>
      <c r="B218" s="26" t="n">
        <f aca="false">'Atrakcje - kalkulator'!F97</f>
        <v>37.5</v>
      </c>
      <c r="C218" s="12" t="n">
        <v>37.5</v>
      </c>
      <c r="D218" s="36" t="b">
        <f aca="false">B218=C218</f>
        <v>1</v>
      </c>
      <c r="E218" s="12"/>
    </row>
    <row r="219" customFormat="false" ht="27.75" hidden="false" customHeight="true" outlineLevel="0" collapsed="false">
      <c r="A219" s="13" t="s">
        <v>1159</v>
      </c>
      <c r="B219" s="13" t="n">
        <f aca="false">'Atrakcje - kalkulator'!E98</f>
        <v>500</v>
      </c>
      <c r="C219" s="13" t="n">
        <v>500</v>
      </c>
      <c r="D219" s="37" t="b">
        <f aca="false">B219=C219</f>
        <v>1</v>
      </c>
      <c r="E219" s="13"/>
    </row>
    <row r="220" customFormat="false" ht="27.75" hidden="false" customHeight="true" outlineLevel="0" collapsed="false">
      <c r="A220" s="12" t="s">
        <v>1160</v>
      </c>
      <c r="B220" s="26" t="n">
        <f aca="false">'Atrakcje - kalkulator'!F98</f>
        <v>25</v>
      </c>
      <c r="C220" s="12" t="n">
        <v>25</v>
      </c>
      <c r="D220" s="36" t="b">
        <f aca="false">B220=C220</f>
        <v>1</v>
      </c>
      <c r="E220" s="12"/>
    </row>
    <row r="221" customFormat="false" ht="27.75" hidden="false" customHeight="true" outlineLevel="0" collapsed="false">
      <c r="A221" s="13" t="s">
        <v>1161</v>
      </c>
      <c r="B221" s="13" t="n">
        <f aca="false">'Atrakcje - kalkulator'!E99</f>
        <v>500</v>
      </c>
      <c r="C221" s="13" t="n">
        <v>500</v>
      </c>
      <c r="D221" s="37" t="b">
        <f aca="false">B221=C221</f>
        <v>1</v>
      </c>
      <c r="E221" s="13"/>
    </row>
    <row r="222" customFormat="false" ht="27.75" hidden="false" customHeight="true" outlineLevel="0" collapsed="false">
      <c r="A222" s="12" t="s">
        <v>1162</v>
      </c>
      <c r="B222" s="26" t="n">
        <f aca="false">'Atrakcje - kalkulator'!F99</f>
        <v>12.5</v>
      </c>
      <c r="C222" s="12" t="n">
        <v>12.5</v>
      </c>
      <c r="D222" s="36" t="b">
        <f aca="false">B222=C222</f>
        <v>1</v>
      </c>
      <c r="E222" s="12"/>
    </row>
    <row r="223" customFormat="false" ht="27.75" hidden="false" customHeight="true" outlineLevel="0" collapsed="false">
      <c r="A223" s="13" t="s">
        <v>1163</v>
      </c>
      <c r="B223" s="13" t="n">
        <f aca="false">'Atrakcje - kalkulator'!E100</f>
        <v>500</v>
      </c>
      <c r="C223" s="13" t="n">
        <v>500</v>
      </c>
      <c r="D223" s="37" t="b">
        <f aca="false">B223=C223</f>
        <v>1</v>
      </c>
      <c r="E223" s="13"/>
    </row>
    <row r="224" customFormat="false" ht="27.75" hidden="false" customHeight="true" outlineLevel="0" collapsed="false">
      <c r="A224" s="12" t="s">
        <v>1164</v>
      </c>
      <c r="B224" s="26" t="n">
        <f aca="false">'Atrakcje - kalkulator'!F100</f>
        <v>0</v>
      </c>
      <c r="C224" s="12" t="n">
        <v>0</v>
      </c>
      <c r="D224" s="36" t="b">
        <f aca="false">B224=C224</f>
        <v>1</v>
      </c>
      <c r="E224" s="12"/>
    </row>
    <row r="225" customFormat="false" ht="27.75" hidden="false" customHeight="true" outlineLevel="0" collapsed="false">
      <c r="A225" s="13" t="s">
        <v>1165</v>
      </c>
      <c r="B225" s="13" t="n">
        <f aca="false">'Atrakcje - kalkulator'!E101</f>
        <v>1000</v>
      </c>
      <c r="C225" s="13" t="n">
        <v>1000</v>
      </c>
      <c r="D225" s="37" t="b">
        <f aca="false">B225=C225</f>
        <v>1</v>
      </c>
      <c r="E225" s="13"/>
    </row>
    <row r="226" customFormat="false" ht="27.75" hidden="false" customHeight="true" outlineLevel="0" collapsed="false">
      <c r="A226" s="12" t="s">
        <v>1166</v>
      </c>
      <c r="B226" s="26" t="n">
        <f aca="false">'Atrakcje - kalkulator'!F101</f>
        <v>100</v>
      </c>
      <c r="C226" s="12" t="n">
        <v>100</v>
      </c>
      <c r="D226" s="36" t="b">
        <f aca="false">B226=C226</f>
        <v>1</v>
      </c>
      <c r="E226" s="12"/>
    </row>
    <row r="227" customFormat="false" ht="27.75" hidden="false" customHeight="true" outlineLevel="0" collapsed="false">
      <c r="A227" s="13" t="s">
        <v>1167</v>
      </c>
      <c r="B227" s="13" t="n">
        <f aca="false">'Atrakcje - kalkulator'!E102</f>
        <v>1000</v>
      </c>
      <c r="C227" s="13" t="n">
        <v>1000</v>
      </c>
      <c r="D227" s="37" t="b">
        <f aca="false">B227=C227</f>
        <v>1</v>
      </c>
      <c r="E227" s="13"/>
    </row>
    <row r="228" customFormat="false" ht="27.75" hidden="false" customHeight="true" outlineLevel="0" collapsed="false">
      <c r="A228" s="12" t="s">
        <v>1168</v>
      </c>
      <c r="B228" s="26" t="n">
        <f aca="false">'Atrakcje - kalkulator'!F102</f>
        <v>75</v>
      </c>
      <c r="C228" s="12" t="n">
        <v>75</v>
      </c>
      <c r="D228" s="36" t="b">
        <f aca="false">B228=C228</f>
        <v>1</v>
      </c>
      <c r="E228" s="12"/>
    </row>
    <row r="229" customFormat="false" ht="27.75" hidden="false" customHeight="true" outlineLevel="0" collapsed="false">
      <c r="A229" s="13" t="s">
        <v>1169</v>
      </c>
      <c r="B229" s="13" t="n">
        <f aca="false">'Atrakcje - kalkulator'!E103</f>
        <v>1000</v>
      </c>
      <c r="C229" s="13" t="n">
        <v>1000</v>
      </c>
      <c r="D229" s="37" t="b">
        <f aca="false">B229=C229</f>
        <v>1</v>
      </c>
      <c r="E229" s="13"/>
    </row>
    <row r="230" customFormat="false" ht="27.75" hidden="false" customHeight="true" outlineLevel="0" collapsed="false">
      <c r="A230" s="12" t="s">
        <v>1170</v>
      </c>
      <c r="B230" s="26" t="n">
        <f aca="false">'Atrakcje - kalkulator'!F103</f>
        <v>50</v>
      </c>
      <c r="C230" s="12" t="n">
        <v>50</v>
      </c>
      <c r="D230" s="36" t="b">
        <f aca="false">B230=C230</f>
        <v>1</v>
      </c>
      <c r="E230" s="12"/>
    </row>
    <row r="231" customFormat="false" ht="27.75" hidden="false" customHeight="true" outlineLevel="0" collapsed="false">
      <c r="A231" s="13" t="s">
        <v>1171</v>
      </c>
      <c r="B231" s="13" t="n">
        <f aca="false">'Atrakcje - kalkulator'!E104</f>
        <v>1000</v>
      </c>
      <c r="C231" s="13" t="n">
        <v>1000</v>
      </c>
      <c r="D231" s="37" t="b">
        <f aca="false">B231=C231</f>
        <v>1</v>
      </c>
      <c r="E231" s="13"/>
    </row>
    <row r="232" customFormat="false" ht="27.75" hidden="false" customHeight="true" outlineLevel="0" collapsed="false">
      <c r="A232" s="12" t="s">
        <v>1172</v>
      </c>
      <c r="B232" s="26" t="n">
        <f aca="false">'Atrakcje - kalkulator'!F104</f>
        <v>25</v>
      </c>
      <c r="C232" s="12" t="n">
        <v>25</v>
      </c>
      <c r="D232" s="36" t="b">
        <f aca="false">B232=C232</f>
        <v>1</v>
      </c>
      <c r="E232" s="12"/>
    </row>
    <row r="233" customFormat="false" ht="27.75" hidden="false" customHeight="true" outlineLevel="0" collapsed="false">
      <c r="A233" s="13" t="s">
        <v>1173</v>
      </c>
      <c r="B233" s="13" t="n">
        <f aca="false">'Atrakcje - kalkulator'!E105</f>
        <v>1000</v>
      </c>
      <c r="C233" s="13" t="n">
        <v>1000</v>
      </c>
      <c r="D233" s="37" t="b">
        <f aca="false">B233=C233</f>
        <v>1</v>
      </c>
      <c r="E233" s="13"/>
    </row>
    <row r="234" customFormat="false" ht="27.75" hidden="false" customHeight="true" outlineLevel="0" collapsed="false">
      <c r="A234" s="12" t="s">
        <v>1174</v>
      </c>
      <c r="B234" s="26" t="n">
        <f aca="false">'Atrakcje - kalkulator'!F105</f>
        <v>0</v>
      </c>
      <c r="C234" s="12" t="n">
        <v>0</v>
      </c>
      <c r="D234" s="36" t="b">
        <f aca="false">B234=C234</f>
        <v>1</v>
      </c>
      <c r="E234" s="12"/>
    </row>
    <row r="235" customFormat="false" ht="27.75" hidden="false" customHeight="true" outlineLevel="0" collapsed="false">
      <c r="A235" s="13" t="s">
        <v>1175</v>
      </c>
      <c r="B235" s="13" t="n">
        <f aca="false">'Czas budowy'!Y6</f>
        <v>80</v>
      </c>
      <c r="C235" s="13" t="n">
        <v>80</v>
      </c>
      <c r="D235" s="37" t="b">
        <f aca="false">B235=C235</f>
        <v>1</v>
      </c>
      <c r="E235" s="13" t="s">
        <v>1176</v>
      </c>
    </row>
    <row r="236" customFormat="false" ht="27.75" hidden="false" customHeight="true" outlineLevel="0" collapsed="false">
      <c r="A236" s="12" t="s">
        <v>1177</v>
      </c>
      <c r="B236" s="12" t="n">
        <f aca="false">'Czas budowy'!W72</f>
        <v>5</v>
      </c>
      <c r="C236" s="12" t="n">
        <v>5</v>
      </c>
      <c r="D236" s="36" t="b">
        <f aca="false">B236=C236</f>
        <v>1</v>
      </c>
      <c r="E236" s="12" t="s">
        <v>1178</v>
      </c>
    </row>
  </sheetData>
  <autoFilter ref="A5:E236"/>
  <mergeCells count="2">
    <mergeCell ref="A1:E1"/>
    <mergeCell ref="A2:E2"/>
  </mergeCells>
  <printOptions headings="false" gridLines="false" gridLinesSet="true" horizontalCentered="tru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6D75"/>
    <pageSetUpPr fitToPage="true"/>
  </sheetPr>
  <dimension ref="A1:G27"/>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26.25" customHeight="false" zeroHeight="false" outlineLevelRow="0" outlineLevelCol="0"/>
  <cols>
    <col collapsed="false" customWidth="true" hidden="false" outlineLevel="0" max="1" min="1" style="1" width="37"/>
    <col collapsed="false" customWidth="true" hidden="false" outlineLevel="0" max="2" min="2" style="1" width="65.57"/>
    <col collapsed="false" customWidth="true" hidden="false" outlineLevel="0" max="3" min="3" style="1" width="78"/>
    <col collapsed="false" customWidth="true" hidden="false" outlineLevel="0" max="4" min="4" style="1" width="54.43"/>
    <col collapsed="false" customWidth="true" hidden="false" outlineLevel="0" max="5" min="5" style="1" width="55"/>
    <col collapsed="false" customWidth="false" hidden="false" outlineLevel="0" max="16384" min="6" style="1" width="8.71"/>
  </cols>
  <sheetData>
    <row r="1" customFormat="false" ht="33.75" hidden="false" customHeight="true" outlineLevel="0" collapsed="false">
      <c r="A1" s="18" t="s">
        <v>1179</v>
      </c>
      <c r="B1" s="18"/>
      <c r="C1" s="18"/>
      <c r="D1" s="18"/>
      <c r="E1" s="18"/>
    </row>
    <row r="2" customFormat="false" ht="27" hidden="false" customHeight="true" outlineLevel="0" collapsed="false">
      <c r="A2" s="3" t="s">
        <v>1180</v>
      </c>
      <c r="B2" s="3"/>
      <c r="C2" s="3"/>
      <c r="D2" s="3"/>
      <c r="E2" s="3"/>
    </row>
    <row r="3" customFormat="false" ht="27" hidden="false" customHeight="true" outlineLevel="0" collapsed="false">
      <c r="A3" s="3"/>
      <c r="B3" s="3"/>
      <c r="C3" s="3"/>
      <c r="D3" s="3"/>
      <c r="E3" s="3"/>
    </row>
    <row r="5" customFormat="false" ht="45" hidden="false" customHeight="true" outlineLevel="0" collapsed="false">
      <c r="A5" s="19" t="s">
        <v>1181</v>
      </c>
      <c r="B5" s="19" t="s">
        <v>567</v>
      </c>
      <c r="C5" s="19" t="s">
        <v>1182</v>
      </c>
      <c r="D5" s="19" t="s">
        <v>809</v>
      </c>
      <c r="E5" s="19" t="s">
        <v>322</v>
      </c>
      <c r="G5" s="38" t="s">
        <v>470</v>
      </c>
    </row>
    <row r="6" customFormat="false" ht="99.75" hidden="false" customHeight="true" outlineLevel="0" collapsed="false">
      <c r="A6" s="5" t="s">
        <v>1183</v>
      </c>
      <c r="B6" s="5" t="s">
        <v>1184</v>
      </c>
      <c r="C6" s="5" t="s">
        <v>1185</v>
      </c>
      <c r="D6" s="5" t="s">
        <v>1186</v>
      </c>
      <c r="E6" s="5" t="s">
        <v>1187</v>
      </c>
    </row>
    <row r="7" customFormat="false" ht="99.75" hidden="false" customHeight="true" outlineLevel="0" collapsed="false">
      <c r="A7" s="6" t="s">
        <v>1188</v>
      </c>
      <c r="B7" s="6" t="s">
        <v>1189</v>
      </c>
      <c r="C7" s="6" t="s">
        <v>1190</v>
      </c>
      <c r="D7" s="6" t="s">
        <v>1191</v>
      </c>
      <c r="E7" s="6" t="s">
        <v>665</v>
      </c>
      <c r="G7" s="39" t="s">
        <v>1192</v>
      </c>
    </row>
    <row r="8" customFormat="false" ht="99.75" hidden="false" customHeight="true" outlineLevel="0" collapsed="false">
      <c r="A8" s="5" t="s">
        <v>1193</v>
      </c>
      <c r="B8" s="5" t="s">
        <v>439</v>
      </c>
      <c r="C8" s="5" t="s">
        <v>1194</v>
      </c>
      <c r="D8" s="5" t="s">
        <v>1195</v>
      </c>
      <c r="E8" s="5" t="s">
        <v>1196</v>
      </c>
      <c r="G8" s="39" t="s">
        <v>1197</v>
      </c>
    </row>
    <row r="9" customFormat="false" ht="99.75" hidden="false" customHeight="true" outlineLevel="0" collapsed="false">
      <c r="A9" s="6" t="s">
        <v>1198</v>
      </c>
      <c r="B9" s="6" t="s">
        <v>439</v>
      </c>
      <c r="C9" s="6" t="s">
        <v>1194</v>
      </c>
      <c r="D9" s="6" t="s">
        <v>1195</v>
      </c>
      <c r="E9" s="6" t="s">
        <v>1196</v>
      </c>
    </row>
    <row r="10" customFormat="false" ht="99.75" hidden="false" customHeight="true" outlineLevel="0" collapsed="false">
      <c r="A10" s="5" t="s">
        <v>1199</v>
      </c>
      <c r="B10" s="5" t="s">
        <v>439</v>
      </c>
      <c r="C10" s="5" t="s">
        <v>1194</v>
      </c>
      <c r="D10" s="5" t="s">
        <v>1195</v>
      </c>
      <c r="E10" s="5" t="s">
        <v>1196</v>
      </c>
    </row>
    <row r="11" customFormat="false" ht="99.75" hidden="false" customHeight="true" outlineLevel="0" collapsed="false">
      <c r="A11" s="6" t="s">
        <v>1200</v>
      </c>
      <c r="B11" s="6" t="s">
        <v>1201</v>
      </c>
      <c r="C11" s="6" t="s">
        <v>1194</v>
      </c>
      <c r="D11" s="6" t="s">
        <v>1195</v>
      </c>
      <c r="E11" s="6" t="s">
        <v>1196</v>
      </c>
      <c r="G11" s="39" t="s">
        <v>1202</v>
      </c>
    </row>
    <row r="12" customFormat="false" ht="99.75" hidden="false" customHeight="true" outlineLevel="0" collapsed="false">
      <c r="A12" s="5" t="s">
        <v>1203</v>
      </c>
      <c r="B12" s="5" t="s">
        <v>1204</v>
      </c>
      <c r="C12" s="5" t="s">
        <v>1205</v>
      </c>
      <c r="D12" s="5" t="s">
        <v>1206</v>
      </c>
      <c r="E12" s="5" t="s">
        <v>1187</v>
      </c>
    </row>
    <row r="13" customFormat="false" ht="99.75" hidden="false" customHeight="true" outlineLevel="0" collapsed="false">
      <c r="A13" s="6" t="s">
        <v>1207</v>
      </c>
      <c r="B13" s="6" t="s">
        <v>1208</v>
      </c>
      <c r="C13" s="6" t="s">
        <v>1209</v>
      </c>
      <c r="D13" s="6" t="s">
        <v>1210</v>
      </c>
      <c r="E13" s="6" t="s">
        <v>1187</v>
      </c>
      <c r="G13" s="39" t="s">
        <v>1211</v>
      </c>
    </row>
    <row r="14" customFormat="false" ht="99.75" hidden="false" customHeight="true" outlineLevel="0" collapsed="false">
      <c r="A14" s="5" t="s">
        <v>1212</v>
      </c>
      <c r="B14" s="5" t="s">
        <v>1213</v>
      </c>
      <c r="C14" s="5" t="s">
        <v>1214</v>
      </c>
      <c r="D14" s="5" t="s">
        <v>1215</v>
      </c>
      <c r="E14" s="5" t="s">
        <v>1216</v>
      </c>
      <c r="G14" s="39" t="s">
        <v>1217</v>
      </c>
    </row>
    <row r="15" customFormat="false" ht="99.75" hidden="false" customHeight="true" outlineLevel="0" collapsed="false">
      <c r="A15" s="6" t="s">
        <v>1218</v>
      </c>
      <c r="B15" s="6" t="s">
        <v>1213</v>
      </c>
      <c r="C15" s="6" t="s">
        <v>1214</v>
      </c>
      <c r="D15" s="6" t="s">
        <v>1219</v>
      </c>
      <c r="E15" s="6" t="s">
        <v>665</v>
      </c>
      <c r="G15" s="39" t="s">
        <v>1220</v>
      </c>
    </row>
    <row r="16" customFormat="false" ht="99.75" hidden="false" customHeight="true" outlineLevel="0" collapsed="false">
      <c r="A16" s="5" t="s">
        <v>1221</v>
      </c>
      <c r="B16" s="5" t="s">
        <v>435</v>
      </c>
      <c r="C16" s="5" t="s">
        <v>1222</v>
      </c>
      <c r="D16" s="5" t="s">
        <v>1223</v>
      </c>
      <c r="E16" s="5" t="s">
        <v>1224</v>
      </c>
      <c r="G16" s="39" t="s">
        <v>1225</v>
      </c>
    </row>
    <row r="17" customFormat="false" ht="99.75" hidden="false" customHeight="true" outlineLevel="0" collapsed="false">
      <c r="A17" s="6" t="s">
        <v>1226</v>
      </c>
      <c r="B17" s="6" t="s">
        <v>1227</v>
      </c>
      <c r="C17" s="6" t="s">
        <v>1228</v>
      </c>
      <c r="D17" s="6" t="s">
        <v>1229</v>
      </c>
      <c r="E17" s="6" t="s">
        <v>1187</v>
      </c>
    </row>
    <row r="18" customFormat="false" ht="99.75" hidden="false" customHeight="true" outlineLevel="0" collapsed="false">
      <c r="A18" s="5" t="s">
        <v>1230</v>
      </c>
      <c r="B18" s="5" t="s">
        <v>427</v>
      </c>
      <c r="C18" s="5" t="s">
        <v>1231</v>
      </c>
      <c r="D18" s="5" t="s">
        <v>1232</v>
      </c>
      <c r="E18" s="5" t="s">
        <v>1233</v>
      </c>
      <c r="G18" s="39" t="s">
        <v>1234</v>
      </c>
    </row>
    <row r="19" customFormat="false" ht="99.75" hidden="false" customHeight="true" outlineLevel="0" collapsed="false">
      <c r="A19" s="6" t="s">
        <v>1235</v>
      </c>
      <c r="B19" s="6" t="s">
        <v>451</v>
      </c>
      <c r="C19" s="6" t="s">
        <v>1236</v>
      </c>
      <c r="D19" s="6" t="s">
        <v>1237</v>
      </c>
      <c r="E19" s="6" t="s">
        <v>677</v>
      </c>
    </row>
    <row r="20" customFormat="false" ht="105" hidden="false" customHeight="true" outlineLevel="0" collapsed="false">
      <c r="A20" s="5" t="s">
        <v>1238</v>
      </c>
      <c r="B20" s="5" t="s">
        <v>1239</v>
      </c>
      <c r="C20" s="5" t="s">
        <v>1240</v>
      </c>
      <c r="D20" s="5" t="s">
        <v>1241</v>
      </c>
      <c r="E20" s="5" t="s">
        <v>1242</v>
      </c>
    </row>
    <row r="21" customFormat="false" ht="105" hidden="false" customHeight="true" outlineLevel="0" collapsed="false">
      <c r="A21" s="6" t="s">
        <v>1243</v>
      </c>
      <c r="B21" s="6" t="s">
        <v>1244</v>
      </c>
      <c r="C21" s="6" t="s">
        <v>1245</v>
      </c>
      <c r="D21" s="6" t="s">
        <v>1246</v>
      </c>
      <c r="E21" s="6" t="s">
        <v>1247</v>
      </c>
    </row>
    <row r="22" customFormat="false" ht="105" hidden="false" customHeight="true" outlineLevel="0" collapsed="false">
      <c r="A22" s="5" t="s">
        <v>1248</v>
      </c>
      <c r="B22" s="5" t="s">
        <v>431</v>
      </c>
      <c r="C22" s="5" t="s">
        <v>1249</v>
      </c>
      <c r="D22" s="5" t="s">
        <v>1250</v>
      </c>
      <c r="E22" s="5" t="s">
        <v>1251</v>
      </c>
      <c r="G22" s="39" t="s">
        <v>1252</v>
      </c>
    </row>
    <row r="23" customFormat="false" ht="105" hidden="false" customHeight="true" outlineLevel="0" collapsed="false">
      <c r="A23" s="6" t="s">
        <v>1253</v>
      </c>
      <c r="B23" s="6" t="s">
        <v>451</v>
      </c>
      <c r="C23" s="6" t="s">
        <v>1236</v>
      </c>
      <c r="D23" s="6" t="s">
        <v>1237</v>
      </c>
      <c r="E23" s="6" t="s">
        <v>677</v>
      </c>
    </row>
    <row r="24" customFormat="false" ht="105" hidden="false" customHeight="true" outlineLevel="0" collapsed="false">
      <c r="A24" s="5" t="s">
        <v>1254</v>
      </c>
      <c r="B24" s="5" t="s">
        <v>1255</v>
      </c>
      <c r="C24" s="5" t="s">
        <v>1256</v>
      </c>
      <c r="D24" s="5" t="s">
        <v>1257</v>
      </c>
      <c r="E24" s="5" t="s">
        <v>1258</v>
      </c>
    </row>
    <row r="25" customFormat="false" ht="105" hidden="false" customHeight="true" outlineLevel="0" collapsed="false">
      <c r="A25" s="6" t="s">
        <v>1259</v>
      </c>
      <c r="B25" s="6" t="s">
        <v>1260</v>
      </c>
      <c r="C25" s="6" t="s">
        <v>1261</v>
      </c>
      <c r="D25" s="6" t="s">
        <v>1262</v>
      </c>
      <c r="E25" s="6" t="s">
        <v>1258</v>
      </c>
    </row>
    <row r="26" customFormat="false" ht="105" hidden="false" customHeight="true" outlineLevel="0" collapsed="false">
      <c r="A26" s="5" t="s">
        <v>1263</v>
      </c>
      <c r="B26" s="5" t="s">
        <v>1264</v>
      </c>
      <c r="C26" s="5" t="s">
        <v>1265</v>
      </c>
      <c r="D26" s="5" t="s">
        <v>1266</v>
      </c>
      <c r="E26" s="5" t="s">
        <v>1258</v>
      </c>
    </row>
    <row r="27" customFormat="false" ht="105" hidden="false" customHeight="true" outlineLevel="0" collapsed="false">
      <c r="A27" s="6" t="s">
        <v>1267</v>
      </c>
      <c r="B27" s="6" t="s">
        <v>1268</v>
      </c>
      <c r="C27" s="6" t="s">
        <v>396</v>
      </c>
      <c r="D27" s="6" t="s">
        <v>1269</v>
      </c>
      <c r="E27" s="6" t="s">
        <v>684</v>
      </c>
      <c r="G27" s="39" t="s">
        <v>1270</v>
      </c>
    </row>
  </sheetData>
  <autoFilter ref="A5:G27"/>
  <mergeCells count="2">
    <mergeCell ref="A1:E1"/>
    <mergeCell ref="A2:E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25"/>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26.25" customHeight="false" zeroHeight="false" outlineLevelRow="0" outlineLevelCol="0"/>
  <cols>
    <col collapsed="false" customWidth="true" hidden="false" outlineLevel="0" max="1" min="1" style="1" width="30"/>
    <col collapsed="false" customWidth="true" hidden="false" outlineLevel="0" max="2" min="2" style="1" width="21"/>
    <col collapsed="false" customWidth="true" hidden="false" outlineLevel="0" max="3" min="3" style="1" width="29"/>
    <col collapsed="false" customWidth="true" hidden="false" outlineLevel="0" max="4" min="4" style="1" width="24"/>
    <col collapsed="false" customWidth="true" hidden="false" outlineLevel="0" max="5" min="5" style="1" width="25"/>
    <col collapsed="false" customWidth="true" hidden="false" outlineLevel="0" max="6" min="6" style="1" width="30"/>
    <col collapsed="false" customWidth="true" hidden="false" outlineLevel="0" max="7" min="7" style="1" width="110"/>
    <col collapsed="false" customWidth="false" hidden="false" outlineLevel="0" max="16384" min="8" style="1" width="8.71"/>
  </cols>
  <sheetData>
    <row r="1" customFormat="false" ht="33.75" hidden="false" customHeight="true" outlineLevel="0" collapsed="false">
      <c r="A1" s="21" t="s">
        <v>1271</v>
      </c>
      <c r="B1" s="21"/>
      <c r="C1" s="21"/>
      <c r="D1" s="21"/>
      <c r="E1" s="21"/>
      <c r="F1" s="21"/>
      <c r="G1" s="21"/>
    </row>
    <row r="2" customFormat="false" ht="27" hidden="false" customHeight="true" outlineLevel="0" collapsed="false">
      <c r="A2" s="3" t="s">
        <v>1272</v>
      </c>
      <c r="B2" s="3"/>
      <c r="C2" s="3"/>
      <c r="D2" s="3"/>
      <c r="E2" s="3"/>
      <c r="F2" s="3"/>
      <c r="G2" s="3"/>
    </row>
    <row r="3" customFormat="false" ht="27" hidden="false" customHeight="true" outlineLevel="0" collapsed="false">
      <c r="A3" s="3"/>
      <c r="B3" s="3"/>
      <c r="C3" s="3"/>
      <c r="D3" s="3"/>
      <c r="E3" s="3"/>
      <c r="F3" s="3"/>
      <c r="G3" s="3"/>
    </row>
    <row r="5" customFormat="false" ht="45" hidden="false" customHeight="true" outlineLevel="0" collapsed="false">
      <c r="A5" s="4" t="s">
        <v>1273</v>
      </c>
      <c r="B5" s="4" t="s">
        <v>1274</v>
      </c>
      <c r="C5" s="4" t="s">
        <v>1275</v>
      </c>
      <c r="D5" s="4" t="s">
        <v>1276</v>
      </c>
      <c r="E5" s="4" t="s">
        <v>1277</v>
      </c>
      <c r="F5" s="4" t="s">
        <v>1278</v>
      </c>
      <c r="G5" s="4" t="s">
        <v>809</v>
      </c>
    </row>
    <row r="6" customFormat="false" ht="64.5" hidden="false" customHeight="true" outlineLevel="0" collapsed="false">
      <c r="A6" s="40" t="n">
        <v>1.5</v>
      </c>
      <c r="B6" s="41" t="n">
        <v>0.25</v>
      </c>
      <c r="C6" s="5" t="n">
        <f aca="false">A6*B6</f>
        <v>0.375</v>
      </c>
      <c r="D6" s="5" t="n">
        <f aca="false">A6-C6</f>
        <v>1.125</v>
      </c>
      <c r="E6" s="5" t="n">
        <f aca="false">MAX(Parametry!$C$52,ROUNDDOWN(C6,0)*Parametry!$C$42)</f>
        <v>5</v>
      </c>
      <c r="F6" s="42" t="n">
        <f aca="false">E6/Parametry!$C$41</f>
        <v>0.5</v>
      </c>
      <c r="G6" s="5" t="s">
        <v>1279</v>
      </c>
      <c r="J6" s="1" t="s">
        <v>1280</v>
      </c>
    </row>
    <row r="7" customFormat="false" ht="64.5" hidden="false" customHeight="true" outlineLevel="0" collapsed="false">
      <c r="A7" s="40" t="n">
        <v>1.5</v>
      </c>
      <c r="B7" s="41" t="n">
        <v>0.5</v>
      </c>
      <c r="C7" s="6" t="n">
        <f aca="false">A7*B7</f>
        <v>0.75</v>
      </c>
      <c r="D7" s="6" t="n">
        <f aca="false">A7-C7</f>
        <v>0.75</v>
      </c>
      <c r="E7" s="6" t="n">
        <f aca="false">MAX(Parametry!$C$52,ROUNDDOWN(C7,0)*Parametry!$C$42)</f>
        <v>5</v>
      </c>
      <c r="F7" s="43" t="n">
        <f aca="false">E7/Parametry!$C$41</f>
        <v>0.5</v>
      </c>
      <c r="G7" s="6" t="s">
        <v>1279</v>
      </c>
    </row>
    <row r="8" customFormat="false" ht="64.5" hidden="false" customHeight="true" outlineLevel="0" collapsed="false">
      <c r="A8" s="40" t="n">
        <v>1.5</v>
      </c>
      <c r="B8" s="41" t="n">
        <v>0.75</v>
      </c>
      <c r="C8" s="5" t="n">
        <f aca="false">A8*B8</f>
        <v>1.125</v>
      </c>
      <c r="D8" s="5" t="n">
        <f aca="false">A8-C8</f>
        <v>0.375</v>
      </c>
      <c r="E8" s="5" t="n">
        <f aca="false">MAX(Parametry!$C$52,ROUNDDOWN(C8,0)*Parametry!$C$42)</f>
        <v>5</v>
      </c>
      <c r="F8" s="42" t="n">
        <f aca="false">E8/Parametry!$C$41</f>
        <v>0.5</v>
      </c>
      <c r="G8" s="5" t="s">
        <v>1279</v>
      </c>
    </row>
    <row r="9" customFormat="false" ht="64.5" hidden="false" customHeight="true" outlineLevel="0" collapsed="false">
      <c r="A9" s="40" t="n">
        <v>10</v>
      </c>
      <c r="B9" s="41" t="n">
        <v>0.25</v>
      </c>
      <c r="C9" s="6" t="n">
        <f aca="false">A9*B9</f>
        <v>2.5</v>
      </c>
      <c r="D9" s="6" t="n">
        <f aca="false">A9-C9</f>
        <v>7.5</v>
      </c>
      <c r="E9" s="6" t="n">
        <f aca="false">MAX(Parametry!$C$52,ROUNDDOWN(C9,0)*Parametry!$C$42)</f>
        <v>5</v>
      </c>
      <c r="F9" s="43" t="n">
        <f aca="false">E9/Parametry!$C$41</f>
        <v>0.5</v>
      </c>
      <c r="G9" s="6" t="s">
        <v>1279</v>
      </c>
    </row>
    <row r="10" customFormat="false" ht="64.5" hidden="false" customHeight="true" outlineLevel="0" collapsed="false">
      <c r="A10" s="40" t="n">
        <v>10</v>
      </c>
      <c r="B10" s="41" t="n">
        <v>0.5</v>
      </c>
      <c r="C10" s="5" t="n">
        <f aca="false">A10*B10</f>
        <v>5</v>
      </c>
      <c r="D10" s="5" t="n">
        <f aca="false">A10-C10</f>
        <v>5</v>
      </c>
      <c r="E10" s="5" t="n">
        <f aca="false">MAX(Parametry!$C$52,ROUNDDOWN(C10,0)*Parametry!$C$42)</f>
        <v>5</v>
      </c>
      <c r="F10" s="42" t="n">
        <f aca="false">E10/Parametry!$C$41</f>
        <v>0.5</v>
      </c>
      <c r="G10" s="5" t="s">
        <v>1279</v>
      </c>
    </row>
    <row r="11" customFormat="false" ht="64.5" hidden="false" customHeight="true" outlineLevel="0" collapsed="false">
      <c r="A11" s="40" t="n">
        <v>10</v>
      </c>
      <c r="B11" s="41" t="n">
        <v>0.75</v>
      </c>
      <c r="C11" s="6" t="n">
        <f aca="false">A11*B11</f>
        <v>7.5</v>
      </c>
      <c r="D11" s="6" t="n">
        <f aca="false">A11-C11</f>
        <v>2.5</v>
      </c>
      <c r="E11" s="6" t="n">
        <f aca="false">MAX(Parametry!$C$52,ROUNDDOWN(C11,0)*Parametry!$C$42)</f>
        <v>7</v>
      </c>
      <c r="F11" s="43" t="n">
        <f aca="false">E11/Parametry!$C$41</f>
        <v>0.7</v>
      </c>
      <c r="G11" s="6" t="s">
        <v>1279</v>
      </c>
    </row>
    <row r="12" customFormat="false" ht="64.5" hidden="false" customHeight="true" outlineLevel="0" collapsed="false">
      <c r="A12" s="40" t="n">
        <v>25</v>
      </c>
      <c r="B12" s="41" t="n">
        <v>0.25</v>
      </c>
      <c r="C12" s="5" t="n">
        <f aca="false">A12*B12</f>
        <v>6.25</v>
      </c>
      <c r="D12" s="5" t="n">
        <f aca="false">A12-C12</f>
        <v>18.75</v>
      </c>
      <c r="E12" s="5" t="n">
        <f aca="false">MAX(Parametry!$C$52,ROUNDDOWN(C12,0)*Parametry!$C$42)</f>
        <v>6</v>
      </c>
      <c r="F12" s="42" t="n">
        <f aca="false">E12/Parametry!$C$41</f>
        <v>0.6</v>
      </c>
      <c r="G12" s="5" t="s">
        <v>1279</v>
      </c>
    </row>
    <row r="13" customFormat="false" ht="64.5" hidden="false" customHeight="true" outlineLevel="0" collapsed="false">
      <c r="A13" s="40" t="n">
        <v>25</v>
      </c>
      <c r="B13" s="41" t="n">
        <v>0.5</v>
      </c>
      <c r="C13" s="6" t="n">
        <f aca="false">A13*B13</f>
        <v>12.5</v>
      </c>
      <c r="D13" s="6" t="n">
        <f aca="false">A13-C13</f>
        <v>12.5</v>
      </c>
      <c r="E13" s="6" t="n">
        <f aca="false">MAX(Parametry!$C$52,ROUNDDOWN(C13,0)*Parametry!$C$42)</f>
        <v>12</v>
      </c>
      <c r="F13" s="43" t="n">
        <f aca="false">E13/Parametry!$C$41</f>
        <v>1.2</v>
      </c>
      <c r="G13" s="6" t="s">
        <v>1279</v>
      </c>
    </row>
    <row r="14" customFormat="false" ht="64.5" hidden="false" customHeight="true" outlineLevel="0" collapsed="false">
      <c r="A14" s="40" t="n">
        <v>25</v>
      </c>
      <c r="B14" s="41" t="n">
        <v>0.75</v>
      </c>
      <c r="C14" s="5" t="n">
        <f aca="false">A14*B14</f>
        <v>18.75</v>
      </c>
      <c r="D14" s="5" t="n">
        <f aca="false">A14-C14</f>
        <v>6.25</v>
      </c>
      <c r="E14" s="5" t="n">
        <f aca="false">MAX(Parametry!$C$52,ROUNDDOWN(C14,0)*Parametry!$C$42)</f>
        <v>18</v>
      </c>
      <c r="F14" s="42" t="n">
        <f aca="false">E14/Parametry!$C$41</f>
        <v>1.8</v>
      </c>
      <c r="G14" s="5" t="s">
        <v>1279</v>
      </c>
    </row>
    <row r="15" customFormat="false" ht="64.5" hidden="false" customHeight="true" outlineLevel="0" collapsed="false">
      <c r="A15" s="40" t="n">
        <v>60</v>
      </c>
      <c r="B15" s="41" t="n">
        <v>0.25</v>
      </c>
      <c r="C15" s="6" t="n">
        <f aca="false">A15*B15</f>
        <v>15</v>
      </c>
      <c r="D15" s="6" t="n">
        <f aca="false">A15-C15</f>
        <v>45</v>
      </c>
      <c r="E15" s="6" t="n">
        <f aca="false">MAX(Parametry!$C$52,ROUNDDOWN(C15,0)*Parametry!$C$42)</f>
        <v>15</v>
      </c>
      <c r="F15" s="43" t="n">
        <f aca="false">E15/Parametry!$C$41</f>
        <v>1.5</v>
      </c>
      <c r="G15" s="6" t="s">
        <v>1279</v>
      </c>
    </row>
    <row r="16" customFormat="false" ht="64.5" hidden="false" customHeight="true" outlineLevel="0" collapsed="false">
      <c r="A16" s="40" t="n">
        <v>60</v>
      </c>
      <c r="B16" s="41" t="n">
        <v>0.5</v>
      </c>
      <c r="C16" s="5" t="n">
        <f aca="false">A16*B16</f>
        <v>30</v>
      </c>
      <c r="D16" s="5" t="n">
        <f aca="false">A16-C16</f>
        <v>30</v>
      </c>
      <c r="E16" s="5" t="n">
        <f aca="false">MAX(Parametry!$C$52,ROUNDDOWN(C16,0)*Parametry!$C$42)</f>
        <v>30</v>
      </c>
      <c r="F16" s="42" t="n">
        <f aca="false">E16/Parametry!$C$41</f>
        <v>3</v>
      </c>
      <c r="G16" s="5" t="s">
        <v>1279</v>
      </c>
    </row>
    <row r="17" customFormat="false" ht="64.5" hidden="false" customHeight="true" outlineLevel="0" collapsed="false">
      <c r="A17" s="40" t="n">
        <v>60</v>
      </c>
      <c r="B17" s="41" t="n">
        <v>0.75</v>
      </c>
      <c r="C17" s="6" t="n">
        <f aca="false">A17*B17</f>
        <v>45</v>
      </c>
      <c r="D17" s="6" t="n">
        <f aca="false">A17-C17</f>
        <v>15</v>
      </c>
      <c r="E17" s="6" t="n">
        <f aca="false">MAX(Parametry!$C$52,ROUNDDOWN(C17,0)*Parametry!$C$42)</f>
        <v>45</v>
      </c>
      <c r="F17" s="43" t="n">
        <f aca="false">E17/Parametry!$C$41</f>
        <v>4.5</v>
      </c>
      <c r="G17" s="6" t="s">
        <v>1279</v>
      </c>
    </row>
    <row r="18" customFormat="false" ht="64.5" hidden="false" customHeight="true" outlineLevel="0" collapsed="false">
      <c r="A18" s="40" t="n">
        <v>120</v>
      </c>
      <c r="B18" s="41" t="n">
        <v>0.25</v>
      </c>
      <c r="C18" s="5" t="n">
        <f aca="false">A18*B18</f>
        <v>30</v>
      </c>
      <c r="D18" s="5" t="n">
        <f aca="false">A18-C18</f>
        <v>90</v>
      </c>
      <c r="E18" s="5" t="n">
        <f aca="false">MAX(Parametry!$C$52,ROUNDDOWN(C18,0)*Parametry!$C$42)</f>
        <v>30</v>
      </c>
      <c r="F18" s="42" t="n">
        <f aca="false">E18/Parametry!$C$41</f>
        <v>3</v>
      </c>
      <c r="G18" s="5" t="s">
        <v>1279</v>
      </c>
    </row>
    <row r="19" customFormat="false" ht="64.5" hidden="false" customHeight="true" outlineLevel="0" collapsed="false">
      <c r="A19" s="40" t="n">
        <v>120</v>
      </c>
      <c r="B19" s="41" t="n">
        <v>0.5</v>
      </c>
      <c r="C19" s="6" t="n">
        <f aca="false">A19*B19</f>
        <v>60</v>
      </c>
      <c r="D19" s="6" t="n">
        <f aca="false">A19-C19</f>
        <v>60</v>
      </c>
      <c r="E19" s="6" t="n">
        <f aca="false">MAX(Parametry!$C$52,ROUNDDOWN(C19,0)*Parametry!$C$42)</f>
        <v>60</v>
      </c>
      <c r="F19" s="43" t="n">
        <f aca="false">E19/Parametry!$C$41</f>
        <v>6</v>
      </c>
      <c r="G19" s="6" t="s">
        <v>1279</v>
      </c>
    </row>
    <row r="20" customFormat="false" ht="64.5" hidden="false" customHeight="true" outlineLevel="0" collapsed="false">
      <c r="A20" s="40" t="n">
        <v>120</v>
      </c>
      <c r="B20" s="41" t="n">
        <v>0.75</v>
      </c>
      <c r="C20" s="5" t="n">
        <f aca="false">A20*B20</f>
        <v>90</v>
      </c>
      <c r="D20" s="5" t="n">
        <f aca="false">A20-C20</f>
        <v>30</v>
      </c>
      <c r="E20" s="5" t="n">
        <f aca="false">MAX(Parametry!$C$52,ROUNDDOWN(C20,0)*Parametry!$C$42)</f>
        <v>90</v>
      </c>
      <c r="F20" s="42" t="n">
        <f aca="false">E20/Parametry!$C$41</f>
        <v>9</v>
      </c>
      <c r="G20" s="5" t="s">
        <v>1279</v>
      </c>
    </row>
    <row r="21" customFormat="false" ht="54.75" hidden="false" customHeight="true" outlineLevel="0" collapsed="false">
      <c r="A21" s="7" t="n">
        <v>50</v>
      </c>
      <c r="B21" s="7" t="n">
        <v>1</v>
      </c>
      <c r="C21" s="7" t="n">
        <f aca="false">A21*B21</f>
        <v>50</v>
      </c>
      <c r="D21" s="7" t="n">
        <f aca="false">A21-C21</f>
        <v>0</v>
      </c>
      <c r="E21" s="7" t="n">
        <f aca="false">MAX(Parametry!$C$52,ROUNDDOWN(C21,0)*Parametry!$C$42)</f>
        <v>50</v>
      </c>
      <c r="F21" s="7" t="n">
        <f aca="false">E21/Parametry!$C$41</f>
        <v>5</v>
      </c>
      <c r="G21" s="7" t="s">
        <v>1281</v>
      </c>
    </row>
    <row r="22" customFormat="false" ht="54.75" hidden="false" customHeight="true" outlineLevel="0" collapsed="false">
      <c r="A22" s="8" t="n">
        <v>0.983333333333333</v>
      </c>
      <c r="B22" s="8" t="n">
        <v>1</v>
      </c>
      <c r="C22" s="8" t="n">
        <f aca="false">A22*B22</f>
        <v>0.983333333333333</v>
      </c>
      <c r="D22" s="8" t="n">
        <f aca="false">A22-C22</f>
        <v>0</v>
      </c>
      <c r="E22" s="8" t="n">
        <f aca="false">MAX(Parametry!$C$52,ROUNDDOWN(C22,0)*Parametry!$C$42)</f>
        <v>5</v>
      </c>
      <c r="F22" s="8" t="n">
        <f aca="false">E22/Parametry!$C$41</f>
        <v>0.5</v>
      </c>
      <c r="G22" s="8" t="s">
        <v>1281</v>
      </c>
    </row>
    <row r="23" customFormat="false" ht="54.75" hidden="false" customHeight="true" outlineLevel="0" collapsed="false">
      <c r="A23" s="7" t="n">
        <v>1</v>
      </c>
      <c r="B23" s="7" t="n">
        <v>1</v>
      </c>
      <c r="C23" s="7" t="n">
        <f aca="false">A23*B23</f>
        <v>1</v>
      </c>
      <c r="D23" s="7" t="n">
        <f aca="false">A23-C23</f>
        <v>0</v>
      </c>
      <c r="E23" s="7" t="n">
        <f aca="false">MAX(Parametry!$C$52,ROUNDDOWN(C23,0)*Parametry!$C$42)</f>
        <v>5</v>
      </c>
      <c r="F23" s="7" t="n">
        <f aca="false">E23/Parametry!$C$41</f>
        <v>0.5</v>
      </c>
      <c r="G23" s="7" t="s">
        <v>1281</v>
      </c>
    </row>
    <row r="24" customFormat="false" ht="54.75" hidden="false" customHeight="true" outlineLevel="0" collapsed="false">
      <c r="A24" s="8" t="n">
        <v>4</v>
      </c>
      <c r="B24" s="8" t="n">
        <v>1</v>
      </c>
      <c r="C24" s="8" t="n">
        <f aca="false">A24*B24</f>
        <v>4</v>
      </c>
      <c r="D24" s="8" t="n">
        <f aca="false">A24-C24</f>
        <v>0</v>
      </c>
      <c r="E24" s="8" t="n">
        <f aca="false">MAX(Parametry!$C$52,ROUNDDOWN(C24,0)*Parametry!$C$42)</f>
        <v>5</v>
      </c>
      <c r="F24" s="8" t="n">
        <f aca="false">E24/Parametry!$C$41</f>
        <v>0.5</v>
      </c>
      <c r="G24" s="8" t="s">
        <v>1281</v>
      </c>
    </row>
    <row r="25" customFormat="false" ht="54.75" hidden="false" customHeight="true" outlineLevel="0" collapsed="false">
      <c r="A25" s="7" t="n">
        <v>5</v>
      </c>
      <c r="B25" s="7" t="n">
        <v>1</v>
      </c>
      <c r="C25" s="7" t="n">
        <f aca="false">A25*B25</f>
        <v>5</v>
      </c>
      <c r="D25" s="7" t="n">
        <f aca="false">A25-C25</f>
        <v>0</v>
      </c>
      <c r="E25" s="7" t="n">
        <f aca="false">MAX(Parametry!$C$52,ROUNDDOWN(C25,0)*Parametry!$C$42)</f>
        <v>5</v>
      </c>
      <c r="F25" s="7" t="n">
        <f aca="false">E25/Parametry!$C$41</f>
        <v>0.5</v>
      </c>
      <c r="G25" s="7" t="s">
        <v>1281</v>
      </c>
    </row>
  </sheetData>
  <autoFilter ref="A5:J25"/>
  <mergeCells count="2">
    <mergeCell ref="A1:G1"/>
    <mergeCell ref="A2:G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8"/>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71484375" defaultRowHeight="26.25" customHeight="false" zeroHeight="false" outlineLevelRow="0" outlineLevelCol="0"/>
  <cols>
    <col collapsed="false" customWidth="true" hidden="false" outlineLevel="0" max="1" min="1" style="1" width="38"/>
    <col collapsed="false" customWidth="true" hidden="false" outlineLevel="0" max="5" min="2" style="1" width="24"/>
    <col collapsed="false" customWidth="true" hidden="false" outlineLevel="0" max="7" min="6" style="1" width="19"/>
    <col collapsed="false" customWidth="true" hidden="false" outlineLevel="0" max="8" min="8" style="1" width="23"/>
    <col collapsed="false" customWidth="true" hidden="false" outlineLevel="0" max="9" min="9" style="1" width="22"/>
    <col collapsed="false" customWidth="true" hidden="false" outlineLevel="0" max="10" min="10" style="1" width="28"/>
    <col collapsed="false" customWidth="true" hidden="false" outlineLevel="0" max="11" min="11" style="1" width="110"/>
    <col collapsed="false" customWidth="false" hidden="false" outlineLevel="0" max="16384" min="12" style="1" width="8.71"/>
  </cols>
  <sheetData>
    <row r="1" customFormat="false" ht="33.75" hidden="false" customHeight="true" outlineLevel="0" collapsed="false">
      <c r="A1" s="21" t="s">
        <v>1282</v>
      </c>
      <c r="B1" s="21"/>
      <c r="C1" s="21"/>
      <c r="D1" s="21"/>
      <c r="E1" s="21"/>
      <c r="F1" s="21"/>
      <c r="G1" s="21"/>
      <c r="H1" s="21"/>
      <c r="I1" s="21"/>
      <c r="J1" s="21"/>
      <c r="K1" s="21"/>
    </row>
    <row r="2" customFormat="false" ht="27" hidden="false" customHeight="true" outlineLevel="0" collapsed="false">
      <c r="A2" s="3" t="s">
        <v>1283</v>
      </c>
      <c r="B2" s="3"/>
      <c r="C2" s="3"/>
      <c r="D2" s="3"/>
      <c r="E2" s="3"/>
      <c r="F2" s="3"/>
      <c r="G2" s="3"/>
      <c r="H2" s="3"/>
      <c r="I2" s="3"/>
      <c r="J2" s="3"/>
      <c r="K2" s="3"/>
    </row>
    <row r="3" customFormat="false" ht="27" hidden="false" customHeight="true" outlineLevel="0" collapsed="false">
      <c r="A3" s="3"/>
      <c r="B3" s="3"/>
      <c r="C3" s="3"/>
      <c r="D3" s="3"/>
      <c r="E3" s="3"/>
      <c r="F3" s="3"/>
      <c r="G3" s="3"/>
      <c r="H3" s="3"/>
      <c r="I3" s="3"/>
      <c r="J3" s="3"/>
      <c r="K3" s="3"/>
    </row>
    <row r="5" customFormat="false" ht="45" hidden="false" customHeight="true" outlineLevel="0" collapsed="false">
      <c r="A5" s="4" t="s">
        <v>1284</v>
      </c>
      <c r="B5" s="4" t="s">
        <v>1285</v>
      </c>
      <c r="C5" s="4" t="s">
        <v>1286</v>
      </c>
      <c r="D5" s="4" t="s">
        <v>1287</v>
      </c>
      <c r="E5" s="4" t="s">
        <v>1288</v>
      </c>
      <c r="F5" s="4" t="s">
        <v>1289</v>
      </c>
      <c r="G5" s="4" t="s">
        <v>1290</v>
      </c>
      <c r="H5" s="4" t="s">
        <v>1291</v>
      </c>
      <c r="I5" s="4" t="s">
        <v>1292</v>
      </c>
      <c r="J5" s="4" t="s">
        <v>1278</v>
      </c>
      <c r="K5" s="4" t="s">
        <v>809</v>
      </c>
    </row>
    <row r="6" customFormat="false" ht="69.75" hidden="false" customHeight="true" outlineLevel="0" collapsed="false">
      <c r="A6" s="5" t="s">
        <v>1293</v>
      </c>
      <c r="B6" s="40" t="n">
        <v>40</v>
      </c>
      <c r="C6" s="40" t="n">
        <v>0</v>
      </c>
      <c r="D6" s="40" t="n">
        <f aca="false">ROUNDDOWN(60*(1+Parametry!$C$72*MAX(0,Parametry!$C$73-2)),0)</f>
        <v>60</v>
      </c>
      <c r="E6" s="40" t="n">
        <v>1</v>
      </c>
      <c r="F6" s="5" t="n">
        <f aca="false">ROUNDUP(B6/D6,0)</f>
        <v>1</v>
      </c>
      <c r="G6" s="5" t="n">
        <f aca="false">ROUNDUP(C6/D6,0)</f>
        <v>0</v>
      </c>
      <c r="H6" s="5" t="n">
        <f aca="false">(F6+G6)*E6</f>
        <v>1</v>
      </c>
      <c r="I6" s="5" t="n">
        <f aca="false">H6*Parametry!$C$43</f>
        <v>10</v>
      </c>
      <c r="J6" s="42" t="n">
        <f aca="false">I6/Parametry!$C$41</f>
        <v>1</v>
      </c>
      <c r="K6" s="5" t="s">
        <v>1294</v>
      </c>
    </row>
    <row r="7" customFormat="false" ht="69.75" hidden="false" customHeight="true" outlineLevel="0" collapsed="false">
      <c r="A7" s="6" t="s">
        <v>1295</v>
      </c>
      <c r="B7" s="40" t="n">
        <v>60</v>
      </c>
      <c r="C7" s="40" t="n">
        <v>0</v>
      </c>
      <c r="D7" s="40" t="n">
        <f aca="false">ROUNDDOWN(60*(1+Parametry!$C$72*MAX(0,Parametry!$C$73-2)),0)</f>
        <v>60</v>
      </c>
      <c r="E7" s="40" t="n">
        <v>1</v>
      </c>
      <c r="F7" s="6" t="n">
        <f aca="false">ROUNDUP(B7/D7,0)</f>
        <v>1</v>
      </c>
      <c r="G7" s="6" t="n">
        <f aca="false">ROUNDUP(C7/D7,0)</f>
        <v>0</v>
      </c>
      <c r="H7" s="6" t="n">
        <f aca="false">(F7+G7)*E7</f>
        <v>1</v>
      </c>
      <c r="I7" s="6" t="n">
        <f aca="false">H7*Parametry!$C$43</f>
        <v>10</v>
      </c>
      <c r="J7" s="43" t="n">
        <f aca="false">I7/Parametry!$C$41</f>
        <v>1</v>
      </c>
      <c r="K7" s="6" t="s">
        <v>1294</v>
      </c>
    </row>
    <row r="8" customFormat="false" ht="69.75" hidden="false" customHeight="true" outlineLevel="0" collapsed="false">
      <c r="A8" s="5" t="s">
        <v>1296</v>
      </c>
      <c r="B8" s="40" t="n">
        <v>100</v>
      </c>
      <c r="C8" s="40" t="n">
        <v>0</v>
      </c>
      <c r="D8" s="40" t="n">
        <f aca="false">ROUNDDOWN(60*(1+Parametry!$C$72*MAX(0,Parametry!$C$73-2)),0)</f>
        <v>60</v>
      </c>
      <c r="E8" s="40" t="n">
        <v>1</v>
      </c>
      <c r="F8" s="5" t="n">
        <f aca="false">ROUNDUP(B8/D8,0)</f>
        <v>2</v>
      </c>
      <c r="G8" s="5" t="n">
        <f aca="false">ROUNDUP(C8/D8,0)</f>
        <v>0</v>
      </c>
      <c r="H8" s="5" t="n">
        <f aca="false">(F8+G8)*E8</f>
        <v>2</v>
      </c>
      <c r="I8" s="5" t="n">
        <f aca="false">H8*Parametry!$C$43</f>
        <v>20</v>
      </c>
      <c r="J8" s="42" t="n">
        <f aca="false">I8/Parametry!$C$41</f>
        <v>2</v>
      </c>
      <c r="K8" s="5" t="s">
        <v>1294</v>
      </c>
    </row>
    <row r="9" customFormat="false" ht="69.75" hidden="false" customHeight="true" outlineLevel="0" collapsed="false">
      <c r="A9" s="6" t="s">
        <v>1297</v>
      </c>
      <c r="B9" s="40" t="n">
        <v>180</v>
      </c>
      <c r="C9" s="40" t="n">
        <v>0</v>
      </c>
      <c r="D9" s="40" t="n">
        <f aca="false">ROUNDDOWN(60*(1+Parametry!$C$72*MAX(0,Parametry!$C$73-2)),0)</f>
        <v>60</v>
      </c>
      <c r="E9" s="40" t="n">
        <v>1</v>
      </c>
      <c r="F9" s="6" t="n">
        <f aca="false">ROUNDUP(B9/D9,0)</f>
        <v>3</v>
      </c>
      <c r="G9" s="6" t="n">
        <f aca="false">ROUNDUP(C9/D9,0)</f>
        <v>0</v>
      </c>
      <c r="H9" s="6" t="n">
        <f aca="false">(F9+G9)*E9</f>
        <v>3</v>
      </c>
      <c r="I9" s="6" t="n">
        <f aca="false">H9*Parametry!$C$43</f>
        <v>30</v>
      </c>
      <c r="J9" s="43" t="n">
        <f aca="false">I9/Parametry!$C$41</f>
        <v>3</v>
      </c>
      <c r="K9" s="6" t="s">
        <v>1294</v>
      </c>
    </row>
    <row r="10" customFormat="false" ht="69.75" hidden="false" customHeight="true" outlineLevel="0" collapsed="false">
      <c r="A10" s="5" t="s">
        <v>1298</v>
      </c>
      <c r="B10" s="40" t="n">
        <v>181</v>
      </c>
      <c r="C10" s="40" t="n">
        <v>0</v>
      </c>
      <c r="D10" s="40" t="n">
        <f aca="false">ROUNDDOWN(60*(1+Parametry!$C$72*MAX(0,Parametry!$C$73-2)),0)</f>
        <v>60</v>
      </c>
      <c r="E10" s="40" t="n">
        <v>1</v>
      </c>
      <c r="F10" s="5" t="n">
        <f aca="false">ROUNDUP(B10/D10,0)</f>
        <v>4</v>
      </c>
      <c r="G10" s="5" t="n">
        <f aca="false">ROUNDUP(C10/D10,0)</f>
        <v>0</v>
      </c>
      <c r="H10" s="5" t="n">
        <f aca="false">(F10+G10)*E10</f>
        <v>4</v>
      </c>
      <c r="I10" s="5" t="n">
        <f aca="false">H10*Parametry!$C$43</f>
        <v>40</v>
      </c>
      <c r="J10" s="42" t="n">
        <f aca="false">I10/Parametry!$C$41</f>
        <v>4</v>
      </c>
      <c r="K10" s="5" t="s">
        <v>1294</v>
      </c>
    </row>
    <row r="11" customFormat="false" ht="69.75" hidden="false" customHeight="true" outlineLevel="0" collapsed="false">
      <c r="A11" s="6" t="s">
        <v>1299</v>
      </c>
      <c r="B11" s="40" t="n">
        <v>100</v>
      </c>
      <c r="C11" s="40" t="n">
        <v>100</v>
      </c>
      <c r="D11" s="40" t="n">
        <f aca="false">ROUNDDOWN(60*(1+Parametry!$C$72*MAX(0,Parametry!$C$73-2)),0)</f>
        <v>60</v>
      </c>
      <c r="E11" s="40" t="n">
        <v>1</v>
      </c>
      <c r="F11" s="6" t="n">
        <f aca="false">ROUNDUP(B11/D11,0)</f>
        <v>2</v>
      </c>
      <c r="G11" s="6" t="n">
        <f aca="false">ROUNDUP(C11/D11,0)</f>
        <v>2</v>
      </c>
      <c r="H11" s="6" t="n">
        <f aca="false">(F11+G11)*E11</f>
        <v>4</v>
      </c>
      <c r="I11" s="6" t="n">
        <f aca="false">H11*Parametry!$C$43</f>
        <v>40</v>
      </c>
      <c r="J11" s="43" t="n">
        <f aca="false">I11/Parametry!$C$41</f>
        <v>4</v>
      </c>
      <c r="K11" s="6" t="s">
        <v>1294</v>
      </c>
    </row>
    <row r="12" customFormat="false" ht="69.75" hidden="false" customHeight="true" outlineLevel="0" collapsed="false">
      <c r="A12" s="5" t="s">
        <v>1300</v>
      </c>
      <c r="B12" s="40" t="n">
        <v>200</v>
      </c>
      <c r="C12" s="40" t="n">
        <v>0</v>
      </c>
      <c r="D12" s="40" t="n">
        <f aca="false">ROUNDDOWN(60*(1+Parametry!$C$72*MAX(0,Parametry!$C$73-2)),0)</f>
        <v>60</v>
      </c>
      <c r="E12" s="40" t="n">
        <v>1</v>
      </c>
      <c r="F12" s="5" t="n">
        <f aca="false">ROUNDUP(B12/D12,0)</f>
        <v>4</v>
      </c>
      <c r="G12" s="5" t="n">
        <f aca="false">ROUNDUP(C12/D12,0)</f>
        <v>0</v>
      </c>
      <c r="H12" s="5" t="n">
        <f aca="false">(F12+G12)*E12</f>
        <v>4</v>
      </c>
      <c r="I12" s="5" t="n">
        <f aca="false">H12*Parametry!$C$43</f>
        <v>40</v>
      </c>
      <c r="J12" s="42" t="n">
        <f aca="false">I12/Parametry!$C$41</f>
        <v>4</v>
      </c>
      <c r="K12" s="5" t="s">
        <v>1294</v>
      </c>
    </row>
    <row r="13" customFormat="false" ht="69.75" hidden="false" customHeight="true" outlineLevel="0" collapsed="false">
      <c r="A13" s="6" t="s">
        <v>1301</v>
      </c>
      <c r="B13" s="40" t="n">
        <v>200</v>
      </c>
      <c r="C13" s="40" t="n">
        <v>0</v>
      </c>
      <c r="D13" s="40" t="n">
        <f aca="false">ROUNDDOWN(60*(1+Parametry!$C$72*MAX(0,Parametry!$C$73-2)),0)</f>
        <v>60</v>
      </c>
      <c r="E13" s="40" t="n">
        <v>1</v>
      </c>
      <c r="F13" s="6" t="n">
        <f aca="false">ROUNDUP(B13/D13,0)</f>
        <v>4</v>
      </c>
      <c r="G13" s="6" t="n">
        <f aca="false">ROUNDUP(C13/D13,0)</f>
        <v>0</v>
      </c>
      <c r="H13" s="6" t="n">
        <f aca="false">(F13+G13)*E13</f>
        <v>4</v>
      </c>
      <c r="I13" s="6" t="n">
        <f aca="false">H13*Parametry!$C$43</f>
        <v>40</v>
      </c>
      <c r="J13" s="43" t="n">
        <f aca="false">I13/Parametry!$C$41</f>
        <v>4</v>
      </c>
      <c r="K13" s="6" t="s">
        <v>1294</v>
      </c>
    </row>
    <row r="14" customFormat="false" ht="69.75" hidden="false" customHeight="true" outlineLevel="0" collapsed="false">
      <c r="A14" s="5" t="s">
        <v>1302</v>
      </c>
      <c r="B14" s="40" t="n">
        <v>200</v>
      </c>
      <c r="C14" s="40" t="n">
        <v>0</v>
      </c>
      <c r="D14" s="40" t="n">
        <f aca="false">ROUNDDOWN(60*(1+Parametry!$C$72*MAX(0,Parametry!$C$73-2)),0)</f>
        <v>60</v>
      </c>
      <c r="E14" s="40" t="n">
        <v>1</v>
      </c>
      <c r="F14" s="5" t="n">
        <f aca="false">ROUNDUP(B14/D14,0)</f>
        <v>4</v>
      </c>
      <c r="G14" s="5" t="n">
        <f aca="false">ROUNDUP(C14/D14,0)</f>
        <v>0</v>
      </c>
      <c r="H14" s="5" t="n">
        <f aca="false">(F14+G14)*E14</f>
        <v>4</v>
      </c>
      <c r="I14" s="5" t="n">
        <f aca="false">H14*Parametry!$C$43</f>
        <v>40</v>
      </c>
      <c r="J14" s="42" t="n">
        <f aca="false">I14/Parametry!$C$41</f>
        <v>4</v>
      </c>
      <c r="K14" s="5" t="s">
        <v>1294</v>
      </c>
    </row>
    <row r="15" customFormat="false" ht="69.75" hidden="false" customHeight="true" outlineLevel="0" collapsed="false">
      <c r="A15" s="6" t="s">
        <v>1303</v>
      </c>
      <c r="B15" s="40" t="n">
        <v>200</v>
      </c>
      <c r="C15" s="40" t="n">
        <v>0</v>
      </c>
      <c r="D15" s="40" t="n">
        <f aca="false">ROUNDDOWN(60*(1+Parametry!$C$72*MAX(0,Parametry!$C$73-2)),0)</f>
        <v>60</v>
      </c>
      <c r="E15" s="40" t="n">
        <v>1</v>
      </c>
      <c r="F15" s="6" t="n">
        <f aca="false">ROUNDUP(B15/D15,0)</f>
        <v>4</v>
      </c>
      <c r="G15" s="6" t="n">
        <f aca="false">ROUNDUP(C15/D15,0)</f>
        <v>0</v>
      </c>
      <c r="H15" s="6" t="n">
        <f aca="false">(F15+G15)*E15</f>
        <v>4</v>
      </c>
      <c r="I15" s="6" t="n">
        <f aca="false">H15*Parametry!$C$43</f>
        <v>40</v>
      </c>
      <c r="J15" s="43" t="n">
        <f aca="false">I15/Parametry!$C$41</f>
        <v>4</v>
      </c>
      <c r="K15" s="6" t="s">
        <v>1294</v>
      </c>
    </row>
    <row r="16" customFormat="false" ht="69.75" hidden="false" customHeight="true" outlineLevel="0" collapsed="false">
      <c r="A16" s="5" t="s">
        <v>1304</v>
      </c>
      <c r="B16" s="40" t="n">
        <v>100</v>
      </c>
      <c r="C16" s="40" t="n">
        <v>0</v>
      </c>
      <c r="D16" s="40" t="n">
        <f aca="false">ROUNDDOWN(60*(1+Parametry!$C$72*MAX(0,Parametry!$C$73-2)),0)</f>
        <v>60</v>
      </c>
      <c r="E16" s="40" t="n">
        <v>2</v>
      </c>
      <c r="F16" s="5" t="n">
        <f aca="false">ROUNDUP(B16/D16,0)</f>
        <v>2</v>
      </c>
      <c r="G16" s="5" t="n">
        <f aca="false">ROUNDUP(C16/D16,0)</f>
        <v>0</v>
      </c>
      <c r="H16" s="5" t="n">
        <f aca="false">(F16+G16)*E16</f>
        <v>4</v>
      </c>
      <c r="I16" s="5" t="n">
        <f aca="false">H16*Parametry!$C$43</f>
        <v>40</v>
      </c>
      <c r="J16" s="42" t="n">
        <f aca="false">I16/Parametry!$C$41</f>
        <v>4</v>
      </c>
      <c r="K16" s="5" t="s">
        <v>1294</v>
      </c>
    </row>
    <row r="17" customFormat="false" ht="69.75" hidden="false" customHeight="true" outlineLevel="0" collapsed="false">
      <c r="A17" s="6" t="s">
        <v>1305</v>
      </c>
      <c r="B17" s="40" t="n">
        <v>200</v>
      </c>
      <c r="C17" s="40" t="n">
        <v>0</v>
      </c>
      <c r="D17" s="40" t="n">
        <f aca="false">ROUNDDOWN(66*(1+Parametry!$C$72*MAX(0,Parametry!$C$73-2)),0)</f>
        <v>66</v>
      </c>
      <c r="E17" s="40" t="n">
        <v>1</v>
      </c>
      <c r="F17" s="6" t="n">
        <f aca="false">ROUNDUP(B17/D17,0)</f>
        <v>4</v>
      </c>
      <c r="G17" s="6" t="n">
        <f aca="false">ROUNDUP(C17/D17,0)</f>
        <v>0</v>
      </c>
      <c r="H17" s="6" t="n">
        <f aca="false">(F17+G17)*E17</f>
        <v>4</v>
      </c>
      <c r="I17" s="6" t="n">
        <f aca="false">H17*Parametry!$C$43</f>
        <v>40</v>
      </c>
      <c r="J17" s="43" t="n">
        <f aca="false">I17/Parametry!$C$41</f>
        <v>4</v>
      </c>
      <c r="K17" s="6" t="s">
        <v>1294</v>
      </c>
    </row>
    <row r="18" customFormat="false" ht="69.75" hidden="false" customHeight="true" outlineLevel="0" collapsed="false">
      <c r="A18" s="5" t="s">
        <v>1306</v>
      </c>
      <c r="B18" s="40" t="n">
        <v>0</v>
      </c>
      <c r="C18" s="40" t="n">
        <v>0</v>
      </c>
      <c r="D18" s="40" t="n">
        <f aca="false">ROUNDDOWN(60*(1+Parametry!$C$72*MAX(0,Parametry!$C$73-2)),0)</f>
        <v>60</v>
      </c>
      <c r="E18" s="40" t="n">
        <v>1</v>
      </c>
      <c r="F18" s="5" t="n">
        <f aca="false">ROUNDUP(B18/D18,0)</f>
        <v>0</v>
      </c>
      <c r="G18" s="5" t="n">
        <f aca="false">ROUNDUP(C18/D18,0)</f>
        <v>0</v>
      </c>
      <c r="H18" s="5" t="n">
        <f aca="false">(F18+G18)*E18</f>
        <v>0</v>
      </c>
      <c r="I18" s="5" t="n">
        <f aca="false">H18*Parametry!$C$43</f>
        <v>0</v>
      </c>
      <c r="J18" s="42" t="n">
        <f aca="false">I18/Parametry!$C$41</f>
        <v>0</v>
      </c>
      <c r="K18" s="5" t="s">
        <v>1294</v>
      </c>
    </row>
  </sheetData>
  <autoFilter ref="A5:K18"/>
  <mergeCells count="2">
    <mergeCell ref="A1:K1"/>
    <mergeCell ref="A2:K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8"/>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26.25" customHeight="false" zeroHeight="false" outlineLevelRow="0" outlineLevelCol="0"/>
  <cols>
    <col collapsed="false" customWidth="true" hidden="false" outlineLevel="0" max="1" min="1" style="1" width="40"/>
    <col collapsed="false" customWidth="true" hidden="false" outlineLevel="0" max="2" min="2" style="1" width="24"/>
    <col collapsed="false" customWidth="true" hidden="false" outlineLevel="0" max="7" min="3" style="1" width="19"/>
    <col collapsed="false" customWidth="true" hidden="false" outlineLevel="0" max="8" min="8" style="1" width="28"/>
    <col collapsed="false" customWidth="true" hidden="false" outlineLevel="0" max="9" min="9" style="1" width="29"/>
    <col collapsed="false" customWidth="true" hidden="false" outlineLevel="0" max="10" min="10" style="1" width="27"/>
    <col collapsed="false" customWidth="true" hidden="false" outlineLevel="0" max="11" min="11" style="1" width="29"/>
    <col collapsed="false" customWidth="true" hidden="false" outlineLevel="0" max="12" min="12" style="1" width="22"/>
    <col collapsed="false" customWidth="true" hidden="false" outlineLevel="0" max="13" min="13" style="1" width="23"/>
    <col collapsed="false" customWidth="true" hidden="false" outlineLevel="0" max="14" min="14" style="1" width="30"/>
    <col collapsed="false" customWidth="true" hidden="false" outlineLevel="0" max="15" min="15" style="1" width="29"/>
    <col collapsed="false" customWidth="true" hidden="false" outlineLevel="0" max="16" min="16" style="1" width="26"/>
    <col collapsed="false" customWidth="true" hidden="false" outlineLevel="0" max="17" min="17" style="1" width="120"/>
    <col collapsed="false" customWidth="false" hidden="false" outlineLevel="0" max="16384" min="18" style="1" width="8.71"/>
  </cols>
  <sheetData>
    <row r="1" customFormat="false" ht="33.75" hidden="false" customHeight="true" outlineLevel="0" collapsed="false">
      <c r="A1" s="21" t="s">
        <v>1307</v>
      </c>
      <c r="B1" s="21"/>
      <c r="C1" s="21"/>
      <c r="D1" s="21"/>
      <c r="E1" s="21"/>
      <c r="F1" s="21"/>
      <c r="G1" s="21"/>
      <c r="H1" s="21"/>
      <c r="I1" s="21"/>
      <c r="J1" s="21"/>
      <c r="K1" s="21"/>
      <c r="L1" s="21"/>
      <c r="M1" s="21"/>
      <c r="N1" s="21"/>
      <c r="O1" s="21"/>
      <c r="P1" s="21"/>
      <c r="Q1" s="21"/>
    </row>
    <row r="2" customFormat="false" ht="27" hidden="false" customHeight="true" outlineLevel="0" collapsed="false">
      <c r="A2" s="3" t="s">
        <v>1308</v>
      </c>
      <c r="B2" s="3"/>
      <c r="C2" s="3"/>
      <c r="D2" s="3"/>
      <c r="E2" s="3"/>
      <c r="F2" s="3"/>
      <c r="G2" s="3"/>
      <c r="H2" s="3"/>
      <c r="I2" s="3"/>
      <c r="J2" s="3"/>
      <c r="K2" s="3"/>
      <c r="L2" s="3"/>
      <c r="M2" s="3"/>
      <c r="N2" s="3"/>
      <c r="O2" s="3"/>
      <c r="P2" s="3"/>
      <c r="Q2" s="3"/>
    </row>
    <row r="3" customFormat="false" ht="27" hidden="false" customHeight="true" outlineLevel="0" collapsed="false">
      <c r="A3" s="3"/>
      <c r="B3" s="3"/>
      <c r="C3" s="3"/>
      <c r="D3" s="3"/>
      <c r="E3" s="3"/>
      <c r="F3" s="3"/>
      <c r="G3" s="3"/>
      <c r="H3" s="3"/>
      <c r="I3" s="3"/>
      <c r="J3" s="3"/>
      <c r="K3" s="3"/>
      <c r="L3" s="3"/>
      <c r="M3" s="3"/>
      <c r="N3" s="3"/>
      <c r="O3" s="3"/>
      <c r="P3" s="3"/>
      <c r="Q3" s="3"/>
    </row>
    <row r="5" customFormat="false" ht="45" hidden="false" customHeight="true" outlineLevel="0" collapsed="false">
      <c r="A5" s="4" t="s">
        <v>1309</v>
      </c>
      <c r="B5" s="4" t="s">
        <v>1310</v>
      </c>
      <c r="C5" s="4" t="s">
        <v>1311</v>
      </c>
      <c r="D5" s="4" t="s">
        <v>1312</v>
      </c>
      <c r="E5" s="4" t="s">
        <v>1313</v>
      </c>
      <c r="F5" s="4" t="s">
        <v>1314</v>
      </c>
      <c r="G5" s="4" t="s">
        <v>1315</v>
      </c>
      <c r="H5" s="4" t="s">
        <v>1316</v>
      </c>
      <c r="I5" s="4" t="s">
        <v>1317</v>
      </c>
      <c r="J5" s="4" t="s">
        <v>1318</v>
      </c>
      <c r="K5" s="4" t="s">
        <v>1319</v>
      </c>
      <c r="L5" s="4" t="s">
        <v>1320</v>
      </c>
      <c r="M5" s="4" t="s">
        <v>1321</v>
      </c>
      <c r="N5" s="4" t="s">
        <v>1322</v>
      </c>
      <c r="O5" s="4" t="s">
        <v>1323</v>
      </c>
      <c r="P5" s="4" t="s">
        <v>1324</v>
      </c>
      <c r="Q5" s="4" t="s">
        <v>809</v>
      </c>
      <c r="R5" s="1" t="s">
        <v>1325</v>
      </c>
      <c r="S5" s="1" t="s">
        <v>1326</v>
      </c>
      <c r="T5" s="1" t="s">
        <v>1327</v>
      </c>
    </row>
    <row r="6" customFormat="false" ht="114.75" hidden="false" customHeight="true" outlineLevel="0" collapsed="false">
      <c r="A6" s="5" t="s">
        <v>1328</v>
      </c>
      <c r="B6" s="40" t="n">
        <v>0</v>
      </c>
      <c r="C6" s="40" t="n">
        <v>100</v>
      </c>
      <c r="D6" s="40" t="n">
        <v>0</v>
      </c>
      <c r="E6" s="40" t="n">
        <v>0</v>
      </c>
      <c r="F6" s="40" t="n">
        <v>100</v>
      </c>
      <c r="G6" s="40" t="n">
        <v>0</v>
      </c>
      <c r="H6" s="5" t="n">
        <f aca="false">(C6+D6+E6)*Parametry!$C$32/100+(F6+G6)*Parametry!$C$34/100</f>
        <v>200</v>
      </c>
      <c r="I6" s="5" t="n">
        <f aca="false">(ROUNDUP(C6/100,0)+ROUNDUP(D6/100,0)+ROUNDUP(E6/100,0))*Parametry!$C$32+(ROUNDUP(F6/100,0)+ROUNDUP(G6/100,0))*Parametry!$C$34</f>
        <v>200</v>
      </c>
      <c r="J6" s="5" t="n">
        <f aca="false">H6*Parametry!$C$44</f>
        <v>250</v>
      </c>
      <c r="K6" s="40" t="n">
        <v>1</v>
      </c>
      <c r="L6" s="41" t="n">
        <f aca="false">ROUNDDOWN(ROUNDDOWN(Parametry!$C$9*Parametry!$C$10^(K6-1),0)*(1+Parametry!$C$72*MAX(0,Parametry!$C$73-2)),0)</f>
        <v>60</v>
      </c>
      <c r="M6" s="5" t="n">
        <f aca="false">R6*Parametry!$C$43</f>
        <v>40</v>
      </c>
      <c r="N6" s="5" t="n">
        <f aca="false">ROUNDUP(B6+J6+M6,0)</f>
        <v>290</v>
      </c>
      <c r="O6" s="5" t="n">
        <f aca="false">ROUNDUP(B6+I6*Parametry!$C$44+M6,0)</f>
        <v>290</v>
      </c>
      <c r="P6" s="42" t="n">
        <f aca="false">N6/Parametry!$C$41</f>
        <v>29</v>
      </c>
      <c r="Q6" s="5" t="s">
        <v>1329</v>
      </c>
      <c r="R6" s="1" t="n">
        <f aca="false">ROUNDUP(C6/L6,0)+ROUNDUP(D6/L6,0)+ROUNDUP(E6/L6,0)+ROUNDUP(F6/L6,0)+ROUNDUP(G6/L6,0)</f>
        <v>4</v>
      </c>
      <c r="S6" s="1" t="n">
        <f aca="false">Parametry!$C$56</f>
        <v>10</v>
      </c>
      <c r="T6" s="1" t="s">
        <v>1330</v>
      </c>
    </row>
    <row r="7" customFormat="false" ht="114.75" hidden="false" customHeight="true" outlineLevel="0" collapsed="false">
      <c r="A7" s="6" t="s">
        <v>1331</v>
      </c>
      <c r="B7" s="40" t="n">
        <v>0</v>
      </c>
      <c r="C7" s="40" t="n">
        <v>72</v>
      </c>
      <c r="D7" s="40" t="n">
        <v>72</v>
      </c>
      <c r="E7" s="40" t="n">
        <v>120</v>
      </c>
      <c r="F7" s="40" t="n">
        <v>0</v>
      </c>
      <c r="G7" s="40" t="n">
        <v>0</v>
      </c>
      <c r="H7" s="6" t="n">
        <f aca="false">(C7+D7+E7)*Parametry!$C$32/100+(F7+G7)*Parametry!$C$34/100</f>
        <v>132</v>
      </c>
      <c r="I7" s="6" t="n">
        <f aca="false">(ROUNDUP(C7/100,0)+ROUNDUP(D7/100,0)+ROUNDUP(E7/100,0))*Parametry!$C$32+(ROUNDUP(F7/100,0)+ROUNDUP(G7/100,0))*Parametry!$C$34</f>
        <v>200</v>
      </c>
      <c r="J7" s="6" t="n">
        <f aca="false">H7*Parametry!$C$44</f>
        <v>165</v>
      </c>
      <c r="K7" s="40" t="n">
        <v>1</v>
      </c>
      <c r="L7" s="41" t="n">
        <f aca="false">ROUNDDOWN(ROUNDDOWN(Parametry!$C$9*Parametry!$C$10^(K7-1),0)*(1+Parametry!$C$72*MAX(0,Parametry!$C$73-2)),0)</f>
        <v>60</v>
      </c>
      <c r="M7" s="6" t="n">
        <f aca="false">R7*Parametry!$C$43</f>
        <v>60</v>
      </c>
      <c r="N7" s="6" t="n">
        <f aca="false">ROUNDUP(B7+J7+M7,0)</f>
        <v>225</v>
      </c>
      <c r="O7" s="6" t="n">
        <f aca="false">ROUNDUP(B7+I7*Parametry!$C$44+M7,0)</f>
        <v>310</v>
      </c>
      <c r="P7" s="43" t="n">
        <f aca="false">N7/Parametry!$C$41</f>
        <v>22.5</v>
      </c>
      <c r="Q7" s="6" t="s">
        <v>1329</v>
      </c>
      <c r="R7" s="1" t="n">
        <f aca="false">ROUNDUP(C7/L7,0)+ROUNDUP(D7/L7,0)+ROUNDUP(E7/L7,0)+ROUNDUP(F7/L7,0)+ROUNDUP(G7/L7,0)</f>
        <v>6</v>
      </c>
      <c r="S7" s="1" t="n">
        <f aca="false">Parametry!$C$56</f>
        <v>10</v>
      </c>
    </row>
    <row r="8" customFormat="false" ht="114.75" hidden="false" customHeight="true" outlineLevel="0" collapsed="false">
      <c r="A8" s="5" t="s">
        <v>1332</v>
      </c>
      <c r="B8" s="40" t="n">
        <v>500</v>
      </c>
      <c r="C8" s="40" t="n">
        <v>500</v>
      </c>
      <c r="D8" s="40" t="n">
        <v>500</v>
      </c>
      <c r="E8" s="40" t="n">
        <v>500</v>
      </c>
      <c r="F8" s="40" t="n">
        <v>500</v>
      </c>
      <c r="G8" s="40" t="n">
        <v>500</v>
      </c>
      <c r="H8" s="5" t="n">
        <f aca="false">(C8+D8+E8)*Parametry!$C$32/100+(F8+G8)*Parametry!$C$34/100</f>
        <v>2250</v>
      </c>
      <c r="I8" s="5" t="n">
        <f aca="false">(ROUNDUP(C8/100,0)+ROUNDUP(D8/100,0)+ROUNDUP(E8/100,0))*Parametry!$C$32+(ROUNDUP(F8/100,0)+ROUNDUP(G8/100,0))*Parametry!$C$34</f>
        <v>2250</v>
      </c>
      <c r="J8" s="5" t="n">
        <f aca="false">H8*Parametry!$C$44</f>
        <v>2812.5</v>
      </c>
      <c r="K8" s="40" t="n">
        <v>1</v>
      </c>
      <c r="L8" s="41" t="n">
        <f aca="false">ROUNDDOWN(ROUNDDOWN(Parametry!$C$9*Parametry!$C$10^(K8-1),0)*(1+Parametry!$C$72*MAX(0,Parametry!$C$73-2)),0)</f>
        <v>60</v>
      </c>
      <c r="M8" s="5" t="n">
        <f aca="false">R8*Parametry!$C$43</f>
        <v>450</v>
      </c>
      <c r="N8" s="5" t="n">
        <f aca="false">ROUNDUP(B8+J8+M8,0)</f>
        <v>3763</v>
      </c>
      <c r="O8" s="5" t="n">
        <f aca="false">ROUNDUP(B8+I8*Parametry!$C$44+M8,0)</f>
        <v>3763</v>
      </c>
      <c r="P8" s="42" t="n">
        <f aca="false">N8/Parametry!$C$41</f>
        <v>376.3</v>
      </c>
      <c r="Q8" s="5" t="s">
        <v>1329</v>
      </c>
      <c r="R8" s="1" t="n">
        <f aca="false">ROUNDUP(C8/L8,0)+ROUNDUP(D8/L8,0)+ROUNDUP(E8/L8,0)+ROUNDUP(F8/L8,0)+ROUNDUP(G8/L8,0)</f>
        <v>45</v>
      </c>
      <c r="S8" s="1" t="n">
        <f aca="false">Parametry!$C$56</f>
        <v>10</v>
      </c>
    </row>
  </sheetData>
  <autoFilter ref="A5:T8"/>
  <mergeCells count="2">
    <mergeCell ref="A1:Q1"/>
    <mergeCell ref="A2:Q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1"/>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G6" activeCellId="0" sqref="G6"/>
    </sheetView>
  </sheetViews>
  <sheetFormatPr defaultColWidth="8.71484375" defaultRowHeight="26.25" customHeight="false" zeroHeight="false" outlineLevelRow="0" outlineLevelCol="0"/>
  <cols>
    <col collapsed="false" customWidth="true" hidden="false" outlineLevel="0" max="1" min="1" style="1" width="43"/>
    <col collapsed="false" customWidth="true" hidden="false" outlineLevel="0" max="2" min="2" style="1" width="32"/>
    <col collapsed="false" customWidth="true" hidden="false" outlineLevel="0" max="3" min="3" style="1" width="95"/>
    <col collapsed="false" customWidth="true" hidden="false" outlineLevel="0" max="4" min="4" style="1" width="125"/>
    <col collapsed="false" customWidth="true" hidden="false" outlineLevel="0" max="5" min="5" style="1" width="35"/>
    <col collapsed="false" customWidth="false" hidden="false" outlineLevel="0" max="16384" min="6" style="1" width="8.71"/>
  </cols>
  <sheetData>
    <row r="1" customFormat="false" ht="33.75" hidden="false" customHeight="true" outlineLevel="0" collapsed="false">
      <c r="A1" s="21" t="s">
        <v>1333</v>
      </c>
      <c r="B1" s="21"/>
      <c r="C1" s="21"/>
      <c r="D1" s="21"/>
      <c r="E1" s="21"/>
    </row>
    <row r="2" customFormat="false" ht="27" hidden="false" customHeight="true" outlineLevel="0" collapsed="false">
      <c r="A2" s="3" t="s">
        <v>1334</v>
      </c>
      <c r="B2" s="3"/>
      <c r="C2" s="3"/>
      <c r="D2" s="3"/>
      <c r="E2" s="3"/>
    </row>
    <row r="3" customFormat="false" ht="27" hidden="false" customHeight="true" outlineLevel="0" collapsed="false">
      <c r="A3" s="3"/>
      <c r="B3" s="3"/>
      <c r="C3" s="3"/>
      <c r="D3" s="3"/>
      <c r="E3" s="3"/>
    </row>
    <row r="5" customFormat="false" ht="45" hidden="false" customHeight="true" outlineLevel="0" collapsed="false">
      <c r="A5" s="4" t="s">
        <v>1181</v>
      </c>
      <c r="B5" s="4" t="s">
        <v>1335</v>
      </c>
      <c r="C5" s="4" t="s">
        <v>823</v>
      </c>
      <c r="D5" s="4" t="s">
        <v>1336</v>
      </c>
      <c r="E5" s="4" t="s">
        <v>1337</v>
      </c>
    </row>
    <row r="6" customFormat="false" ht="109.5" hidden="false" customHeight="true" outlineLevel="0" collapsed="false">
      <c r="A6" s="5" t="s">
        <v>1338</v>
      </c>
      <c r="B6" s="5" t="n">
        <v>1000</v>
      </c>
      <c r="C6" s="5" t="s">
        <v>1339</v>
      </c>
      <c r="D6" s="5" t="s">
        <v>1340</v>
      </c>
      <c r="E6" s="5" t="n">
        <f aca="false">B6/Parametry!$C$41</f>
        <v>100</v>
      </c>
    </row>
    <row r="7" customFormat="false" ht="109.5" hidden="false" customHeight="true" outlineLevel="0" collapsed="false">
      <c r="A7" s="6" t="s">
        <v>1341</v>
      </c>
      <c r="B7" s="6" t="n">
        <v>500</v>
      </c>
      <c r="C7" s="6" t="s">
        <v>1342</v>
      </c>
      <c r="D7" s="6" t="s">
        <v>1343</v>
      </c>
      <c r="E7" s="6" t="n">
        <f aca="false">B7/Parametry!$C$41</f>
        <v>50</v>
      </c>
    </row>
    <row r="8" customFormat="false" ht="109.5" hidden="false" customHeight="true" outlineLevel="0" collapsed="false">
      <c r="A8" s="5" t="s">
        <v>1344</v>
      </c>
      <c r="B8" s="5" t="n">
        <v>1000</v>
      </c>
      <c r="C8" s="5" t="s">
        <v>1345</v>
      </c>
      <c r="D8" s="5" t="s">
        <v>1346</v>
      </c>
      <c r="E8" s="5" t="n">
        <f aca="false">B8/Parametry!$C$41</f>
        <v>100</v>
      </c>
    </row>
    <row r="9" customFormat="false" ht="109.5" hidden="false" customHeight="true" outlineLevel="0" collapsed="false">
      <c r="A9" s="6" t="s">
        <v>1347</v>
      </c>
      <c r="B9" s="6" t="s">
        <v>1348</v>
      </c>
      <c r="C9" s="6" t="s">
        <v>1349</v>
      </c>
      <c r="D9" s="6" t="s">
        <v>1350</v>
      </c>
      <c r="E9" s="6" t="s">
        <v>1351</v>
      </c>
    </row>
    <row r="10" customFormat="false" ht="109.5" hidden="false" customHeight="true" outlineLevel="0" collapsed="false">
      <c r="A10" s="5" t="s">
        <v>1352</v>
      </c>
      <c r="B10" s="5" t="n">
        <v>1000</v>
      </c>
      <c r="C10" s="5" t="s">
        <v>1353</v>
      </c>
      <c r="D10" s="5" t="s">
        <v>1354</v>
      </c>
      <c r="E10" s="5" t="n">
        <f aca="false">B10/Parametry!$C$41</f>
        <v>100</v>
      </c>
    </row>
    <row r="11" customFormat="false" ht="63.75" hidden="false" customHeight="true" outlineLevel="0" collapsed="false">
      <c r="A11" s="5" t="s">
        <v>1355</v>
      </c>
      <c r="B11" s="5" t="n">
        <v>500</v>
      </c>
      <c r="C11" s="5" t="s">
        <v>1356</v>
      </c>
      <c r="D11" s="5" t="s">
        <v>1357</v>
      </c>
      <c r="E11" s="5" t="n">
        <f aca="false">Parametry!$C$81/Parametry!$C$41</f>
        <v>50</v>
      </c>
    </row>
  </sheetData>
  <autoFilter ref="A5:E11"/>
  <mergeCells count="2">
    <mergeCell ref="A1:E1"/>
    <mergeCell ref="A2:E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6"/>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14" activePane="bottomRight" state="frozen"/>
      <selection pane="topLeft" activeCell="A1" activeCellId="0" sqref="A1"/>
      <selection pane="topRight" activeCell="B1" activeCellId="0" sqref="B1"/>
      <selection pane="bottomLeft" activeCell="A14" activeCellId="0" sqref="A14"/>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14" width="27"/>
    <col collapsed="false" customWidth="true" hidden="false" outlineLevel="0" max="2" min="2" style="14" width="60"/>
    <col collapsed="false" customWidth="true" hidden="false" outlineLevel="0" max="3" min="3" style="14" width="75"/>
    <col collapsed="false" customWidth="true" hidden="false" outlineLevel="0" max="4" min="4" style="14" width="115"/>
    <col collapsed="false" customWidth="true" hidden="false" outlineLevel="0" max="5" min="5" style="14" width="83"/>
    <col collapsed="false" customWidth="true" hidden="false" outlineLevel="0" max="6" min="6" style="14" width="70"/>
    <col collapsed="false" customWidth="true" hidden="false" outlineLevel="0" max="7" min="7" style="14" width="95"/>
  </cols>
  <sheetData>
    <row r="1" customFormat="false" ht="33.75" hidden="false" customHeight="true" outlineLevel="0" collapsed="false">
      <c r="A1" s="44" t="s">
        <v>1358</v>
      </c>
      <c r="B1" s="44"/>
      <c r="C1" s="44"/>
      <c r="D1" s="44"/>
      <c r="E1" s="44"/>
      <c r="F1" s="44"/>
      <c r="G1" s="44"/>
    </row>
    <row r="2" customFormat="false" ht="27" hidden="false" customHeight="true" outlineLevel="0" collapsed="false">
      <c r="A2" s="45" t="s">
        <v>1359</v>
      </c>
      <c r="B2" s="45"/>
      <c r="C2" s="45"/>
      <c r="D2" s="45"/>
      <c r="E2" s="45"/>
      <c r="F2" s="45"/>
      <c r="G2" s="45"/>
    </row>
    <row r="3" customFormat="false" ht="27" hidden="false" customHeight="true" outlineLevel="0" collapsed="false">
      <c r="A3" s="45"/>
      <c r="B3" s="45"/>
      <c r="C3" s="45"/>
      <c r="D3" s="45"/>
      <c r="E3" s="45"/>
      <c r="F3" s="45"/>
      <c r="G3" s="45"/>
    </row>
    <row r="5" customFormat="false" ht="45" hidden="false" customHeight="true" outlineLevel="0" collapsed="false">
      <c r="A5" s="11" t="s">
        <v>1360</v>
      </c>
      <c r="B5" s="11" t="s">
        <v>1361</v>
      </c>
      <c r="C5" s="11" t="s">
        <v>1362</v>
      </c>
      <c r="D5" s="11" t="s">
        <v>1363</v>
      </c>
      <c r="E5" s="11" t="s">
        <v>1364</v>
      </c>
      <c r="F5" s="11" t="s">
        <v>1365</v>
      </c>
      <c r="G5" s="11" t="s">
        <v>1366</v>
      </c>
    </row>
    <row r="6" customFormat="false" ht="139.5" hidden="false" customHeight="true" outlineLevel="0" collapsed="false">
      <c r="A6" s="8" t="s">
        <v>1367</v>
      </c>
      <c r="B6" s="8" t="s">
        <v>1368</v>
      </c>
      <c r="C6" s="8" t="s">
        <v>1369</v>
      </c>
      <c r="D6" s="8" t="s">
        <v>1370</v>
      </c>
      <c r="E6" s="46" t="s">
        <v>1371</v>
      </c>
      <c r="F6" s="8" t="s">
        <v>1372</v>
      </c>
      <c r="G6" s="8" t="s">
        <v>1373</v>
      </c>
    </row>
    <row r="7" customFormat="false" ht="139.5" hidden="false" customHeight="true" outlineLevel="0" collapsed="false">
      <c r="A7" s="7" t="s">
        <v>1374</v>
      </c>
      <c r="B7" s="7" t="s">
        <v>1375</v>
      </c>
      <c r="C7" s="7" t="s">
        <v>1376</v>
      </c>
      <c r="D7" s="7" t="s">
        <v>1377</v>
      </c>
      <c r="E7" s="47" t="s">
        <v>1378</v>
      </c>
      <c r="F7" s="7" t="s">
        <v>1372</v>
      </c>
      <c r="G7" s="7" t="s">
        <v>1379</v>
      </c>
    </row>
    <row r="8" customFormat="false" ht="139.5" hidden="false" customHeight="true" outlineLevel="0" collapsed="false">
      <c r="A8" s="8" t="s">
        <v>1380</v>
      </c>
      <c r="B8" s="8" t="s">
        <v>1381</v>
      </c>
      <c r="C8" s="8" t="s">
        <v>1382</v>
      </c>
      <c r="D8" s="8" t="s">
        <v>1383</v>
      </c>
      <c r="E8" s="46" t="s">
        <v>1384</v>
      </c>
      <c r="F8" s="8" t="s">
        <v>1372</v>
      </c>
      <c r="G8" s="8" t="s">
        <v>1385</v>
      </c>
    </row>
    <row r="9" customFormat="false" ht="139.5" hidden="false" customHeight="true" outlineLevel="0" collapsed="false">
      <c r="A9" s="7" t="s">
        <v>1386</v>
      </c>
      <c r="B9" s="7" t="s">
        <v>1387</v>
      </c>
      <c r="C9" s="7" t="s">
        <v>1388</v>
      </c>
      <c r="D9" s="7" t="s">
        <v>1389</v>
      </c>
      <c r="E9" s="47" t="s">
        <v>1390</v>
      </c>
      <c r="F9" s="7" t="s">
        <v>1372</v>
      </c>
      <c r="G9" s="7" t="s">
        <v>1391</v>
      </c>
    </row>
    <row r="10" customFormat="false" ht="139.5" hidden="false" customHeight="true" outlineLevel="0" collapsed="false">
      <c r="A10" s="8" t="s">
        <v>1392</v>
      </c>
      <c r="B10" s="8" t="s">
        <v>1393</v>
      </c>
      <c r="C10" s="8" t="s">
        <v>1394</v>
      </c>
      <c r="D10" s="8" t="s">
        <v>1395</v>
      </c>
      <c r="E10" s="46" t="s">
        <v>1396</v>
      </c>
      <c r="F10" s="8" t="s">
        <v>1372</v>
      </c>
      <c r="G10" s="8" t="s">
        <v>1397</v>
      </c>
    </row>
    <row r="11" customFormat="false" ht="139.5" hidden="false" customHeight="true" outlineLevel="0" collapsed="false">
      <c r="A11" s="7" t="s">
        <v>1398</v>
      </c>
      <c r="B11" s="7" t="s">
        <v>1399</v>
      </c>
      <c r="C11" s="7" t="s">
        <v>1400</v>
      </c>
      <c r="D11" s="7" t="s">
        <v>1401</v>
      </c>
      <c r="E11" s="47" t="s">
        <v>1402</v>
      </c>
      <c r="F11" s="7" t="s">
        <v>1372</v>
      </c>
      <c r="G11" s="7" t="s">
        <v>1403</v>
      </c>
    </row>
    <row r="12" customFormat="false" ht="139.5" hidden="false" customHeight="true" outlineLevel="0" collapsed="false">
      <c r="A12" s="8" t="s">
        <v>1404</v>
      </c>
      <c r="B12" s="8" t="s">
        <v>1405</v>
      </c>
      <c r="C12" s="8" t="s">
        <v>1406</v>
      </c>
      <c r="D12" s="8" t="s">
        <v>1407</v>
      </c>
      <c r="E12" s="46" t="s">
        <v>1408</v>
      </c>
      <c r="F12" s="8" t="s">
        <v>1372</v>
      </c>
      <c r="G12" s="8" t="s">
        <v>1409</v>
      </c>
    </row>
    <row r="13" customFormat="false" ht="139.5" hidden="false" customHeight="true" outlineLevel="0" collapsed="false">
      <c r="A13" s="7" t="s">
        <v>1410</v>
      </c>
      <c r="B13" s="7" t="s">
        <v>1411</v>
      </c>
      <c r="C13" s="7" t="s">
        <v>1412</v>
      </c>
      <c r="D13" s="7" t="s">
        <v>1413</v>
      </c>
      <c r="E13" s="47" t="s">
        <v>1414</v>
      </c>
      <c r="F13" s="7" t="s">
        <v>1372</v>
      </c>
      <c r="G13" s="7" t="s">
        <v>1415</v>
      </c>
    </row>
    <row r="14" customFormat="false" ht="139.5" hidden="false" customHeight="true" outlineLevel="0" collapsed="false">
      <c r="A14" s="8" t="s">
        <v>1416</v>
      </c>
      <c r="B14" s="8" t="s">
        <v>1417</v>
      </c>
      <c r="C14" s="8" t="s">
        <v>1412</v>
      </c>
      <c r="D14" s="8" t="s">
        <v>1418</v>
      </c>
      <c r="E14" s="46" t="s">
        <v>1419</v>
      </c>
      <c r="F14" s="8" t="s">
        <v>1372</v>
      </c>
      <c r="G14" s="8" t="s">
        <v>1420</v>
      </c>
    </row>
    <row r="15" customFormat="false" ht="139.5" hidden="false" customHeight="true" outlineLevel="0" collapsed="false">
      <c r="A15" s="7" t="s">
        <v>1421</v>
      </c>
      <c r="B15" s="7" t="s">
        <v>1422</v>
      </c>
      <c r="C15" s="7" t="s">
        <v>1423</v>
      </c>
      <c r="D15" s="7" t="s">
        <v>1424</v>
      </c>
      <c r="E15" s="47" t="s">
        <v>1425</v>
      </c>
      <c r="F15" s="7" t="s">
        <v>1372</v>
      </c>
      <c r="G15" s="7" t="s">
        <v>1426</v>
      </c>
    </row>
    <row r="16" customFormat="false" ht="139.5" hidden="false" customHeight="true" outlineLevel="0" collapsed="false">
      <c r="A16" s="8" t="s">
        <v>1427</v>
      </c>
      <c r="B16" s="8" t="s">
        <v>1428</v>
      </c>
      <c r="C16" s="8" t="s">
        <v>1429</v>
      </c>
      <c r="D16" s="8" t="s">
        <v>1430</v>
      </c>
      <c r="E16" s="46" t="s">
        <v>1431</v>
      </c>
      <c r="F16" s="8" t="s">
        <v>1372</v>
      </c>
      <c r="G16" s="8" t="s">
        <v>1432</v>
      </c>
    </row>
  </sheetData>
  <autoFilter ref="A5:G16"/>
  <mergeCells count="2">
    <mergeCell ref="A1:G1"/>
    <mergeCell ref="A2:G3"/>
  </mergeCells>
  <hyperlinks>
    <hyperlink ref="E6" r:id="rId1" display="https://www.facebook.com/policies_center/pages_groups_events"/>
    <hyperlink ref="E7" r:id="rId2" display="https://help.instagram.com/179379842258600"/>
    <hyperlink ref="E8" r:id="rId3" display="https://transparency.meta.com/policies/community-standards/spam/"/>
    <hyperlink ref="E9" r:id="rId4" display="https://www.tiktok.com/community-guidelines/en/integrity-authenticity/"/>
    <hyperlink ref="E10" r:id="rId5" display="https://support.google.com/youtube/answer/3399767?hl=en&#10;https://support.google.com/youtube/answer/1620498?hl=en"/>
    <hyperlink ref="E11" r:id="rId6" display="https://discord.com/guidelines"/>
    <hyperlink ref="E12" r:id="rId7" display="https://support.reddithelp.com/hc/en-us/articles/360043504051-Spam"/>
    <hyperlink ref="E13" r:id="rId8" display="https://help.x.com/en/rules-and-policies/platform-manipulation&#10;https://help.x.com/en/rules-and-policies/x-contest-rules"/>
    <hyperlink ref="E14" r:id="rId9" display="https://bsky.social/about/support/community-guidelines"/>
    <hyperlink ref="E15" r:id="rId10" display="https://joinmastodon.org/&#10;https://joinmastodon.org/covenant"/>
    <hyperlink ref="E16" r:id="rId11" display="https://values.snap.com/policy/policy-community-guidelines"/>
  </hyperlink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6D75"/>
    <pageSetUpPr fitToPage="true"/>
  </sheetPr>
  <dimension ref="A1:G28"/>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26.25" customHeight="false" zeroHeight="false" outlineLevelRow="0" outlineLevelCol="0"/>
  <cols>
    <col collapsed="false" customWidth="true" hidden="false" outlineLevel="0" max="1" min="1" style="1" width="35"/>
    <col collapsed="false" customWidth="true" hidden="false" outlineLevel="0" max="2" min="2" style="1" width="30.29"/>
    <col collapsed="false" customWidth="true" hidden="false" outlineLevel="0" max="3" min="3" style="1" width="118"/>
    <col collapsed="false" customWidth="true" hidden="false" outlineLevel="0" max="4" min="4" style="1" width="50.42"/>
    <col collapsed="false" customWidth="true" hidden="false" outlineLevel="0" max="5" min="5" style="1" width="130"/>
    <col collapsed="false" customWidth="false" hidden="false" outlineLevel="0" max="16384" min="6" style="1" width="8.71"/>
  </cols>
  <sheetData>
    <row r="1" customFormat="false" ht="33.75" hidden="false" customHeight="true" outlineLevel="0" collapsed="false">
      <c r="A1" s="18" t="s">
        <v>1433</v>
      </c>
      <c r="B1" s="18"/>
      <c r="C1" s="18"/>
      <c r="D1" s="18"/>
      <c r="E1" s="18"/>
    </row>
    <row r="2" customFormat="false" ht="27" hidden="false" customHeight="true" outlineLevel="0" collapsed="false">
      <c r="A2" s="3" t="s">
        <v>1434</v>
      </c>
      <c r="B2" s="3"/>
      <c r="C2" s="3"/>
      <c r="D2" s="3"/>
      <c r="E2" s="3"/>
    </row>
    <row r="3" customFormat="false" ht="27" hidden="false" customHeight="true" outlineLevel="0" collapsed="false">
      <c r="A3" s="3"/>
      <c r="B3" s="3"/>
      <c r="C3" s="3"/>
      <c r="D3" s="3"/>
      <c r="E3" s="3"/>
    </row>
    <row r="5" customFormat="false" ht="45" hidden="false" customHeight="true" outlineLevel="0" collapsed="false">
      <c r="A5" s="19" t="s">
        <v>2</v>
      </c>
      <c r="B5" s="19" t="s">
        <v>322</v>
      </c>
      <c r="C5" s="19" t="s">
        <v>567</v>
      </c>
      <c r="D5" s="19" t="s">
        <v>568</v>
      </c>
      <c r="E5" s="19" t="s">
        <v>809</v>
      </c>
      <c r="G5" s="38" t="s">
        <v>470</v>
      </c>
    </row>
    <row r="6" customFormat="false" ht="109.5" hidden="false" customHeight="true" outlineLevel="0" collapsed="false">
      <c r="A6" s="5" t="s">
        <v>1435</v>
      </c>
      <c r="B6" s="5" t="s">
        <v>706</v>
      </c>
      <c r="C6" s="5" t="s">
        <v>1436</v>
      </c>
      <c r="D6" s="5" t="s">
        <v>1437</v>
      </c>
      <c r="E6" s="5" t="s">
        <v>1438</v>
      </c>
    </row>
    <row r="7" customFormat="false" ht="109.5" hidden="false" customHeight="true" outlineLevel="0" collapsed="false">
      <c r="A7" s="6" t="s">
        <v>1439</v>
      </c>
      <c r="B7" s="6" t="s">
        <v>706</v>
      </c>
      <c r="C7" s="6" t="s">
        <v>1440</v>
      </c>
      <c r="D7" s="6" t="s">
        <v>1441</v>
      </c>
      <c r="E7" s="6" t="s">
        <v>1442</v>
      </c>
    </row>
    <row r="8" customFormat="false" ht="109.5" hidden="false" customHeight="true" outlineLevel="0" collapsed="false">
      <c r="A8" s="5" t="s">
        <v>1443</v>
      </c>
      <c r="B8" s="5" t="s">
        <v>665</v>
      </c>
      <c r="C8" s="5" t="s">
        <v>1444</v>
      </c>
      <c r="D8" s="5" t="s">
        <v>1445</v>
      </c>
      <c r="E8" s="5" t="s">
        <v>1446</v>
      </c>
      <c r="G8" s="39" t="s">
        <v>1447</v>
      </c>
    </row>
    <row r="9" customFormat="false" ht="109.5" hidden="false" customHeight="true" outlineLevel="0" collapsed="false">
      <c r="A9" s="6" t="s">
        <v>1448</v>
      </c>
      <c r="B9" s="6" t="s">
        <v>706</v>
      </c>
      <c r="C9" s="6" t="s">
        <v>1449</v>
      </c>
      <c r="D9" s="6" t="s">
        <v>1450</v>
      </c>
      <c r="E9" s="6" t="s">
        <v>1451</v>
      </c>
    </row>
    <row r="10" customFormat="false" ht="109.5" hidden="false" customHeight="true" outlineLevel="0" collapsed="false">
      <c r="A10" s="5" t="s">
        <v>1452</v>
      </c>
      <c r="B10" s="5" t="s">
        <v>706</v>
      </c>
      <c r="C10" s="5" t="s">
        <v>1453</v>
      </c>
      <c r="D10" s="5" t="s">
        <v>1454</v>
      </c>
      <c r="E10" s="5" t="s">
        <v>1455</v>
      </c>
    </row>
    <row r="11" customFormat="false" ht="109.5" hidden="false" customHeight="true" outlineLevel="0" collapsed="false">
      <c r="A11" s="6" t="s">
        <v>1456</v>
      </c>
      <c r="B11" s="6" t="s">
        <v>706</v>
      </c>
      <c r="C11" s="6" t="s">
        <v>1457</v>
      </c>
      <c r="D11" s="6" t="s">
        <v>1458</v>
      </c>
      <c r="E11" s="6" t="s">
        <v>1459</v>
      </c>
    </row>
    <row r="12" customFormat="false" ht="109.5" hidden="false" customHeight="true" outlineLevel="0" collapsed="false">
      <c r="A12" s="5" t="s">
        <v>1460</v>
      </c>
      <c r="B12" s="5" t="s">
        <v>706</v>
      </c>
      <c r="C12" s="5" t="s">
        <v>415</v>
      </c>
      <c r="D12" s="5" t="s">
        <v>1461</v>
      </c>
      <c r="E12" s="5" t="s">
        <v>1462</v>
      </c>
      <c r="G12" s="39" t="s">
        <v>1463</v>
      </c>
    </row>
    <row r="13" customFormat="false" ht="109.5" hidden="false" customHeight="true" outlineLevel="0" collapsed="false">
      <c r="A13" s="6" t="s">
        <v>1464</v>
      </c>
      <c r="B13" s="6" t="s">
        <v>706</v>
      </c>
      <c r="C13" s="6" t="s">
        <v>419</v>
      </c>
      <c r="D13" s="6" t="s">
        <v>1465</v>
      </c>
      <c r="E13" s="6" t="s">
        <v>1466</v>
      </c>
      <c r="G13" s="39" t="s">
        <v>1467</v>
      </c>
    </row>
    <row r="14" customFormat="false" ht="109.5" hidden="false" customHeight="true" outlineLevel="0" collapsed="false">
      <c r="A14" s="5" t="s">
        <v>1468</v>
      </c>
      <c r="B14" s="5" t="s">
        <v>706</v>
      </c>
      <c r="C14" s="5" t="s">
        <v>1469</v>
      </c>
      <c r="D14" s="5" t="s">
        <v>1470</v>
      </c>
      <c r="E14" s="5" t="s">
        <v>1471</v>
      </c>
    </row>
    <row r="15" customFormat="false" ht="109.5" hidden="false" customHeight="true" outlineLevel="0" collapsed="false">
      <c r="A15" s="6" t="s">
        <v>1472</v>
      </c>
      <c r="B15" s="6" t="s">
        <v>706</v>
      </c>
      <c r="C15" s="6" t="s">
        <v>1473</v>
      </c>
      <c r="D15" s="6" t="s">
        <v>1474</v>
      </c>
      <c r="E15" s="6" t="s">
        <v>1475</v>
      </c>
    </row>
    <row r="16" customFormat="false" ht="109.5" hidden="false" customHeight="true" outlineLevel="0" collapsed="false">
      <c r="A16" s="5" t="s">
        <v>1476</v>
      </c>
      <c r="B16" s="5" t="s">
        <v>706</v>
      </c>
      <c r="C16" s="5" t="s">
        <v>1477</v>
      </c>
      <c r="D16" s="5" t="s">
        <v>1478</v>
      </c>
      <c r="E16" s="5" t="s">
        <v>1479</v>
      </c>
    </row>
    <row r="17" customFormat="false" ht="109.5" hidden="false" customHeight="true" outlineLevel="0" collapsed="false">
      <c r="A17" s="6" t="s">
        <v>1480</v>
      </c>
      <c r="B17" s="6" t="s">
        <v>706</v>
      </c>
      <c r="C17" s="6" t="s">
        <v>415</v>
      </c>
      <c r="D17" s="6" t="s">
        <v>1481</v>
      </c>
      <c r="E17" s="6" t="s">
        <v>1482</v>
      </c>
    </row>
    <row r="18" customFormat="false" ht="109.5" hidden="false" customHeight="true" outlineLevel="0" collapsed="false">
      <c r="A18" s="5" t="s">
        <v>1483</v>
      </c>
      <c r="B18" s="5" t="s">
        <v>706</v>
      </c>
      <c r="C18" s="5" t="s">
        <v>411</v>
      </c>
      <c r="D18" s="5" t="s">
        <v>1484</v>
      </c>
      <c r="E18" s="5" t="s">
        <v>1485</v>
      </c>
      <c r="G18" s="39" t="s">
        <v>1486</v>
      </c>
    </row>
    <row r="19" customFormat="false" ht="109.5" hidden="false" customHeight="true" outlineLevel="0" collapsed="false">
      <c r="A19" s="6" t="s">
        <v>1487</v>
      </c>
      <c r="B19" s="6" t="s">
        <v>706</v>
      </c>
      <c r="C19" s="6" t="s">
        <v>1488</v>
      </c>
      <c r="D19" s="6" t="s">
        <v>1489</v>
      </c>
      <c r="E19" s="6" t="s">
        <v>1490</v>
      </c>
      <c r="G19" s="39" t="s">
        <v>1491</v>
      </c>
    </row>
    <row r="20" customFormat="false" ht="109.5" hidden="false" customHeight="true" outlineLevel="0" collapsed="false">
      <c r="A20" s="5" t="s">
        <v>1492</v>
      </c>
      <c r="B20" s="5" t="s">
        <v>706</v>
      </c>
      <c r="C20" s="5" t="s">
        <v>1493</v>
      </c>
      <c r="D20" s="5" t="s">
        <v>1494</v>
      </c>
      <c r="E20" s="5" t="s">
        <v>1495</v>
      </c>
    </row>
    <row r="21" customFormat="false" ht="109.5" hidden="false" customHeight="true" outlineLevel="0" collapsed="false">
      <c r="A21" s="6" t="s">
        <v>1496</v>
      </c>
      <c r="B21" s="6" t="s">
        <v>706</v>
      </c>
      <c r="C21" s="6" t="s">
        <v>1497</v>
      </c>
      <c r="D21" s="6" t="s">
        <v>1498</v>
      </c>
      <c r="E21" s="6" t="s">
        <v>1499</v>
      </c>
    </row>
    <row r="22" customFormat="false" ht="109.5" hidden="false" customHeight="true" outlineLevel="0" collapsed="false">
      <c r="A22" s="5" t="s">
        <v>1500</v>
      </c>
      <c r="B22" s="5" t="s">
        <v>706</v>
      </c>
      <c r="C22" s="5" t="s">
        <v>1501</v>
      </c>
      <c r="D22" s="5" t="s">
        <v>1502</v>
      </c>
      <c r="E22" s="5" t="s">
        <v>1503</v>
      </c>
      <c r="G22" s="39" t="s">
        <v>1504</v>
      </c>
    </row>
    <row r="23" customFormat="false" ht="109.5" hidden="false" customHeight="true" outlineLevel="0" collapsed="false">
      <c r="A23" s="6" t="s">
        <v>1505</v>
      </c>
      <c r="B23" s="6" t="s">
        <v>706</v>
      </c>
      <c r="C23" s="6" t="s">
        <v>1471</v>
      </c>
      <c r="D23" s="6" t="s">
        <v>1506</v>
      </c>
      <c r="E23" s="6" t="s">
        <v>1507</v>
      </c>
      <c r="G23" s="39" t="s">
        <v>1508</v>
      </c>
    </row>
    <row r="24" customFormat="false" ht="109.5" hidden="false" customHeight="true" outlineLevel="0" collapsed="false">
      <c r="A24" s="5" t="s">
        <v>468</v>
      </c>
      <c r="B24" s="5" t="s">
        <v>706</v>
      </c>
      <c r="C24" s="5" t="s">
        <v>1509</v>
      </c>
      <c r="D24" s="5" t="s">
        <v>1510</v>
      </c>
      <c r="E24" s="5" t="s">
        <v>1511</v>
      </c>
    </row>
    <row r="25" customFormat="false" ht="109.5" hidden="false" customHeight="true" outlineLevel="0" collapsed="false">
      <c r="A25" s="6" t="s">
        <v>1512</v>
      </c>
      <c r="B25" s="6" t="s">
        <v>1513</v>
      </c>
      <c r="C25" s="6" t="s">
        <v>419</v>
      </c>
      <c r="D25" s="6" t="s">
        <v>1514</v>
      </c>
      <c r="E25" s="6" t="s">
        <v>1515</v>
      </c>
      <c r="G25" s="39" t="s">
        <v>1516</v>
      </c>
    </row>
    <row r="26" customFormat="false" ht="109.5" hidden="false" customHeight="true" outlineLevel="0" collapsed="false">
      <c r="A26" s="5" t="s">
        <v>1517</v>
      </c>
      <c r="B26" s="5" t="s">
        <v>1518</v>
      </c>
      <c r="C26" s="5" t="s">
        <v>1519</v>
      </c>
      <c r="D26" s="5" t="s">
        <v>1520</v>
      </c>
      <c r="E26" s="5" t="s">
        <v>1521</v>
      </c>
      <c r="G26" s="39" t="s">
        <v>1522</v>
      </c>
    </row>
    <row r="27" customFormat="false" ht="63.75" hidden="false" customHeight="true" outlineLevel="0" collapsed="false">
      <c r="A27" s="5" t="s">
        <v>1523</v>
      </c>
      <c r="B27" s="5" t="s">
        <v>719</v>
      </c>
      <c r="C27" s="5" t="s">
        <v>1524</v>
      </c>
      <c r="D27" s="5" t="s">
        <v>1525</v>
      </c>
      <c r="E27" s="5" t="s">
        <v>1526</v>
      </c>
    </row>
    <row r="28" customFormat="false" ht="63.75" hidden="false" customHeight="true" outlineLevel="0" collapsed="false">
      <c r="A28" s="5" t="s">
        <v>1527</v>
      </c>
      <c r="B28" s="5" t="s">
        <v>719</v>
      </c>
      <c r="C28" s="5" t="s">
        <v>1528</v>
      </c>
      <c r="D28" s="5" t="s">
        <v>1529</v>
      </c>
      <c r="E28" s="5" t="s">
        <v>1530</v>
      </c>
    </row>
  </sheetData>
  <autoFilter ref="A5:G28"/>
  <mergeCells count="2">
    <mergeCell ref="A1:E1"/>
    <mergeCell ref="A2:E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H19"/>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0" ySplit="5" topLeftCell="A6" activePane="bottomLeft" state="frozen"/>
      <selection pane="topLeft" activeCell="A1" activeCellId="0" sqref="A1"/>
      <selection pane="bottomLeft" activeCell="A6" activeCellId="0" sqref="A6"/>
    </sheetView>
  </sheetViews>
  <sheetFormatPr defaultColWidth="23.00390625" defaultRowHeight="26.25" customHeight="false" zeroHeight="false" outlineLevelRow="0" outlineLevelCol="0"/>
  <cols>
    <col collapsed="false" customWidth="true" hidden="false" outlineLevel="0" max="1" min="1" style="1" width="15"/>
    <col collapsed="false" customWidth="true" hidden="false" outlineLevel="0" max="2" min="2" style="1" width="19"/>
    <col collapsed="false" customWidth="true" hidden="false" outlineLevel="0" max="3" min="3" style="1" width="66"/>
    <col collapsed="false" customWidth="true" hidden="false" outlineLevel="0" max="4" min="4" style="1" width="24"/>
    <col collapsed="false" customWidth="true" hidden="false" outlineLevel="0" max="5" min="5" style="1" width="28"/>
    <col collapsed="false" customWidth="false" hidden="false" outlineLevel="0" max="6" min="6" style="1" width="23"/>
    <col collapsed="false" customWidth="true" hidden="false" outlineLevel="0" max="7" min="7" style="1" width="24"/>
    <col collapsed="false" customWidth="true" hidden="false" outlineLevel="0" max="8" min="8" style="1" width="27"/>
    <col collapsed="false" customWidth="true" hidden="false" outlineLevel="0" max="9" min="9" style="1" width="24"/>
    <col collapsed="false" customWidth="true" hidden="false" outlineLevel="0" max="14" min="10" style="1" width="19"/>
    <col collapsed="false" customWidth="true" hidden="false" outlineLevel="0" max="15" min="15" style="1" width="48"/>
    <col collapsed="false" customWidth="true" hidden="false" outlineLevel="0" max="16" min="16" style="1" width="25"/>
    <col collapsed="false" customWidth="true" hidden="false" outlineLevel="0" max="17" min="17" style="1" width="26"/>
    <col collapsed="false" customWidth="true" hidden="false" outlineLevel="0" max="18" min="18" style="1" width="25"/>
    <col collapsed="false" customWidth="true" hidden="false" outlineLevel="0" max="23" min="19" style="1" width="24"/>
    <col collapsed="false" customWidth="true" hidden="false" outlineLevel="0" max="24" min="24" style="1" width="110"/>
    <col collapsed="false" customWidth="false" hidden="false" outlineLevel="0" max="16384" min="25" style="1" width="23"/>
  </cols>
  <sheetData>
    <row r="1" customFormat="false" ht="33.75" hidden="false" customHeight="true" outlineLevel="0" collapsed="false">
      <c r="A1" s="21" t="s">
        <v>1531</v>
      </c>
      <c r="B1" s="21"/>
      <c r="C1" s="21"/>
      <c r="D1" s="21"/>
      <c r="E1" s="21"/>
      <c r="F1" s="21"/>
      <c r="G1" s="21"/>
      <c r="H1" s="21"/>
      <c r="I1" s="21"/>
      <c r="J1" s="21"/>
      <c r="K1" s="21"/>
      <c r="L1" s="21"/>
      <c r="M1" s="21"/>
      <c r="N1" s="21"/>
      <c r="O1" s="21"/>
      <c r="P1" s="21"/>
      <c r="Q1" s="21"/>
      <c r="R1" s="21"/>
      <c r="S1" s="21"/>
      <c r="T1" s="21"/>
      <c r="U1" s="21"/>
      <c r="V1" s="21"/>
      <c r="W1" s="21"/>
      <c r="X1" s="21"/>
    </row>
    <row r="2" customFormat="false" ht="27" hidden="false" customHeight="true" outlineLevel="0" collapsed="false">
      <c r="A2" s="3" t="s">
        <v>1532</v>
      </c>
      <c r="B2" s="3"/>
      <c r="C2" s="3"/>
      <c r="D2" s="3"/>
      <c r="E2" s="3"/>
      <c r="F2" s="3"/>
      <c r="G2" s="3"/>
      <c r="H2" s="3"/>
      <c r="I2" s="3"/>
      <c r="J2" s="3"/>
      <c r="K2" s="3"/>
      <c r="L2" s="3"/>
      <c r="M2" s="3"/>
      <c r="N2" s="3"/>
      <c r="O2" s="3"/>
      <c r="P2" s="3"/>
      <c r="Q2" s="3"/>
      <c r="R2" s="3"/>
      <c r="S2" s="3"/>
      <c r="T2" s="3"/>
      <c r="U2" s="3"/>
      <c r="V2" s="3"/>
      <c r="W2" s="3"/>
      <c r="X2" s="3"/>
    </row>
    <row r="3" customFormat="false" ht="27" hidden="false" customHeight="true" outlineLevel="0" collapsed="false">
      <c r="A3" s="3"/>
      <c r="B3" s="3"/>
      <c r="C3" s="3"/>
      <c r="D3" s="3"/>
      <c r="E3" s="3"/>
      <c r="F3" s="3"/>
      <c r="G3" s="3"/>
      <c r="H3" s="3"/>
      <c r="I3" s="3"/>
      <c r="J3" s="3"/>
      <c r="K3" s="3"/>
      <c r="L3" s="3"/>
      <c r="M3" s="3"/>
      <c r="N3" s="3"/>
      <c r="O3" s="3"/>
      <c r="P3" s="3"/>
      <c r="Q3" s="3"/>
      <c r="R3" s="3"/>
      <c r="S3" s="3"/>
      <c r="T3" s="3"/>
      <c r="U3" s="3"/>
      <c r="V3" s="3"/>
      <c r="W3" s="3"/>
      <c r="X3" s="3"/>
    </row>
    <row r="5" customFormat="false" ht="45" hidden="false" customHeight="true" outlineLevel="0" collapsed="false">
      <c r="A5" s="4" t="s">
        <v>1533</v>
      </c>
      <c r="B5" s="4" t="s">
        <v>1534</v>
      </c>
      <c r="C5" s="4" t="s">
        <v>1535</v>
      </c>
      <c r="D5" s="4" t="s">
        <v>1536</v>
      </c>
      <c r="E5" s="4" t="s">
        <v>1537</v>
      </c>
      <c r="F5" s="4" t="s">
        <v>1538</v>
      </c>
      <c r="G5" s="4" t="s">
        <v>1539</v>
      </c>
      <c r="H5" s="4" t="s">
        <v>1540</v>
      </c>
      <c r="I5" s="4" t="s">
        <v>1541</v>
      </c>
      <c r="J5" s="4" t="s">
        <v>1311</v>
      </c>
      <c r="K5" s="4" t="s">
        <v>1312</v>
      </c>
      <c r="L5" s="4" t="s">
        <v>1313</v>
      </c>
      <c r="M5" s="4" t="s">
        <v>1314</v>
      </c>
      <c r="N5" s="4" t="s">
        <v>1315</v>
      </c>
      <c r="O5" s="4" t="s">
        <v>1542</v>
      </c>
      <c r="P5" s="4" t="s">
        <v>1543</v>
      </c>
      <c r="Q5" s="4" t="s">
        <v>1544</v>
      </c>
      <c r="R5" s="4" t="s">
        <v>1545</v>
      </c>
      <c r="S5" s="4" t="s">
        <v>1546</v>
      </c>
      <c r="T5" s="4" t="s">
        <v>1547</v>
      </c>
      <c r="U5" s="4" t="s">
        <v>1548</v>
      </c>
      <c r="V5" s="4" t="s">
        <v>1549</v>
      </c>
      <c r="W5" s="4" t="s">
        <v>1550</v>
      </c>
      <c r="X5" s="4" t="s">
        <v>809</v>
      </c>
      <c r="Y5" s="1" t="s">
        <v>1551</v>
      </c>
      <c r="Z5" s="1" t="s">
        <v>1552</v>
      </c>
      <c r="AA5" s="1" t="s">
        <v>1553</v>
      </c>
      <c r="AB5" s="1" t="s">
        <v>1554</v>
      </c>
      <c r="AC5" s="1" t="s">
        <v>1555</v>
      </c>
      <c r="AD5" s="1" t="s">
        <v>1556</v>
      </c>
      <c r="AE5" s="1" t="s">
        <v>1557</v>
      </c>
      <c r="AF5" s="1" t="s">
        <v>1558</v>
      </c>
      <c r="AG5" s="1" t="s">
        <v>1559</v>
      </c>
      <c r="AH5" s="1" t="s">
        <v>1560</v>
      </c>
    </row>
    <row r="6" customFormat="false" ht="109.5" hidden="false" customHeight="true" outlineLevel="0" collapsed="false">
      <c r="A6" s="5" t="n">
        <v>1</v>
      </c>
      <c r="B6" s="5" t="s">
        <v>1448</v>
      </c>
      <c r="C6" s="5" t="s">
        <v>1561</v>
      </c>
      <c r="D6" s="5" t="n">
        <v>1</v>
      </c>
      <c r="E6" s="5" t="n">
        <f aca="false">D6*12</f>
        <v>12</v>
      </c>
      <c r="F6" s="5" t="n">
        <f aca="false">IF(D6=1,10,D6+10)</f>
        <v>10</v>
      </c>
      <c r="G6" s="5" t="n">
        <f aca="false">E6*F6</f>
        <v>120</v>
      </c>
      <c r="H6" s="5" t="n">
        <v>4</v>
      </c>
      <c r="I6" s="5" t="n">
        <v>2</v>
      </c>
      <c r="J6" s="5" t="n">
        <f aca="false">G6*H6</f>
        <v>480</v>
      </c>
      <c r="K6" s="5" t="n">
        <f aca="false">G6*H6</f>
        <v>480</v>
      </c>
      <c r="L6" s="5" t="n">
        <v>0</v>
      </c>
      <c r="M6" s="5" t="n">
        <v>0</v>
      </c>
      <c r="N6" s="5" t="n">
        <v>0</v>
      </c>
      <c r="O6" s="5" t="s">
        <v>1562</v>
      </c>
      <c r="P6" s="5" t="n">
        <f aca="false">MAX(1,ROUNDDOWN(Z6*Y6,0))</f>
        <v>33</v>
      </c>
      <c r="Q6" s="5" t="s">
        <v>1563</v>
      </c>
      <c r="R6" s="5" t="n">
        <f aca="false">MAX(1,ROUNDDOWN(AG6*Y6,0))</f>
        <v>13</v>
      </c>
      <c r="S6" s="5" t="n">
        <f aca="false">P6*2</f>
        <v>66</v>
      </c>
      <c r="T6" s="5" t="n">
        <f aca="false">P6*3</f>
        <v>99</v>
      </c>
      <c r="U6" s="5" t="n">
        <f aca="false">R6*2</f>
        <v>26</v>
      </c>
      <c r="V6" s="5" t="n">
        <f aca="false">R6*3</f>
        <v>39</v>
      </c>
      <c r="W6" s="5" t="n">
        <f aca="false">Parametry!$C$45</f>
        <v>6</v>
      </c>
      <c r="X6" s="5" t="s">
        <v>1564</v>
      </c>
      <c r="Y6" s="1" t="n">
        <f aca="false">G6/468</f>
        <v>0.256410256410256</v>
      </c>
      <c r="Z6" s="1" t="n">
        <v>130</v>
      </c>
      <c r="AA6" s="1" t="s">
        <v>1565</v>
      </c>
      <c r="AB6" s="1" t="n">
        <v>0</v>
      </c>
      <c r="AC6" s="1" t="n">
        <f aca="false">IF(AH6&gt;=2,MAX(1,ROUNDDOWN(AB6*Y6,0)),0)</f>
        <v>0</v>
      </c>
      <c r="AD6" s="1" t="s">
        <v>1565</v>
      </c>
      <c r="AE6" s="1" t="n">
        <v>0</v>
      </c>
      <c r="AF6" s="1" t="n">
        <f aca="false">IF(AH6&gt;=3,MAX(1,ROUNDDOWN(AE6*Y6,0)),0)</f>
        <v>0</v>
      </c>
      <c r="AG6" s="1" t="n">
        <v>52</v>
      </c>
      <c r="AH6" s="1" t="n">
        <v>1</v>
      </c>
    </row>
    <row r="7" customFormat="false" ht="109.5" hidden="false" customHeight="true" outlineLevel="0" collapsed="false">
      <c r="A7" s="6" t="n">
        <v>1</v>
      </c>
      <c r="B7" s="6" t="s">
        <v>1452</v>
      </c>
      <c r="C7" s="6" t="s">
        <v>1566</v>
      </c>
      <c r="D7" s="6" t="n">
        <v>1</v>
      </c>
      <c r="E7" s="6" t="n">
        <f aca="false">D7*12</f>
        <v>12</v>
      </c>
      <c r="F7" s="6" t="n">
        <f aca="false">IF(D7=1,10,D7+10)</f>
        <v>10</v>
      </c>
      <c r="G7" s="6" t="n">
        <f aca="false">E7*F7</f>
        <v>120</v>
      </c>
      <c r="H7" s="6" t="n">
        <v>8</v>
      </c>
      <c r="I7" s="6" t="n">
        <v>2</v>
      </c>
      <c r="J7" s="6" t="n">
        <v>0</v>
      </c>
      <c r="K7" s="6" t="n">
        <f aca="false">G7*H7</f>
        <v>960</v>
      </c>
      <c r="L7" s="6" t="n">
        <v>0</v>
      </c>
      <c r="M7" s="6" t="n">
        <v>0</v>
      </c>
      <c r="N7" s="6" t="n">
        <f aca="false">G7*H7</f>
        <v>960</v>
      </c>
      <c r="O7" s="6" t="s">
        <v>1567</v>
      </c>
      <c r="P7" s="6" t="n">
        <f aca="false">MAX(1,ROUNDDOWN(Z7*Y7,0))</f>
        <v>51</v>
      </c>
      <c r="Q7" s="6" t="s">
        <v>1568</v>
      </c>
      <c r="R7" s="6" t="n">
        <f aca="false">MAX(1,ROUNDDOWN(AG7*Y7,0))</f>
        <v>63</v>
      </c>
      <c r="S7" s="6" t="n">
        <f aca="false">P7*2</f>
        <v>102</v>
      </c>
      <c r="T7" s="6" t="n">
        <f aca="false">P7*3</f>
        <v>153</v>
      </c>
      <c r="U7" s="6" t="n">
        <f aca="false">R7*2</f>
        <v>126</v>
      </c>
      <c r="V7" s="6" t="n">
        <f aca="false">R7*3</f>
        <v>189</v>
      </c>
      <c r="W7" s="6" t="n">
        <f aca="false">Parametry!$C$45</f>
        <v>6</v>
      </c>
      <c r="X7" s="6" t="s">
        <v>1564</v>
      </c>
      <c r="Y7" s="1" t="n">
        <f aca="false">G7/468</f>
        <v>0.256410256410256</v>
      </c>
      <c r="Z7" s="1" t="n">
        <v>201</v>
      </c>
      <c r="AA7" s="1" t="s">
        <v>1563</v>
      </c>
      <c r="AB7" s="1" t="n">
        <v>499</v>
      </c>
      <c r="AC7" s="1" t="n">
        <f aca="false">IF(AH7&gt;=2,MAX(1,ROUNDDOWN(AB7*Y7,0)),0)</f>
        <v>127</v>
      </c>
      <c r="AD7" s="1" t="s">
        <v>1565</v>
      </c>
      <c r="AE7" s="1" t="n">
        <v>0</v>
      </c>
      <c r="AF7" s="1" t="n">
        <f aca="false">IF(AH7&gt;=3,MAX(1,ROUNDDOWN(AE7*Y7,0)),0)</f>
        <v>0</v>
      </c>
      <c r="AG7" s="1" t="n">
        <v>248</v>
      </c>
      <c r="AH7" s="1" t="n">
        <v>2</v>
      </c>
    </row>
    <row r="8" customFormat="false" ht="109.5" hidden="false" customHeight="true" outlineLevel="0" collapsed="false">
      <c r="A8" s="5" t="n">
        <v>1</v>
      </c>
      <c r="B8" s="5" t="s">
        <v>1456</v>
      </c>
      <c r="C8" s="5" t="s">
        <v>1569</v>
      </c>
      <c r="D8" s="5" t="n">
        <v>1</v>
      </c>
      <c r="E8" s="5" t="n">
        <f aca="false">D8*12</f>
        <v>12</v>
      </c>
      <c r="F8" s="5" t="n">
        <f aca="false">IF(D8=1,10,D8+10)</f>
        <v>10</v>
      </c>
      <c r="G8" s="5" t="n">
        <f aca="false">E8*F8</f>
        <v>120</v>
      </c>
      <c r="H8" s="5" t="n">
        <v>9</v>
      </c>
      <c r="I8" s="5" t="n">
        <v>4</v>
      </c>
      <c r="J8" s="5" t="n">
        <f aca="false">G8*H8</f>
        <v>1080</v>
      </c>
      <c r="K8" s="5" t="n">
        <v>0</v>
      </c>
      <c r="L8" s="5" t="n">
        <f aca="false">G8*H8</f>
        <v>1080</v>
      </c>
      <c r="M8" s="5" t="n">
        <f aca="false">G8*H8</f>
        <v>1080</v>
      </c>
      <c r="N8" s="5" t="n">
        <f aca="false">G8*H8</f>
        <v>1080</v>
      </c>
      <c r="O8" s="5" t="s">
        <v>1570</v>
      </c>
      <c r="P8" s="5" t="n">
        <f aca="false">MAX(1,ROUNDDOWN(Z8*Y8,0))</f>
        <v>92</v>
      </c>
      <c r="Q8" s="5" t="s">
        <v>1563</v>
      </c>
      <c r="R8" s="5" t="n">
        <f aca="false">MAX(1,ROUNDDOWN(AG8*Y8,0))</f>
        <v>43</v>
      </c>
      <c r="S8" s="5" t="n">
        <f aca="false">P8*2</f>
        <v>184</v>
      </c>
      <c r="T8" s="5" t="n">
        <f aca="false">P8*3</f>
        <v>276</v>
      </c>
      <c r="U8" s="5" t="n">
        <f aca="false">R8*2</f>
        <v>86</v>
      </c>
      <c r="V8" s="5" t="n">
        <f aca="false">R8*3</f>
        <v>129</v>
      </c>
      <c r="W8" s="5" t="n">
        <f aca="false">Parametry!$C$45</f>
        <v>6</v>
      </c>
      <c r="X8" s="5" t="s">
        <v>1564</v>
      </c>
      <c r="Y8" s="1" t="n">
        <f aca="false">G8/468</f>
        <v>0.256410256410256</v>
      </c>
      <c r="Z8" s="1" t="n">
        <v>360</v>
      </c>
      <c r="AA8" s="1" t="s">
        <v>1568</v>
      </c>
      <c r="AB8" s="1" t="n">
        <v>530</v>
      </c>
      <c r="AC8" s="1" t="n">
        <f aca="false">IF(AH8&gt;=2,MAX(1,ROUNDDOWN(AB8*Y8,0)),0)</f>
        <v>135</v>
      </c>
      <c r="AD8" s="1" t="s">
        <v>1571</v>
      </c>
      <c r="AE8" s="1" t="n">
        <v>571</v>
      </c>
      <c r="AF8" s="1" t="n">
        <f aca="false">IF(AH8&gt;=3,MAX(1,ROUNDDOWN(AE8*Y8,0)),0)</f>
        <v>146</v>
      </c>
      <c r="AG8" s="1" t="n">
        <v>168</v>
      </c>
      <c r="AH8" s="1" t="n">
        <v>3</v>
      </c>
    </row>
    <row r="9" customFormat="false" ht="109.5" hidden="false" customHeight="true" outlineLevel="0" collapsed="false">
      <c r="A9" s="6" t="n">
        <v>2</v>
      </c>
      <c r="B9" s="6" t="s">
        <v>1448</v>
      </c>
      <c r="C9" s="6" t="s">
        <v>1572</v>
      </c>
      <c r="D9" s="6" t="n">
        <v>2</v>
      </c>
      <c r="E9" s="6" t="n">
        <f aca="false">D9*12</f>
        <v>24</v>
      </c>
      <c r="F9" s="6" t="n">
        <f aca="false">IF(D9=1,10,D9+10)</f>
        <v>12</v>
      </c>
      <c r="G9" s="6" t="n">
        <f aca="false">E9*F9</f>
        <v>288</v>
      </c>
      <c r="H9" s="6" t="n">
        <v>3</v>
      </c>
      <c r="I9" s="6" t="n">
        <v>2</v>
      </c>
      <c r="J9" s="6" t="n">
        <f aca="false">G9*H9</f>
        <v>864</v>
      </c>
      <c r="K9" s="6" t="n">
        <v>0</v>
      </c>
      <c r="L9" s="6" t="n">
        <v>0</v>
      </c>
      <c r="M9" s="6" t="n">
        <v>0</v>
      </c>
      <c r="N9" s="6" t="n">
        <f aca="false">G9*H9</f>
        <v>864</v>
      </c>
      <c r="O9" s="6" t="s">
        <v>1573</v>
      </c>
      <c r="P9" s="6" t="n">
        <f aca="false">MAX(1,ROUNDDOWN(Z9*Y9,0))</f>
        <v>72</v>
      </c>
      <c r="Q9" s="6" t="s">
        <v>1571</v>
      </c>
      <c r="R9" s="6" t="n">
        <f aca="false">MAX(1,ROUNDDOWN(AG9*Y9,0))</f>
        <v>398</v>
      </c>
      <c r="S9" s="6" t="n">
        <f aca="false">P9*2</f>
        <v>144</v>
      </c>
      <c r="T9" s="6" t="n">
        <f aca="false">P9*3</f>
        <v>216</v>
      </c>
      <c r="U9" s="6" t="n">
        <f aca="false">R9*2</f>
        <v>796</v>
      </c>
      <c r="V9" s="6" t="n">
        <f aca="false">R9*3</f>
        <v>1194</v>
      </c>
      <c r="W9" s="6" t="n">
        <f aca="false">Parametry!$C$45</f>
        <v>6</v>
      </c>
      <c r="X9" s="6" t="s">
        <v>1564</v>
      </c>
      <c r="Y9" s="1" t="n">
        <f aca="false">G9/468</f>
        <v>0.615384615384615</v>
      </c>
      <c r="Z9" s="1" t="n">
        <v>118</v>
      </c>
      <c r="AA9" s="1" t="s">
        <v>1565</v>
      </c>
      <c r="AB9" s="1" t="n">
        <v>0</v>
      </c>
      <c r="AC9" s="1" t="n">
        <f aca="false">IF(AH9&gt;=2,MAX(1,ROUNDDOWN(AB9*Y9,0)),0)</f>
        <v>0</v>
      </c>
      <c r="AD9" s="1" t="s">
        <v>1565</v>
      </c>
      <c r="AE9" s="1" t="n">
        <v>0</v>
      </c>
      <c r="AF9" s="1" t="n">
        <f aca="false">IF(AH9&gt;=3,MAX(1,ROUNDDOWN(AE9*Y9,0)),0)</f>
        <v>0</v>
      </c>
      <c r="AG9" s="1" t="n">
        <v>648</v>
      </c>
      <c r="AH9" s="1" t="n">
        <v>1</v>
      </c>
    </row>
    <row r="10" customFormat="false" ht="109.5" hidden="false" customHeight="true" outlineLevel="0" collapsed="false">
      <c r="A10" s="5" t="n">
        <v>2</v>
      </c>
      <c r="B10" s="5" t="s">
        <v>1452</v>
      </c>
      <c r="C10" s="5" t="s">
        <v>1574</v>
      </c>
      <c r="D10" s="5" t="n">
        <v>2</v>
      </c>
      <c r="E10" s="5" t="n">
        <f aca="false">D10*12</f>
        <v>24</v>
      </c>
      <c r="F10" s="5" t="n">
        <f aca="false">IF(D10=1,10,D10+10)</f>
        <v>12</v>
      </c>
      <c r="G10" s="5" t="n">
        <f aca="false">E10*F10</f>
        <v>288</v>
      </c>
      <c r="H10" s="5" t="n">
        <v>7</v>
      </c>
      <c r="I10" s="5" t="n">
        <v>2</v>
      </c>
      <c r="J10" s="5" t="n">
        <v>0</v>
      </c>
      <c r="K10" s="5" t="n">
        <v>0</v>
      </c>
      <c r="L10" s="5" t="n">
        <f aca="false">G10*H10</f>
        <v>2016</v>
      </c>
      <c r="M10" s="5" t="n">
        <f aca="false">G10*H10</f>
        <v>2016</v>
      </c>
      <c r="N10" s="5" t="n">
        <v>0</v>
      </c>
      <c r="O10" s="5" t="s">
        <v>1575</v>
      </c>
      <c r="P10" s="5" t="n">
        <f aca="false">MAX(1,ROUNDDOWN(Z10*Y10,0))</f>
        <v>80</v>
      </c>
      <c r="Q10" s="5" t="s">
        <v>1568</v>
      </c>
      <c r="R10" s="5" t="n">
        <f aca="false">MAX(1,ROUNDDOWN(AG10*Y10,0))</f>
        <v>555</v>
      </c>
      <c r="S10" s="5" t="n">
        <f aca="false">P10*2</f>
        <v>160</v>
      </c>
      <c r="T10" s="5" t="n">
        <f aca="false">P10*3</f>
        <v>240</v>
      </c>
      <c r="U10" s="5" t="n">
        <f aca="false">R10*2</f>
        <v>1110</v>
      </c>
      <c r="V10" s="5" t="n">
        <f aca="false">R10*3</f>
        <v>1665</v>
      </c>
      <c r="W10" s="5" t="n">
        <f aca="false">Parametry!$C$45</f>
        <v>6</v>
      </c>
      <c r="X10" s="5" t="s">
        <v>1564</v>
      </c>
      <c r="Y10" s="1" t="n">
        <f aca="false">G10/468</f>
        <v>0.615384615384615</v>
      </c>
      <c r="Z10" s="1" t="n">
        <v>131</v>
      </c>
      <c r="AA10" s="1" t="s">
        <v>1563</v>
      </c>
      <c r="AB10" s="1" t="n">
        <v>592</v>
      </c>
      <c r="AC10" s="1" t="n">
        <f aca="false">IF(AH10&gt;=2,MAX(1,ROUNDDOWN(AB10*Y10,0)),0)</f>
        <v>364</v>
      </c>
      <c r="AD10" s="1" t="s">
        <v>1565</v>
      </c>
      <c r="AE10" s="1" t="n">
        <v>0</v>
      </c>
      <c r="AF10" s="1" t="n">
        <f aca="false">IF(AH10&gt;=3,MAX(1,ROUNDDOWN(AE10*Y10,0)),0)</f>
        <v>0</v>
      </c>
      <c r="AG10" s="1" t="n">
        <v>903</v>
      </c>
      <c r="AH10" s="1" t="n">
        <v>2</v>
      </c>
    </row>
    <row r="11" customFormat="false" ht="109.5" hidden="false" customHeight="true" outlineLevel="0" collapsed="false">
      <c r="A11" s="6" t="n">
        <v>2</v>
      </c>
      <c r="B11" s="6" t="s">
        <v>1456</v>
      </c>
      <c r="C11" s="6" t="s">
        <v>1576</v>
      </c>
      <c r="D11" s="6" t="n">
        <v>2</v>
      </c>
      <c r="E11" s="6" t="n">
        <f aca="false">D11*12</f>
        <v>24</v>
      </c>
      <c r="F11" s="6" t="n">
        <f aca="false">IF(D11=1,10,D11+10)</f>
        <v>12</v>
      </c>
      <c r="G11" s="6" t="n">
        <f aca="false">E11*F11</f>
        <v>288</v>
      </c>
      <c r="H11" s="6" t="n">
        <v>10</v>
      </c>
      <c r="I11" s="6" t="n">
        <v>4</v>
      </c>
      <c r="J11" s="6" t="n">
        <f aca="false">G11*H11</f>
        <v>2880</v>
      </c>
      <c r="K11" s="6" t="n">
        <f aca="false">G11*H11</f>
        <v>2880</v>
      </c>
      <c r="L11" s="6" t="n">
        <v>0</v>
      </c>
      <c r="M11" s="6" t="n">
        <f aca="false">G11*H11</f>
        <v>2880</v>
      </c>
      <c r="N11" s="6" t="n">
        <f aca="false">G11*H11</f>
        <v>2880</v>
      </c>
      <c r="O11" s="6" t="s">
        <v>1577</v>
      </c>
      <c r="P11" s="6" t="n">
        <f aca="false">MAX(1,ROUNDDOWN(Z11*Y11,0))</f>
        <v>238</v>
      </c>
      <c r="Q11" s="6" t="s">
        <v>1568</v>
      </c>
      <c r="R11" s="6" t="n">
        <f aca="false">MAX(1,ROUNDDOWN(AG11*Y11,0))</f>
        <v>171</v>
      </c>
      <c r="S11" s="6" t="n">
        <f aca="false">P11*2</f>
        <v>476</v>
      </c>
      <c r="T11" s="6" t="n">
        <f aca="false">P11*3</f>
        <v>714</v>
      </c>
      <c r="U11" s="6" t="n">
        <f aca="false">R11*2</f>
        <v>342</v>
      </c>
      <c r="V11" s="6" t="n">
        <f aca="false">R11*3</f>
        <v>513</v>
      </c>
      <c r="W11" s="6" t="n">
        <f aca="false">Parametry!$C$45</f>
        <v>6</v>
      </c>
      <c r="X11" s="6" t="s">
        <v>1564</v>
      </c>
      <c r="Y11" s="1" t="n">
        <f aca="false">G11/468</f>
        <v>0.615384615384615</v>
      </c>
      <c r="Z11" s="1" t="n">
        <v>388</v>
      </c>
      <c r="AA11" s="1" t="s">
        <v>1563</v>
      </c>
      <c r="AB11" s="1" t="n">
        <v>623</v>
      </c>
      <c r="AC11" s="1" t="n">
        <f aca="false">IF(AH11&gt;=2,MAX(1,ROUNDDOWN(AB11*Y11,0)),0)</f>
        <v>383</v>
      </c>
      <c r="AD11" s="1" t="s">
        <v>1571</v>
      </c>
      <c r="AE11" s="1" t="n">
        <v>664</v>
      </c>
      <c r="AF11" s="1" t="n">
        <f aca="false">IF(AH11&gt;=3,MAX(1,ROUNDDOWN(AE11*Y11,0)),0)</f>
        <v>408</v>
      </c>
      <c r="AG11" s="1" t="n">
        <v>279</v>
      </c>
      <c r="AH11" s="1" t="n">
        <v>3</v>
      </c>
    </row>
    <row r="12" customFormat="false" ht="109.5" hidden="false" customHeight="true" outlineLevel="0" collapsed="false">
      <c r="A12" s="5" t="n">
        <v>3</v>
      </c>
      <c r="B12" s="5" t="s">
        <v>1448</v>
      </c>
      <c r="C12" s="5" t="s">
        <v>1578</v>
      </c>
      <c r="D12" s="5" t="n">
        <v>3</v>
      </c>
      <c r="E12" s="5" t="n">
        <f aca="false">D12*12</f>
        <v>36</v>
      </c>
      <c r="F12" s="5" t="n">
        <f aca="false">IF(D12=1,10,D12+10)</f>
        <v>13</v>
      </c>
      <c r="G12" s="5" t="n">
        <f aca="false">E12*F12</f>
        <v>468</v>
      </c>
      <c r="H12" s="5" t="n">
        <v>6</v>
      </c>
      <c r="I12" s="5" t="n">
        <v>2</v>
      </c>
      <c r="J12" s="5" t="n">
        <v>0</v>
      </c>
      <c r="K12" s="5" t="n">
        <f aca="false">G12*H12</f>
        <v>2808</v>
      </c>
      <c r="L12" s="5" t="n">
        <v>0</v>
      </c>
      <c r="M12" s="5" t="n">
        <f aca="false">G12*H12</f>
        <v>2808</v>
      </c>
      <c r="N12" s="5" t="n">
        <v>0</v>
      </c>
      <c r="O12" s="5" t="s">
        <v>1579</v>
      </c>
      <c r="P12" s="5" t="n">
        <f aca="false">MAX(1,ROUNDDOWN(Z12*Y12,0))</f>
        <v>197</v>
      </c>
      <c r="Q12" s="5" t="s">
        <v>1580</v>
      </c>
      <c r="R12" s="5" t="n">
        <f aca="false">MAX(1,ROUNDDOWN(AG12*Y12,0))</f>
        <v>476</v>
      </c>
      <c r="S12" s="5" t="n">
        <f aca="false">P12*2</f>
        <v>394</v>
      </c>
      <c r="T12" s="5" t="n">
        <f aca="false">P12*3</f>
        <v>591</v>
      </c>
      <c r="U12" s="5" t="n">
        <f aca="false">R12*2</f>
        <v>952</v>
      </c>
      <c r="V12" s="5" t="n">
        <f aca="false">R12*3</f>
        <v>1428</v>
      </c>
      <c r="W12" s="5" t="n">
        <f aca="false">Parametry!$C$45</f>
        <v>6</v>
      </c>
      <c r="X12" s="5" t="s">
        <v>1564</v>
      </c>
      <c r="Y12" s="1" t="n">
        <f aca="false">G12/468</f>
        <v>1</v>
      </c>
      <c r="Z12" s="1" t="n">
        <v>197</v>
      </c>
      <c r="AA12" s="1" t="s">
        <v>1565</v>
      </c>
      <c r="AB12" s="1" t="n">
        <v>0</v>
      </c>
      <c r="AC12" s="1" t="n">
        <f aca="false">IF(AH12&gt;=2,MAX(1,ROUNDDOWN(AB12*Y12,0)),0)</f>
        <v>0</v>
      </c>
      <c r="AD12" s="1" t="s">
        <v>1565</v>
      </c>
      <c r="AE12" s="1" t="n">
        <v>0</v>
      </c>
      <c r="AF12" s="1" t="n">
        <f aca="false">IF(AH12&gt;=3,MAX(1,ROUNDDOWN(AE12*Y12,0)),0)</f>
        <v>0</v>
      </c>
      <c r="AG12" s="1" t="n">
        <v>476</v>
      </c>
      <c r="AH12" s="1" t="n">
        <v>1</v>
      </c>
    </row>
    <row r="13" customFormat="false" ht="109.5" hidden="false" customHeight="true" outlineLevel="0" collapsed="false">
      <c r="A13" s="6" t="n">
        <v>3</v>
      </c>
      <c r="B13" s="6" t="s">
        <v>1452</v>
      </c>
      <c r="C13" s="6" t="s">
        <v>1581</v>
      </c>
      <c r="D13" s="6" t="n">
        <v>3</v>
      </c>
      <c r="E13" s="6" t="n">
        <f aca="false">D13*12</f>
        <v>36</v>
      </c>
      <c r="F13" s="6" t="n">
        <f aca="false">IF(D13=1,10,D13+10)</f>
        <v>13</v>
      </c>
      <c r="G13" s="6" t="n">
        <f aca="false">E13*F13</f>
        <v>468</v>
      </c>
      <c r="H13" s="6" t="n">
        <v>8</v>
      </c>
      <c r="I13" s="6" t="n">
        <v>2</v>
      </c>
      <c r="J13" s="6" t="n">
        <f aca="false">G13*H13</f>
        <v>3744</v>
      </c>
      <c r="K13" s="6" t="n">
        <v>0</v>
      </c>
      <c r="L13" s="6" t="n">
        <v>0</v>
      </c>
      <c r="M13" s="6" t="n">
        <f aca="false">G13*H13</f>
        <v>3744</v>
      </c>
      <c r="N13" s="6" t="n">
        <v>0</v>
      </c>
      <c r="O13" s="6" t="s">
        <v>1582</v>
      </c>
      <c r="P13" s="6" t="n">
        <f aca="false">MAX(1,ROUNDDOWN(Z13*Y13,0))</f>
        <v>198</v>
      </c>
      <c r="Q13" s="6" t="s">
        <v>1583</v>
      </c>
      <c r="R13" s="6" t="n">
        <f aca="false">MAX(1,ROUNDDOWN(AG13*Y13,0))</f>
        <v>179</v>
      </c>
      <c r="S13" s="6" t="n">
        <f aca="false">P13*2</f>
        <v>396</v>
      </c>
      <c r="T13" s="6" t="n">
        <f aca="false">P13*3</f>
        <v>594</v>
      </c>
      <c r="U13" s="6" t="n">
        <f aca="false">R13*2</f>
        <v>358</v>
      </c>
      <c r="V13" s="6" t="n">
        <f aca="false">R13*3</f>
        <v>537</v>
      </c>
      <c r="W13" s="6" t="n">
        <f aca="false">Parametry!$C$45</f>
        <v>6</v>
      </c>
      <c r="X13" s="6" t="s">
        <v>1564</v>
      </c>
      <c r="Y13" s="1" t="n">
        <f aca="false">G13/468</f>
        <v>1</v>
      </c>
      <c r="Z13" s="1" t="n">
        <v>198</v>
      </c>
      <c r="AA13" s="1" t="s">
        <v>1568</v>
      </c>
      <c r="AB13" s="1" t="n">
        <v>685</v>
      </c>
      <c r="AC13" s="1" t="n">
        <f aca="false">IF(AH13&gt;=2,MAX(1,ROUNDDOWN(AB13*Y13,0)),0)</f>
        <v>685</v>
      </c>
      <c r="AD13" s="1" t="s">
        <v>1565</v>
      </c>
      <c r="AE13" s="1" t="n">
        <v>0</v>
      </c>
      <c r="AF13" s="1" t="n">
        <f aca="false">IF(AH13&gt;=3,MAX(1,ROUNDDOWN(AE13*Y13,0)),0)</f>
        <v>0</v>
      </c>
      <c r="AG13" s="1" t="n">
        <v>179</v>
      </c>
      <c r="AH13" s="1" t="n">
        <v>2</v>
      </c>
    </row>
    <row r="14" customFormat="false" ht="109.5" hidden="false" customHeight="true" outlineLevel="0" collapsed="false">
      <c r="A14" s="5" t="n">
        <v>3</v>
      </c>
      <c r="B14" s="5" t="s">
        <v>1456</v>
      </c>
      <c r="C14" s="5" t="s">
        <v>1584</v>
      </c>
      <c r="D14" s="5" t="n">
        <v>3</v>
      </c>
      <c r="E14" s="5" t="n">
        <f aca="false">D14*12</f>
        <v>36</v>
      </c>
      <c r="F14" s="5" t="n">
        <f aca="false">IF(D14=1,10,D14+10)</f>
        <v>13</v>
      </c>
      <c r="G14" s="5" t="n">
        <f aca="false">E14*F14</f>
        <v>468</v>
      </c>
      <c r="H14" s="5" t="n">
        <v>9</v>
      </c>
      <c r="I14" s="5" t="n">
        <v>4</v>
      </c>
      <c r="J14" s="5" t="n">
        <f aca="false">G14*H14</f>
        <v>4212</v>
      </c>
      <c r="K14" s="5" t="n">
        <f aca="false">G14*H14</f>
        <v>4212</v>
      </c>
      <c r="L14" s="5" t="n">
        <f aca="false">G14*H14</f>
        <v>4212</v>
      </c>
      <c r="M14" s="5" t="n">
        <f aca="false">G14*H14</f>
        <v>4212</v>
      </c>
      <c r="N14" s="5" t="n">
        <v>0</v>
      </c>
      <c r="O14" s="5" t="s">
        <v>1585</v>
      </c>
      <c r="P14" s="5" t="n">
        <f aca="false">MAX(1,ROUNDDOWN(Z14*Y14,0))</f>
        <v>199</v>
      </c>
      <c r="Q14" s="5" t="s">
        <v>1571</v>
      </c>
      <c r="R14" s="5" t="n">
        <f aca="false">MAX(1,ROUNDDOWN(AG14*Y14,0))</f>
        <v>354</v>
      </c>
      <c r="S14" s="5" t="n">
        <f aca="false">P14*2</f>
        <v>398</v>
      </c>
      <c r="T14" s="5" t="n">
        <f aca="false">P14*3</f>
        <v>597</v>
      </c>
      <c r="U14" s="5" t="n">
        <f aca="false">R14*2</f>
        <v>708</v>
      </c>
      <c r="V14" s="5" t="n">
        <f aca="false">R14*3</f>
        <v>1062</v>
      </c>
      <c r="W14" s="5" t="n">
        <f aca="false">Parametry!$C$45</f>
        <v>6</v>
      </c>
      <c r="X14" s="5" t="s">
        <v>1564</v>
      </c>
      <c r="Y14" s="1" t="n">
        <f aca="false">G14/468</f>
        <v>1</v>
      </c>
      <c r="Z14" s="1" t="n">
        <v>199</v>
      </c>
      <c r="AA14" s="1" t="s">
        <v>1568</v>
      </c>
      <c r="AB14" s="1" t="n">
        <v>716</v>
      </c>
      <c r="AC14" s="1" t="n">
        <f aca="false">IF(AH14&gt;=2,MAX(1,ROUNDDOWN(AB14*Y14,0)),0)</f>
        <v>716</v>
      </c>
      <c r="AD14" s="1" t="s">
        <v>1563</v>
      </c>
      <c r="AE14" s="1" t="n">
        <v>757</v>
      </c>
      <c r="AF14" s="1" t="n">
        <f aca="false">IF(AH14&gt;=3,MAX(1,ROUNDDOWN(AE14*Y14,0)),0)</f>
        <v>757</v>
      </c>
      <c r="AG14" s="1" t="n">
        <v>354</v>
      </c>
      <c r="AH14" s="1" t="n">
        <v>3</v>
      </c>
    </row>
    <row r="15" customFormat="false" ht="109.5" hidden="false" customHeight="true" outlineLevel="0" collapsed="false">
      <c r="A15" s="6" t="n">
        <v>4</v>
      </c>
      <c r="B15" s="6" t="s">
        <v>1448</v>
      </c>
      <c r="C15" s="6" t="s">
        <v>1586</v>
      </c>
      <c r="D15" s="6" t="n">
        <v>4</v>
      </c>
      <c r="E15" s="6" t="n">
        <f aca="false">D15*12</f>
        <v>48</v>
      </c>
      <c r="F15" s="6" t="n">
        <f aca="false">IF(D15=1,10,D15+10)</f>
        <v>14</v>
      </c>
      <c r="G15" s="6" t="n">
        <f aca="false">E15*F15</f>
        <v>672</v>
      </c>
      <c r="H15" s="6" t="n">
        <v>6</v>
      </c>
      <c r="I15" s="6" t="n">
        <v>2</v>
      </c>
      <c r="J15" s="6" t="n">
        <f aca="false">G15*H15</f>
        <v>4032</v>
      </c>
      <c r="K15" s="6" t="n">
        <v>0</v>
      </c>
      <c r="L15" s="6" t="n">
        <v>0</v>
      </c>
      <c r="M15" s="6" t="n">
        <f aca="false">G15*H15</f>
        <v>4032</v>
      </c>
      <c r="N15" s="6" t="n">
        <v>0</v>
      </c>
      <c r="O15" s="6" t="s">
        <v>1587</v>
      </c>
      <c r="P15" s="6" t="n">
        <f aca="false">MAX(1,ROUNDDOWN(Z15*Y15,0))</f>
        <v>246</v>
      </c>
      <c r="Q15" s="6" t="s">
        <v>1563</v>
      </c>
      <c r="R15" s="6" t="n">
        <f aca="false">MAX(1,ROUNDDOWN(AG15*Y15,0))</f>
        <v>786</v>
      </c>
      <c r="S15" s="6" t="n">
        <f aca="false">P15*2</f>
        <v>492</v>
      </c>
      <c r="T15" s="6" t="n">
        <f aca="false">P15*3</f>
        <v>738</v>
      </c>
      <c r="U15" s="6" t="n">
        <f aca="false">R15*2</f>
        <v>1572</v>
      </c>
      <c r="V15" s="6" t="n">
        <f aca="false">R15*3</f>
        <v>2358</v>
      </c>
      <c r="W15" s="6" t="n">
        <f aca="false">Parametry!$C$45</f>
        <v>6</v>
      </c>
      <c r="X15" s="6" t="s">
        <v>1564</v>
      </c>
      <c r="Y15" s="1" t="n">
        <f aca="false">G15/468</f>
        <v>1.43589743589744</v>
      </c>
      <c r="Z15" s="1" t="n">
        <v>172</v>
      </c>
      <c r="AA15" s="1" t="s">
        <v>1565</v>
      </c>
      <c r="AB15" s="1" t="n">
        <v>0</v>
      </c>
      <c r="AC15" s="1" t="n">
        <f aca="false">IF(AH15&gt;=2,MAX(1,ROUNDDOWN(AB15*Y15,0)),0)</f>
        <v>0</v>
      </c>
      <c r="AD15" s="1" t="s">
        <v>1565</v>
      </c>
      <c r="AE15" s="1" t="n">
        <v>0</v>
      </c>
      <c r="AF15" s="1" t="n">
        <f aca="false">IF(AH15&gt;=3,MAX(1,ROUNDDOWN(AE15*Y15,0)),0)</f>
        <v>0</v>
      </c>
      <c r="AG15" s="1" t="n">
        <v>548</v>
      </c>
      <c r="AH15" s="1" t="n">
        <v>1</v>
      </c>
    </row>
    <row r="16" customFormat="false" ht="109.5" hidden="false" customHeight="true" outlineLevel="0" collapsed="false">
      <c r="A16" s="5" t="n">
        <v>4</v>
      </c>
      <c r="B16" s="5" t="s">
        <v>1452</v>
      </c>
      <c r="C16" s="5" t="s">
        <v>1588</v>
      </c>
      <c r="D16" s="5" t="n">
        <v>4</v>
      </c>
      <c r="E16" s="5" t="n">
        <f aca="false">D16*12</f>
        <v>48</v>
      </c>
      <c r="F16" s="5" t="n">
        <f aca="false">IF(D16=1,10,D16+10)</f>
        <v>14</v>
      </c>
      <c r="G16" s="5" t="n">
        <f aca="false">E16*F16</f>
        <v>672</v>
      </c>
      <c r="H16" s="5" t="n">
        <v>6</v>
      </c>
      <c r="I16" s="5" t="n">
        <v>2</v>
      </c>
      <c r="J16" s="5" t="n">
        <f aca="false">G16*H16</f>
        <v>4032</v>
      </c>
      <c r="K16" s="5" t="n">
        <v>0</v>
      </c>
      <c r="L16" s="5" t="n">
        <v>0</v>
      </c>
      <c r="M16" s="5" t="n">
        <f aca="false">G16*H16</f>
        <v>4032</v>
      </c>
      <c r="N16" s="5" t="n">
        <v>0</v>
      </c>
      <c r="O16" s="5" t="s">
        <v>1589</v>
      </c>
      <c r="P16" s="5" t="n">
        <f aca="false">MAX(1,ROUNDDOWN(Z16*Y16,0))</f>
        <v>248</v>
      </c>
      <c r="Q16" s="5" t="s">
        <v>1580</v>
      </c>
      <c r="R16" s="5" t="n">
        <f aca="false">MAX(1,ROUNDDOWN(AG16*Y16,0))</f>
        <v>608</v>
      </c>
      <c r="S16" s="5" t="n">
        <f aca="false">P16*2</f>
        <v>496</v>
      </c>
      <c r="T16" s="5" t="n">
        <f aca="false">P16*3</f>
        <v>744</v>
      </c>
      <c r="U16" s="5" t="n">
        <f aca="false">R16*2</f>
        <v>1216</v>
      </c>
      <c r="V16" s="5" t="n">
        <f aca="false">R16*3</f>
        <v>1824</v>
      </c>
      <c r="W16" s="5" t="n">
        <f aca="false">Parametry!$C$45</f>
        <v>6</v>
      </c>
      <c r="X16" s="5" t="s">
        <v>1564</v>
      </c>
      <c r="Y16" s="1" t="n">
        <f aca="false">G16/468</f>
        <v>1.43589743589744</v>
      </c>
      <c r="Z16" s="1" t="n">
        <v>173</v>
      </c>
      <c r="AA16" s="1" t="s">
        <v>1568</v>
      </c>
      <c r="AB16" s="1" t="n">
        <v>778</v>
      </c>
      <c r="AC16" s="1" t="n">
        <f aca="false">IF(AH16&gt;=2,MAX(1,ROUNDDOWN(AB16*Y16,0)),0)</f>
        <v>1117</v>
      </c>
      <c r="AD16" s="1" t="s">
        <v>1565</v>
      </c>
      <c r="AE16" s="1" t="n">
        <v>0</v>
      </c>
      <c r="AF16" s="1" t="n">
        <f aca="false">IF(AH16&gt;=3,MAX(1,ROUNDDOWN(AE16*Y16,0)),0)</f>
        <v>0</v>
      </c>
      <c r="AG16" s="1" t="n">
        <v>424</v>
      </c>
      <c r="AH16" s="1" t="n">
        <v>2</v>
      </c>
    </row>
    <row r="17" customFormat="false" ht="109.5" hidden="false" customHeight="true" outlineLevel="0" collapsed="false">
      <c r="A17" s="6" t="n">
        <v>4</v>
      </c>
      <c r="B17" s="6" t="s">
        <v>1456</v>
      </c>
      <c r="C17" s="6" t="s">
        <v>1590</v>
      </c>
      <c r="D17" s="6" t="n">
        <v>4</v>
      </c>
      <c r="E17" s="6" t="n">
        <f aca="false">D17*12</f>
        <v>48</v>
      </c>
      <c r="F17" s="6" t="n">
        <f aca="false">IF(D17=1,10,D17+10)</f>
        <v>14</v>
      </c>
      <c r="G17" s="6" t="n">
        <f aca="false">E17*F17</f>
        <v>672</v>
      </c>
      <c r="H17" s="6" t="n">
        <v>6</v>
      </c>
      <c r="I17" s="6" t="n">
        <v>4</v>
      </c>
      <c r="J17" s="6" t="n">
        <f aca="false">G17*H17</f>
        <v>4032</v>
      </c>
      <c r="K17" s="6" t="n">
        <f aca="false">G17*H17</f>
        <v>4032</v>
      </c>
      <c r="L17" s="6" t="n">
        <v>0</v>
      </c>
      <c r="M17" s="6" t="n">
        <f aca="false">G17*H17</f>
        <v>4032</v>
      </c>
      <c r="N17" s="6" t="n">
        <f aca="false">G17*H17</f>
        <v>4032</v>
      </c>
      <c r="O17" s="6" t="s">
        <v>1591</v>
      </c>
      <c r="P17" s="6" t="n">
        <f aca="false">MAX(1,ROUNDDOWN(Z17*Y17,0))</f>
        <v>317</v>
      </c>
      <c r="Q17" s="6" t="s">
        <v>1568</v>
      </c>
      <c r="R17" s="6" t="n">
        <f aca="false">MAX(1,ROUNDDOWN(AG17*Y17,0))</f>
        <v>1372</v>
      </c>
      <c r="S17" s="6" t="n">
        <f aca="false">P17*2</f>
        <v>634</v>
      </c>
      <c r="T17" s="6" t="n">
        <f aca="false">P17*3</f>
        <v>951</v>
      </c>
      <c r="U17" s="6" t="n">
        <f aca="false">R17*2</f>
        <v>2744</v>
      </c>
      <c r="V17" s="6" t="n">
        <f aca="false">R17*3</f>
        <v>4116</v>
      </c>
      <c r="W17" s="6" t="n">
        <f aca="false">Parametry!$C$45</f>
        <v>6</v>
      </c>
      <c r="X17" s="6" t="s">
        <v>1564</v>
      </c>
      <c r="Y17" s="1" t="n">
        <f aca="false">G17/468</f>
        <v>1.43589743589744</v>
      </c>
      <c r="Z17" s="1" t="n">
        <v>221</v>
      </c>
      <c r="AA17" s="1" t="s">
        <v>1563</v>
      </c>
      <c r="AB17" s="1" t="n">
        <v>809</v>
      </c>
      <c r="AC17" s="1" t="n">
        <f aca="false">IF(AH17&gt;=2,MAX(1,ROUNDDOWN(AB17*Y17,0)),0)</f>
        <v>1161</v>
      </c>
      <c r="AD17" s="1" t="s">
        <v>1571</v>
      </c>
      <c r="AE17" s="1" t="n">
        <v>850</v>
      </c>
      <c r="AF17" s="1" t="n">
        <f aca="false">IF(AH17&gt;=3,MAX(1,ROUNDDOWN(AE17*Y17,0)),0)</f>
        <v>1220</v>
      </c>
      <c r="AG17" s="1" t="n">
        <v>956</v>
      </c>
      <c r="AH17" s="1" t="n">
        <v>3</v>
      </c>
    </row>
    <row r="19" customFormat="false" ht="26.25" hidden="false" customHeight="true" outlineLevel="0" collapsed="false">
      <c r="C19" s="1" t="s">
        <v>1592</v>
      </c>
    </row>
  </sheetData>
  <autoFilter ref="A5:AH19"/>
  <mergeCells count="2">
    <mergeCell ref="A1:X1"/>
    <mergeCell ref="A2:X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8"/>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15" customHeight="false" zeroHeight="false" outlineLevelRow="0" outlineLevelCol="0"/>
  <cols>
    <col collapsed="false" customWidth="true" hidden="false" outlineLevel="0" max="1" min="1" style="14" width="39"/>
    <col collapsed="false" customWidth="true" hidden="false" outlineLevel="0" max="3" min="2" style="14" width="29"/>
    <col collapsed="false" customWidth="true" hidden="false" outlineLevel="0" max="4" min="4" style="14" width="30"/>
    <col collapsed="false" customWidth="true" hidden="false" outlineLevel="0" max="7" min="5" style="14" width="25"/>
    <col collapsed="false" customWidth="true" hidden="false" outlineLevel="0" max="8" min="8" style="14" width="26"/>
    <col collapsed="false" customWidth="true" hidden="false" outlineLevel="0" max="10" min="9" style="14" width="28"/>
    <col collapsed="false" customWidth="true" hidden="false" outlineLevel="0" max="11" min="11" style="14" width="120"/>
  </cols>
  <sheetData>
    <row r="1" customFormat="false" ht="33.75" hidden="false" customHeight="true" outlineLevel="0" collapsed="false">
      <c r="A1" s="44" t="s">
        <v>1593</v>
      </c>
      <c r="B1" s="44"/>
      <c r="C1" s="44"/>
      <c r="D1" s="44"/>
      <c r="E1" s="44"/>
      <c r="F1" s="44"/>
      <c r="G1" s="44"/>
      <c r="H1" s="44"/>
      <c r="I1" s="44"/>
      <c r="J1" s="44"/>
      <c r="K1" s="44"/>
    </row>
    <row r="2" customFormat="false" ht="27" hidden="false" customHeight="true" outlineLevel="0" collapsed="false">
      <c r="A2" s="45" t="s">
        <v>1594</v>
      </c>
      <c r="B2" s="45"/>
      <c r="C2" s="45"/>
      <c r="D2" s="45"/>
      <c r="E2" s="45"/>
      <c r="F2" s="45"/>
      <c r="G2" s="45"/>
      <c r="H2" s="45"/>
      <c r="I2" s="45"/>
      <c r="J2" s="45"/>
      <c r="K2" s="45"/>
    </row>
    <row r="3" customFormat="false" ht="27" hidden="false" customHeight="true" outlineLevel="0" collapsed="false">
      <c r="A3" s="45"/>
      <c r="B3" s="45"/>
      <c r="C3" s="45"/>
      <c r="D3" s="45"/>
      <c r="E3" s="45"/>
      <c r="F3" s="45"/>
      <c r="G3" s="45"/>
      <c r="H3" s="45"/>
      <c r="I3" s="45"/>
      <c r="J3" s="45"/>
      <c r="K3" s="45"/>
    </row>
    <row r="5" customFormat="false" ht="45" hidden="false" customHeight="true" outlineLevel="0" collapsed="false">
      <c r="A5" s="11" t="s">
        <v>1309</v>
      </c>
      <c r="B5" s="11" t="s">
        <v>1595</v>
      </c>
      <c r="C5" s="11" t="s">
        <v>1596</v>
      </c>
      <c r="D5" s="11" t="s">
        <v>1597</v>
      </c>
      <c r="E5" s="11" t="s">
        <v>1598</v>
      </c>
      <c r="F5" s="11" t="s">
        <v>1599</v>
      </c>
      <c r="G5" s="11" t="s">
        <v>1600</v>
      </c>
      <c r="H5" s="11" t="s">
        <v>1601</v>
      </c>
      <c r="I5" s="11" t="s">
        <v>1602</v>
      </c>
      <c r="J5" s="11" t="s">
        <v>1603</v>
      </c>
      <c r="K5" s="11" t="s">
        <v>809</v>
      </c>
    </row>
    <row r="6" customFormat="false" ht="94.5" hidden="false" customHeight="true" outlineLevel="0" collapsed="false">
      <c r="A6" s="8" t="s">
        <v>1604</v>
      </c>
      <c r="B6" s="8" t="n">
        <v>10</v>
      </c>
      <c r="C6" s="8" t="n">
        <f aca="false">MAX(0,(Parametry!$C$45*3600-B6)/60)</f>
        <v>359.833333333333</v>
      </c>
      <c r="D6" s="8" t="n">
        <f aca="false">IF(B6&lt;15,3,IF(B6&lt;300,2,1))</f>
        <v>3</v>
      </c>
      <c r="E6" s="8" t="n">
        <v>200</v>
      </c>
      <c r="F6" s="8" t="n">
        <v>100</v>
      </c>
      <c r="G6" s="8" t="n">
        <f aca="false">MAX(0,E6-F6)</f>
        <v>100</v>
      </c>
      <c r="H6" s="8" t="n">
        <v>50</v>
      </c>
      <c r="I6" s="8" t="n">
        <f aca="false">IF(C6&gt;0,MIN(E6,F6+H6),0)</f>
        <v>150</v>
      </c>
      <c r="J6" s="8" t="n">
        <v>0</v>
      </c>
      <c r="K6" s="8" t="s">
        <v>1605</v>
      </c>
    </row>
    <row r="7" customFormat="false" ht="94.5" hidden="false" customHeight="true" outlineLevel="0" collapsed="false">
      <c r="A7" s="7" t="s">
        <v>1606</v>
      </c>
      <c r="B7" s="7" t="n">
        <v>120</v>
      </c>
      <c r="C7" s="7" t="n">
        <f aca="false">MAX(0,(Parametry!$C$45*3600-B7)/60)</f>
        <v>358</v>
      </c>
      <c r="D7" s="7" t="n">
        <f aca="false">IF(B7&lt;15,3,IF(B7&lt;300,2,1))</f>
        <v>2</v>
      </c>
      <c r="E7" s="7" t="n">
        <v>400</v>
      </c>
      <c r="F7" s="7" t="n">
        <v>100</v>
      </c>
      <c r="G7" s="7" t="n">
        <f aca="false">MAX(0,E7-F7)</f>
        <v>300</v>
      </c>
      <c r="H7" s="7" t="n">
        <v>300</v>
      </c>
      <c r="I7" s="7" t="n">
        <f aca="false">IF(C7&gt;0,MIN(E7,F7+H7),0)</f>
        <v>400</v>
      </c>
      <c r="J7" s="7" t="n">
        <v>0</v>
      </c>
      <c r="K7" s="7" t="s">
        <v>1605</v>
      </c>
    </row>
    <row r="8" customFormat="false" ht="94.5" hidden="false" customHeight="true" outlineLevel="0" collapsed="false">
      <c r="A8" s="8" t="s">
        <v>1607</v>
      </c>
      <c r="B8" s="8" t="n">
        <v>1800</v>
      </c>
      <c r="C8" s="8" t="n">
        <f aca="false">MAX(0,(Parametry!$C$45*3600-B8)/60)</f>
        <v>330</v>
      </c>
      <c r="D8" s="8" t="n">
        <f aca="false">IF(B8&lt;15,3,IF(B8&lt;300,2,1))</f>
        <v>1</v>
      </c>
      <c r="E8" s="8" t="n">
        <v>1200</v>
      </c>
      <c r="F8" s="8" t="n">
        <v>600</v>
      </c>
      <c r="G8" s="8" t="n">
        <f aca="false">MAX(0,E8-F8)</f>
        <v>600</v>
      </c>
      <c r="H8" s="8" t="n">
        <v>100</v>
      </c>
      <c r="I8" s="8" t="n">
        <f aca="false">IF(C8&gt;0,MIN(E8,F8+H8),0)</f>
        <v>700</v>
      </c>
      <c r="J8" s="8" t="n">
        <v>0</v>
      </c>
      <c r="K8" s="8" t="s">
        <v>1605</v>
      </c>
    </row>
    <row r="9" customFormat="false" ht="94.5" hidden="false" customHeight="true" outlineLevel="0" collapsed="false">
      <c r="A9" s="7" t="s">
        <v>1608</v>
      </c>
      <c r="B9" s="7" t="n">
        <v>15</v>
      </c>
      <c r="C9" s="7" t="n">
        <f aca="false">MAX(0,(Parametry!$C$45*3600-B9)/60)</f>
        <v>359.75</v>
      </c>
      <c r="D9" s="7" t="n">
        <f aca="false">IF(B9&lt;15,3,IF(B9&lt;300,2,1))</f>
        <v>2</v>
      </c>
      <c r="E9" s="7" t="n">
        <v>200</v>
      </c>
      <c r="F9" s="7" t="n">
        <v>0</v>
      </c>
      <c r="G9" s="7" t="n">
        <f aca="false">MAX(0,E9-F9)</f>
        <v>200</v>
      </c>
      <c r="H9" s="7" t="n">
        <v>0</v>
      </c>
      <c r="I9" s="7" t="n">
        <f aca="false">IF(C9&gt;0,MIN(E9,F9+H9),0)</f>
        <v>0</v>
      </c>
      <c r="J9" s="7" t="n">
        <v>0</v>
      </c>
      <c r="K9" s="7" t="s">
        <v>1605</v>
      </c>
    </row>
    <row r="10" customFormat="false" ht="94.5" hidden="false" customHeight="true" outlineLevel="0" collapsed="false">
      <c r="A10" s="8" t="s">
        <v>1609</v>
      </c>
      <c r="B10" s="8" t="n">
        <v>300</v>
      </c>
      <c r="C10" s="8" t="n">
        <f aca="false">MAX(0,(Parametry!$C$45*3600-B10)/60)</f>
        <v>355</v>
      </c>
      <c r="D10" s="8" t="n">
        <f aca="false">IF(B10&lt;15,3,IF(B10&lt;300,2,1))</f>
        <v>1</v>
      </c>
      <c r="E10" s="8" t="n">
        <v>200</v>
      </c>
      <c r="F10" s="8" t="n">
        <v>0</v>
      </c>
      <c r="G10" s="8" t="n">
        <f aca="false">MAX(0,E10-F10)</f>
        <v>200</v>
      </c>
      <c r="H10" s="8" t="n">
        <v>0</v>
      </c>
      <c r="I10" s="8" t="n">
        <f aca="false">IF(C10&gt;0,MIN(E10,F10+H10),0)</f>
        <v>0</v>
      </c>
      <c r="J10" s="8" t="n">
        <v>0</v>
      </c>
      <c r="K10" s="8" t="s">
        <v>1605</v>
      </c>
    </row>
    <row r="11" customFormat="false" ht="94.5" hidden="false" customHeight="true" outlineLevel="0" collapsed="false">
      <c r="A11" s="7" t="s">
        <v>1610</v>
      </c>
      <c r="B11" s="7" t="n">
        <v>21600</v>
      </c>
      <c r="C11" s="7" t="n">
        <f aca="false">MAX(0,(Parametry!$C$45*3600-B11)/60)</f>
        <v>0</v>
      </c>
      <c r="D11" s="7" t="n">
        <f aca="false">IF(B11&lt;15,3,IF(B11&lt;300,2,1))</f>
        <v>1</v>
      </c>
      <c r="E11" s="7" t="n">
        <v>200</v>
      </c>
      <c r="F11" s="7" t="n">
        <v>100</v>
      </c>
      <c r="G11" s="7" t="n">
        <f aca="false">MAX(0,E11-F11)</f>
        <v>100</v>
      </c>
      <c r="H11" s="7" t="n">
        <v>0</v>
      </c>
      <c r="I11" s="7" t="n">
        <f aca="false">IF(C11&gt;0,MIN(E11,F11+H11),0)</f>
        <v>0</v>
      </c>
      <c r="J11" s="7" t="n">
        <v>0</v>
      </c>
      <c r="K11" s="7" t="s">
        <v>1605</v>
      </c>
    </row>
    <row r="13" customFormat="false" ht="15" hidden="false" customHeight="true" outlineLevel="0" collapsed="false">
      <c r="A13" s="14" t="s">
        <v>1611</v>
      </c>
    </row>
    <row r="14" customFormat="false" ht="79.5" hidden="false" customHeight="true" outlineLevel="0" collapsed="false">
      <c r="A14" s="8" t="s">
        <v>1612</v>
      </c>
      <c r="B14" s="8" t="s">
        <v>1613</v>
      </c>
      <c r="C14" s="8" t="s">
        <v>1614</v>
      </c>
      <c r="D14" s="8" t="s">
        <v>1615</v>
      </c>
    </row>
    <row r="15" customFormat="false" ht="79.5" hidden="false" customHeight="true" outlineLevel="0" collapsed="false">
      <c r="A15" s="7" t="s">
        <v>1616</v>
      </c>
      <c r="B15" s="7" t="s">
        <v>1617</v>
      </c>
      <c r="C15" s="7" t="s">
        <v>1614</v>
      </c>
      <c r="D15" s="7" t="s">
        <v>1618</v>
      </c>
    </row>
    <row r="16" customFormat="false" ht="79.5" hidden="false" customHeight="true" outlineLevel="0" collapsed="false">
      <c r="A16" s="8" t="s">
        <v>1619</v>
      </c>
      <c r="B16" s="8" t="s">
        <v>1620</v>
      </c>
      <c r="C16" s="8" t="s">
        <v>1621</v>
      </c>
      <c r="D16" s="8" t="s">
        <v>1622</v>
      </c>
    </row>
    <row r="17" customFormat="false" ht="79.5" hidden="false" customHeight="true" outlineLevel="0" collapsed="false">
      <c r="A17" s="7" t="s">
        <v>1623</v>
      </c>
      <c r="B17" s="7" t="s">
        <v>1614</v>
      </c>
      <c r="C17" s="7" t="s">
        <v>1624</v>
      </c>
      <c r="D17" s="7" t="s">
        <v>1625</v>
      </c>
    </row>
    <row r="18" customFormat="false" ht="79.5" hidden="false" customHeight="true" outlineLevel="0" collapsed="false">
      <c r="A18" s="8" t="s">
        <v>1626</v>
      </c>
      <c r="B18" s="8" t="s">
        <v>1614</v>
      </c>
      <c r="C18" s="8" t="s">
        <v>1624</v>
      </c>
      <c r="D18" s="8" t="s">
        <v>1627</v>
      </c>
    </row>
  </sheetData>
  <autoFilter ref="A5:K18"/>
  <mergeCells count="2">
    <mergeCell ref="A1:K1"/>
    <mergeCell ref="A2:K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7"/>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15" activePane="bottomRight" state="frozen"/>
      <selection pane="topLeft" activeCell="A1" activeCellId="0" sqref="A1"/>
      <selection pane="topRight" activeCell="B1" activeCellId="0" sqref="B1"/>
      <selection pane="bottomLeft" activeCell="A15" activeCellId="0" sqref="A15"/>
      <selection pane="bottomRight" activeCell="B9" activeCellId="0" sqref="B9"/>
    </sheetView>
  </sheetViews>
  <sheetFormatPr defaultColWidth="8.71484375" defaultRowHeight="26.25" customHeight="false" zeroHeight="false" outlineLevelRow="0" outlineLevelCol="0"/>
  <cols>
    <col collapsed="false" customWidth="true" hidden="false" outlineLevel="0" max="1" min="1" style="1" width="37"/>
    <col collapsed="false" customWidth="true" hidden="false" outlineLevel="0" max="2" min="2" style="1" width="110"/>
    <col collapsed="false" customWidth="true" hidden="false" outlineLevel="0" max="3" min="3" style="1" width="135"/>
    <col collapsed="false" customWidth="true" hidden="false" outlineLevel="0" max="4" min="4" style="1" width="63"/>
    <col collapsed="false" customWidth="false" hidden="false" outlineLevel="0" max="16384" min="5" style="1" width="8.71"/>
  </cols>
  <sheetData>
    <row r="1" customFormat="false" ht="33.75" hidden="false" customHeight="true" outlineLevel="0" collapsed="false">
      <c r="A1" s="21" t="s">
        <v>1628</v>
      </c>
      <c r="B1" s="21"/>
      <c r="C1" s="21"/>
      <c r="D1" s="21"/>
    </row>
    <row r="2" customFormat="false" ht="27" hidden="false" customHeight="true" outlineLevel="0" collapsed="false">
      <c r="A2" s="3" t="s">
        <v>1629</v>
      </c>
      <c r="B2" s="3"/>
      <c r="C2" s="3"/>
      <c r="D2" s="3"/>
    </row>
    <row r="3" customFormat="false" ht="27" hidden="false" customHeight="true" outlineLevel="0" collapsed="false">
      <c r="A3" s="3"/>
      <c r="B3" s="3"/>
      <c r="C3" s="3"/>
      <c r="D3" s="3"/>
    </row>
    <row r="5" customFormat="false" ht="45" hidden="false" customHeight="true" outlineLevel="0" collapsed="false">
      <c r="A5" s="4" t="s">
        <v>2</v>
      </c>
      <c r="B5" s="4" t="s">
        <v>567</v>
      </c>
      <c r="C5" s="4" t="s">
        <v>809</v>
      </c>
      <c r="D5" s="4" t="s">
        <v>322</v>
      </c>
    </row>
    <row r="6" customFormat="false" ht="109.5" hidden="false" customHeight="true" outlineLevel="0" collapsed="false">
      <c r="A6" s="5" t="s">
        <v>1630</v>
      </c>
      <c r="B6" s="5" t="s">
        <v>1631</v>
      </c>
      <c r="C6" s="5" t="s">
        <v>1632</v>
      </c>
      <c r="D6" s="5" t="s">
        <v>1633</v>
      </c>
    </row>
    <row r="7" customFormat="false" ht="109.5" hidden="false" customHeight="true" outlineLevel="0" collapsed="false">
      <c r="A7" s="6" t="s">
        <v>1634</v>
      </c>
      <c r="B7" s="6" t="s">
        <v>1635</v>
      </c>
      <c r="C7" s="6" t="s">
        <v>1636</v>
      </c>
      <c r="D7" s="6" t="s">
        <v>1637</v>
      </c>
    </row>
    <row r="8" customFormat="false" ht="109.5" hidden="false" customHeight="true" outlineLevel="0" collapsed="false">
      <c r="A8" s="5" t="s">
        <v>1335</v>
      </c>
      <c r="B8" s="5" t="s">
        <v>1638</v>
      </c>
      <c r="C8" s="5" t="s">
        <v>1639</v>
      </c>
      <c r="D8" s="5" t="s">
        <v>1187</v>
      </c>
    </row>
    <row r="9" customFormat="false" ht="109.5" hidden="false" customHeight="true" outlineLevel="0" collapsed="false">
      <c r="A9" s="6" t="s">
        <v>1640</v>
      </c>
      <c r="B9" s="6" t="s">
        <v>1641</v>
      </c>
      <c r="C9" s="6" t="s">
        <v>1642</v>
      </c>
      <c r="D9" s="6" t="s">
        <v>1187</v>
      </c>
    </row>
    <row r="10" customFormat="false" ht="109.5" hidden="false" customHeight="true" outlineLevel="0" collapsed="false">
      <c r="A10" s="5" t="s">
        <v>1643</v>
      </c>
      <c r="B10" s="5" t="s">
        <v>1644</v>
      </c>
      <c r="C10" s="5" t="s">
        <v>1645</v>
      </c>
      <c r="D10" s="5" t="s">
        <v>1187</v>
      </c>
    </row>
    <row r="11" customFormat="false" ht="109.5" hidden="false" customHeight="true" outlineLevel="0" collapsed="false">
      <c r="A11" s="6" t="s">
        <v>1646</v>
      </c>
      <c r="B11" s="6" t="s">
        <v>1647</v>
      </c>
      <c r="C11" s="6" t="s">
        <v>1648</v>
      </c>
      <c r="D11" s="6" t="s">
        <v>1649</v>
      </c>
    </row>
    <row r="12" customFormat="false" ht="109.5" hidden="false" customHeight="true" outlineLevel="0" collapsed="false">
      <c r="A12" s="5" t="s">
        <v>1650</v>
      </c>
      <c r="B12" s="5" t="s">
        <v>1651</v>
      </c>
      <c r="C12" s="5" t="s">
        <v>1652</v>
      </c>
      <c r="D12" s="5" t="s">
        <v>1653</v>
      </c>
    </row>
    <row r="13" customFormat="false" ht="109.5" hidden="false" customHeight="true" outlineLevel="0" collapsed="false">
      <c r="A13" s="6" t="s">
        <v>1654</v>
      </c>
      <c r="B13" s="6" t="s">
        <v>1655</v>
      </c>
      <c r="C13" s="6" t="s">
        <v>1656</v>
      </c>
      <c r="D13" s="6" t="s">
        <v>1657</v>
      </c>
    </row>
    <row r="14" customFormat="false" ht="109.5" hidden="false" customHeight="true" outlineLevel="0" collapsed="false">
      <c r="A14" s="5" t="s">
        <v>1658</v>
      </c>
      <c r="B14" s="5" t="s">
        <v>1659</v>
      </c>
      <c r="C14" s="5" t="s">
        <v>1660</v>
      </c>
      <c r="D14" s="5" t="s">
        <v>1661</v>
      </c>
    </row>
    <row r="15" customFormat="false" ht="109.5" hidden="false" customHeight="true" outlineLevel="0" collapsed="false">
      <c r="A15" s="6" t="s">
        <v>1662</v>
      </c>
      <c r="B15" s="6" t="s">
        <v>1663</v>
      </c>
      <c r="C15" s="6" t="s">
        <v>1664</v>
      </c>
      <c r="D15" s="6" t="s">
        <v>1187</v>
      </c>
    </row>
    <row r="16" customFormat="false" ht="109.5" hidden="false" customHeight="true" outlineLevel="0" collapsed="false">
      <c r="A16" s="5" t="s">
        <v>1665</v>
      </c>
      <c r="B16" s="5" t="s">
        <v>1666</v>
      </c>
      <c r="C16" s="5" t="s">
        <v>1667</v>
      </c>
      <c r="D16" s="5" t="s">
        <v>1668</v>
      </c>
    </row>
    <row r="17" customFormat="false" ht="109.5" hidden="false" customHeight="true" outlineLevel="0" collapsed="false">
      <c r="A17" s="6" t="s">
        <v>1669</v>
      </c>
      <c r="B17" s="6" t="s">
        <v>1670</v>
      </c>
      <c r="C17" s="6" t="s">
        <v>1671</v>
      </c>
      <c r="D17" s="6" t="s">
        <v>1672</v>
      </c>
    </row>
  </sheetData>
  <autoFilter ref="A5:D17"/>
  <mergeCells count="2">
    <mergeCell ref="A1:D1"/>
    <mergeCell ref="A2:D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9"/>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14" width="27"/>
    <col collapsed="false" customWidth="true" hidden="false" outlineLevel="0" max="2" min="2" style="14" width="33"/>
    <col collapsed="false" customWidth="true" hidden="false" outlineLevel="0" max="3" min="3" style="14" width="37"/>
    <col collapsed="false" customWidth="true" hidden="false" outlineLevel="0" max="4" min="4" style="14" width="35"/>
    <col collapsed="false" customWidth="true" hidden="false" outlineLevel="0" max="5" min="5" style="14" width="42"/>
    <col collapsed="false" customWidth="true" hidden="false" outlineLevel="0" max="6" min="6" style="14" width="52"/>
    <col collapsed="false" customWidth="true" hidden="false" outlineLevel="0" max="7" min="7" style="14" width="120"/>
  </cols>
  <sheetData>
    <row r="1" customFormat="false" ht="33.75" hidden="false" customHeight="true" outlineLevel="0" collapsed="false">
      <c r="A1" s="44" t="s">
        <v>1673</v>
      </c>
      <c r="B1" s="44"/>
      <c r="C1" s="44"/>
      <c r="D1" s="44"/>
      <c r="E1" s="44"/>
      <c r="F1" s="44"/>
      <c r="G1" s="44"/>
    </row>
    <row r="2" customFormat="false" ht="27" hidden="false" customHeight="true" outlineLevel="0" collapsed="false">
      <c r="A2" s="45" t="s">
        <v>1674</v>
      </c>
      <c r="B2" s="45"/>
      <c r="C2" s="45"/>
      <c r="D2" s="45"/>
      <c r="E2" s="45"/>
      <c r="F2" s="45"/>
      <c r="G2" s="45"/>
    </row>
    <row r="3" customFormat="false" ht="27" hidden="false" customHeight="true" outlineLevel="0" collapsed="false">
      <c r="A3" s="45"/>
      <c r="B3" s="45"/>
      <c r="C3" s="45"/>
      <c r="D3" s="45"/>
      <c r="E3" s="45"/>
      <c r="F3" s="45"/>
      <c r="G3" s="45"/>
    </row>
    <row r="5" customFormat="false" ht="45" hidden="false" customHeight="true" outlineLevel="0" collapsed="false">
      <c r="A5" s="11" t="s">
        <v>1675</v>
      </c>
      <c r="B5" s="11" t="s">
        <v>1676</v>
      </c>
      <c r="C5" s="11" t="s">
        <v>1677</v>
      </c>
      <c r="D5" s="11" t="s">
        <v>1678</v>
      </c>
      <c r="E5" s="11" t="s">
        <v>1679</v>
      </c>
      <c r="F5" s="11" t="s">
        <v>1680</v>
      </c>
      <c r="G5" s="11" t="s">
        <v>809</v>
      </c>
    </row>
    <row r="6" customFormat="false" ht="75" hidden="false" customHeight="true" outlineLevel="0" collapsed="false">
      <c r="A6" s="8" t="n">
        <v>1</v>
      </c>
      <c r="B6" s="8" t="n">
        <f aca="false">Parametry!$C$48*Parametry!$C$49^(A6-1)</f>
        <v>50</v>
      </c>
      <c r="C6" s="8" t="n">
        <f aca="false">IF(A6=1,B6,B6/2)</f>
        <v>50</v>
      </c>
      <c r="D6" s="8" t="n">
        <v>0</v>
      </c>
      <c r="E6" s="48" t="n">
        <f aca="false">B6/Parametry!$C$41</f>
        <v>5</v>
      </c>
      <c r="F6" s="8" t="s">
        <v>1681</v>
      </c>
      <c r="G6" s="8" t="s">
        <v>1682</v>
      </c>
    </row>
    <row r="7" customFormat="false" ht="75" hidden="false" customHeight="true" outlineLevel="0" collapsed="false">
      <c r="A7" s="7" t="n">
        <v>2</v>
      </c>
      <c r="B7" s="7" t="n">
        <f aca="false">Parametry!$C$48*Parametry!$C$49^(A7-1)</f>
        <v>100</v>
      </c>
      <c r="C7" s="7" t="n">
        <f aca="false">IF(A7=1,B7,B7/2)</f>
        <v>50</v>
      </c>
      <c r="D7" s="7" t="n">
        <v>0</v>
      </c>
      <c r="E7" s="49" t="n">
        <f aca="false">B7/Parametry!$C$41</f>
        <v>10</v>
      </c>
      <c r="F7" s="7" t="s">
        <v>1681</v>
      </c>
      <c r="G7" s="7" t="s">
        <v>1682</v>
      </c>
    </row>
    <row r="8" customFormat="false" ht="75" hidden="false" customHeight="true" outlineLevel="0" collapsed="false">
      <c r="A8" s="8" t="n">
        <v>3</v>
      </c>
      <c r="B8" s="8" t="n">
        <f aca="false">Parametry!$C$48*Parametry!$C$49^(A8-1)</f>
        <v>200</v>
      </c>
      <c r="C8" s="8" t="n">
        <f aca="false">IF(A8=1,B8,B8/2)</f>
        <v>100</v>
      </c>
      <c r="D8" s="8" t="n">
        <v>0</v>
      </c>
      <c r="E8" s="48" t="n">
        <f aca="false">B8/Parametry!$C$41</f>
        <v>20</v>
      </c>
      <c r="F8" s="8" t="s">
        <v>1681</v>
      </c>
      <c r="G8" s="8" t="s">
        <v>1682</v>
      </c>
    </row>
    <row r="9" customFormat="false" ht="75" hidden="false" customHeight="true" outlineLevel="0" collapsed="false">
      <c r="A9" s="7" t="n">
        <v>4</v>
      </c>
      <c r="B9" s="7" t="n">
        <f aca="false">Parametry!$C$48*Parametry!$C$49^(A9-1)</f>
        <v>400</v>
      </c>
      <c r="C9" s="7" t="n">
        <f aca="false">IF(A9=1,B9,B9/2)</f>
        <v>200</v>
      </c>
      <c r="D9" s="7" t="n">
        <v>0</v>
      </c>
      <c r="E9" s="49" t="n">
        <f aca="false">B9/Parametry!$C$41</f>
        <v>40</v>
      </c>
      <c r="F9" s="7" t="s">
        <v>1681</v>
      </c>
      <c r="G9" s="7" t="s">
        <v>1682</v>
      </c>
    </row>
    <row r="10" customFormat="false" ht="75" hidden="false" customHeight="true" outlineLevel="0" collapsed="false">
      <c r="A10" s="8" t="n">
        <v>5</v>
      </c>
      <c r="B10" s="8" t="n">
        <f aca="false">Parametry!$C$48*Parametry!$C$49^(A10-1)</f>
        <v>800</v>
      </c>
      <c r="C10" s="8" t="n">
        <f aca="false">IF(A10=1,B10,B10/2)</f>
        <v>400</v>
      </c>
      <c r="D10" s="8" t="n">
        <v>0</v>
      </c>
      <c r="E10" s="48" t="n">
        <f aca="false">B10/Parametry!$C$41</f>
        <v>80</v>
      </c>
      <c r="F10" s="8" t="s">
        <v>1681</v>
      </c>
      <c r="G10" s="8" t="s">
        <v>1682</v>
      </c>
    </row>
    <row r="11" customFormat="false" ht="75" hidden="false" customHeight="true" outlineLevel="0" collapsed="false">
      <c r="A11" s="7" t="n">
        <v>6</v>
      </c>
      <c r="B11" s="7" t="n">
        <f aca="false">Parametry!$C$48*Parametry!$C$49^(A11-1)</f>
        <v>1600</v>
      </c>
      <c r="C11" s="7" t="n">
        <f aca="false">IF(A11=1,B11,B11/2)</f>
        <v>800</v>
      </c>
      <c r="D11" s="7" t="n">
        <v>0</v>
      </c>
      <c r="E11" s="49" t="n">
        <f aca="false">B11/Parametry!$C$41</f>
        <v>160</v>
      </c>
      <c r="F11" s="7" t="s">
        <v>1681</v>
      </c>
      <c r="G11" s="7" t="s">
        <v>1682</v>
      </c>
    </row>
    <row r="12" customFormat="false" ht="75" hidden="false" customHeight="true" outlineLevel="0" collapsed="false">
      <c r="A12" s="8" t="n">
        <v>7</v>
      </c>
      <c r="B12" s="8" t="n">
        <f aca="false">Parametry!$C$48*Parametry!$C$49^(A12-1)</f>
        <v>3200</v>
      </c>
      <c r="C12" s="8" t="n">
        <f aca="false">IF(A12=1,B12,B12/2)</f>
        <v>1600</v>
      </c>
      <c r="D12" s="8" t="n">
        <v>0</v>
      </c>
      <c r="E12" s="48" t="n">
        <f aca="false">B12/Parametry!$C$41</f>
        <v>320</v>
      </c>
      <c r="F12" s="8" t="s">
        <v>1681</v>
      </c>
      <c r="G12" s="8" t="s">
        <v>1682</v>
      </c>
    </row>
    <row r="13" customFormat="false" ht="75" hidden="false" customHeight="true" outlineLevel="0" collapsed="false">
      <c r="A13" s="7" t="n">
        <v>8</v>
      </c>
      <c r="B13" s="7" t="n">
        <f aca="false">Parametry!$C$48*Parametry!$C$49^(A13-1)</f>
        <v>6400</v>
      </c>
      <c r="C13" s="7" t="n">
        <f aca="false">IF(A13=1,B13,B13/2)</f>
        <v>3200</v>
      </c>
      <c r="D13" s="7" t="n">
        <v>0</v>
      </c>
      <c r="E13" s="49" t="n">
        <f aca="false">B13/Parametry!$C$41</f>
        <v>640</v>
      </c>
      <c r="F13" s="7" t="s">
        <v>1681</v>
      </c>
      <c r="G13" s="7" t="s">
        <v>1682</v>
      </c>
    </row>
    <row r="14" customFormat="false" ht="75" hidden="false" customHeight="true" outlineLevel="0" collapsed="false">
      <c r="A14" s="8" t="n">
        <v>9</v>
      </c>
      <c r="B14" s="8" t="n">
        <f aca="false">Parametry!$C$48*Parametry!$C$49^(A14-1)</f>
        <v>12800</v>
      </c>
      <c r="C14" s="8" t="n">
        <f aca="false">IF(A14=1,B14,B14/2)</f>
        <v>6400</v>
      </c>
      <c r="D14" s="8" t="n">
        <v>0</v>
      </c>
      <c r="E14" s="48" t="n">
        <f aca="false">B14/Parametry!$C$41</f>
        <v>1280</v>
      </c>
      <c r="F14" s="8" t="s">
        <v>1681</v>
      </c>
      <c r="G14" s="8" t="s">
        <v>1682</v>
      </c>
    </row>
    <row r="15" customFormat="false" ht="75" hidden="false" customHeight="true" outlineLevel="0" collapsed="false">
      <c r="A15" s="7" t="n">
        <v>10</v>
      </c>
      <c r="B15" s="7" t="n">
        <f aca="false">Parametry!$C$48*Parametry!$C$49^(A15-1)</f>
        <v>25600</v>
      </c>
      <c r="C15" s="7" t="n">
        <f aca="false">IF(A15=1,B15,B15/2)</f>
        <v>12800</v>
      </c>
      <c r="D15" s="7" t="n">
        <v>0</v>
      </c>
      <c r="E15" s="49" t="n">
        <f aca="false">B15/Parametry!$C$41</f>
        <v>2560</v>
      </c>
      <c r="F15" s="7" t="s">
        <v>1681</v>
      </c>
      <c r="G15" s="7" t="s">
        <v>1682</v>
      </c>
    </row>
    <row r="16" customFormat="false" ht="75" hidden="false" customHeight="true" outlineLevel="0" collapsed="false">
      <c r="A16" s="8" t="n">
        <v>11</v>
      </c>
      <c r="B16" s="8" t="n">
        <f aca="false">Parametry!$C$48*Parametry!$C$49^(A16-1)</f>
        <v>51200</v>
      </c>
      <c r="C16" s="8" t="n">
        <f aca="false">IF(A16=1,B16,B16/2)</f>
        <v>25600</v>
      </c>
      <c r="D16" s="8" t="n">
        <v>0</v>
      </c>
      <c r="E16" s="48" t="n">
        <f aca="false">B16/Parametry!$C$41</f>
        <v>5120</v>
      </c>
      <c r="F16" s="8" t="s">
        <v>1681</v>
      </c>
      <c r="G16" s="8" t="s">
        <v>1682</v>
      </c>
    </row>
    <row r="17" customFormat="false" ht="75" hidden="false" customHeight="true" outlineLevel="0" collapsed="false">
      <c r="A17" s="7" t="n">
        <v>12</v>
      </c>
      <c r="B17" s="7" t="n">
        <f aca="false">Parametry!$C$48*Parametry!$C$49^(A17-1)</f>
        <v>102400</v>
      </c>
      <c r="C17" s="7" t="n">
        <f aca="false">IF(A17=1,B17,B17/2)</f>
        <v>51200</v>
      </c>
      <c r="D17" s="7" t="n">
        <v>0</v>
      </c>
      <c r="E17" s="49" t="n">
        <f aca="false">B17/Parametry!$C$41</f>
        <v>10240</v>
      </c>
      <c r="F17" s="7" t="s">
        <v>1681</v>
      </c>
      <c r="G17" s="7" t="s">
        <v>1682</v>
      </c>
    </row>
    <row r="18" customFormat="false" ht="75" hidden="false" customHeight="true" outlineLevel="0" collapsed="false">
      <c r="A18" s="8" t="n">
        <v>15</v>
      </c>
      <c r="B18" s="8" t="n">
        <f aca="false">Parametry!$C$48*Parametry!$C$49^(A18-1)</f>
        <v>819200</v>
      </c>
      <c r="C18" s="8" t="n">
        <f aca="false">IF(A18=1,B18,B18/2)</f>
        <v>409600</v>
      </c>
      <c r="D18" s="8" t="n">
        <v>0</v>
      </c>
      <c r="E18" s="48" t="n">
        <f aca="false">B18/Parametry!$C$41</f>
        <v>81920</v>
      </c>
      <c r="F18" s="8" t="s">
        <v>1681</v>
      </c>
      <c r="G18" s="8" t="s">
        <v>1682</v>
      </c>
    </row>
    <row r="19" customFormat="false" ht="75" hidden="false" customHeight="true" outlineLevel="0" collapsed="false">
      <c r="A19" s="7" t="n">
        <v>20</v>
      </c>
      <c r="B19" s="7" t="n">
        <f aca="false">Parametry!$C$48*Parametry!$C$49^(A19-1)</f>
        <v>26214400</v>
      </c>
      <c r="C19" s="7" t="n">
        <f aca="false">IF(A19=1,B19,B19/2)</f>
        <v>13107200</v>
      </c>
      <c r="D19" s="7" t="n">
        <v>0</v>
      </c>
      <c r="E19" s="49" t="n">
        <f aca="false">B19/Parametry!$C$41</f>
        <v>2621440</v>
      </c>
      <c r="F19" s="7" t="s">
        <v>1681</v>
      </c>
      <c r="G19" s="7" t="s">
        <v>1682</v>
      </c>
    </row>
  </sheetData>
  <autoFilter ref="A5:G19"/>
  <mergeCells count="2">
    <mergeCell ref="A1:G1"/>
    <mergeCell ref="A2:G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9"/>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14" width="49"/>
    <col collapsed="false" customWidth="true" hidden="false" outlineLevel="0" max="2" min="2" style="14" width="145"/>
    <col collapsed="false" customWidth="true" hidden="false" outlineLevel="0" max="3" min="3" style="14" width="120"/>
  </cols>
  <sheetData>
    <row r="1" customFormat="false" ht="33.75" hidden="false" customHeight="true" outlineLevel="0" collapsed="false">
      <c r="A1" s="44" t="s">
        <v>1683</v>
      </c>
      <c r="B1" s="44"/>
      <c r="C1" s="44"/>
    </row>
    <row r="2" customFormat="false" ht="27" hidden="false" customHeight="true" outlineLevel="0" collapsed="false">
      <c r="A2" s="45" t="s">
        <v>1684</v>
      </c>
      <c r="B2" s="45"/>
      <c r="C2" s="45"/>
    </row>
    <row r="3" customFormat="false" ht="27" hidden="false" customHeight="true" outlineLevel="0" collapsed="false">
      <c r="A3" s="45"/>
      <c r="B3" s="45"/>
      <c r="C3" s="45"/>
    </row>
    <row r="5" customFormat="false" ht="45" hidden="false" customHeight="true" outlineLevel="0" collapsed="false">
      <c r="A5" s="11" t="s">
        <v>391</v>
      </c>
      <c r="B5" s="11" t="s">
        <v>1685</v>
      </c>
      <c r="C5" s="11" t="s">
        <v>1686</v>
      </c>
    </row>
    <row r="6" customFormat="false" ht="109.5" hidden="false" customHeight="true" outlineLevel="0" collapsed="false">
      <c r="A6" s="8" t="s">
        <v>1687</v>
      </c>
      <c r="B6" s="8" t="s">
        <v>1688</v>
      </c>
      <c r="C6" s="8" t="s">
        <v>1689</v>
      </c>
    </row>
    <row r="7" customFormat="false" ht="109.5" hidden="false" customHeight="true" outlineLevel="0" collapsed="false">
      <c r="A7" s="7" t="s">
        <v>1690</v>
      </c>
      <c r="B7" s="7" t="s">
        <v>1691</v>
      </c>
      <c r="C7" s="7" t="s">
        <v>1692</v>
      </c>
    </row>
    <row r="8" customFormat="false" ht="109.5" hidden="false" customHeight="true" outlineLevel="0" collapsed="false">
      <c r="A8" s="8" t="s">
        <v>1693</v>
      </c>
      <c r="B8" s="8" t="s">
        <v>1694</v>
      </c>
      <c r="C8" s="8" t="s">
        <v>1695</v>
      </c>
    </row>
    <row r="9" customFormat="false" ht="109.5" hidden="false" customHeight="true" outlineLevel="0" collapsed="false">
      <c r="A9" s="7" t="s">
        <v>1696</v>
      </c>
      <c r="B9" s="7" t="s">
        <v>1697</v>
      </c>
      <c r="C9" s="7" t="s">
        <v>1698</v>
      </c>
    </row>
    <row r="10" customFormat="false" ht="109.5" hidden="false" customHeight="true" outlineLevel="0" collapsed="false">
      <c r="A10" s="8" t="s">
        <v>1699</v>
      </c>
      <c r="B10" s="8" t="s">
        <v>1700</v>
      </c>
      <c r="C10" s="8" t="s">
        <v>1701</v>
      </c>
    </row>
    <row r="11" customFormat="false" ht="109.5" hidden="false" customHeight="true" outlineLevel="0" collapsed="false">
      <c r="A11" s="7" t="s">
        <v>53</v>
      </c>
      <c r="B11" s="7" t="s">
        <v>1702</v>
      </c>
      <c r="C11" s="7" t="s">
        <v>1703</v>
      </c>
    </row>
    <row r="12" customFormat="false" ht="109.5" hidden="false" customHeight="true" outlineLevel="0" collapsed="false">
      <c r="A12" s="8" t="s">
        <v>53</v>
      </c>
      <c r="B12" s="8" t="s">
        <v>1704</v>
      </c>
      <c r="C12" s="8" t="s">
        <v>1703</v>
      </c>
    </row>
    <row r="13" customFormat="false" ht="109.5" hidden="false" customHeight="true" outlineLevel="0" collapsed="false">
      <c r="A13" s="7" t="s">
        <v>53</v>
      </c>
      <c r="B13" s="7" t="s">
        <v>1705</v>
      </c>
      <c r="C13" s="7" t="s">
        <v>1703</v>
      </c>
    </row>
    <row r="14" customFormat="false" ht="109.5" hidden="false" customHeight="true" outlineLevel="0" collapsed="false">
      <c r="A14" s="8" t="s">
        <v>53</v>
      </c>
      <c r="B14" s="8" t="s">
        <v>1706</v>
      </c>
      <c r="C14" s="8" t="s">
        <v>1707</v>
      </c>
    </row>
    <row r="15" customFormat="false" ht="109.5" hidden="false" customHeight="true" outlineLevel="0" collapsed="false">
      <c r="A15" s="7" t="s">
        <v>1708</v>
      </c>
      <c r="B15" s="7" t="s">
        <v>1709</v>
      </c>
      <c r="C15" s="7" t="s">
        <v>1710</v>
      </c>
    </row>
    <row r="16" customFormat="false" ht="109.5" hidden="false" customHeight="true" outlineLevel="0" collapsed="false">
      <c r="A16" s="8" t="s">
        <v>1711</v>
      </c>
      <c r="B16" s="8" t="s">
        <v>1712</v>
      </c>
      <c r="C16" s="8" t="s">
        <v>1471</v>
      </c>
    </row>
    <row r="17" customFormat="false" ht="109.5" hidden="false" customHeight="true" outlineLevel="0" collapsed="false">
      <c r="A17" s="7" t="s">
        <v>1713</v>
      </c>
      <c r="B17" s="7" t="s">
        <v>411</v>
      </c>
      <c r="C17" s="7" t="s">
        <v>1714</v>
      </c>
    </row>
    <row r="18" customFormat="false" ht="109.5" hidden="false" customHeight="true" outlineLevel="0" collapsed="false">
      <c r="A18" s="8" t="s">
        <v>1715</v>
      </c>
      <c r="B18" s="8" t="s">
        <v>1716</v>
      </c>
      <c r="C18" s="8" t="s">
        <v>1717</v>
      </c>
    </row>
    <row r="19" customFormat="false" ht="109.5" hidden="false" customHeight="true" outlineLevel="0" collapsed="false">
      <c r="A19" s="7" t="s">
        <v>1718</v>
      </c>
      <c r="B19" s="7" t="s">
        <v>1719</v>
      </c>
      <c r="C19" s="7" t="s">
        <v>1720</v>
      </c>
    </row>
  </sheetData>
  <autoFilter ref="A5:C19"/>
  <mergeCells count="2">
    <mergeCell ref="A1:C1"/>
    <mergeCell ref="A2:C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5"/>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14" width="24"/>
    <col collapsed="false" customWidth="true" hidden="false" outlineLevel="0" max="2" min="2" style="14" width="28"/>
    <col collapsed="false" customWidth="true" hidden="false" outlineLevel="0" max="3" min="3" style="14" width="35"/>
    <col collapsed="false" customWidth="true" hidden="false" outlineLevel="0" max="4" min="4" style="14" width="28"/>
    <col collapsed="false" customWidth="true" hidden="false" outlineLevel="0" max="5" min="5" style="14" width="37"/>
    <col collapsed="false" customWidth="true" hidden="false" outlineLevel="0" max="6" min="6" style="14" width="115"/>
  </cols>
  <sheetData>
    <row r="1" customFormat="false" ht="33.75" hidden="false" customHeight="true" outlineLevel="0" collapsed="false">
      <c r="A1" s="44" t="s">
        <v>1721</v>
      </c>
      <c r="B1" s="44"/>
      <c r="C1" s="44"/>
      <c r="D1" s="44"/>
      <c r="E1" s="44"/>
      <c r="F1" s="44"/>
    </row>
    <row r="2" customFormat="false" ht="24.75" hidden="false" customHeight="true" outlineLevel="0" collapsed="false">
      <c r="A2" s="45" t="s">
        <v>1722</v>
      </c>
      <c r="B2" s="45"/>
      <c r="C2" s="45"/>
      <c r="D2" s="45"/>
      <c r="E2" s="45"/>
      <c r="F2" s="45"/>
    </row>
    <row r="3" customFormat="false" ht="24.75" hidden="false" customHeight="true" outlineLevel="0" collapsed="false">
      <c r="A3" s="45"/>
      <c r="B3" s="45"/>
      <c r="C3" s="45"/>
      <c r="D3" s="45"/>
      <c r="E3" s="45"/>
      <c r="F3" s="45"/>
    </row>
    <row r="5" customFormat="false" ht="48" hidden="false" customHeight="true" outlineLevel="0" collapsed="false">
      <c r="A5" s="11" t="s">
        <v>1723</v>
      </c>
      <c r="B5" s="11" t="s">
        <v>1724</v>
      </c>
      <c r="C5" s="11" t="s">
        <v>1725</v>
      </c>
      <c r="D5" s="11" t="s">
        <v>1726</v>
      </c>
      <c r="E5" s="11" t="s">
        <v>1727</v>
      </c>
      <c r="F5" s="11" t="s">
        <v>809</v>
      </c>
    </row>
    <row r="6" customFormat="false" ht="60" hidden="false" customHeight="true" outlineLevel="0" collapsed="false">
      <c r="A6" s="8" t="n">
        <v>1</v>
      </c>
      <c r="B6" s="8" t="n">
        <f aca="false">IF(A6=1,10,A6+10)</f>
        <v>10</v>
      </c>
      <c r="C6" s="8" t="n">
        <f aca="false">B6/2</f>
        <v>5</v>
      </c>
      <c r="D6" s="8" t="n">
        <f aca="false">A6*Parametry!$C$8</f>
        <v>12</v>
      </c>
      <c r="E6" s="8" t="n">
        <f aca="false">ROUNDDOWN(ROUNDDOWN(Parametry!$C$9*Parametry!$C$10^(A6-1),0)*(1+Parametry!$C$72*MAX(0,Parametry!$C$73-2)),0)</f>
        <v>60</v>
      </c>
      <c r="F6" s="8" t="s">
        <v>1728</v>
      </c>
    </row>
    <row r="7" customFormat="false" ht="60" hidden="false" customHeight="true" outlineLevel="0" collapsed="false">
      <c r="A7" s="7" t="n">
        <v>2</v>
      </c>
      <c r="B7" s="7" t="n">
        <f aca="false">IF(A7=1,10,A7+10)</f>
        <v>12</v>
      </c>
      <c r="C7" s="7" t="n">
        <f aca="false">B7/2</f>
        <v>6</v>
      </c>
      <c r="D7" s="7" t="n">
        <f aca="false">A7*Parametry!$C$8</f>
        <v>24</v>
      </c>
      <c r="E7" s="7" t="n">
        <f aca="false">ROUNDDOWN(ROUNDDOWN(Parametry!$C$9*Parametry!$C$10^(A7-1),0)*(1+Parametry!$C$72*MAX(0,Parametry!$C$73-2)),0)</f>
        <v>66</v>
      </c>
      <c r="F7" s="7" t="s">
        <v>1728</v>
      </c>
    </row>
    <row r="8" customFormat="false" ht="60" hidden="false" customHeight="true" outlineLevel="0" collapsed="false">
      <c r="A8" s="8" t="n">
        <v>3</v>
      </c>
      <c r="B8" s="8" t="n">
        <f aca="false">IF(A8=1,10,A8+10)</f>
        <v>13</v>
      </c>
      <c r="C8" s="8" t="n">
        <f aca="false">B8/2</f>
        <v>6.5</v>
      </c>
      <c r="D8" s="8" t="n">
        <f aca="false">A8*Parametry!$C$8</f>
        <v>36</v>
      </c>
      <c r="E8" s="8" t="n">
        <f aca="false">ROUNDDOWN(ROUNDDOWN(Parametry!$C$9*Parametry!$C$10^(A8-1),0)*(1+Parametry!$C$72*MAX(0,Parametry!$C$73-2)),0)</f>
        <v>72</v>
      </c>
      <c r="F8" s="8" t="s">
        <v>1728</v>
      </c>
    </row>
    <row r="9" customFormat="false" ht="60" hidden="false" customHeight="true" outlineLevel="0" collapsed="false">
      <c r="A9" s="7" t="n">
        <v>4</v>
      </c>
      <c r="B9" s="7" t="n">
        <f aca="false">IF(A9=1,10,A9+10)</f>
        <v>14</v>
      </c>
      <c r="C9" s="7" t="n">
        <f aca="false">B9/2</f>
        <v>7</v>
      </c>
      <c r="D9" s="7" t="n">
        <f aca="false">A9*Parametry!$C$8</f>
        <v>48</v>
      </c>
      <c r="E9" s="7" t="n">
        <f aca="false">ROUNDDOWN(ROUNDDOWN(Parametry!$C$9*Parametry!$C$10^(A9-1),0)*(1+Parametry!$C$72*MAX(0,Parametry!$C$73-2)),0)</f>
        <v>79</v>
      </c>
      <c r="F9" s="7" t="s">
        <v>1728</v>
      </c>
    </row>
    <row r="10" customFormat="false" ht="60" hidden="false" customHeight="true" outlineLevel="0" collapsed="false">
      <c r="A10" s="8" t="n">
        <v>5</v>
      </c>
      <c r="B10" s="8" t="n">
        <f aca="false">IF(A10=1,10,A10+10)</f>
        <v>15</v>
      </c>
      <c r="C10" s="8" t="n">
        <f aca="false">B10/2</f>
        <v>7.5</v>
      </c>
      <c r="D10" s="8" t="n">
        <f aca="false">A10*Parametry!$C$8</f>
        <v>60</v>
      </c>
      <c r="E10" s="8" t="n">
        <f aca="false">ROUNDDOWN(ROUNDDOWN(Parametry!$C$9*Parametry!$C$10^(A10-1),0)*(1+Parametry!$C$72*MAX(0,Parametry!$C$73-2)),0)</f>
        <v>87</v>
      </c>
      <c r="F10" s="8" t="s">
        <v>1728</v>
      </c>
    </row>
    <row r="11" customFormat="false" ht="60" hidden="false" customHeight="true" outlineLevel="0" collapsed="false">
      <c r="A11" s="7" t="n">
        <v>6</v>
      </c>
      <c r="B11" s="7" t="n">
        <f aca="false">IF(A11=1,10,A11+10)</f>
        <v>16</v>
      </c>
      <c r="C11" s="7" t="n">
        <f aca="false">B11/2</f>
        <v>8</v>
      </c>
      <c r="D11" s="7" t="n">
        <f aca="false">A11*Parametry!$C$8</f>
        <v>72</v>
      </c>
      <c r="E11" s="7" t="n">
        <f aca="false">ROUNDDOWN(ROUNDDOWN(Parametry!$C$9*Parametry!$C$10^(A11-1),0)*(1+Parametry!$C$72*MAX(0,Parametry!$C$73-2)),0)</f>
        <v>96</v>
      </c>
      <c r="F11" s="7" t="s">
        <v>1728</v>
      </c>
    </row>
    <row r="12" customFormat="false" ht="60" hidden="false" customHeight="true" outlineLevel="0" collapsed="false">
      <c r="A12" s="8" t="n">
        <v>7</v>
      </c>
      <c r="B12" s="8" t="n">
        <f aca="false">IF(A12=1,10,A12+10)</f>
        <v>17</v>
      </c>
      <c r="C12" s="8" t="n">
        <f aca="false">B12/2</f>
        <v>8.5</v>
      </c>
      <c r="D12" s="8" t="n">
        <f aca="false">A12*Parametry!$C$8</f>
        <v>84</v>
      </c>
      <c r="E12" s="8" t="n">
        <f aca="false">ROUNDDOWN(ROUNDDOWN(Parametry!$C$9*Parametry!$C$10^(A12-1),0)*(1+Parametry!$C$72*MAX(0,Parametry!$C$73-2)),0)</f>
        <v>106</v>
      </c>
      <c r="F12" s="8" t="s">
        <v>1728</v>
      </c>
    </row>
    <row r="13" customFormat="false" ht="60" hidden="false" customHeight="true" outlineLevel="0" collapsed="false">
      <c r="A13" s="7" t="n">
        <v>8</v>
      </c>
      <c r="B13" s="7" t="n">
        <f aca="false">IF(A13=1,10,A13+10)</f>
        <v>18</v>
      </c>
      <c r="C13" s="7" t="n">
        <f aca="false">B13/2</f>
        <v>9</v>
      </c>
      <c r="D13" s="7" t="n">
        <f aca="false">A13*Parametry!$C$8</f>
        <v>96</v>
      </c>
      <c r="E13" s="7" t="n">
        <f aca="false">ROUNDDOWN(ROUNDDOWN(Parametry!$C$9*Parametry!$C$10^(A13-1),0)*(1+Parametry!$C$72*MAX(0,Parametry!$C$73-2)),0)</f>
        <v>116</v>
      </c>
      <c r="F13" s="7" t="s">
        <v>1728</v>
      </c>
    </row>
    <row r="14" customFormat="false" ht="60" hidden="false" customHeight="true" outlineLevel="0" collapsed="false">
      <c r="A14" s="8" t="n">
        <v>9</v>
      </c>
      <c r="B14" s="8" t="n">
        <f aca="false">IF(A14=1,10,A14+10)</f>
        <v>19</v>
      </c>
      <c r="C14" s="8" t="n">
        <f aca="false">B14/2</f>
        <v>9.5</v>
      </c>
      <c r="D14" s="8" t="n">
        <f aca="false">A14*Parametry!$C$8</f>
        <v>108</v>
      </c>
      <c r="E14" s="8" t="n">
        <f aca="false">ROUNDDOWN(ROUNDDOWN(Parametry!$C$9*Parametry!$C$10^(A14-1),0)*(1+Parametry!$C$72*MAX(0,Parametry!$C$73-2)),0)</f>
        <v>128</v>
      </c>
      <c r="F14" s="8" t="s">
        <v>1728</v>
      </c>
    </row>
    <row r="15" customFormat="false" ht="60" hidden="false" customHeight="true" outlineLevel="0" collapsed="false">
      <c r="A15" s="7" t="n">
        <v>10</v>
      </c>
      <c r="B15" s="7" t="n">
        <f aca="false">IF(A15=1,10,A15+10)</f>
        <v>20</v>
      </c>
      <c r="C15" s="7" t="n">
        <f aca="false">B15/2</f>
        <v>10</v>
      </c>
      <c r="D15" s="7" t="n">
        <f aca="false">A15*Parametry!$C$8</f>
        <v>120</v>
      </c>
      <c r="E15" s="7" t="n">
        <f aca="false">ROUNDDOWN(ROUNDDOWN(Parametry!$C$9*Parametry!$C$10^(A15-1),0)*(1+Parametry!$C$72*MAX(0,Parametry!$C$73-2)),0)</f>
        <v>141</v>
      </c>
      <c r="F15" s="7" t="s">
        <v>1728</v>
      </c>
    </row>
  </sheetData>
  <autoFilter ref="A5:F15"/>
  <mergeCells count="2">
    <mergeCell ref="A1:F1"/>
    <mergeCell ref="A2:F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A79"/>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14" width="21"/>
    <col collapsed="false" customWidth="true" hidden="false" outlineLevel="0" max="2" min="2" style="14" width="13"/>
    <col collapsed="false" customWidth="true" hidden="false" outlineLevel="0" max="3" min="3" style="14" width="23"/>
    <col collapsed="false" customWidth="true" hidden="false" outlineLevel="0" max="5" min="4" style="14" width="11"/>
    <col collapsed="false" customWidth="true" hidden="false" outlineLevel="0" max="6" min="6" style="14" width="18"/>
    <col collapsed="false" customWidth="true" hidden="false" outlineLevel="0" max="7" min="7" style="14" width="20"/>
    <col collapsed="false" customWidth="true" hidden="false" outlineLevel="0" max="8" min="8" style="14" width="22"/>
    <col collapsed="false" customWidth="true" hidden="false" outlineLevel="0" max="14" min="9" style="14" width="15"/>
    <col collapsed="false" customWidth="true" hidden="false" outlineLevel="0" max="19" min="15" style="14" width="18"/>
    <col collapsed="false" customWidth="true" hidden="false" outlineLevel="0" max="20" min="20" style="14" width="19"/>
    <col collapsed="false" customWidth="true" hidden="false" outlineLevel="0" max="21" min="21" style="14" width="14"/>
    <col collapsed="false" customWidth="true" hidden="false" outlineLevel="0" max="22" min="22" style="14" width="22"/>
    <col collapsed="false" customWidth="true" hidden="false" outlineLevel="0" max="23" min="23" style="14" width="18"/>
    <col collapsed="false" customWidth="true" hidden="false" outlineLevel="0" max="24" min="24" style="14" width="24"/>
    <col collapsed="false" customWidth="true" hidden="false" outlineLevel="0" max="25" min="25" style="14" width="22"/>
    <col collapsed="false" customWidth="true" hidden="false" outlineLevel="0" max="26" min="26" style="14" width="24"/>
    <col collapsed="false" customWidth="true" hidden="false" outlineLevel="0" max="27" min="27" style="14" width="115"/>
  </cols>
  <sheetData>
    <row r="1" customFormat="false" ht="33.75" hidden="false" customHeight="true" outlineLevel="0" collapsed="false">
      <c r="A1" s="44" t="s">
        <v>1729</v>
      </c>
      <c r="B1" s="44"/>
      <c r="C1" s="44"/>
      <c r="D1" s="44"/>
      <c r="E1" s="44"/>
      <c r="F1" s="44"/>
      <c r="G1" s="44"/>
      <c r="H1" s="44"/>
      <c r="I1" s="44"/>
      <c r="J1" s="44"/>
      <c r="K1" s="44"/>
      <c r="L1" s="44"/>
      <c r="M1" s="44"/>
      <c r="N1" s="44"/>
      <c r="O1" s="44"/>
      <c r="P1" s="44"/>
      <c r="Q1" s="44"/>
      <c r="R1" s="44"/>
      <c r="S1" s="44"/>
      <c r="T1" s="44"/>
      <c r="U1" s="44"/>
      <c r="V1" s="44"/>
      <c r="W1" s="44"/>
      <c r="X1" s="44"/>
      <c r="Y1" s="44"/>
      <c r="Z1" s="44"/>
      <c r="AA1" s="44"/>
    </row>
    <row r="2" customFormat="false" ht="24.75" hidden="false" customHeight="true" outlineLevel="0" collapsed="false">
      <c r="A2" s="45" t="s">
        <v>1730</v>
      </c>
      <c r="B2" s="45"/>
      <c r="C2" s="45"/>
      <c r="D2" s="45"/>
      <c r="E2" s="45"/>
      <c r="F2" s="45"/>
      <c r="G2" s="45"/>
      <c r="H2" s="45"/>
      <c r="I2" s="45"/>
      <c r="J2" s="45"/>
      <c r="K2" s="45"/>
      <c r="L2" s="45"/>
      <c r="M2" s="45"/>
      <c r="N2" s="45"/>
      <c r="O2" s="45"/>
      <c r="P2" s="45"/>
      <c r="Q2" s="45"/>
      <c r="R2" s="45"/>
      <c r="S2" s="45"/>
      <c r="T2" s="45"/>
      <c r="U2" s="45"/>
      <c r="V2" s="45"/>
      <c r="W2" s="45"/>
      <c r="X2" s="45"/>
      <c r="Y2" s="45"/>
      <c r="Z2" s="45"/>
      <c r="AA2" s="45"/>
    </row>
    <row r="3" customFormat="false" ht="24.75" hidden="false" customHeight="true" outlineLevel="0" collapsed="false">
      <c r="A3" s="45"/>
      <c r="B3" s="45"/>
      <c r="C3" s="45"/>
      <c r="D3" s="45"/>
      <c r="E3" s="45"/>
      <c r="F3" s="45"/>
      <c r="G3" s="45"/>
      <c r="H3" s="45"/>
      <c r="I3" s="45"/>
      <c r="J3" s="45"/>
      <c r="K3" s="45"/>
      <c r="L3" s="45"/>
      <c r="M3" s="45"/>
      <c r="N3" s="45"/>
      <c r="O3" s="45"/>
      <c r="P3" s="45"/>
      <c r="Q3" s="45"/>
      <c r="R3" s="45"/>
      <c r="S3" s="45"/>
      <c r="T3" s="45"/>
      <c r="U3" s="45"/>
      <c r="V3" s="45"/>
      <c r="W3" s="45"/>
      <c r="X3" s="45"/>
      <c r="Y3" s="45"/>
      <c r="Z3" s="45"/>
      <c r="AA3" s="45"/>
    </row>
    <row r="5" customFormat="false" ht="48" hidden="false" customHeight="true" outlineLevel="0" collapsed="false">
      <c r="A5" s="11" t="s">
        <v>1731</v>
      </c>
      <c r="B5" s="11" t="s">
        <v>1732</v>
      </c>
      <c r="C5" s="11" t="s">
        <v>1733</v>
      </c>
      <c r="D5" s="11" t="s">
        <v>1734</v>
      </c>
      <c r="E5" s="11" t="s">
        <v>1735</v>
      </c>
      <c r="F5" s="11" t="s">
        <v>1319</v>
      </c>
      <c r="G5" s="11" t="s">
        <v>1736</v>
      </c>
      <c r="H5" s="11" t="s">
        <v>1737</v>
      </c>
      <c r="I5" s="11" t="s">
        <v>1292</v>
      </c>
      <c r="J5" s="11" t="s">
        <v>1311</v>
      </c>
      <c r="K5" s="11" t="s">
        <v>1312</v>
      </c>
      <c r="L5" s="11" t="s">
        <v>1313</v>
      </c>
      <c r="M5" s="11" t="s">
        <v>1314</v>
      </c>
      <c r="N5" s="11" t="s">
        <v>1315</v>
      </c>
      <c r="O5" s="11" t="s">
        <v>1738</v>
      </c>
      <c r="P5" s="11" t="s">
        <v>1739</v>
      </c>
      <c r="Q5" s="11" t="s">
        <v>1740</v>
      </c>
      <c r="R5" s="11" t="s">
        <v>1741</v>
      </c>
      <c r="S5" s="11" t="s">
        <v>1742</v>
      </c>
      <c r="T5" s="11" t="s">
        <v>1291</v>
      </c>
      <c r="U5" s="11" t="s">
        <v>1743</v>
      </c>
      <c r="V5" s="11" t="s">
        <v>1744</v>
      </c>
      <c r="W5" s="11" t="s">
        <v>1745</v>
      </c>
      <c r="X5" s="11" t="s">
        <v>1746</v>
      </c>
      <c r="Y5" s="11" t="s">
        <v>1747</v>
      </c>
      <c r="Z5" s="11" t="s">
        <v>1748</v>
      </c>
      <c r="AA5" s="11" t="s">
        <v>838</v>
      </c>
    </row>
    <row r="6" customFormat="false" ht="69.75" hidden="false" customHeight="true" outlineLevel="0" collapsed="false">
      <c r="A6" s="8" t="s">
        <v>475</v>
      </c>
      <c r="B6" s="8" t="s">
        <v>1749</v>
      </c>
      <c r="C6" s="8" t="s">
        <v>1750</v>
      </c>
      <c r="D6" s="8" t="n">
        <v>1</v>
      </c>
      <c r="E6" s="8" t="n">
        <f aca="false">D6+1</f>
        <v>2</v>
      </c>
      <c r="F6" s="8" t="n">
        <v>1</v>
      </c>
      <c r="G6" s="50" t="n">
        <f aca="false">Parametry!$C$12</f>
        <v>6</v>
      </c>
      <c r="H6" s="8" t="n">
        <f aca="false">ROUNDDOWN(ROUNDDOWN(Parametry!$C$9*Parametry!$C$10^(F6-1),0)*(1+Parametry!$C$72*MAX(0,Parametry!$C$73-2)),0)</f>
        <v>60</v>
      </c>
      <c r="I6" s="8" t="n">
        <f aca="false">ROUNDUP((Parametry!$C$20*MAX(1,D6))*1,0)</f>
        <v>500</v>
      </c>
      <c r="J6" s="8" t="n">
        <f aca="false">ROUNDUP((Parametry!$C$20*MAX(1,D6))*1,0)</f>
        <v>500</v>
      </c>
      <c r="K6" s="8" t="n">
        <f aca="false">ROUNDUP((Parametry!$C$20*MAX(1,D6))*1,0)</f>
        <v>500</v>
      </c>
      <c r="L6" s="8" t="n">
        <f aca="false">ROUNDUP((Parametry!$C$20*MAX(1,D6))*1,0)</f>
        <v>500</v>
      </c>
      <c r="M6" s="8" t="n">
        <f aca="false">ROUNDUP((Parametry!$C$20*MAX(1,D6))*1,0)</f>
        <v>500</v>
      </c>
      <c r="N6" s="8" t="n">
        <f aca="false">ROUNDUP((Parametry!$C$20*MAX(1,D6))*1,0)</f>
        <v>500</v>
      </c>
      <c r="O6" s="8" t="n">
        <f aca="false">ROUNDUP(J6/H6,0)</f>
        <v>9</v>
      </c>
      <c r="P6" s="8" t="n">
        <f aca="false">ROUNDUP(K6/H6,0)</f>
        <v>9</v>
      </c>
      <c r="Q6" s="8" t="n">
        <f aca="false">ROUNDUP(L6/H6,0)</f>
        <v>9</v>
      </c>
      <c r="R6" s="8" t="n">
        <f aca="false">ROUNDUP(M6/H6,0)</f>
        <v>9</v>
      </c>
      <c r="S6" s="8" t="n">
        <f aca="false">ROUNDUP(N6/H6,0)</f>
        <v>9</v>
      </c>
      <c r="T6" s="8" t="n">
        <f aca="false">SUM(O6:S6)</f>
        <v>45</v>
      </c>
      <c r="U6" s="8" t="n">
        <f aca="false">ROUNDUP(T6/G6,0)</f>
        <v>8</v>
      </c>
      <c r="V6" s="8" t="n">
        <f aca="false">U6*Parametry!$C$11/(1+Parametry!$C$71*Parametry!$C$73)</f>
        <v>40</v>
      </c>
      <c r="W6" s="8" t="n">
        <f aca="false">2</f>
        <v>2</v>
      </c>
      <c r="X6" s="8" t="n">
        <f aca="false">V6*(W6-1)</f>
        <v>40</v>
      </c>
      <c r="Y6" s="8" t="n">
        <f aca="false">V6*W6</f>
        <v>80</v>
      </c>
      <c r="Z6" s="8" t="n">
        <f aca="false">SUM(J6:N6)</f>
        <v>2500</v>
      </c>
      <c r="AA6" s="8" t="s">
        <v>1751</v>
      </c>
    </row>
    <row r="7" customFormat="false" ht="69.75" hidden="false" customHeight="true" outlineLevel="0" collapsed="false">
      <c r="A7" s="7" t="s">
        <v>475</v>
      </c>
      <c r="B7" s="7" t="s">
        <v>1749</v>
      </c>
      <c r="C7" s="7" t="s">
        <v>1752</v>
      </c>
      <c r="D7" s="7" t="n">
        <v>1</v>
      </c>
      <c r="E7" s="7" t="n">
        <f aca="false">D7+1</f>
        <v>2</v>
      </c>
      <c r="F7" s="7" t="n">
        <v>1</v>
      </c>
      <c r="G7" s="51" t="n">
        <f aca="false">Parametry!$C$12</f>
        <v>6</v>
      </c>
      <c r="H7" s="7" t="n">
        <f aca="false">ROUNDDOWN(ROUNDDOWN(Parametry!$C$9*Parametry!$C$10^(F7-1),0)*(1+Parametry!$C$72*MAX(0,Parametry!$C$73-2)),0)</f>
        <v>60</v>
      </c>
      <c r="I7" s="7" t="n">
        <f aca="false">ROUNDUP((Parametry!$C$20*MAX(1,D7))*Parametry!$C$15,0)</f>
        <v>550</v>
      </c>
      <c r="J7" s="7" t="n">
        <f aca="false">ROUNDUP((Parametry!$C$20*MAX(1,D7))*Parametry!$C$15,0)</f>
        <v>550</v>
      </c>
      <c r="K7" s="7" t="n">
        <f aca="false">ROUNDUP((Parametry!$C$20*MAX(1,D7))*Parametry!$C$15,0)</f>
        <v>550</v>
      </c>
      <c r="L7" s="7" t="n">
        <f aca="false">ROUNDUP((Parametry!$C$20*MAX(1,D7))*Parametry!$C$15,0)</f>
        <v>550</v>
      </c>
      <c r="M7" s="7" t="n">
        <f aca="false">ROUNDUP((Parametry!$C$20*MAX(1,D7))*Parametry!$C$15,0)</f>
        <v>550</v>
      </c>
      <c r="N7" s="7" t="n">
        <f aca="false">ROUNDUP((Parametry!$C$20*MAX(1,D7))*Parametry!$C$15,0)</f>
        <v>550</v>
      </c>
      <c r="O7" s="7" t="n">
        <f aca="false">ROUNDUP(J7/H7,0)</f>
        <v>10</v>
      </c>
      <c r="P7" s="7" t="n">
        <f aca="false">ROUNDUP(K7/H7,0)</f>
        <v>10</v>
      </c>
      <c r="Q7" s="7" t="n">
        <f aca="false">ROUNDUP(L7/H7,0)</f>
        <v>10</v>
      </c>
      <c r="R7" s="7" t="n">
        <f aca="false">ROUNDUP(M7/H7,0)</f>
        <v>10</v>
      </c>
      <c r="S7" s="7" t="n">
        <f aca="false">ROUNDUP(N7/H7,0)</f>
        <v>10</v>
      </c>
      <c r="T7" s="7" t="n">
        <f aca="false">SUM(O7:S7)</f>
        <v>50</v>
      </c>
      <c r="U7" s="7" t="n">
        <f aca="false">ROUNDUP(T7/G7,0)</f>
        <v>9</v>
      </c>
      <c r="V7" s="7" t="n">
        <f aca="false">U7*Parametry!$C$11/(1+Parametry!$C$71*Parametry!$C$73)</f>
        <v>45</v>
      </c>
      <c r="W7" s="7" t="n">
        <f aca="false">2</f>
        <v>2</v>
      </c>
      <c r="X7" s="7" t="n">
        <f aca="false">V7*(W7-1)</f>
        <v>45</v>
      </c>
      <c r="Y7" s="7" t="n">
        <f aca="false">V7*W7</f>
        <v>90</v>
      </c>
      <c r="Z7" s="7" t="n">
        <f aca="false">SUM(J7:N7)</f>
        <v>2750</v>
      </c>
      <c r="AA7" s="7" t="s">
        <v>1751</v>
      </c>
    </row>
    <row r="8" customFormat="false" ht="69.75" hidden="false" customHeight="true" outlineLevel="0" collapsed="false">
      <c r="A8" s="8" t="s">
        <v>475</v>
      </c>
      <c r="B8" s="8" t="s">
        <v>1753</v>
      </c>
      <c r="C8" s="8" t="s">
        <v>1750</v>
      </c>
      <c r="D8" s="8" t="n">
        <v>2</v>
      </c>
      <c r="E8" s="8" t="n">
        <f aca="false">D8+1</f>
        <v>3</v>
      </c>
      <c r="F8" s="8" t="n">
        <v>2</v>
      </c>
      <c r="G8" s="50" t="n">
        <f aca="false">Parametry!$C$12</f>
        <v>6</v>
      </c>
      <c r="H8" s="8" t="n">
        <f aca="false">ROUNDDOWN(ROUNDDOWN(Parametry!$C$9*Parametry!$C$10^(F8-1),0)*(1+Parametry!$C$72*MAX(0,Parametry!$C$73-2)),0)</f>
        <v>66</v>
      </c>
      <c r="I8" s="8" t="n">
        <f aca="false">ROUNDUP((Parametry!$C$20*MAX(1,D8))*1,0)</f>
        <v>1000</v>
      </c>
      <c r="J8" s="8" t="n">
        <f aca="false">ROUNDUP((Parametry!$C$20*MAX(1,D8))*1,0)</f>
        <v>1000</v>
      </c>
      <c r="K8" s="8" t="n">
        <f aca="false">ROUNDUP((Parametry!$C$20*MAX(1,D8))*1,0)</f>
        <v>1000</v>
      </c>
      <c r="L8" s="8" t="n">
        <f aca="false">ROUNDUP((Parametry!$C$20*MAX(1,D8))*1,0)</f>
        <v>1000</v>
      </c>
      <c r="M8" s="8" t="n">
        <f aca="false">ROUNDUP((Parametry!$C$20*MAX(1,D8))*1,0)</f>
        <v>1000</v>
      </c>
      <c r="N8" s="8" t="n">
        <f aca="false">ROUNDUP((Parametry!$C$20*MAX(1,D8))*1,0)</f>
        <v>1000</v>
      </c>
      <c r="O8" s="8" t="n">
        <f aca="false">ROUNDUP(J8/H8,0)</f>
        <v>16</v>
      </c>
      <c r="P8" s="8" t="n">
        <f aca="false">ROUNDUP(K8/H8,0)</f>
        <v>16</v>
      </c>
      <c r="Q8" s="8" t="n">
        <f aca="false">ROUNDUP(L8/H8,0)</f>
        <v>16</v>
      </c>
      <c r="R8" s="8" t="n">
        <f aca="false">ROUNDUP(M8/H8,0)</f>
        <v>16</v>
      </c>
      <c r="S8" s="8" t="n">
        <f aca="false">ROUNDUP(N8/H8,0)</f>
        <v>16</v>
      </c>
      <c r="T8" s="8" t="n">
        <f aca="false">SUM(O8:S8)</f>
        <v>80</v>
      </c>
      <c r="U8" s="8" t="n">
        <f aca="false">ROUNDUP(T8/G8,0)</f>
        <v>14</v>
      </c>
      <c r="V8" s="8" t="n">
        <f aca="false">U8*Parametry!$C$11/(1+Parametry!$C$71*Parametry!$C$73)</f>
        <v>70</v>
      </c>
      <c r="W8" s="8" t="n">
        <f aca="false">2</f>
        <v>2</v>
      </c>
      <c r="X8" s="8" t="n">
        <f aca="false">V8*(W8-1)</f>
        <v>70</v>
      </c>
      <c r="Y8" s="8" t="n">
        <f aca="false">V8*W8</f>
        <v>140</v>
      </c>
      <c r="Z8" s="8" t="n">
        <f aca="false">SUM(J8:N8)</f>
        <v>5000</v>
      </c>
      <c r="AA8" s="8" t="s">
        <v>1751</v>
      </c>
    </row>
    <row r="9" customFormat="false" ht="69.75" hidden="false" customHeight="true" outlineLevel="0" collapsed="false">
      <c r="A9" s="7" t="s">
        <v>475</v>
      </c>
      <c r="B9" s="7" t="s">
        <v>1753</v>
      </c>
      <c r="C9" s="7" t="s">
        <v>1752</v>
      </c>
      <c r="D9" s="7" t="n">
        <v>2</v>
      </c>
      <c r="E9" s="7" t="n">
        <f aca="false">D9+1</f>
        <v>3</v>
      </c>
      <c r="F9" s="7" t="n">
        <v>2</v>
      </c>
      <c r="G9" s="51" t="n">
        <f aca="false">Parametry!$C$12</f>
        <v>6</v>
      </c>
      <c r="H9" s="7" t="n">
        <f aca="false">ROUNDDOWN(ROUNDDOWN(Parametry!$C$9*Parametry!$C$10^(F9-1),0)*(1+Parametry!$C$72*MAX(0,Parametry!$C$73-2)),0)</f>
        <v>66</v>
      </c>
      <c r="I9" s="7" t="n">
        <f aca="false">ROUNDUP((Parametry!$C$20*MAX(1,D9))*Parametry!$C$15,0)</f>
        <v>1100</v>
      </c>
      <c r="J9" s="7" t="n">
        <f aca="false">ROUNDUP((Parametry!$C$20*MAX(1,D9))*Parametry!$C$15,0)</f>
        <v>1100</v>
      </c>
      <c r="K9" s="7" t="n">
        <f aca="false">ROUNDUP((Parametry!$C$20*MAX(1,D9))*Parametry!$C$15,0)</f>
        <v>1100</v>
      </c>
      <c r="L9" s="7" t="n">
        <f aca="false">ROUNDUP((Parametry!$C$20*MAX(1,D9))*Parametry!$C$15,0)</f>
        <v>1100</v>
      </c>
      <c r="M9" s="7" t="n">
        <f aca="false">ROUNDUP((Parametry!$C$20*MAX(1,D9))*Parametry!$C$15,0)</f>
        <v>1100</v>
      </c>
      <c r="N9" s="7" t="n">
        <f aca="false">ROUNDUP((Parametry!$C$20*MAX(1,D9))*Parametry!$C$15,0)</f>
        <v>1100</v>
      </c>
      <c r="O9" s="7" t="n">
        <f aca="false">ROUNDUP(J9/H9,0)</f>
        <v>17</v>
      </c>
      <c r="P9" s="7" t="n">
        <f aca="false">ROUNDUP(K9/H9,0)</f>
        <v>17</v>
      </c>
      <c r="Q9" s="7" t="n">
        <f aca="false">ROUNDUP(L9/H9,0)</f>
        <v>17</v>
      </c>
      <c r="R9" s="7" t="n">
        <f aca="false">ROUNDUP(M9/H9,0)</f>
        <v>17</v>
      </c>
      <c r="S9" s="7" t="n">
        <f aca="false">ROUNDUP(N9/H9,0)</f>
        <v>17</v>
      </c>
      <c r="T9" s="7" t="n">
        <f aca="false">SUM(O9:S9)</f>
        <v>85</v>
      </c>
      <c r="U9" s="7" t="n">
        <f aca="false">ROUNDUP(T9/G9,0)</f>
        <v>15</v>
      </c>
      <c r="V9" s="7" t="n">
        <f aca="false">U9*Parametry!$C$11/(1+Parametry!$C$71*Parametry!$C$73)</f>
        <v>75</v>
      </c>
      <c r="W9" s="7" t="n">
        <f aca="false">2</f>
        <v>2</v>
      </c>
      <c r="X9" s="7" t="n">
        <f aca="false">V9*(W9-1)</f>
        <v>75</v>
      </c>
      <c r="Y9" s="7" t="n">
        <f aca="false">V9*W9</f>
        <v>150</v>
      </c>
      <c r="Z9" s="7" t="n">
        <f aca="false">SUM(J9:N9)</f>
        <v>5500</v>
      </c>
      <c r="AA9" s="7" t="s">
        <v>1751</v>
      </c>
    </row>
    <row r="10" customFormat="false" ht="69.75" hidden="false" customHeight="true" outlineLevel="0" collapsed="false">
      <c r="A10" s="8" t="s">
        <v>475</v>
      </c>
      <c r="B10" s="8" t="s">
        <v>1754</v>
      </c>
      <c r="C10" s="8" t="s">
        <v>1750</v>
      </c>
      <c r="D10" s="8" t="n">
        <v>3</v>
      </c>
      <c r="E10" s="8" t="n">
        <f aca="false">D10+1</f>
        <v>4</v>
      </c>
      <c r="F10" s="8" t="n">
        <v>3</v>
      </c>
      <c r="G10" s="50" t="n">
        <f aca="false">Parametry!$C$12</f>
        <v>6</v>
      </c>
      <c r="H10" s="8" t="n">
        <f aca="false">ROUNDDOWN(ROUNDDOWN(Parametry!$C$9*Parametry!$C$10^(F10-1),0)*(1+Parametry!$C$72*MAX(0,Parametry!$C$73-2)),0)</f>
        <v>72</v>
      </c>
      <c r="I10" s="8" t="n">
        <f aca="false">ROUNDUP((Parametry!$C$20*MAX(1,D10))*1,0)</f>
        <v>1500</v>
      </c>
      <c r="J10" s="8" t="n">
        <f aca="false">ROUNDUP((Parametry!$C$20*MAX(1,D10))*1,0)</f>
        <v>1500</v>
      </c>
      <c r="K10" s="8" t="n">
        <f aca="false">ROUNDUP((Parametry!$C$20*MAX(1,D10))*1,0)</f>
        <v>1500</v>
      </c>
      <c r="L10" s="8" t="n">
        <f aca="false">ROUNDUP((Parametry!$C$20*MAX(1,D10))*1,0)</f>
        <v>1500</v>
      </c>
      <c r="M10" s="8" t="n">
        <f aca="false">ROUNDUP((Parametry!$C$20*MAX(1,D10))*1,0)</f>
        <v>1500</v>
      </c>
      <c r="N10" s="8" t="n">
        <f aca="false">ROUNDUP((Parametry!$C$20*MAX(1,D10))*1,0)</f>
        <v>1500</v>
      </c>
      <c r="O10" s="8" t="n">
        <f aca="false">ROUNDUP(J10/H10,0)</f>
        <v>21</v>
      </c>
      <c r="P10" s="8" t="n">
        <f aca="false">ROUNDUP(K10/H10,0)</f>
        <v>21</v>
      </c>
      <c r="Q10" s="8" t="n">
        <f aca="false">ROUNDUP(L10/H10,0)</f>
        <v>21</v>
      </c>
      <c r="R10" s="8" t="n">
        <f aca="false">ROUNDUP(M10/H10,0)</f>
        <v>21</v>
      </c>
      <c r="S10" s="8" t="n">
        <f aca="false">ROUNDUP(N10/H10,0)</f>
        <v>21</v>
      </c>
      <c r="T10" s="8" t="n">
        <f aca="false">SUM(O10:S10)</f>
        <v>105</v>
      </c>
      <c r="U10" s="8" t="n">
        <f aca="false">ROUNDUP(T10/G10,0)</f>
        <v>18</v>
      </c>
      <c r="V10" s="8" t="n">
        <f aca="false">U10*Parametry!$C$11/(1+Parametry!$C$71*Parametry!$C$73)</f>
        <v>90</v>
      </c>
      <c r="W10" s="8" t="n">
        <f aca="false">2</f>
        <v>2</v>
      </c>
      <c r="X10" s="8" t="n">
        <f aca="false">V10*(W10-1)</f>
        <v>90</v>
      </c>
      <c r="Y10" s="8" t="n">
        <f aca="false">V10*W10</f>
        <v>180</v>
      </c>
      <c r="Z10" s="8" t="n">
        <f aca="false">SUM(J10:N10)</f>
        <v>7500</v>
      </c>
      <c r="AA10" s="8" t="s">
        <v>1751</v>
      </c>
    </row>
    <row r="11" customFormat="false" ht="69.75" hidden="false" customHeight="true" outlineLevel="0" collapsed="false">
      <c r="A11" s="7" t="s">
        <v>475</v>
      </c>
      <c r="B11" s="7" t="s">
        <v>1754</v>
      </c>
      <c r="C11" s="7" t="s">
        <v>1752</v>
      </c>
      <c r="D11" s="7" t="n">
        <v>3</v>
      </c>
      <c r="E11" s="7" t="n">
        <f aca="false">D11+1</f>
        <v>4</v>
      </c>
      <c r="F11" s="7" t="n">
        <v>3</v>
      </c>
      <c r="G11" s="51" t="n">
        <f aca="false">Parametry!$C$12</f>
        <v>6</v>
      </c>
      <c r="H11" s="7" t="n">
        <f aca="false">ROUNDDOWN(ROUNDDOWN(Parametry!$C$9*Parametry!$C$10^(F11-1),0)*(1+Parametry!$C$72*MAX(0,Parametry!$C$73-2)),0)</f>
        <v>72</v>
      </c>
      <c r="I11" s="7" t="n">
        <f aca="false">ROUNDUP((Parametry!$C$20*MAX(1,D11))*Parametry!$C$15,0)</f>
        <v>1650</v>
      </c>
      <c r="J11" s="7" t="n">
        <f aca="false">ROUNDUP((Parametry!$C$20*MAX(1,D11))*Parametry!$C$15,0)</f>
        <v>1650</v>
      </c>
      <c r="K11" s="7" t="n">
        <f aca="false">ROUNDUP((Parametry!$C$20*MAX(1,D11))*Parametry!$C$15,0)</f>
        <v>1650</v>
      </c>
      <c r="L11" s="7" t="n">
        <f aca="false">ROUNDUP((Parametry!$C$20*MAX(1,D11))*Parametry!$C$15,0)</f>
        <v>1650</v>
      </c>
      <c r="M11" s="7" t="n">
        <f aca="false">ROUNDUP((Parametry!$C$20*MAX(1,D11))*Parametry!$C$15,0)</f>
        <v>1650</v>
      </c>
      <c r="N11" s="7" t="n">
        <f aca="false">ROUNDUP((Parametry!$C$20*MAX(1,D11))*Parametry!$C$15,0)</f>
        <v>1650</v>
      </c>
      <c r="O11" s="7" t="n">
        <f aca="false">ROUNDUP(J11/H11,0)</f>
        <v>23</v>
      </c>
      <c r="P11" s="7" t="n">
        <f aca="false">ROUNDUP(K11/H11,0)</f>
        <v>23</v>
      </c>
      <c r="Q11" s="7" t="n">
        <f aca="false">ROUNDUP(L11/H11,0)</f>
        <v>23</v>
      </c>
      <c r="R11" s="7" t="n">
        <f aca="false">ROUNDUP(M11/H11,0)</f>
        <v>23</v>
      </c>
      <c r="S11" s="7" t="n">
        <f aca="false">ROUNDUP(N11/H11,0)</f>
        <v>23</v>
      </c>
      <c r="T11" s="7" t="n">
        <f aca="false">SUM(O11:S11)</f>
        <v>115</v>
      </c>
      <c r="U11" s="7" t="n">
        <f aca="false">ROUNDUP(T11/G11,0)</f>
        <v>20</v>
      </c>
      <c r="V11" s="7" t="n">
        <f aca="false">U11*Parametry!$C$11/(1+Parametry!$C$71*Parametry!$C$73)</f>
        <v>100</v>
      </c>
      <c r="W11" s="7" t="n">
        <f aca="false">2</f>
        <v>2</v>
      </c>
      <c r="X11" s="7" t="n">
        <f aca="false">V11*(W11-1)</f>
        <v>100</v>
      </c>
      <c r="Y11" s="7" t="n">
        <f aca="false">V11*W11</f>
        <v>200</v>
      </c>
      <c r="Z11" s="7" t="n">
        <f aca="false">SUM(J11:N11)</f>
        <v>8250</v>
      </c>
      <c r="AA11" s="7" t="s">
        <v>1751</v>
      </c>
    </row>
    <row r="12" customFormat="false" ht="69.75" hidden="false" customHeight="true" outlineLevel="0" collapsed="false">
      <c r="A12" s="8" t="s">
        <v>486</v>
      </c>
      <c r="B12" s="8" t="s">
        <v>1749</v>
      </c>
      <c r="C12" s="8" t="s">
        <v>1750</v>
      </c>
      <c r="D12" s="8" t="n">
        <v>1</v>
      </c>
      <c r="E12" s="8" t="n">
        <f aca="false">D12+1</f>
        <v>2</v>
      </c>
      <c r="F12" s="8" t="n">
        <v>1</v>
      </c>
      <c r="G12" s="50" t="n">
        <f aca="false">Parametry!$C$12</f>
        <v>6</v>
      </c>
      <c r="H12" s="8" t="n">
        <f aca="false">ROUNDDOWN(ROUNDDOWN(Parametry!$C$9*Parametry!$C$10^(F12-1),0)*(1+Parametry!$C$72*MAX(0,Parametry!$C$73-2)),0)</f>
        <v>60</v>
      </c>
      <c r="I12" s="8" t="n">
        <f aca="false">ROUNDUP((Parametry!$C$20*MAX(1,D12))*1,0)</f>
        <v>500</v>
      </c>
      <c r="J12" s="8" t="n">
        <f aca="false">ROUNDUP((Parametry!$C$20*MAX(1,D12))*1,0)</f>
        <v>500</v>
      </c>
      <c r="K12" s="8" t="n">
        <f aca="false">ROUNDUP((Parametry!$C$20*MAX(1,D12))*1,0)</f>
        <v>500</v>
      </c>
      <c r="L12" s="8" t="n">
        <f aca="false">ROUNDUP((Parametry!$C$20*MAX(1,D12))*1,0)</f>
        <v>500</v>
      </c>
      <c r="M12" s="8" t="n">
        <f aca="false">ROUNDUP((Parametry!$C$20*MAX(1,D12))*1,0)</f>
        <v>500</v>
      </c>
      <c r="N12" s="8" t="n">
        <f aca="false">ROUNDUP((Parametry!$C$20*MAX(1,D12))*1,0)</f>
        <v>500</v>
      </c>
      <c r="O12" s="8" t="n">
        <f aca="false">ROUNDUP(J12/H12,0)</f>
        <v>9</v>
      </c>
      <c r="P12" s="8" t="n">
        <f aca="false">ROUNDUP(K12/H12,0)</f>
        <v>9</v>
      </c>
      <c r="Q12" s="8" t="n">
        <f aca="false">ROUNDUP(L12/H12,0)</f>
        <v>9</v>
      </c>
      <c r="R12" s="8" t="n">
        <f aca="false">ROUNDUP(M12/H12,0)</f>
        <v>9</v>
      </c>
      <c r="S12" s="8" t="n">
        <f aca="false">ROUNDUP(N12/H12,0)</f>
        <v>9</v>
      </c>
      <c r="T12" s="8" t="n">
        <f aca="false">SUM(O12:S12)</f>
        <v>45</v>
      </c>
      <c r="U12" s="8" t="n">
        <f aca="false">ROUNDUP(T12/G12,0)</f>
        <v>8</v>
      </c>
      <c r="V12" s="8" t="n">
        <f aca="false">U12*Parametry!$C$11/(1+Parametry!$C$71*Parametry!$C$73)</f>
        <v>40</v>
      </c>
      <c r="W12" s="8" t="n">
        <f aca="false">2</f>
        <v>2</v>
      </c>
      <c r="X12" s="8" t="n">
        <f aca="false">V12*(W12-1)</f>
        <v>40</v>
      </c>
      <c r="Y12" s="8" t="n">
        <f aca="false">V12*W12</f>
        <v>80</v>
      </c>
      <c r="Z12" s="8" t="n">
        <f aca="false">SUM(J12:N12)</f>
        <v>2500</v>
      </c>
      <c r="AA12" s="8" t="s">
        <v>1751</v>
      </c>
    </row>
    <row r="13" customFormat="false" ht="69.75" hidden="false" customHeight="true" outlineLevel="0" collapsed="false">
      <c r="A13" s="7" t="s">
        <v>486</v>
      </c>
      <c r="B13" s="7" t="s">
        <v>1749</v>
      </c>
      <c r="C13" s="7" t="s">
        <v>1752</v>
      </c>
      <c r="D13" s="7" t="n">
        <v>1</v>
      </c>
      <c r="E13" s="7" t="n">
        <f aca="false">D13+1</f>
        <v>2</v>
      </c>
      <c r="F13" s="7" t="n">
        <v>1</v>
      </c>
      <c r="G13" s="51" t="n">
        <f aca="false">Parametry!$C$12</f>
        <v>6</v>
      </c>
      <c r="H13" s="7" t="n">
        <f aca="false">ROUNDDOWN(ROUNDDOWN(Parametry!$C$9*Parametry!$C$10^(F13-1),0)*(1+Parametry!$C$72*MAX(0,Parametry!$C$73-2)),0)</f>
        <v>60</v>
      </c>
      <c r="I13" s="7" t="n">
        <f aca="false">ROUNDUP((Parametry!$C$20*MAX(1,D13))*Parametry!$C$15,0)</f>
        <v>550</v>
      </c>
      <c r="J13" s="7" t="n">
        <f aca="false">ROUNDUP((Parametry!$C$20*MAX(1,D13))*Parametry!$C$15,0)</f>
        <v>550</v>
      </c>
      <c r="K13" s="7" t="n">
        <f aca="false">ROUNDUP((Parametry!$C$20*MAX(1,D13))*Parametry!$C$15,0)</f>
        <v>550</v>
      </c>
      <c r="L13" s="7" t="n">
        <f aca="false">ROUNDUP((Parametry!$C$20*MAX(1,D13))*Parametry!$C$15,0)</f>
        <v>550</v>
      </c>
      <c r="M13" s="7" t="n">
        <f aca="false">ROUNDUP((Parametry!$C$20*MAX(1,D13))*Parametry!$C$15,0)</f>
        <v>550</v>
      </c>
      <c r="N13" s="7" t="n">
        <f aca="false">ROUNDUP((Parametry!$C$20*MAX(1,D13))*Parametry!$C$15,0)</f>
        <v>550</v>
      </c>
      <c r="O13" s="7" t="n">
        <f aca="false">ROUNDUP(J13/H13,0)</f>
        <v>10</v>
      </c>
      <c r="P13" s="7" t="n">
        <f aca="false">ROUNDUP(K13/H13,0)</f>
        <v>10</v>
      </c>
      <c r="Q13" s="7" t="n">
        <f aca="false">ROUNDUP(L13/H13,0)</f>
        <v>10</v>
      </c>
      <c r="R13" s="7" t="n">
        <f aca="false">ROUNDUP(M13/H13,0)</f>
        <v>10</v>
      </c>
      <c r="S13" s="7" t="n">
        <f aca="false">ROUNDUP(N13/H13,0)</f>
        <v>10</v>
      </c>
      <c r="T13" s="7" t="n">
        <f aca="false">SUM(O13:S13)</f>
        <v>50</v>
      </c>
      <c r="U13" s="7" t="n">
        <f aca="false">ROUNDUP(T13/G13,0)</f>
        <v>9</v>
      </c>
      <c r="V13" s="7" t="n">
        <f aca="false">U13*Parametry!$C$11/(1+Parametry!$C$71*Parametry!$C$73)</f>
        <v>45</v>
      </c>
      <c r="W13" s="7" t="n">
        <f aca="false">2</f>
        <v>2</v>
      </c>
      <c r="X13" s="7" t="n">
        <f aca="false">V13*(W13-1)</f>
        <v>45</v>
      </c>
      <c r="Y13" s="7" t="n">
        <f aca="false">V13*W13</f>
        <v>90</v>
      </c>
      <c r="Z13" s="7" t="n">
        <f aca="false">SUM(J13:N13)</f>
        <v>2750</v>
      </c>
      <c r="AA13" s="7" t="s">
        <v>1751</v>
      </c>
    </row>
    <row r="14" customFormat="false" ht="69.75" hidden="false" customHeight="true" outlineLevel="0" collapsed="false">
      <c r="A14" s="8" t="s">
        <v>486</v>
      </c>
      <c r="B14" s="8" t="s">
        <v>1753</v>
      </c>
      <c r="C14" s="8" t="s">
        <v>1750</v>
      </c>
      <c r="D14" s="8" t="n">
        <v>2</v>
      </c>
      <c r="E14" s="8" t="n">
        <f aca="false">D14+1</f>
        <v>3</v>
      </c>
      <c r="F14" s="8" t="n">
        <v>2</v>
      </c>
      <c r="G14" s="50" t="n">
        <f aca="false">Parametry!$C$12</f>
        <v>6</v>
      </c>
      <c r="H14" s="8" t="n">
        <f aca="false">ROUNDDOWN(ROUNDDOWN(Parametry!$C$9*Parametry!$C$10^(F14-1),0)*(1+Parametry!$C$72*MAX(0,Parametry!$C$73-2)),0)</f>
        <v>66</v>
      </c>
      <c r="I14" s="8" t="n">
        <f aca="false">ROUNDUP((Parametry!$C$20*MAX(1,D14))*1,0)</f>
        <v>1000</v>
      </c>
      <c r="J14" s="8" t="n">
        <f aca="false">ROUNDUP((Parametry!$C$20*MAX(1,D14))*1,0)</f>
        <v>1000</v>
      </c>
      <c r="K14" s="8" t="n">
        <f aca="false">ROUNDUP((Parametry!$C$20*MAX(1,D14))*1,0)</f>
        <v>1000</v>
      </c>
      <c r="L14" s="8" t="n">
        <f aca="false">ROUNDUP((Parametry!$C$20*MAX(1,D14))*1,0)</f>
        <v>1000</v>
      </c>
      <c r="M14" s="8" t="n">
        <f aca="false">ROUNDUP((Parametry!$C$20*MAX(1,D14))*1,0)</f>
        <v>1000</v>
      </c>
      <c r="N14" s="8" t="n">
        <f aca="false">ROUNDUP((Parametry!$C$20*MAX(1,D14))*1,0)</f>
        <v>1000</v>
      </c>
      <c r="O14" s="8" t="n">
        <f aca="false">ROUNDUP(J14/H14,0)</f>
        <v>16</v>
      </c>
      <c r="P14" s="8" t="n">
        <f aca="false">ROUNDUP(K14/H14,0)</f>
        <v>16</v>
      </c>
      <c r="Q14" s="8" t="n">
        <f aca="false">ROUNDUP(L14/H14,0)</f>
        <v>16</v>
      </c>
      <c r="R14" s="8" t="n">
        <f aca="false">ROUNDUP(M14/H14,0)</f>
        <v>16</v>
      </c>
      <c r="S14" s="8" t="n">
        <f aca="false">ROUNDUP(N14/H14,0)</f>
        <v>16</v>
      </c>
      <c r="T14" s="8" t="n">
        <f aca="false">SUM(O14:S14)</f>
        <v>80</v>
      </c>
      <c r="U14" s="8" t="n">
        <f aca="false">ROUNDUP(T14/G14,0)</f>
        <v>14</v>
      </c>
      <c r="V14" s="8" t="n">
        <f aca="false">U14*Parametry!$C$11/(1+Parametry!$C$71*Parametry!$C$73)</f>
        <v>70</v>
      </c>
      <c r="W14" s="8" t="n">
        <f aca="false">2</f>
        <v>2</v>
      </c>
      <c r="X14" s="8" t="n">
        <f aca="false">V14*(W14-1)</f>
        <v>70</v>
      </c>
      <c r="Y14" s="8" t="n">
        <f aca="false">V14*W14</f>
        <v>140</v>
      </c>
      <c r="Z14" s="8" t="n">
        <f aca="false">SUM(J14:N14)</f>
        <v>5000</v>
      </c>
      <c r="AA14" s="8" t="s">
        <v>1751</v>
      </c>
    </row>
    <row r="15" customFormat="false" ht="69.75" hidden="false" customHeight="true" outlineLevel="0" collapsed="false">
      <c r="A15" s="7" t="s">
        <v>486</v>
      </c>
      <c r="B15" s="7" t="s">
        <v>1753</v>
      </c>
      <c r="C15" s="7" t="s">
        <v>1752</v>
      </c>
      <c r="D15" s="7" t="n">
        <v>2</v>
      </c>
      <c r="E15" s="7" t="n">
        <f aca="false">D15+1</f>
        <v>3</v>
      </c>
      <c r="F15" s="7" t="n">
        <v>2</v>
      </c>
      <c r="G15" s="51" t="n">
        <f aca="false">Parametry!$C$12</f>
        <v>6</v>
      </c>
      <c r="H15" s="7" t="n">
        <f aca="false">ROUNDDOWN(ROUNDDOWN(Parametry!$C$9*Parametry!$C$10^(F15-1),0)*(1+Parametry!$C$72*MAX(0,Parametry!$C$73-2)),0)</f>
        <v>66</v>
      </c>
      <c r="I15" s="7" t="n">
        <f aca="false">ROUNDUP((Parametry!$C$20*MAX(1,D15))*Parametry!$C$15,0)</f>
        <v>1100</v>
      </c>
      <c r="J15" s="7" t="n">
        <f aca="false">ROUNDUP((Parametry!$C$20*MAX(1,D15))*Parametry!$C$15,0)</f>
        <v>1100</v>
      </c>
      <c r="K15" s="7" t="n">
        <f aca="false">ROUNDUP((Parametry!$C$20*MAX(1,D15))*Parametry!$C$15,0)</f>
        <v>1100</v>
      </c>
      <c r="L15" s="7" t="n">
        <f aca="false">ROUNDUP((Parametry!$C$20*MAX(1,D15))*Parametry!$C$15,0)</f>
        <v>1100</v>
      </c>
      <c r="M15" s="7" t="n">
        <f aca="false">ROUNDUP((Parametry!$C$20*MAX(1,D15))*Parametry!$C$15,0)</f>
        <v>1100</v>
      </c>
      <c r="N15" s="7" t="n">
        <f aca="false">ROUNDUP((Parametry!$C$20*MAX(1,D15))*Parametry!$C$15,0)</f>
        <v>1100</v>
      </c>
      <c r="O15" s="7" t="n">
        <f aca="false">ROUNDUP(J15/H15,0)</f>
        <v>17</v>
      </c>
      <c r="P15" s="7" t="n">
        <f aca="false">ROUNDUP(K15/H15,0)</f>
        <v>17</v>
      </c>
      <c r="Q15" s="7" t="n">
        <f aca="false">ROUNDUP(L15/H15,0)</f>
        <v>17</v>
      </c>
      <c r="R15" s="7" t="n">
        <f aca="false">ROUNDUP(M15/H15,0)</f>
        <v>17</v>
      </c>
      <c r="S15" s="7" t="n">
        <f aca="false">ROUNDUP(N15/H15,0)</f>
        <v>17</v>
      </c>
      <c r="T15" s="7" t="n">
        <f aca="false">SUM(O15:S15)</f>
        <v>85</v>
      </c>
      <c r="U15" s="7" t="n">
        <f aca="false">ROUNDUP(T15/G15,0)</f>
        <v>15</v>
      </c>
      <c r="V15" s="7" t="n">
        <f aca="false">U15*Parametry!$C$11/(1+Parametry!$C$71*Parametry!$C$73)</f>
        <v>75</v>
      </c>
      <c r="W15" s="7" t="n">
        <f aca="false">2</f>
        <v>2</v>
      </c>
      <c r="X15" s="7" t="n">
        <f aca="false">V15*(W15-1)</f>
        <v>75</v>
      </c>
      <c r="Y15" s="7" t="n">
        <f aca="false">V15*W15</f>
        <v>150</v>
      </c>
      <c r="Z15" s="7" t="n">
        <f aca="false">SUM(J15:N15)</f>
        <v>5500</v>
      </c>
      <c r="AA15" s="7" t="s">
        <v>1751</v>
      </c>
    </row>
    <row r="16" customFormat="false" ht="69.75" hidden="false" customHeight="true" outlineLevel="0" collapsed="false">
      <c r="A16" s="8" t="s">
        <v>486</v>
      </c>
      <c r="B16" s="8" t="s">
        <v>1754</v>
      </c>
      <c r="C16" s="8" t="s">
        <v>1750</v>
      </c>
      <c r="D16" s="8" t="n">
        <v>3</v>
      </c>
      <c r="E16" s="8" t="n">
        <f aca="false">D16+1</f>
        <v>4</v>
      </c>
      <c r="F16" s="8" t="n">
        <v>3</v>
      </c>
      <c r="G16" s="50" t="n">
        <f aca="false">Parametry!$C$12</f>
        <v>6</v>
      </c>
      <c r="H16" s="8" t="n">
        <f aca="false">ROUNDDOWN(ROUNDDOWN(Parametry!$C$9*Parametry!$C$10^(F16-1),0)*(1+Parametry!$C$72*MAX(0,Parametry!$C$73-2)),0)</f>
        <v>72</v>
      </c>
      <c r="I16" s="8" t="n">
        <f aca="false">ROUNDUP((Parametry!$C$20*MAX(1,D16))*1,0)</f>
        <v>1500</v>
      </c>
      <c r="J16" s="8" t="n">
        <f aca="false">ROUNDUP((Parametry!$C$20*MAX(1,D16))*1,0)</f>
        <v>1500</v>
      </c>
      <c r="K16" s="8" t="n">
        <f aca="false">ROUNDUP((Parametry!$C$20*MAX(1,D16))*1,0)</f>
        <v>1500</v>
      </c>
      <c r="L16" s="8" t="n">
        <f aca="false">ROUNDUP((Parametry!$C$20*MAX(1,D16))*1,0)</f>
        <v>1500</v>
      </c>
      <c r="M16" s="8" t="n">
        <f aca="false">ROUNDUP((Parametry!$C$20*MAX(1,D16))*1,0)</f>
        <v>1500</v>
      </c>
      <c r="N16" s="8" t="n">
        <f aca="false">ROUNDUP((Parametry!$C$20*MAX(1,D16))*1,0)</f>
        <v>1500</v>
      </c>
      <c r="O16" s="8" t="n">
        <f aca="false">ROUNDUP(J16/H16,0)</f>
        <v>21</v>
      </c>
      <c r="P16" s="8" t="n">
        <f aca="false">ROUNDUP(K16/H16,0)</f>
        <v>21</v>
      </c>
      <c r="Q16" s="8" t="n">
        <f aca="false">ROUNDUP(L16/H16,0)</f>
        <v>21</v>
      </c>
      <c r="R16" s="8" t="n">
        <f aca="false">ROUNDUP(M16/H16,0)</f>
        <v>21</v>
      </c>
      <c r="S16" s="8" t="n">
        <f aca="false">ROUNDUP(N16/H16,0)</f>
        <v>21</v>
      </c>
      <c r="T16" s="8" t="n">
        <f aca="false">SUM(O16:S16)</f>
        <v>105</v>
      </c>
      <c r="U16" s="8" t="n">
        <f aca="false">ROUNDUP(T16/G16,0)</f>
        <v>18</v>
      </c>
      <c r="V16" s="8" t="n">
        <f aca="false">U16*Parametry!$C$11/(1+Parametry!$C$71*Parametry!$C$73)</f>
        <v>90</v>
      </c>
      <c r="W16" s="8" t="n">
        <f aca="false">2</f>
        <v>2</v>
      </c>
      <c r="X16" s="8" t="n">
        <f aca="false">V16*(W16-1)</f>
        <v>90</v>
      </c>
      <c r="Y16" s="8" t="n">
        <f aca="false">V16*W16</f>
        <v>180</v>
      </c>
      <c r="Z16" s="8" t="n">
        <f aca="false">SUM(J16:N16)</f>
        <v>7500</v>
      </c>
      <c r="AA16" s="8" t="s">
        <v>1751</v>
      </c>
    </row>
    <row r="17" customFormat="false" ht="69.75" hidden="false" customHeight="true" outlineLevel="0" collapsed="false">
      <c r="A17" s="7" t="s">
        <v>486</v>
      </c>
      <c r="B17" s="7" t="s">
        <v>1754</v>
      </c>
      <c r="C17" s="7" t="s">
        <v>1752</v>
      </c>
      <c r="D17" s="7" t="n">
        <v>3</v>
      </c>
      <c r="E17" s="7" t="n">
        <f aca="false">D17+1</f>
        <v>4</v>
      </c>
      <c r="F17" s="7" t="n">
        <v>3</v>
      </c>
      <c r="G17" s="51" t="n">
        <f aca="false">Parametry!$C$12</f>
        <v>6</v>
      </c>
      <c r="H17" s="7" t="n">
        <f aca="false">ROUNDDOWN(ROUNDDOWN(Parametry!$C$9*Parametry!$C$10^(F17-1),0)*(1+Parametry!$C$72*MAX(0,Parametry!$C$73-2)),0)</f>
        <v>72</v>
      </c>
      <c r="I17" s="7" t="n">
        <f aca="false">ROUNDUP((Parametry!$C$20*MAX(1,D17))*Parametry!$C$15,0)</f>
        <v>1650</v>
      </c>
      <c r="J17" s="7" t="n">
        <f aca="false">ROUNDUP((Parametry!$C$20*MAX(1,D17))*Parametry!$C$15,0)</f>
        <v>1650</v>
      </c>
      <c r="K17" s="7" t="n">
        <f aca="false">ROUNDUP((Parametry!$C$20*MAX(1,D17))*Parametry!$C$15,0)</f>
        <v>1650</v>
      </c>
      <c r="L17" s="7" t="n">
        <f aca="false">ROUNDUP((Parametry!$C$20*MAX(1,D17))*Parametry!$C$15,0)</f>
        <v>1650</v>
      </c>
      <c r="M17" s="7" t="n">
        <f aca="false">ROUNDUP((Parametry!$C$20*MAX(1,D17))*Parametry!$C$15,0)</f>
        <v>1650</v>
      </c>
      <c r="N17" s="7" t="n">
        <f aca="false">ROUNDUP((Parametry!$C$20*MAX(1,D17))*Parametry!$C$15,0)</f>
        <v>1650</v>
      </c>
      <c r="O17" s="7" t="n">
        <f aca="false">ROUNDUP(J17/H17,0)</f>
        <v>23</v>
      </c>
      <c r="P17" s="7" t="n">
        <f aca="false">ROUNDUP(K17/H17,0)</f>
        <v>23</v>
      </c>
      <c r="Q17" s="7" t="n">
        <f aca="false">ROUNDUP(L17/H17,0)</f>
        <v>23</v>
      </c>
      <c r="R17" s="7" t="n">
        <f aca="false">ROUNDUP(M17/H17,0)</f>
        <v>23</v>
      </c>
      <c r="S17" s="7" t="n">
        <f aca="false">ROUNDUP(N17/H17,0)</f>
        <v>23</v>
      </c>
      <c r="T17" s="7" t="n">
        <f aca="false">SUM(O17:S17)</f>
        <v>115</v>
      </c>
      <c r="U17" s="7" t="n">
        <f aca="false">ROUNDUP(T17/G17,0)</f>
        <v>20</v>
      </c>
      <c r="V17" s="7" t="n">
        <f aca="false">U17*Parametry!$C$11/(1+Parametry!$C$71*Parametry!$C$73)</f>
        <v>100</v>
      </c>
      <c r="W17" s="7" t="n">
        <f aca="false">2</f>
        <v>2</v>
      </c>
      <c r="X17" s="7" t="n">
        <f aca="false">V17*(W17-1)</f>
        <v>100</v>
      </c>
      <c r="Y17" s="7" t="n">
        <f aca="false">V17*W17</f>
        <v>200</v>
      </c>
      <c r="Z17" s="7" t="n">
        <f aca="false">SUM(J17:N17)</f>
        <v>8250</v>
      </c>
      <c r="AA17" s="7" t="s">
        <v>1751</v>
      </c>
    </row>
    <row r="18" customFormat="false" ht="69.75" hidden="false" customHeight="true" outlineLevel="0" collapsed="false">
      <c r="A18" s="8" t="s">
        <v>494</v>
      </c>
      <c r="B18" s="8" t="s">
        <v>1749</v>
      </c>
      <c r="C18" s="8" t="s">
        <v>1750</v>
      </c>
      <c r="D18" s="8" t="n">
        <v>1</v>
      </c>
      <c r="E18" s="8" t="n">
        <f aca="false">D18+1</f>
        <v>2</v>
      </c>
      <c r="F18" s="8" t="n">
        <v>1</v>
      </c>
      <c r="G18" s="50" t="n">
        <f aca="false">Parametry!$C$12</f>
        <v>6</v>
      </c>
      <c r="H18" s="8" t="n">
        <f aca="false">ROUNDDOWN(ROUNDDOWN(Parametry!$C$9*Parametry!$C$10^(F18-1),0)*(1+Parametry!$C$72*MAX(0,Parametry!$C$73-2)),0)</f>
        <v>60</v>
      </c>
      <c r="I18" s="8" t="n">
        <f aca="false">ROUNDUP((0)*1,0)</f>
        <v>0</v>
      </c>
      <c r="J18" s="8" t="n">
        <f aca="false">ROUNDUP((Parametry!$C$16*Parametry!$C$17*D18)*1,0)</f>
        <v>72</v>
      </c>
      <c r="K18" s="8" t="n">
        <f aca="false">ROUNDUP((Parametry!$C$16*Parametry!$C$18*D18)*1,0)</f>
        <v>72</v>
      </c>
      <c r="L18" s="8" t="n">
        <f aca="false">ROUNDUP((Parametry!$C$16*Parametry!$C$19*D18)*1,0)</f>
        <v>120</v>
      </c>
      <c r="M18" s="8" t="n">
        <f aca="false">ROUNDUP((0)*1,0)</f>
        <v>0</v>
      </c>
      <c r="N18" s="8" t="n">
        <f aca="false">ROUNDUP((0)*1,0)</f>
        <v>0</v>
      </c>
      <c r="O18" s="8" t="n">
        <f aca="false">ROUNDUP(J18/H18,0)</f>
        <v>2</v>
      </c>
      <c r="P18" s="8" t="n">
        <f aca="false">ROUNDUP(K18/H18,0)</f>
        <v>2</v>
      </c>
      <c r="Q18" s="8" t="n">
        <f aca="false">ROUNDUP(L18/H18,0)</f>
        <v>2</v>
      </c>
      <c r="R18" s="8" t="n">
        <f aca="false">ROUNDUP(M18/H18,0)</f>
        <v>0</v>
      </c>
      <c r="S18" s="8" t="n">
        <f aca="false">ROUNDUP(N18/H18,0)</f>
        <v>0</v>
      </c>
      <c r="T18" s="8" t="n">
        <f aca="false">SUM(O18:S18)</f>
        <v>6</v>
      </c>
      <c r="U18" s="8" t="n">
        <f aca="false">ROUNDUP(T18/G18,0)</f>
        <v>1</v>
      </c>
      <c r="V18" s="8" t="n">
        <f aca="false">U18*Parametry!$C$11/(1+Parametry!$C$71*Parametry!$C$73)</f>
        <v>5</v>
      </c>
      <c r="W18" s="8" t="n">
        <f aca="false">2</f>
        <v>2</v>
      </c>
      <c r="X18" s="8" t="n">
        <f aca="false">V18*(W18-1)</f>
        <v>5</v>
      </c>
      <c r="Y18" s="8" t="n">
        <f aca="false">V18*W18</f>
        <v>10</v>
      </c>
      <c r="Z18" s="8" t="n">
        <f aca="false">SUM(J18:N18)</f>
        <v>264</v>
      </c>
      <c r="AA18" s="8" t="s">
        <v>1751</v>
      </c>
    </row>
    <row r="19" customFormat="false" ht="69.75" hidden="false" customHeight="true" outlineLevel="0" collapsed="false">
      <c r="A19" s="7" t="s">
        <v>494</v>
      </c>
      <c r="B19" s="7" t="s">
        <v>1749</v>
      </c>
      <c r="C19" s="7" t="s">
        <v>1752</v>
      </c>
      <c r="D19" s="7" t="n">
        <v>1</v>
      </c>
      <c r="E19" s="7" t="n">
        <f aca="false">D19+1</f>
        <v>2</v>
      </c>
      <c r="F19" s="7" t="n">
        <v>1</v>
      </c>
      <c r="G19" s="51" t="n">
        <f aca="false">Parametry!$C$12</f>
        <v>6</v>
      </c>
      <c r="H19" s="7" t="n">
        <f aca="false">ROUNDDOWN(ROUNDDOWN(Parametry!$C$9*Parametry!$C$10^(F19-1),0)*(1+Parametry!$C$72*MAX(0,Parametry!$C$73-2)),0)</f>
        <v>60</v>
      </c>
      <c r="I19" s="7" t="n">
        <f aca="false">ROUNDUP((0)*Parametry!$C$15,0)</f>
        <v>0</v>
      </c>
      <c r="J19" s="7" t="n">
        <f aca="false">ROUNDUP((Parametry!$C$16*Parametry!$C$17*D19)*Parametry!$C$15,0)</f>
        <v>80</v>
      </c>
      <c r="K19" s="7" t="n">
        <f aca="false">ROUNDUP((Parametry!$C$16*Parametry!$C$18*D19)*Parametry!$C$15,0)</f>
        <v>80</v>
      </c>
      <c r="L19" s="7" t="n">
        <f aca="false">ROUNDUP((Parametry!$C$16*Parametry!$C$19*D19)*Parametry!$C$15,0)</f>
        <v>132</v>
      </c>
      <c r="M19" s="7" t="n">
        <f aca="false">ROUNDUP((0)*Parametry!$C$15,0)</f>
        <v>0</v>
      </c>
      <c r="N19" s="7" t="n">
        <f aca="false">ROUNDUP((0)*Parametry!$C$15,0)</f>
        <v>0</v>
      </c>
      <c r="O19" s="7" t="n">
        <f aca="false">ROUNDUP(J19/H19,0)</f>
        <v>2</v>
      </c>
      <c r="P19" s="7" t="n">
        <f aca="false">ROUNDUP(K19/H19,0)</f>
        <v>2</v>
      </c>
      <c r="Q19" s="7" t="n">
        <f aca="false">ROUNDUP(L19/H19,0)</f>
        <v>3</v>
      </c>
      <c r="R19" s="7" t="n">
        <f aca="false">ROUNDUP(M19/H19,0)</f>
        <v>0</v>
      </c>
      <c r="S19" s="7" t="n">
        <f aca="false">ROUNDUP(N19/H19,0)</f>
        <v>0</v>
      </c>
      <c r="T19" s="7" t="n">
        <f aca="false">SUM(O19:S19)</f>
        <v>7</v>
      </c>
      <c r="U19" s="7" t="n">
        <f aca="false">ROUNDUP(T19/G19,0)</f>
        <v>2</v>
      </c>
      <c r="V19" s="7" t="n">
        <f aca="false">U19*Parametry!$C$11/(1+Parametry!$C$71*Parametry!$C$73)</f>
        <v>10</v>
      </c>
      <c r="W19" s="7" t="n">
        <f aca="false">2</f>
        <v>2</v>
      </c>
      <c r="X19" s="7" t="n">
        <f aca="false">V19*(W19-1)</f>
        <v>10</v>
      </c>
      <c r="Y19" s="7" t="n">
        <f aca="false">V19*W19</f>
        <v>20</v>
      </c>
      <c r="Z19" s="7" t="n">
        <f aca="false">SUM(J19:N19)</f>
        <v>292</v>
      </c>
      <c r="AA19" s="7" t="s">
        <v>1751</v>
      </c>
    </row>
    <row r="20" customFormat="false" ht="69.75" hidden="false" customHeight="true" outlineLevel="0" collapsed="false">
      <c r="A20" s="8" t="s">
        <v>494</v>
      </c>
      <c r="B20" s="8" t="s">
        <v>1753</v>
      </c>
      <c r="C20" s="8" t="s">
        <v>1750</v>
      </c>
      <c r="D20" s="8" t="n">
        <v>2</v>
      </c>
      <c r="E20" s="8" t="n">
        <f aca="false">D20+1</f>
        <v>3</v>
      </c>
      <c r="F20" s="8" t="n">
        <v>2</v>
      </c>
      <c r="G20" s="50" t="n">
        <f aca="false">Parametry!$C$12</f>
        <v>6</v>
      </c>
      <c r="H20" s="8" t="n">
        <f aca="false">ROUNDDOWN(ROUNDDOWN(Parametry!$C$9*Parametry!$C$10^(F20-1),0)*(1+Parametry!$C$72*MAX(0,Parametry!$C$73-2)),0)</f>
        <v>66</v>
      </c>
      <c r="I20" s="8" t="n">
        <f aca="false">ROUNDUP((0)*1,0)</f>
        <v>0</v>
      </c>
      <c r="J20" s="8" t="n">
        <f aca="false">ROUNDUP((Parametry!$C$16*Parametry!$C$17*D20)*1,0)</f>
        <v>144</v>
      </c>
      <c r="K20" s="8" t="n">
        <f aca="false">ROUNDUP((Parametry!$C$16*Parametry!$C$18*D20)*1,0)</f>
        <v>144</v>
      </c>
      <c r="L20" s="8" t="n">
        <f aca="false">ROUNDUP((Parametry!$C$16*Parametry!$C$19*D20)*1,0)</f>
        <v>240</v>
      </c>
      <c r="M20" s="8" t="n">
        <f aca="false">ROUNDUP((0)*1,0)</f>
        <v>0</v>
      </c>
      <c r="N20" s="8" t="n">
        <f aca="false">ROUNDUP((0)*1,0)</f>
        <v>0</v>
      </c>
      <c r="O20" s="8" t="n">
        <f aca="false">ROUNDUP(J20/H20,0)</f>
        <v>3</v>
      </c>
      <c r="P20" s="8" t="n">
        <f aca="false">ROUNDUP(K20/H20,0)</f>
        <v>3</v>
      </c>
      <c r="Q20" s="8" t="n">
        <f aca="false">ROUNDUP(L20/H20,0)</f>
        <v>4</v>
      </c>
      <c r="R20" s="8" t="n">
        <f aca="false">ROUNDUP(M20/H20,0)</f>
        <v>0</v>
      </c>
      <c r="S20" s="8" t="n">
        <f aca="false">ROUNDUP(N20/H20,0)</f>
        <v>0</v>
      </c>
      <c r="T20" s="8" t="n">
        <f aca="false">SUM(O20:S20)</f>
        <v>10</v>
      </c>
      <c r="U20" s="8" t="n">
        <f aca="false">ROUNDUP(T20/G20,0)</f>
        <v>2</v>
      </c>
      <c r="V20" s="8" t="n">
        <f aca="false">U20*Parametry!$C$11/(1+Parametry!$C$71*Parametry!$C$73)</f>
        <v>10</v>
      </c>
      <c r="W20" s="8" t="n">
        <f aca="false">2</f>
        <v>2</v>
      </c>
      <c r="X20" s="8" t="n">
        <f aca="false">V20*(W20-1)</f>
        <v>10</v>
      </c>
      <c r="Y20" s="8" t="n">
        <f aca="false">V20*W20</f>
        <v>20</v>
      </c>
      <c r="Z20" s="8" t="n">
        <f aca="false">SUM(J20:N20)</f>
        <v>528</v>
      </c>
      <c r="AA20" s="8" t="s">
        <v>1751</v>
      </c>
    </row>
    <row r="21" customFormat="false" ht="69.75" hidden="false" customHeight="true" outlineLevel="0" collapsed="false">
      <c r="A21" s="7" t="s">
        <v>494</v>
      </c>
      <c r="B21" s="7" t="s">
        <v>1753</v>
      </c>
      <c r="C21" s="7" t="s">
        <v>1752</v>
      </c>
      <c r="D21" s="7" t="n">
        <v>2</v>
      </c>
      <c r="E21" s="7" t="n">
        <f aca="false">D21+1</f>
        <v>3</v>
      </c>
      <c r="F21" s="7" t="n">
        <v>2</v>
      </c>
      <c r="G21" s="51" t="n">
        <f aca="false">Parametry!$C$12</f>
        <v>6</v>
      </c>
      <c r="H21" s="7" t="n">
        <f aca="false">ROUNDDOWN(ROUNDDOWN(Parametry!$C$9*Parametry!$C$10^(F21-1),0)*(1+Parametry!$C$72*MAX(0,Parametry!$C$73-2)),0)</f>
        <v>66</v>
      </c>
      <c r="I21" s="7" t="n">
        <f aca="false">ROUNDUP((0)*Parametry!$C$15,0)</f>
        <v>0</v>
      </c>
      <c r="J21" s="7" t="n">
        <f aca="false">ROUNDUP((Parametry!$C$16*Parametry!$C$17*D21)*Parametry!$C$15,0)</f>
        <v>159</v>
      </c>
      <c r="K21" s="7" t="n">
        <f aca="false">ROUNDUP((Parametry!$C$16*Parametry!$C$18*D21)*Parametry!$C$15,0)</f>
        <v>159</v>
      </c>
      <c r="L21" s="7" t="n">
        <f aca="false">ROUNDUP((Parametry!$C$16*Parametry!$C$19*D21)*Parametry!$C$15,0)</f>
        <v>264</v>
      </c>
      <c r="M21" s="7" t="n">
        <f aca="false">ROUNDUP((0)*Parametry!$C$15,0)</f>
        <v>0</v>
      </c>
      <c r="N21" s="7" t="n">
        <f aca="false">ROUNDUP((0)*Parametry!$C$15,0)</f>
        <v>0</v>
      </c>
      <c r="O21" s="7" t="n">
        <f aca="false">ROUNDUP(J21/H21,0)</f>
        <v>3</v>
      </c>
      <c r="P21" s="7" t="n">
        <f aca="false">ROUNDUP(K21/H21,0)</f>
        <v>3</v>
      </c>
      <c r="Q21" s="7" t="n">
        <f aca="false">ROUNDUP(L21/H21,0)</f>
        <v>4</v>
      </c>
      <c r="R21" s="7" t="n">
        <f aca="false">ROUNDUP(M21/H21,0)</f>
        <v>0</v>
      </c>
      <c r="S21" s="7" t="n">
        <f aca="false">ROUNDUP(N21/H21,0)</f>
        <v>0</v>
      </c>
      <c r="T21" s="7" t="n">
        <f aca="false">SUM(O21:S21)</f>
        <v>10</v>
      </c>
      <c r="U21" s="7" t="n">
        <f aca="false">ROUNDUP(T21/G21,0)</f>
        <v>2</v>
      </c>
      <c r="V21" s="7" t="n">
        <f aca="false">U21*Parametry!$C$11/(1+Parametry!$C$71*Parametry!$C$73)</f>
        <v>10</v>
      </c>
      <c r="W21" s="7" t="n">
        <f aca="false">2</f>
        <v>2</v>
      </c>
      <c r="X21" s="7" t="n">
        <f aca="false">V21*(W21-1)</f>
        <v>10</v>
      </c>
      <c r="Y21" s="7" t="n">
        <f aca="false">V21*W21</f>
        <v>20</v>
      </c>
      <c r="Z21" s="7" t="n">
        <f aca="false">SUM(J21:N21)</f>
        <v>582</v>
      </c>
      <c r="AA21" s="7" t="s">
        <v>1751</v>
      </c>
    </row>
    <row r="22" customFormat="false" ht="69.75" hidden="false" customHeight="true" outlineLevel="0" collapsed="false">
      <c r="A22" s="8" t="s">
        <v>494</v>
      </c>
      <c r="B22" s="8" t="s">
        <v>1754</v>
      </c>
      <c r="C22" s="8" t="s">
        <v>1750</v>
      </c>
      <c r="D22" s="8" t="n">
        <v>3</v>
      </c>
      <c r="E22" s="8" t="n">
        <f aca="false">D22+1</f>
        <v>4</v>
      </c>
      <c r="F22" s="8" t="n">
        <v>3</v>
      </c>
      <c r="G22" s="50" t="n">
        <f aca="false">Parametry!$C$12</f>
        <v>6</v>
      </c>
      <c r="H22" s="8" t="n">
        <f aca="false">ROUNDDOWN(ROUNDDOWN(Parametry!$C$9*Parametry!$C$10^(F22-1),0)*(1+Parametry!$C$72*MAX(0,Parametry!$C$73-2)),0)</f>
        <v>72</v>
      </c>
      <c r="I22" s="8" t="n">
        <f aca="false">ROUNDUP((0)*1,0)</f>
        <v>0</v>
      </c>
      <c r="J22" s="8" t="n">
        <f aca="false">ROUNDUP((Parametry!$C$16*Parametry!$C$17*D22)*1,0)</f>
        <v>216</v>
      </c>
      <c r="K22" s="8" t="n">
        <f aca="false">ROUNDUP((Parametry!$C$16*Parametry!$C$18*D22)*1,0)</f>
        <v>216</v>
      </c>
      <c r="L22" s="8" t="n">
        <f aca="false">ROUNDUP((Parametry!$C$16*Parametry!$C$19*D22)*1,0)</f>
        <v>360</v>
      </c>
      <c r="M22" s="8" t="n">
        <f aca="false">ROUNDUP((0)*1,0)</f>
        <v>0</v>
      </c>
      <c r="N22" s="8" t="n">
        <f aca="false">ROUNDUP((0)*1,0)</f>
        <v>0</v>
      </c>
      <c r="O22" s="8" t="n">
        <f aca="false">ROUNDUP(J22/H22,0)</f>
        <v>3</v>
      </c>
      <c r="P22" s="8" t="n">
        <f aca="false">ROUNDUP(K22/H22,0)</f>
        <v>3</v>
      </c>
      <c r="Q22" s="8" t="n">
        <f aca="false">ROUNDUP(L22/H22,0)</f>
        <v>5</v>
      </c>
      <c r="R22" s="8" t="n">
        <f aca="false">ROUNDUP(M22/H22,0)</f>
        <v>0</v>
      </c>
      <c r="S22" s="8" t="n">
        <f aca="false">ROUNDUP(N22/H22,0)</f>
        <v>0</v>
      </c>
      <c r="T22" s="8" t="n">
        <f aca="false">SUM(O22:S22)</f>
        <v>11</v>
      </c>
      <c r="U22" s="8" t="n">
        <f aca="false">ROUNDUP(T22/G22,0)</f>
        <v>2</v>
      </c>
      <c r="V22" s="8" t="n">
        <f aca="false">U22*Parametry!$C$11/(1+Parametry!$C$71*Parametry!$C$73)</f>
        <v>10</v>
      </c>
      <c r="W22" s="8" t="n">
        <f aca="false">2</f>
        <v>2</v>
      </c>
      <c r="X22" s="8" t="n">
        <f aca="false">V22*(W22-1)</f>
        <v>10</v>
      </c>
      <c r="Y22" s="8" t="n">
        <f aca="false">V22*W22</f>
        <v>20</v>
      </c>
      <c r="Z22" s="8" t="n">
        <f aca="false">SUM(J22:N22)</f>
        <v>792</v>
      </c>
      <c r="AA22" s="8" t="s">
        <v>1751</v>
      </c>
    </row>
    <row r="23" customFormat="false" ht="69.75" hidden="false" customHeight="true" outlineLevel="0" collapsed="false">
      <c r="A23" s="7" t="s">
        <v>494</v>
      </c>
      <c r="B23" s="7" t="s">
        <v>1754</v>
      </c>
      <c r="C23" s="7" t="s">
        <v>1752</v>
      </c>
      <c r="D23" s="7" t="n">
        <v>3</v>
      </c>
      <c r="E23" s="7" t="n">
        <f aca="false">D23+1</f>
        <v>4</v>
      </c>
      <c r="F23" s="7" t="n">
        <v>3</v>
      </c>
      <c r="G23" s="51" t="n">
        <f aca="false">Parametry!$C$12</f>
        <v>6</v>
      </c>
      <c r="H23" s="7" t="n">
        <f aca="false">ROUNDDOWN(ROUNDDOWN(Parametry!$C$9*Parametry!$C$10^(F23-1),0)*(1+Parametry!$C$72*MAX(0,Parametry!$C$73-2)),0)</f>
        <v>72</v>
      </c>
      <c r="I23" s="7" t="n">
        <f aca="false">ROUNDUP((0)*Parametry!$C$15,0)</f>
        <v>0</v>
      </c>
      <c r="J23" s="7" t="n">
        <f aca="false">ROUNDUP((Parametry!$C$16*Parametry!$C$17*D23)*Parametry!$C$15,0)</f>
        <v>238</v>
      </c>
      <c r="K23" s="7" t="n">
        <f aca="false">ROUNDUP((Parametry!$C$16*Parametry!$C$18*D23)*Parametry!$C$15,0)</f>
        <v>238</v>
      </c>
      <c r="L23" s="7" t="n">
        <f aca="false">ROUNDUP((Parametry!$C$16*Parametry!$C$19*D23)*Parametry!$C$15,0)</f>
        <v>396</v>
      </c>
      <c r="M23" s="7" t="n">
        <f aca="false">ROUNDUP((0)*Parametry!$C$15,0)</f>
        <v>0</v>
      </c>
      <c r="N23" s="7" t="n">
        <f aca="false">ROUNDUP((0)*Parametry!$C$15,0)</f>
        <v>0</v>
      </c>
      <c r="O23" s="7" t="n">
        <f aca="false">ROUNDUP(J23/H23,0)</f>
        <v>4</v>
      </c>
      <c r="P23" s="7" t="n">
        <f aca="false">ROUNDUP(K23/H23,0)</f>
        <v>4</v>
      </c>
      <c r="Q23" s="7" t="n">
        <f aca="false">ROUNDUP(L23/H23,0)</f>
        <v>6</v>
      </c>
      <c r="R23" s="7" t="n">
        <f aca="false">ROUNDUP(M23/H23,0)</f>
        <v>0</v>
      </c>
      <c r="S23" s="7" t="n">
        <f aca="false">ROUNDUP(N23/H23,0)</f>
        <v>0</v>
      </c>
      <c r="T23" s="7" t="n">
        <f aca="false">SUM(O23:S23)</f>
        <v>14</v>
      </c>
      <c r="U23" s="7" t="n">
        <f aca="false">ROUNDUP(T23/G23,0)</f>
        <v>3</v>
      </c>
      <c r="V23" s="7" t="n">
        <f aca="false">U23*Parametry!$C$11/(1+Parametry!$C$71*Parametry!$C$73)</f>
        <v>15</v>
      </c>
      <c r="W23" s="7" t="n">
        <f aca="false">2</f>
        <v>2</v>
      </c>
      <c r="X23" s="7" t="n">
        <f aca="false">V23*(W23-1)</f>
        <v>15</v>
      </c>
      <c r="Y23" s="7" t="n">
        <f aca="false">V23*W23</f>
        <v>30</v>
      </c>
      <c r="Z23" s="7" t="n">
        <f aca="false">SUM(J23:N23)</f>
        <v>872</v>
      </c>
      <c r="AA23" s="7" t="s">
        <v>1751</v>
      </c>
    </row>
    <row r="24" customFormat="false" ht="69.75" hidden="false" customHeight="true" outlineLevel="0" collapsed="false">
      <c r="A24" s="8" t="s">
        <v>502</v>
      </c>
      <c r="B24" s="8" t="s">
        <v>1749</v>
      </c>
      <c r="C24" s="8" t="s">
        <v>1750</v>
      </c>
      <c r="D24" s="8" t="n">
        <v>1</v>
      </c>
      <c r="E24" s="8" t="n">
        <f aca="false">D24+1</f>
        <v>2</v>
      </c>
      <c r="F24" s="8" t="n">
        <v>1</v>
      </c>
      <c r="G24" s="50" t="n">
        <f aca="false">Parametry!$C$12</f>
        <v>6</v>
      </c>
      <c r="H24" s="8" t="n">
        <f aca="false">ROUNDDOWN(ROUNDDOWN(Parametry!$C$9*Parametry!$C$10^(F24-1),0)*(1+Parametry!$C$72*MAX(0,Parametry!$C$73-2)),0)</f>
        <v>60</v>
      </c>
      <c r="I24" s="8" t="n">
        <f aca="false">ROUNDUP((2*(0))*1,0)</f>
        <v>0</v>
      </c>
      <c r="J24" s="8" t="n">
        <f aca="false">ROUNDUP((2*(Parametry!$C$16*Parametry!$C$17*D24))*1,0)</f>
        <v>144</v>
      </c>
      <c r="K24" s="8" t="n">
        <f aca="false">ROUNDUP((2*(Parametry!$C$16*Parametry!$C$18*D24))*1,0)</f>
        <v>144</v>
      </c>
      <c r="L24" s="8" t="n">
        <f aca="false">ROUNDUP((2*(0))*1,0)</f>
        <v>0</v>
      </c>
      <c r="M24" s="8" t="n">
        <f aca="false">ROUNDUP((2*(Parametry!$C$16*Parametry!$C$19*D24))*1,0)</f>
        <v>240</v>
      </c>
      <c r="N24" s="8" t="n">
        <f aca="false">ROUNDUP((2*(0))*1,0)</f>
        <v>0</v>
      </c>
      <c r="O24" s="8" t="n">
        <f aca="false">ROUNDUP(J24/H24,0)</f>
        <v>3</v>
      </c>
      <c r="P24" s="8" t="n">
        <f aca="false">ROUNDUP(K24/H24,0)</f>
        <v>3</v>
      </c>
      <c r="Q24" s="8" t="n">
        <f aca="false">ROUNDUP(L24/H24,0)</f>
        <v>0</v>
      </c>
      <c r="R24" s="8" t="n">
        <f aca="false">ROUNDUP(M24/H24,0)</f>
        <v>4</v>
      </c>
      <c r="S24" s="8" t="n">
        <f aca="false">ROUNDUP(N24/H24,0)</f>
        <v>0</v>
      </c>
      <c r="T24" s="8" t="n">
        <f aca="false">SUM(O24:S24)</f>
        <v>10</v>
      </c>
      <c r="U24" s="8" t="n">
        <f aca="false">ROUNDUP(T24/G24,0)</f>
        <v>2</v>
      </c>
      <c r="V24" s="8" t="n">
        <f aca="false">U24*Parametry!$C$11/(1+Parametry!$C$71*Parametry!$C$73)</f>
        <v>10</v>
      </c>
      <c r="W24" s="8" t="n">
        <f aca="false">2</f>
        <v>2</v>
      </c>
      <c r="X24" s="8" t="n">
        <f aca="false">V24*(W24-1)</f>
        <v>10</v>
      </c>
      <c r="Y24" s="8" t="n">
        <f aca="false">V24*W24</f>
        <v>20</v>
      </c>
      <c r="Z24" s="8" t="n">
        <f aca="false">SUM(J24:N24)</f>
        <v>528</v>
      </c>
      <c r="AA24" s="8" t="s">
        <v>1751</v>
      </c>
    </row>
    <row r="25" customFormat="false" ht="69.75" hidden="false" customHeight="true" outlineLevel="0" collapsed="false">
      <c r="A25" s="7" t="s">
        <v>502</v>
      </c>
      <c r="B25" s="7" t="s">
        <v>1749</v>
      </c>
      <c r="C25" s="7" t="s">
        <v>1752</v>
      </c>
      <c r="D25" s="7" t="n">
        <v>1</v>
      </c>
      <c r="E25" s="7" t="n">
        <f aca="false">D25+1</f>
        <v>2</v>
      </c>
      <c r="F25" s="7" t="n">
        <v>1</v>
      </c>
      <c r="G25" s="51" t="n">
        <f aca="false">Parametry!$C$12</f>
        <v>6</v>
      </c>
      <c r="H25" s="7" t="n">
        <f aca="false">ROUNDDOWN(ROUNDDOWN(Parametry!$C$9*Parametry!$C$10^(F25-1),0)*(1+Parametry!$C$72*MAX(0,Parametry!$C$73-2)),0)</f>
        <v>60</v>
      </c>
      <c r="I25" s="7" t="n">
        <f aca="false">ROUNDUP((2*(0))*Parametry!$C$15,0)</f>
        <v>0</v>
      </c>
      <c r="J25" s="7" t="n">
        <f aca="false">ROUNDUP((2*(Parametry!$C$16*Parametry!$C$17*D25))*Parametry!$C$15,0)</f>
        <v>159</v>
      </c>
      <c r="K25" s="7" t="n">
        <f aca="false">ROUNDUP((2*(Parametry!$C$16*Parametry!$C$18*D25))*Parametry!$C$15,0)</f>
        <v>159</v>
      </c>
      <c r="L25" s="7" t="n">
        <f aca="false">ROUNDUP((2*(0))*Parametry!$C$15,0)</f>
        <v>0</v>
      </c>
      <c r="M25" s="7" t="n">
        <f aca="false">ROUNDUP((2*(Parametry!$C$16*Parametry!$C$19*D25))*Parametry!$C$15,0)</f>
        <v>264</v>
      </c>
      <c r="N25" s="7" t="n">
        <f aca="false">ROUNDUP((2*(0))*Parametry!$C$15,0)</f>
        <v>0</v>
      </c>
      <c r="O25" s="7" t="n">
        <f aca="false">ROUNDUP(J25/H25,0)</f>
        <v>3</v>
      </c>
      <c r="P25" s="7" t="n">
        <f aca="false">ROUNDUP(K25/H25,0)</f>
        <v>3</v>
      </c>
      <c r="Q25" s="7" t="n">
        <f aca="false">ROUNDUP(L25/H25,0)</f>
        <v>0</v>
      </c>
      <c r="R25" s="7" t="n">
        <f aca="false">ROUNDUP(M25/H25,0)</f>
        <v>5</v>
      </c>
      <c r="S25" s="7" t="n">
        <f aca="false">ROUNDUP(N25/H25,0)</f>
        <v>0</v>
      </c>
      <c r="T25" s="7" t="n">
        <f aca="false">SUM(O25:S25)</f>
        <v>11</v>
      </c>
      <c r="U25" s="7" t="n">
        <f aca="false">ROUNDUP(T25/G25,0)</f>
        <v>2</v>
      </c>
      <c r="V25" s="7" t="n">
        <f aca="false">U25*Parametry!$C$11/(1+Parametry!$C$71*Parametry!$C$73)</f>
        <v>10</v>
      </c>
      <c r="W25" s="7" t="n">
        <f aca="false">2</f>
        <v>2</v>
      </c>
      <c r="X25" s="7" t="n">
        <f aca="false">V25*(W25-1)</f>
        <v>10</v>
      </c>
      <c r="Y25" s="7" t="n">
        <f aca="false">V25*W25</f>
        <v>20</v>
      </c>
      <c r="Z25" s="7" t="n">
        <f aca="false">SUM(J25:N25)</f>
        <v>582</v>
      </c>
      <c r="AA25" s="7" t="s">
        <v>1751</v>
      </c>
    </row>
    <row r="26" customFormat="false" ht="69.75" hidden="false" customHeight="true" outlineLevel="0" collapsed="false">
      <c r="A26" s="8" t="s">
        <v>502</v>
      </c>
      <c r="B26" s="8" t="s">
        <v>1753</v>
      </c>
      <c r="C26" s="8" t="s">
        <v>1750</v>
      </c>
      <c r="D26" s="8" t="n">
        <v>2</v>
      </c>
      <c r="E26" s="8" t="n">
        <f aca="false">D26+1</f>
        <v>3</v>
      </c>
      <c r="F26" s="8" t="n">
        <v>2</v>
      </c>
      <c r="G26" s="50" t="n">
        <f aca="false">Parametry!$C$12</f>
        <v>6</v>
      </c>
      <c r="H26" s="8" t="n">
        <f aca="false">ROUNDDOWN(ROUNDDOWN(Parametry!$C$9*Parametry!$C$10^(F26-1),0)*(1+Parametry!$C$72*MAX(0,Parametry!$C$73-2)),0)</f>
        <v>66</v>
      </c>
      <c r="I26" s="8" t="n">
        <f aca="false">ROUNDUP((2*(0))*1,0)</f>
        <v>0</v>
      </c>
      <c r="J26" s="8" t="n">
        <f aca="false">ROUNDUP((2*(Parametry!$C$16*Parametry!$C$17*D26))*1,0)</f>
        <v>288</v>
      </c>
      <c r="K26" s="8" t="n">
        <f aca="false">ROUNDUP((2*(Parametry!$C$16*Parametry!$C$18*D26))*1,0)</f>
        <v>288</v>
      </c>
      <c r="L26" s="8" t="n">
        <f aca="false">ROUNDUP((2*(0))*1,0)</f>
        <v>0</v>
      </c>
      <c r="M26" s="8" t="n">
        <f aca="false">ROUNDUP((2*(Parametry!$C$16*Parametry!$C$19*D26))*1,0)</f>
        <v>480</v>
      </c>
      <c r="N26" s="8" t="n">
        <f aca="false">ROUNDUP((2*(0))*1,0)</f>
        <v>0</v>
      </c>
      <c r="O26" s="8" t="n">
        <f aca="false">ROUNDUP(J26/H26,0)</f>
        <v>5</v>
      </c>
      <c r="P26" s="8" t="n">
        <f aca="false">ROUNDUP(K26/H26,0)</f>
        <v>5</v>
      </c>
      <c r="Q26" s="8" t="n">
        <f aca="false">ROUNDUP(L26/H26,0)</f>
        <v>0</v>
      </c>
      <c r="R26" s="8" t="n">
        <f aca="false">ROUNDUP(M26/H26,0)</f>
        <v>8</v>
      </c>
      <c r="S26" s="8" t="n">
        <f aca="false">ROUNDUP(N26/H26,0)</f>
        <v>0</v>
      </c>
      <c r="T26" s="8" t="n">
        <f aca="false">SUM(O26:S26)</f>
        <v>18</v>
      </c>
      <c r="U26" s="8" t="n">
        <f aca="false">ROUNDUP(T26/G26,0)</f>
        <v>3</v>
      </c>
      <c r="V26" s="8" t="n">
        <f aca="false">U26*Parametry!$C$11/(1+Parametry!$C$71*Parametry!$C$73)</f>
        <v>15</v>
      </c>
      <c r="W26" s="8" t="n">
        <f aca="false">2</f>
        <v>2</v>
      </c>
      <c r="X26" s="8" t="n">
        <f aca="false">V26*(W26-1)</f>
        <v>15</v>
      </c>
      <c r="Y26" s="8" t="n">
        <f aca="false">V26*W26</f>
        <v>30</v>
      </c>
      <c r="Z26" s="8" t="n">
        <f aca="false">SUM(J26:N26)</f>
        <v>1056</v>
      </c>
      <c r="AA26" s="8" t="s">
        <v>1751</v>
      </c>
    </row>
    <row r="27" customFormat="false" ht="69.75" hidden="false" customHeight="true" outlineLevel="0" collapsed="false">
      <c r="A27" s="7" t="s">
        <v>502</v>
      </c>
      <c r="B27" s="7" t="s">
        <v>1753</v>
      </c>
      <c r="C27" s="7" t="s">
        <v>1752</v>
      </c>
      <c r="D27" s="7" t="n">
        <v>2</v>
      </c>
      <c r="E27" s="7" t="n">
        <f aca="false">D27+1</f>
        <v>3</v>
      </c>
      <c r="F27" s="7" t="n">
        <v>2</v>
      </c>
      <c r="G27" s="51" t="n">
        <f aca="false">Parametry!$C$12</f>
        <v>6</v>
      </c>
      <c r="H27" s="7" t="n">
        <f aca="false">ROUNDDOWN(ROUNDDOWN(Parametry!$C$9*Parametry!$C$10^(F27-1),0)*(1+Parametry!$C$72*MAX(0,Parametry!$C$73-2)),0)</f>
        <v>66</v>
      </c>
      <c r="I27" s="7" t="n">
        <f aca="false">ROUNDUP((2*(0))*Parametry!$C$15,0)</f>
        <v>0</v>
      </c>
      <c r="J27" s="7" t="n">
        <f aca="false">ROUNDUP((2*(Parametry!$C$16*Parametry!$C$17*D27))*Parametry!$C$15,0)</f>
        <v>317</v>
      </c>
      <c r="K27" s="7" t="n">
        <f aca="false">ROUNDUP((2*(Parametry!$C$16*Parametry!$C$18*D27))*Parametry!$C$15,0)</f>
        <v>317</v>
      </c>
      <c r="L27" s="7" t="n">
        <f aca="false">ROUNDUP((2*(0))*Parametry!$C$15,0)</f>
        <v>0</v>
      </c>
      <c r="M27" s="7" t="n">
        <f aca="false">ROUNDUP((2*(Parametry!$C$16*Parametry!$C$19*D27))*Parametry!$C$15,0)</f>
        <v>528</v>
      </c>
      <c r="N27" s="7" t="n">
        <f aca="false">ROUNDUP((2*(0))*Parametry!$C$15,0)</f>
        <v>0</v>
      </c>
      <c r="O27" s="7" t="n">
        <f aca="false">ROUNDUP(J27/H27,0)</f>
        <v>5</v>
      </c>
      <c r="P27" s="7" t="n">
        <f aca="false">ROUNDUP(K27/H27,0)</f>
        <v>5</v>
      </c>
      <c r="Q27" s="7" t="n">
        <f aca="false">ROUNDUP(L27/H27,0)</f>
        <v>0</v>
      </c>
      <c r="R27" s="7" t="n">
        <f aca="false">ROUNDUP(M27/H27,0)</f>
        <v>8</v>
      </c>
      <c r="S27" s="7" t="n">
        <f aca="false">ROUNDUP(N27/H27,0)</f>
        <v>0</v>
      </c>
      <c r="T27" s="7" t="n">
        <f aca="false">SUM(O27:S27)</f>
        <v>18</v>
      </c>
      <c r="U27" s="7" t="n">
        <f aca="false">ROUNDUP(T27/G27,0)</f>
        <v>3</v>
      </c>
      <c r="V27" s="7" t="n">
        <f aca="false">U27*Parametry!$C$11/(1+Parametry!$C$71*Parametry!$C$73)</f>
        <v>15</v>
      </c>
      <c r="W27" s="7" t="n">
        <f aca="false">2</f>
        <v>2</v>
      </c>
      <c r="X27" s="7" t="n">
        <f aca="false">V27*(W27-1)</f>
        <v>15</v>
      </c>
      <c r="Y27" s="7" t="n">
        <f aca="false">V27*W27</f>
        <v>30</v>
      </c>
      <c r="Z27" s="7" t="n">
        <f aca="false">SUM(J27:N27)</f>
        <v>1162</v>
      </c>
      <c r="AA27" s="7" t="s">
        <v>1751</v>
      </c>
    </row>
    <row r="28" customFormat="false" ht="69.75" hidden="false" customHeight="true" outlineLevel="0" collapsed="false">
      <c r="A28" s="8" t="s">
        <v>502</v>
      </c>
      <c r="B28" s="8" t="s">
        <v>1754</v>
      </c>
      <c r="C28" s="8" t="s">
        <v>1750</v>
      </c>
      <c r="D28" s="8" t="n">
        <v>3</v>
      </c>
      <c r="E28" s="8" t="n">
        <f aca="false">D28+1</f>
        <v>4</v>
      </c>
      <c r="F28" s="8" t="n">
        <v>3</v>
      </c>
      <c r="G28" s="50" t="n">
        <f aca="false">Parametry!$C$12</f>
        <v>6</v>
      </c>
      <c r="H28" s="8" t="n">
        <f aca="false">ROUNDDOWN(ROUNDDOWN(Parametry!$C$9*Parametry!$C$10^(F28-1),0)*(1+Parametry!$C$72*MAX(0,Parametry!$C$73-2)),0)</f>
        <v>72</v>
      </c>
      <c r="I28" s="8" t="n">
        <f aca="false">ROUNDUP((2*(0))*1,0)</f>
        <v>0</v>
      </c>
      <c r="J28" s="8" t="n">
        <f aca="false">ROUNDUP((2*(Parametry!$C$16*Parametry!$C$17*D28))*1,0)</f>
        <v>432</v>
      </c>
      <c r="K28" s="8" t="n">
        <f aca="false">ROUNDUP((2*(Parametry!$C$16*Parametry!$C$18*D28))*1,0)</f>
        <v>432</v>
      </c>
      <c r="L28" s="8" t="n">
        <f aca="false">ROUNDUP((2*(0))*1,0)</f>
        <v>0</v>
      </c>
      <c r="M28" s="8" t="n">
        <f aca="false">ROUNDUP((2*(Parametry!$C$16*Parametry!$C$19*D28))*1,0)</f>
        <v>720</v>
      </c>
      <c r="N28" s="8" t="n">
        <f aca="false">ROUNDUP((2*(0))*1,0)</f>
        <v>0</v>
      </c>
      <c r="O28" s="8" t="n">
        <f aca="false">ROUNDUP(J28/H28,0)</f>
        <v>6</v>
      </c>
      <c r="P28" s="8" t="n">
        <f aca="false">ROUNDUP(K28/H28,0)</f>
        <v>6</v>
      </c>
      <c r="Q28" s="8" t="n">
        <f aca="false">ROUNDUP(L28/H28,0)</f>
        <v>0</v>
      </c>
      <c r="R28" s="8" t="n">
        <f aca="false">ROUNDUP(M28/H28,0)</f>
        <v>10</v>
      </c>
      <c r="S28" s="8" t="n">
        <f aca="false">ROUNDUP(N28/H28,0)</f>
        <v>0</v>
      </c>
      <c r="T28" s="8" t="n">
        <f aca="false">SUM(O28:S28)</f>
        <v>22</v>
      </c>
      <c r="U28" s="8" t="n">
        <f aca="false">ROUNDUP(T28/G28,0)</f>
        <v>4</v>
      </c>
      <c r="V28" s="8" t="n">
        <f aca="false">U28*Parametry!$C$11/(1+Parametry!$C$71*Parametry!$C$73)</f>
        <v>20</v>
      </c>
      <c r="W28" s="8" t="n">
        <f aca="false">2</f>
        <v>2</v>
      </c>
      <c r="X28" s="8" t="n">
        <f aca="false">V28*(W28-1)</f>
        <v>20</v>
      </c>
      <c r="Y28" s="8" t="n">
        <f aca="false">V28*W28</f>
        <v>40</v>
      </c>
      <c r="Z28" s="8" t="n">
        <f aca="false">SUM(J28:N28)</f>
        <v>1584</v>
      </c>
      <c r="AA28" s="8" t="s">
        <v>1751</v>
      </c>
    </row>
    <row r="29" customFormat="false" ht="69.75" hidden="false" customHeight="true" outlineLevel="0" collapsed="false">
      <c r="A29" s="7" t="s">
        <v>502</v>
      </c>
      <c r="B29" s="7" t="s">
        <v>1754</v>
      </c>
      <c r="C29" s="7" t="s">
        <v>1752</v>
      </c>
      <c r="D29" s="7" t="n">
        <v>3</v>
      </c>
      <c r="E29" s="7" t="n">
        <f aca="false">D29+1</f>
        <v>4</v>
      </c>
      <c r="F29" s="7" t="n">
        <v>3</v>
      </c>
      <c r="G29" s="51" t="n">
        <f aca="false">Parametry!$C$12</f>
        <v>6</v>
      </c>
      <c r="H29" s="7" t="n">
        <f aca="false">ROUNDDOWN(ROUNDDOWN(Parametry!$C$9*Parametry!$C$10^(F29-1),0)*(1+Parametry!$C$72*MAX(0,Parametry!$C$73-2)),0)</f>
        <v>72</v>
      </c>
      <c r="I29" s="7" t="n">
        <f aca="false">ROUNDUP((2*(0))*Parametry!$C$15,0)</f>
        <v>0</v>
      </c>
      <c r="J29" s="7" t="n">
        <f aca="false">ROUNDUP((2*(Parametry!$C$16*Parametry!$C$17*D29))*Parametry!$C$15,0)</f>
        <v>476</v>
      </c>
      <c r="K29" s="7" t="n">
        <f aca="false">ROUNDUP((2*(Parametry!$C$16*Parametry!$C$18*D29))*Parametry!$C$15,0)</f>
        <v>476</v>
      </c>
      <c r="L29" s="7" t="n">
        <f aca="false">ROUNDUP((2*(0))*Parametry!$C$15,0)</f>
        <v>0</v>
      </c>
      <c r="M29" s="7" t="n">
        <f aca="false">ROUNDUP((2*(Parametry!$C$16*Parametry!$C$19*D29))*Parametry!$C$15,0)</f>
        <v>792</v>
      </c>
      <c r="N29" s="7" t="n">
        <f aca="false">ROUNDUP((2*(0))*Parametry!$C$15,0)</f>
        <v>0</v>
      </c>
      <c r="O29" s="7" t="n">
        <f aca="false">ROUNDUP(J29/H29,0)</f>
        <v>7</v>
      </c>
      <c r="P29" s="7" t="n">
        <f aca="false">ROUNDUP(K29/H29,0)</f>
        <v>7</v>
      </c>
      <c r="Q29" s="7" t="n">
        <f aca="false">ROUNDUP(L29/H29,0)</f>
        <v>0</v>
      </c>
      <c r="R29" s="7" t="n">
        <f aca="false">ROUNDUP(M29/H29,0)</f>
        <v>11</v>
      </c>
      <c r="S29" s="7" t="n">
        <f aca="false">ROUNDUP(N29/H29,0)</f>
        <v>0</v>
      </c>
      <c r="T29" s="7" t="n">
        <f aca="false">SUM(O29:S29)</f>
        <v>25</v>
      </c>
      <c r="U29" s="7" t="n">
        <f aca="false">ROUNDUP(T29/G29,0)</f>
        <v>5</v>
      </c>
      <c r="V29" s="7" t="n">
        <f aca="false">U29*Parametry!$C$11/(1+Parametry!$C$71*Parametry!$C$73)</f>
        <v>25</v>
      </c>
      <c r="W29" s="7" t="n">
        <f aca="false">2</f>
        <v>2</v>
      </c>
      <c r="X29" s="7" t="n">
        <f aca="false">V29*(W29-1)</f>
        <v>25</v>
      </c>
      <c r="Y29" s="7" t="n">
        <f aca="false">V29*W29</f>
        <v>50</v>
      </c>
      <c r="Z29" s="7" t="n">
        <f aca="false">SUM(J29:N29)</f>
        <v>1744</v>
      </c>
      <c r="AA29" s="7" t="s">
        <v>1751</v>
      </c>
    </row>
    <row r="30" customFormat="false" ht="69.75" hidden="false" customHeight="true" outlineLevel="0" collapsed="false">
      <c r="A30" s="8" t="s">
        <v>506</v>
      </c>
      <c r="B30" s="8" t="s">
        <v>1749</v>
      </c>
      <c r="C30" s="8" t="s">
        <v>1750</v>
      </c>
      <c r="D30" s="8" t="n">
        <v>1</v>
      </c>
      <c r="E30" s="8" t="n">
        <f aca="false">D30+1</f>
        <v>2</v>
      </c>
      <c r="F30" s="8" t="n">
        <v>1</v>
      </c>
      <c r="G30" s="50" t="n">
        <f aca="false">Parametry!$C$12</f>
        <v>6</v>
      </c>
      <c r="H30" s="8" t="n">
        <f aca="false">ROUNDDOWN(ROUNDDOWN(Parametry!$C$9*Parametry!$C$10^(F30-1),0)*(1+Parametry!$C$72*MAX(0,Parametry!$C$73-2)),0)</f>
        <v>60</v>
      </c>
      <c r="I30" s="8" t="n">
        <f aca="false">ROUNDUP((2*(0))*1,0)</f>
        <v>0</v>
      </c>
      <c r="J30" s="8" t="n">
        <f aca="false">ROUNDUP((2*(Parametry!$C$16*Parametry!$C$17*D30+Parametry!$C$16*Parametry!$C$19*D30))*1,0)</f>
        <v>384</v>
      </c>
      <c r="K30" s="8" t="n">
        <f aca="false">ROUNDUP((2*(Parametry!$C$16*Parametry!$C$18*D30))*1,0)</f>
        <v>144</v>
      </c>
      <c r="L30" s="8" t="n">
        <f aca="false">ROUNDUP((2*(0))*1,0)</f>
        <v>0</v>
      </c>
      <c r="M30" s="8" t="n">
        <f aca="false">ROUNDUP((2*(0))*1,0)</f>
        <v>0</v>
      </c>
      <c r="N30" s="8" t="n">
        <f aca="false">ROUNDUP((2*(0))*1,0)</f>
        <v>0</v>
      </c>
      <c r="O30" s="8" t="n">
        <f aca="false">ROUNDUP(J30/H30,0)</f>
        <v>7</v>
      </c>
      <c r="P30" s="8" t="n">
        <f aca="false">ROUNDUP(K30/H30,0)</f>
        <v>3</v>
      </c>
      <c r="Q30" s="8" t="n">
        <f aca="false">ROUNDUP(L30/H30,0)</f>
        <v>0</v>
      </c>
      <c r="R30" s="8" t="n">
        <f aca="false">ROUNDUP(M30/H30,0)</f>
        <v>0</v>
      </c>
      <c r="S30" s="8" t="n">
        <f aca="false">ROUNDUP(N30/H30,0)</f>
        <v>0</v>
      </c>
      <c r="T30" s="8" t="n">
        <f aca="false">SUM(O30:S30)</f>
        <v>10</v>
      </c>
      <c r="U30" s="8" t="n">
        <f aca="false">ROUNDUP(T30/G30,0)</f>
        <v>2</v>
      </c>
      <c r="V30" s="8" t="n">
        <f aca="false">U30*Parametry!$C$11/(1+Parametry!$C$71*Parametry!$C$73)</f>
        <v>10</v>
      </c>
      <c r="W30" s="8" t="n">
        <f aca="false">2</f>
        <v>2</v>
      </c>
      <c r="X30" s="8" t="n">
        <f aca="false">V30*(W30-1)</f>
        <v>10</v>
      </c>
      <c r="Y30" s="8" t="n">
        <f aca="false">V30*W30</f>
        <v>20</v>
      </c>
      <c r="Z30" s="8" t="n">
        <f aca="false">SUM(J30:N30)</f>
        <v>528</v>
      </c>
      <c r="AA30" s="8" t="s">
        <v>1751</v>
      </c>
    </row>
    <row r="31" customFormat="false" ht="69.75" hidden="false" customHeight="true" outlineLevel="0" collapsed="false">
      <c r="A31" s="7" t="s">
        <v>506</v>
      </c>
      <c r="B31" s="7" t="s">
        <v>1749</v>
      </c>
      <c r="C31" s="7" t="s">
        <v>1752</v>
      </c>
      <c r="D31" s="7" t="n">
        <v>1</v>
      </c>
      <c r="E31" s="7" t="n">
        <f aca="false">D31+1</f>
        <v>2</v>
      </c>
      <c r="F31" s="7" t="n">
        <v>1</v>
      </c>
      <c r="G31" s="51" t="n">
        <f aca="false">Parametry!$C$12</f>
        <v>6</v>
      </c>
      <c r="H31" s="7" t="n">
        <f aca="false">ROUNDDOWN(ROUNDDOWN(Parametry!$C$9*Parametry!$C$10^(F31-1),0)*(1+Parametry!$C$72*MAX(0,Parametry!$C$73-2)),0)</f>
        <v>60</v>
      </c>
      <c r="I31" s="7" t="n">
        <f aca="false">ROUNDUP((2*(0))*Parametry!$C$15,0)</f>
        <v>0</v>
      </c>
      <c r="J31" s="7" t="n">
        <f aca="false">ROUNDUP((2*(Parametry!$C$16*Parametry!$C$17*D31+Parametry!$C$16*Parametry!$C$19*D31))*Parametry!$C$15,0)</f>
        <v>423</v>
      </c>
      <c r="K31" s="7" t="n">
        <f aca="false">ROUNDUP((2*(Parametry!$C$16*Parametry!$C$18*D31))*Parametry!$C$15,0)</f>
        <v>159</v>
      </c>
      <c r="L31" s="7" t="n">
        <f aca="false">ROUNDUP((2*(0))*Parametry!$C$15,0)</f>
        <v>0</v>
      </c>
      <c r="M31" s="7" t="n">
        <f aca="false">ROUNDUP((2*(0))*Parametry!$C$15,0)</f>
        <v>0</v>
      </c>
      <c r="N31" s="7" t="n">
        <f aca="false">ROUNDUP((2*(0))*Parametry!$C$15,0)</f>
        <v>0</v>
      </c>
      <c r="O31" s="7" t="n">
        <f aca="false">ROUNDUP(J31/H31,0)</f>
        <v>8</v>
      </c>
      <c r="P31" s="7" t="n">
        <f aca="false">ROUNDUP(K31/H31,0)</f>
        <v>3</v>
      </c>
      <c r="Q31" s="7" t="n">
        <f aca="false">ROUNDUP(L31/H31,0)</f>
        <v>0</v>
      </c>
      <c r="R31" s="7" t="n">
        <f aca="false">ROUNDUP(M31/H31,0)</f>
        <v>0</v>
      </c>
      <c r="S31" s="7" t="n">
        <f aca="false">ROUNDUP(N31/H31,0)</f>
        <v>0</v>
      </c>
      <c r="T31" s="7" t="n">
        <f aca="false">SUM(O31:S31)</f>
        <v>11</v>
      </c>
      <c r="U31" s="7" t="n">
        <f aca="false">ROUNDUP(T31/G31,0)</f>
        <v>2</v>
      </c>
      <c r="V31" s="7" t="n">
        <f aca="false">U31*Parametry!$C$11/(1+Parametry!$C$71*Parametry!$C$73)</f>
        <v>10</v>
      </c>
      <c r="W31" s="7" t="n">
        <f aca="false">2</f>
        <v>2</v>
      </c>
      <c r="X31" s="7" t="n">
        <f aca="false">V31*(W31-1)</f>
        <v>10</v>
      </c>
      <c r="Y31" s="7" t="n">
        <f aca="false">V31*W31</f>
        <v>20</v>
      </c>
      <c r="Z31" s="7" t="n">
        <f aca="false">SUM(J31:N31)</f>
        <v>582</v>
      </c>
      <c r="AA31" s="7" t="s">
        <v>1751</v>
      </c>
    </row>
    <row r="32" customFormat="false" ht="69.75" hidden="false" customHeight="true" outlineLevel="0" collapsed="false">
      <c r="A32" s="8" t="s">
        <v>506</v>
      </c>
      <c r="B32" s="8" t="s">
        <v>1753</v>
      </c>
      <c r="C32" s="8" t="s">
        <v>1750</v>
      </c>
      <c r="D32" s="8" t="n">
        <v>2</v>
      </c>
      <c r="E32" s="8" t="n">
        <f aca="false">D32+1</f>
        <v>3</v>
      </c>
      <c r="F32" s="8" t="n">
        <v>2</v>
      </c>
      <c r="G32" s="50" t="n">
        <f aca="false">Parametry!$C$12</f>
        <v>6</v>
      </c>
      <c r="H32" s="8" t="n">
        <f aca="false">ROUNDDOWN(ROUNDDOWN(Parametry!$C$9*Parametry!$C$10^(F32-1),0)*(1+Parametry!$C$72*MAX(0,Parametry!$C$73-2)),0)</f>
        <v>66</v>
      </c>
      <c r="I32" s="8" t="n">
        <f aca="false">ROUNDUP((2*(0))*1,0)</f>
        <v>0</v>
      </c>
      <c r="J32" s="8" t="n">
        <f aca="false">ROUNDUP((2*(Parametry!$C$16*Parametry!$C$17*D32+Parametry!$C$16*Parametry!$C$19*D32))*1,0)</f>
        <v>768</v>
      </c>
      <c r="K32" s="8" t="n">
        <f aca="false">ROUNDUP((2*(Parametry!$C$16*Parametry!$C$18*D32))*1,0)</f>
        <v>288</v>
      </c>
      <c r="L32" s="8" t="n">
        <f aca="false">ROUNDUP((2*(0))*1,0)</f>
        <v>0</v>
      </c>
      <c r="M32" s="8" t="n">
        <f aca="false">ROUNDUP((2*(0))*1,0)</f>
        <v>0</v>
      </c>
      <c r="N32" s="8" t="n">
        <f aca="false">ROUNDUP((2*(0))*1,0)</f>
        <v>0</v>
      </c>
      <c r="O32" s="8" t="n">
        <f aca="false">ROUNDUP(J32/H32,0)</f>
        <v>12</v>
      </c>
      <c r="P32" s="8" t="n">
        <f aca="false">ROUNDUP(K32/H32,0)</f>
        <v>5</v>
      </c>
      <c r="Q32" s="8" t="n">
        <f aca="false">ROUNDUP(L32/H32,0)</f>
        <v>0</v>
      </c>
      <c r="R32" s="8" t="n">
        <f aca="false">ROUNDUP(M32/H32,0)</f>
        <v>0</v>
      </c>
      <c r="S32" s="8" t="n">
        <f aca="false">ROUNDUP(N32/H32,0)</f>
        <v>0</v>
      </c>
      <c r="T32" s="8" t="n">
        <f aca="false">SUM(O32:S32)</f>
        <v>17</v>
      </c>
      <c r="U32" s="8" t="n">
        <f aca="false">ROUNDUP(T32/G32,0)</f>
        <v>3</v>
      </c>
      <c r="V32" s="8" t="n">
        <f aca="false">U32*Parametry!$C$11/(1+Parametry!$C$71*Parametry!$C$73)</f>
        <v>15</v>
      </c>
      <c r="W32" s="8" t="n">
        <f aca="false">2</f>
        <v>2</v>
      </c>
      <c r="X32" s="8" t="n">
        <f aca="false">V32*(W32-1)</f>
        <v>15</v>
      </c>
      <c r="Y32" s="8" t="n">
        <f aca="false">V32*W32</f>
        <v>30</v>
      </c>
      <c r="Z32" s="8" t="n">
        <f aca="false">SUM(J32:N32)</f>
        <v>1056</v>
      </c>
      <c r="AA32" s="8" t="s">
        <v>1751</v>
      </c>
    </row>
    <row r="33" customFormat="false" ht="69.75" hidden="false" customHeight="true" outlineLevel="0" collapsed="false">
      <c r="A33" s="7" t="s">
        <v>506</v>
      </c>
      <c r="B33" s="7" t="s">
        <v>1753</v>
      </c>
      <c r="C33" s="7" t="s">
        <v>1752</v>
      </c>
      <c r="D33" s="7" t="n">
        <v>2</v>
      </c>
      <c r="E33" s="7" t="n">
        <f aca="false">D33+1</f>
        <v>3</v>
      </c>
      <c r="F33" s="7" t="n">
        <v>2</v>
      </c>
      <c r="G33" s="51" t="n">
        <f aca="false">Parametry!$C$12</f>
        <v>6</v>
      </c>
      <c r="H33" s="7" t="n">
        <f aca="false">ROUNDDOWN(ROUNDDOWN(Parametry!$C$9*Parametry!$C$10^(F33-1),0)*(1+Parametry!$C$72*MAX(0,Parametry!$C$73-2)),0)</f>
        <v>66</v>
      </c>
      <c r="I33" s="7" t="n">
        <f aca="false">ROUNDUP((2*(0))*Parametry!$C$15,0)</f>
        <v>0</v>
      </c>
      <c r="J33" s="7" t="n">
        <f aca="false">ROUNDUP((2*(Parametry!$C$16*Parametry!$C$17*D33+Parametry!$C$16*Parametry!$C$19*D33))*Parametry!$C$15,0)</f>
        <v>845</v>
      </c>
      <c r="K33" s="7" t="n">
        <f aca="false">ROUNDUP((2*(Parametry!$C$16*Parametry!$C$18*D33))*Parametry!$C$15,0)</f>
        <v>317</v>
      </c>
      <c r="L33" s="7" t="n">
        <f aca="false">ROUNDUP((2*(0))*Parametry!$C$15,0)</f>
        <v>0</v>
      </c>
      <c r="M33" s="7" t="n">
        <f aca="false">ROUNDUP((2*(0))*Parametry!$C$15,0)</f>
        <v>0</v>
      </c>
      <c r="N33" s="7" t="n">
        <f aca="false">ROUNDUP((2*(0))*Parametry!$C$15,0)</f>
        <v>0</v>
      </c>
      <c r="O33" s="7" t="n">
        <f aca="false">ROUNDUP(J33/H33,0)</f>
        <v>13</v>
      </c>
      <c r="P33" s="7" t="n">
        <f aca="false">ROUNDUP(K33/H33,0)</f>
        <v>5</v>
      </c>
      <c r="Q33" s="7" t="n">
        <f aca="false">ROUNDUP(L33/H33,0)</f>
        <v>0</v>
      </c>
      <c r="R33" s="7" t="n">
        <f aca="false">ROUNDUP(M33/H33,0)</f>
        <v>0</v>
      </c>
      <c r="S33" s="7" t="n">
        <f aca="false">ROUNDUP(N33/H33,0)</f>
        <v>0</v>
      </c>
      <c r="T33" s="7" t="n">
        <f aca="false">SUM(O33:S33)</f>
        <v>18</v>
      </c>
      <c r="U33" s="7" t="n">
        <f aca="false">ROUNDUP(T33/G33,0)</f>
        <v>3</v>
      </c>
      <c r="V33" s="7" t="n">
        <f aca="false">U33*Parametry!$C$11/(1+Parametry!$C$71*Parametry!$C$73)</f>
        <v>15</v>
      </c>
      <c r="W33" s="7" t="n">
        <f aca="false">2</f>
        <v>2</v>
      </c>
      <c r="X33" s="7" t="n">
        <f aca="false">V33*(W33-1)</f>
        <v>15</v>
      </c>
      <c r="Y33" s="7" t="n">
        <f aca="false">V33*W33</f>
        <v>30</v>
      </c>
      <c r="Z33" s="7" t="n">
        <f aca="false">SUM(J33:N33)</f>
        <v>1162</v>
      </c>
      <c r="AA33" s="7" t="s">
        <v>1751</v>
      </c>
    </row>
    <row r="34" customFormat="false" ht="69.75" hidden="false" customHeight="true" outlineLevel="0" collapsed="false">
      <c r="A34" s="8" t="s">
        <v>506</v>
      </c>
      <c r="B34" s="8" t="s">
        <v>1754</v>
      </c>
      <c r="C34" s="8" t="s">
        <v>1750</v>
      </c>
      <c r="D34" s="8" t="n">
        <v>3</v>
      </c>
      <c r="E34" s="8" t="n">
        <f aca="false">D34+1</f>
        <v>4</v>
      </c>
      <c r="F34" s="8" t="n">
        <v>3</v>
      </c>
      <c r="G34" s="50" t="n">
        <f aca="false">Parametry!$C$12</f>
        <v>6</v>
      </c>
      <c r="H34" s="8" t="n">
        <f aca="false">ROUNDDOWN(ROUNDDOWN(Parametry!$C$9*Parametry!$C$10^(F34-1),0)*(1+Parametry!$C$72*MAX(0,Parametry!$C$73-2)),0)</f>
        <v>72</v>
      </c>
      <c r="I34" s="8" t="n">
        <f aca="false">ROUNDUP((2*(0))*1,0)</f>
        <v>0</v>
      </c>
      <c r="J34" s="8" t="n">
        <f aca="false">ROUNDUP((2*(Parametry!$C$16*Parametry!$C$17*D34+Parametry!$C$16*Parametry!$C$19*D34))*1,0)</f>
        <v>1152</v>
      </c>
      <c r="K34" s="8" t="n">
        <f aca="false">ROUNDUP((2*(Parametry!$C$16*Parametry!$C$18*D34))*1,0)</f>
        <v>432</v>
      </c>
      <c r="L34" s="8" t="n">
        <f aca="false">ROUNDUP((2*(0))*1,0)</f>
        <v>0</v>
      </c>
      <c r="M34" s="8" t="n">
        <f aca="false">ROUNDUP((2*(0))*1,0)</f>
        <v>0</v>
      </c>
      <c r="N34" s="8" t="n">
        <f aca="false">ROUNDUP((2*(0))*1,0)</f>
        <v>0</v>
      </c>
      <c r="O34" s="8" t="n">
        <f aca="false">ROUNDUP(J34/H34,0)</f>
        <v>16</v>
      </c>
      <c r="P34" s="8" t="n">
        <f aca="false">ROUNDUP(K34/H34,0)</f>
        <v>6</v>
      </c>
      <c r="Q34" s="8" t="n">
        <f aca="false">ROUNDUP(L34/H34,0)</f>
        <v>0</v>
      </c>
      <c r="R34" s="8" t="n">
        <f aca="false">ROUNDUP(M34/H34,0)</f>
        <v>0</v>
      </c>
      <c r="S34" s="8" t="n">
        <f aca="false">ROUNDUP(N34/H34,0)</f>
        <v>0</v>
      </c>
      <c r="T34" s="8" t="n">
        <f aca="false">SUM(O34:S34)</f>
        <v>22</v>
      </c>
      <c r="U34" s="8" t="n">
        <f aca="false">ROUNDUP(T34/G34,0)</f>
        <v>4</v>
      </c>
      <c r="V34" s="8" t="n">
        <f aca="false">U34*Parametry!$C$11/(1+Parametry!$C$71*Parametry!$C$73)</f>
        <v>20</v>
      </c>
      <c r="W34" s="8" t="n">
        <f aca="false">2</f>
        <v>2</v>
      </c>
      <c r="X34" s="8" t="n">
        <f aca="false">V34*(W34-1)</f>
        <v>20</v>
      </c>
      <c r="Y34" s="8" t="n">
        <f aca="false">V34*W34</f>
        <v>40</v>
      </c>
      <c r="Z34" s="8" t="n">
        <f aca="false">SUM(J34:N34)</f>
        <v>1584</v>
      </c>
      <c r="AA34" s="8" t="s">
        <v>1751</v>
      </c>
    </row>
    <row r="35" customFormat="false" ht="69.75" hidden="false" customHeight="true" outlineLevel="0" collapsed="false">
      <c r="A35" s="7" t="s">
        <v>506</v>
      </c>
      <c r="B35" s="7" t="s">
        <v>1754</v>
      </c>
      <c r="C35" s="7" t="s">
        <v>1752</v>
      </c>
      <c r="D35" s="7" t="n">
        <v>3</v>
      </c>
      <c r="E35" s="7" t="n">
        <f aca="false">D35+1</f>
        <v>4</v>
      </c>
      <c r="F35" s="7" t="n">
        <v>3</v>
      </c>
      <c r="G35" s="51" t="n">
        <f aca="false">Parametry!$C$12</f>
        <v>6</v>
      </c>
      <c r="H35" s="7" t="n">
        <f aca="false">ROUNDDOWN(ROUNDDOWN(Parametry!$C$9*Parametry!$C$10^(F35-1),0)*(1+Parametry!$C$72*MAX(0,Parametry!$C$73-2)),0)</f>
        <v>72</v>
      </c>
      <c r="I35" s="7" t="n">
        <f aca="false">ROUNDUP((2*(0))*Parametry!$C$15,0)</f>
        <v>0</v>
      </c>
      <c r="J35" s="7" t="n">
        <f aca="false">ROUNDUP((2*(Parametry!$C$16*Parametry!$C$17*D35+Parametry!$C$16*Parametry!$C$19*D35))*Parametry!$C$15,0)</f>
        <v>1268</v>
      </c>
      <c r="K35" s="7" t="n">
        <f aca="false">ROUNDUP((2*(Parametry!$C$16*Parametry!$C$18*D35))*Parametry!$C$15,0)</f>
        <v>476</v>
      </c>
      <c r="L35" s="7" t="n">
        <f aca="false">ROUNDUP((2*(0))*Parametry!$C$15,0)</f>
        <v>0</v>
      </c>
      <c r="M35" s="7" t="n">
        <f aca="false">ROUNDUP((2*(0))*Parametry!$C$15,0)</f>
        <v>0</v>
      </c>
      <c r="N35" s="7" t="n">
        <f aca="false">ROUNDUP((2*(0))*Parametry!$C$15,0)</f>
        <v>0</v>
      </c>
      <c r="O35" s="7" t="n">
        <f aca="false">ROUNDUP(J35/H35,0)</f>
        <v>18</v>
      </c>
      <c r="P35" s="7" t="n">
        <f aca="false">ROUNDUP(K35/H35,0)</f>
        <v>7</v>
      </c>
      <c r="Q35" s="7" t="n">
        <f aca="false">ROUNDUP(L35/H35,0)</f>
        <v>0</v>
      </c>
      <c r="R35" s="7" t="n">
        <f aca="false">ROUNDUP(M35/H35,0)</f>
        <v>0</v>
      </c>
      <c r="S35" s="7" t="n">
        <f aca="false">ROUNDUP(N35/H35,0)</f>
        <v>0</v>
      </c>
      <c r="T35" s="7" t="n">
        <f aca="false">SUM(O35:S35)</f>
        <v>25</v>
      </c>
      <c r="U35" s="7" t="n">
        <f aca="false">ROUNDUP(T35/G35,0)</f>
        <v>5</v>
      </c>
      <c r="V35" s="7" t="n">
        <f aca="false">U35*Parametry!$C$11/(1+Parametry!$C$71*Parametry!$C$73)</f>
        <v>25</v>
      </c>
      <c r="W35" s="7" t="n">
        <f aca="false">2</f>
        <v>2</v>
      </c>
      <c r="X35" s="7" t="n">
        <f aca="false">V35*(W35-1)</f>
        <v>25</v>
      </c>
      <c r="Y35" s="7" t="n">
        <f aca="false">V35*W35</f>
        <v>50</v>
      </c>
      <c r="Z35" s="7" t="n">
        <f aca="false">SUM(J35:N35)</f>
        <v>1744</v>
      </c>
      <c r="AA35" s="7" t="s">
        <v>1751</v>
      </c>
    </row>
    <row r="36" customFormat="false" ht="69.75" hidden="false" customHeight="true" outlineLevel="0" collapsed="false">
      <c r="A36" s="8" t="s">
        <v>510</v>
      </c>
      <c r="B36" s="8" t="s">
        <v>1749</v>
      </c>
      <c r="C36" s="8" t="s">
        <v>1750</v>
      </c>
      <c r="D36" s="8" t="n">
        <v>1</v>
      </c>
      <c r="E36" s="8" t="n">
        <f aca="false">D36+1</f>
        <v>2</v>
      </c>
      <c r="F36" s="8" t="n">
        <v>1</v>
      </c>
      <c r="G36" s="50" t="n">
        <f aca="false">Parametry!$C$12</f>
        <v>6</v>
      </c>
      <c r="H36" s="8" t="n">
        <f aca="false">ROUNDDOWN(ROUNDDOWN(Parametry!$C$9*Parametry!$C$10^(F36-1),0)*(1+Parametry!$C$72*MAX(0,Parametry!$C$73-2)),0)</f>
        <v>60</v>
      </c>
      <c r="I36" s="8" t="n">
        <f aca="false">ROUNDUP((2*(0))*1,0)</f>
        <v>0</v>
      </c>
      <c r="J36" s="8" t="n">
        <f aca="false">ROUNDUP((2*(Parametry!$C$16*Parametry!$C$17*D36))*1,0)</f>
        <v>144</v>
      </c>
      <c r="K36" s="8" t="n">
        <f aca="false">ROUNDUP((2*(Parametry!$C$16*Parametry!$C$18*D36))*1,0)</f>
        <v>144</v>
      </c>
      <c r="L36" s="8" t="n">
        <f aca="false">ROUNDUP((2*(0))*1,0)</f>
        <v>0</v>
      </c>
      <c r="M36" s="8" t="n">
        <f aca="false">ROUNDUP((2*(0))*1,0)</f>
        <v>0</v>
      </c>
      <c r="N36" s="8" t="n">
        <f aca="false">ROUNDUP((2*(Parametry!$C$16*Parametry!$C$19*D36))*1,0)</f>
        <v>240</v>
      </c>
      <c r="O36" s="8" t="n">
        <f aca="false">ROUNDUP(J36/H36,0)</f>
        <v>3</v>
      </c>
      <c r="P36" s="8" t="n">
        <f aca="false">ROUNDUP(K36/H36,0)</f>
        <v>3</v>
      </c>
      <c r="Q36" s="8" t="n">
        <f aca="false">ROUNDUP(L36/H36,0)</f>
        <v>0</v>
      </c>
      <c r="R36" s="8" t="n">
        <f aca="false">ROUNDUP(M36/H36,0)</f>
        <v>0</v>
      </c>
      <c r="S36" s="8" t="n">
        <f aca="false">ROUNDUP(N36/H36,0)</f>
        <v>4</v>
      </c>
      <c r="T36" s="8" t="n">
        <f aca="false">SUM(O36:S36)</f>
        <v>10</v>
      </c>
      <c r="U36" s="8" t="n">
        <f aca="false">ROUNDUP(T36/G36,0)</f>
        <v>2</v>
      </c>
      <c r="V36" s="8" t="n">
        <f aca="false">U36*Parametry!$C$11/(1+Parametry!$C$71*Parametry!$C$73)</f>
        <v>10</v>
      </c>
      <c r="W36" s="8" t="n">
        <f aca="false">2</f>
        <v>2</v>
      </c>
      <c r="X36" s="8" t="n">
        <f aca="false">V36*(W36-1)</f>
        <v>10</v>
      </c>
      <c r="Y36" s="8" t="n">
        <f aca="false">V36*W36</f>
        <v>20</v>
      </c>
      <c r="Z36" s="8" t="n">
        <f aca="false">SUM(J36:N36)</f>
        <v>528</v>
      </c>
      <c r="AA36" s="8" t="s">
        <v>1751</v>
      </c>
    </row>
    <row r="37" customFormat="false" ht="69.75" hidden="false" customHeight="true" outlineLevel="0" collapsed="false">
      <c r="A37" s="7" t="s">
        <v>510</v>
      </c>
      <c r="B37" s="7" t="s">
        <v>1749</v>
      </c>
      <c r="C37" s="7" t="s">
        <v>1752</v>
      </c>
      <c r="D37" s="7" t="n">
        <v>1</v>
      </c>
      <c r="E37" s="7" t="n">
        <f aca="false">D37+1</f>
        <v>2</v>
      </c>
      <c r="F37" s="7" t="n">
        <v>1</v>
      </c>
      <c r="G37" s="51" t="n">
        <f aca="false">Parametry!$C$12</f>
        <v>6</v>
      </c>
      <c r="H37" s="7" t="n">
        <f aca="false">ROUNDDOWN(ROUNDDOWN(Parametry!$C$9*Parametry!$C$10^(F37-1),0)*(1+Parametry!$C$72*MAX(0,Parametry!$C$73-2)),0)</f>
        <v>60</v>
      </c>
      <c r="I37" s="7" t="n">
        <f aca="false">ROUNDUP((2*(0))*Parametry!$C$15,0)</f>
        <v>0</v>
      </c>
      <c r="J37" s="7" t="n">
        <f aca="false">ROUNDUP((2*(Parametry!$C$16*Parametry!$C$17*D37))*Parametry!$C$15,0)</f>
        <v>159</v>
      </c>
      <c r="K37" s="7" t="n">
        <f aca="false">ROUNDUP((2*(Parametry!$C$16*Parametry!$C$18*D37))*Parametry!$C$15,0)</f>
        <v>159</v>
      </c>
      <c r="L37" s="7" t="n">
        <f aca="false">ROUNDUP((2*(0))*Parametry!$C$15,0)</f>
        <v>0</v>
      </c>
      <c r="M37" s="7" t="n">
        <f aca="false">ROUNDUP((2*(0))*Parametry!$C$15,0)</f>
        <v>0</v>
      </c>
      <c r="N37" s="7" t="n">
        <f aca="false">ROUNDUP((2*(Parametry!$C$16*Parametry!$C$19*D37))*Parametry!$C$15,0)</f>
        <v>264</v>
      </c>
      <c r="O37" s="7" t="n">
        <f aca="false">ROUNDUP(J37/H37,0)</f>
        <v>3</v>
      </c>
      <c r="P37" s="7" t="n">
        <f aca="false">ROUNDUP(K37/H37,0)</f>
        <v>3</v>
      </c>
      <c r="Q37" s="7" t="n">
        <f aca="false">ROUNDUP(L37/H37,0)</f>
        <v>0</v>
      </c>
      <c r="R37" s="7" t="n">
        <f aca="false">ROUNDUP(M37/H37,0)</f>
        <v>0</v>
      </c>
      <c r="S37" s="7" t="n">
        <f aca="false">ROUNDUP(N37/H37,0)</f>
        <v>5</v>
      </c>
      <c r="T37" s="7" t="n">
        <f aca="false">SUM(O37:S37)</f>
        <v>11</v>
      </c>
      <c r="U37" s="7" t="n">
        <f aca="false">ROUNDUP(T37/G37,0)</f>
        <v>2</v>
      </c>
      <c r="V37" s="7" t="n">
        <f aca="false">U37*Parametry!$C$11/(1+Parametry!$C$71*Parametry!$C$73)</f>
        <v>10</v>
      </c>
      <c r="W37" s="7" t="n">
        <f aca="false">2</f>
        <v>2</v>
      </c>
      <c r="X37" s="7" t="n">
        <f aca="false">V37*(W37-1)</f>
        <v>10</v>
      </c>
      <c r="Y37" s="7" t="n">
        <f aca="false">V37*W37</f>
        <v>20</v>
      </c>
      <c r="Z37" s="7" t="n">
        <f aca="false">SUM(J37:N37)</f>
        <v>582</v>
      </c>
      <c r="AA37" s="7" t="s">
        <v>1751</v>
      </c>
    </row>
    <row r="38" customFormat="false" ht="69.75" hidden="false" customHeight="true" outlineLevel="0" collapsed="false">
      <c r="A38" s="8" t="s">
        <v>510</v>
      </c>
      <c r="B38" s="8" t="s">
        <v>1753</v>
      </c>
      <c r="C38" s="8" t="s">
        <v>1750</v>
      </c>
      <c r="D38" s="8" t="n">
        <v>2</v>
      </c>
      <c r="E38" s="8" t="n">
        <f aca="false">D38+1</f>
        <v>3</v>
      </c>
      <c r="F38" s="8" t="n">
        <v>2</v>
      </c>
      <c r="G38" s="50" t="n">
        <f aca="false">Parametry!$C$12</f>
        <v>6</v>
      </c>
      <c r="H38" s="8" t="n">
        <f aca="false">ROUNDDOWN(ROUNDDOWN(Parametry!$C$9*Parametry!$C$10^(F38-1),0)*(1+Parametry!$C$72*MAX(0,Parametry!$C$73-2)),0)</f>
        <v>66</v>
      </c>
      <c r="I38" s="8" t="n">
        <f aca="false">ROUNDUP((2*(0))*1,0)</f>
        <v>0</v>
      </c>
      <c r="J38" s="8" t="n">
        <f aca="false">ROUNDUP((2*(Parametry!$C$16*Parametry!$C$17*D38))*1,0)</f>
        <v>288</v>
      </c>
      <c r="K38" s="8" t="n">
        <f aca="false">ROUNDUP((2*(Parametry!$C$16*Parametry!$C$18*D38))*1,0)</f>
        <v>288</v>
      </c>
      <c r="L38" s="8" t="n">
        <f aca="false">ROUNDUP((2*(0))*1,0)</f>
        <v>0</v>
      </c>
      <c r="M38" s="8" t="n">
        <f aca="false">ROUNDUP((2*(0))*1,0)</f>
        <v>0</v>
      </c>
      <c r="N38" s="8" t="n">
        <f aca="false">ROUNDUP((2*(Parametry!$C$16*Parametry!$C$19*D38))*1,0)</f>
        <v>480</v>
      </c>
      <c r="O38" s="8" t="n">
        <f aca="false">ROUNDUP(J38/H38,0)</f>
        <v>5</v>
      </c>
      <c r="P38" s="8" t="n">
        <f aca="false">ROUNDUP(K38/H38,0)</f>
        <v>5</v>
      </c>
      <c r="Q38" s="8" t="n">
        <f aca="false">ROUNDUP(L38/H38,0)</f>
        <v>0</v>
      </c>
      <c r="R38" s="8" t="n">
        <f aca="false">ROUNDUP(M38/H38,0)</f>
        <v>0</v>
      </c>
      <c r="S38" s="8" t="n">
        <f aca="false">ROUNDUP(N38/H38,0)</f>
        <v>8</v>
      </c>
      <c r="T38" s="8" t="n">
        <f aca="false">SUM(O38:S38)</f>
        <v>18</v>
      </c>
      <c r="U38" s="8" t="n">
        <f aca="false">ROUNDUP(T38/G38,0)</f>
        <v>3</v>
      </c>
      <c r="V38" s="8" t="n">
        <f aca="false">U38*Parametry!$C$11/(1+Parametry!$C$71*Parametry!$C$73)</f>
        <v>15</v>
      </c>
      <c r="W38" s="8" t="n">
        <f aca="false">2</f>
        <v>2</v>
      </c>
      <c r="X38" s="8" t="n">
        <f aca="false">V38*(W38-1)</f>
        <v>15</v>
      </c>
      <c r="Y38" s="8" t="n">
        <f aca="false">V38*W38</f>
        <v>30</v>
      </c>
      <c r="Z38" s="8" t="n">
        <f aca="false">SUM(J38:N38)</f>
        <v>1056</v>
      </c>
      <c r="AA38" s="8" t="s">
        <v>1751</v>
      </c>
    </row>
    <row r="39" customFormat="false" ht="69.75" hidden="false" customHeight="true" outlineLevel="0" collapsed="false">
      <c r="A39" s="7" t="s">
        <v>510</v>
      </c>
      <c r="B39" s="7" t="s">
        <v>1753</v>
      </c>
      <c r="C39" s="7" t="s">
        <v>1752</v>
      </c>
      <c r="D39" s="7" t="n">
        <v>2</v>
      </c>
      <c r="E39" s="7" t="n">
        <f aca="false">D39+1</f>
        <v>3</v>
      </c>
      <c r="F39" s="7" t="n">
        <v>2</v>
      </c>
      <c r="G39" s="51" t="n">
        <f aca="false">Parametry!$C$12</f>
        <v>6</v>
      </c>
      <c r="H39" s="7" t="n">
        <f aca="false">ROUNDDOWN(ROUNDDOWN(Parametry!$C$9*Parametry!$C$10^(F39-1),0)*(1+Parametry!$C$72*MAX(0,Parametry!$C$73-2)),0)</f>
        <v>66</v>
      </c>
      <c r="I39" s="7" t="n">
        <f aca="false">ROUNDUP((2*(0))*Parametry!$C$15,0)</f>
        <v>0</v>
      </c>
      <c r="J39" s="7" t="n">
        <f aca="false">ROUNDUP((2*(Parametry!$C$16*Parametry!$C$17*D39))*Parametry!$C$15,0)</f>
        <v>317</v>
      </c>
      <c r="K39" s="7" t="n">
        <f aca="false">ROUNDUP((2*(Parametry!$C$16*Parametry!$C$18*D39))*Parametry!$C$15,0)</f>
        <v>317</v>
      </c>
      <c r="L39" s="7" t="n">
        <f aca="false">ROUNDUP((2*(0))*Parametry!$C$15,0)</f>
        <v>0</v>
      </c>
      <c r="M39" s="7" t="n">
        <f aca="false">ROUNDUP((2*(0))*Parametry!$C$15,0)</f>
        <v>0</v>
      </c>
      <c r="N39" s="7" t="n">
        <f aca="false">ROUNDUP((2*(Parametry!$C$16*Parametry!$C$19*D39))*Parametry!$C$15,0)</f>
        <v>528</v>
      </c>
      <c r="O39" s="7" t="n">
        <f aca="false">ROUNDUP(J39/H39,0)</f>
        <v>5</v>
      </c>
      <c r="P39" s="7" t="n">
        <f aca="false">ROUNDUP(K39/H39,0)</f>
        <v>5</v>
      </c>
      <c r="Q39" s="7" t="n">
        <f aca="false">ROUNDUP(L39/H39,0)</f>
        <v>0</v>
      </c>
      <c r="R39" s="7" t="n">
        <f aca="false">ROUNDUP(M39/H39,0)</f>
        <v>0</v>
      </c>
      <c r="S39" s="7" t="n">
        <f aca="false">ROUNDUP(N39/H39,0)</f>
        <v>8</v>
      </c>
      <c r="T39" s="7" t="n">
        <f aca="false">SUM(O39:S39)</f>
        <v>18</v>
      </c>
      <c r="U39" s="7" t="n">
        <f aca="false">ROUNDUP(T39/G39,0)</f>
        <v>3</v>
      </c>
      <c r="V39" s="7" t="n">
        <f aca="false">U39*Parametry!$C$11/(1+Parametry!$C$71*Parametry!$C$73)</f>
        <v>15</v>
      </c>
      <c r="W39" s="7" t="n">
        <f aca="false">2</f>
        <v>2</v>
      </c>
      <c r="X39" s="7" t="n">
        <f aca="false">V39*(W39-1)</f>
        <v>15</v>
      </c>
      <c r="Y39" s="7" t="n">
        <f aca="false">V39*W39</f>
        <v>30</v>
      </c>
      <c r="Z39" s="7" t="n">
        <f aca="false">SUM(J39:N39)</f>
        <v>1162</v>
      </c>
      <c r="AA39" s="7" t="s">
        <v>1751</v>
      </c>
    </row>
    <row r="40" customFormat="false" ht="69.75" hidden="false" customHeight="true" outlineLevel="0" collapsed="false">
      <c r="A40" s="8" t="s">
        <v>510</v>
      </c>
      <c r="B40" s="8" t="s">
        <v>1754</v>
      </c>
      <c r="C40" s="8" t="s">
        <v>1750</v>
      </c>
      <c r="D40" s="8" t="n">
        <v>3</v>
      </c>
      <c r="E40" s="8" t="n">
        <f aca="false">D40+1</f>
        <v>4</v>
      </c>
      <c r="F40" s="8" t="n">
        <v>3</v>
      </c>
      <c r="G40" s="50" t="n">
        <f aca="false">Parametry!$C$12</f>
        <v>6</v>
      </c>
      <c r="H40" s="8" t="n">
        <f aca="false">ROUNDDOWN(ROUNDDOWN(Parametry!$C$9*Parametry!$C$10^(F40-1),0)*(1+Parametry!$C$72*MAX(0,Parametry!$C$73-2)),0)</f>
        <v>72</v>
      </c>
      <c r="I40" s="8" t="n">
        <f aca="false">ROUNDUP((2*(0))*1,0)</f>
        <v>0</v>
      </c>
      <c r="J40" s="8" t="n">
        <f aca="false">ROUNDUP((2*(Parametry!$C$16*Parametry!$C$17*D40))*1,0)</f>
        <v>432</v>
      </c>
      <c r="K40" s="8" t="n">
        <f aca="false">ROUNDUP((2*(Parametry!$C$16*Parametry!$C$18*D40))*1,0)</f>
        <v>432</v>
      </c>
      <c r="L40" s="8" t="n">
        <f aca="false">ROUNDUP((2*(0))*1,0)</f>
        <v>0</v>
      </c>
      <c r="M40" s="8" t="n">
        <f aca="false">ROUNDUP((2*(0))*1,0)</f>
        <v>0</v>
      </c>
      <c r="N40" s="8" t="n">
        <f aca="false">ROUNDUP((2*(Parametry!$C$16*Parametry!$C$19*D40))*1,0)</f>
        <v>720</v>
      </c>
      <c r="O40" s="8" t="n">
        <f aca="false">ROUNDUP(J40/H40,0)</f>
        <v>6</v>
      </c>
      <c r="P40" s="8" t="n">
        <f aca="false">ROUNDUP(K40/H40,0)</f>
        <v>6</v>
      </c>
      <c r="Q40" s="8" t="n">
        <f aca="false">ROUNDUP(L40/H40,0)</f>
        <v>0</v>
      </c>
      <c r="R40" s="8" t="n">
        <f aca="false">ROUNDUP(M40/H40,0)</f>
        <v>0</v>
      </c>
      <c r="S40" s="8" t="n">
        <f aca="false">ROUNDUP(N40/H40,0)</f>
        <v>10</v>
      </c>
      <c r="T40" s="8" t="n">
        <f aca="false">SUM(O40:S40)</f>
        <v>22</v>
      </c>
      <c r="U40" s="8" t="n">
        <f aca="false">ROUNDUP(T40/G40,0)</f>
        <v>4</v>
      </c>
      <c r="V40" s="8" t="n">
        <f aca="false">U40*Parametry!$C$11/(1+Parametry!$C$71*Parametry!$C$73)</f>
        <v>20</v>
      </c>
      <c r="W40" s="8" t="n">
        <f aca="false">2</f>
        <v>2</v>
      </c>
      <c r="X40" s="8" t="n">
        <f aca="false">V40*(W40-1)</f>
        <v>20</v>
      </c>
      <c r="Y40" s="8" t="n">
        <f aca="false">V40*W40</f>
        <v>40</v>
      </c>
      <c r="Z40" s="8" t="n">
        <f aca="false">SUM(J40:N40)</f>
        <v>1584</v>
      </c>
      <c r="AA40" s="8" t="s">
        <v>1751</v>
      </c>
    </row>
    <row r="41" customFormat="false" ht="69.75" hidden="false" customHeight="true" outlineLevel="0" collapsed="false">
      <c r="A41" s="7" t="s">
        <v>510</v>
      </c>
      <c r="B41" s="7" t="s">
        <v>1754</v>
      </c>
      <c r="C41" s="7" t="s">
        <v>1752</v>
      </c>
      <c r="D41" s="7" t="n">
        <v>3</v>
      </c>
      <c r="E41" s="7" t="n">
        <f aca="false">D41+1</f>
        <v>4</v>
      </c>
      <c r="F41" s="7" t="n">
        <v>3</v>
      </c>
      <c r="G41" s="51" t="n">
        <f aca="false">Parametry!$C$12</f>
        <v>6</v>
      </c>
      <c r="H41" s="7" t="n">
        <f aca="false">ROUNDDOWN(ROUNDDOWN(Parametry!$C$9*Parametry!$C$10^(F41-1),0)*(1+Parametry!$C$72*MAX(0,Parametry!$C$73-2)),0)</f>
        <v>72</v>
      </c>
      <c r="I41" s="7" t="n">
        <f aca="false">ROUNDUP((2*(0))*Parametry!$C$15,0)</f>
        <v>0</v>
      </c>
      <c r="J41" s="7" t="n">
        <f aca="false">ROUNDUP((2*(Parametry!$C$16*Parametry!$C$17*D41))*Parametry!$C$15,0)</f>
        <v>476</v>
      </c>
      <c r="K41" s="7" t="n">
        <f aca="false">ROUNDUP((2*(Parametry!$C$16*Parametry!$C$18*D41))*Parametry!$C$15,0)</f>
        <v>476</v>
      </c>
      <c r="L41" s="7" t="n">
        <f aca="false">ROUNDUP((2*(0))*Parametry!$C$15,0)</f>
        <v>0</v>
      </c>
      <c r="M41" s="7" t="n">
        <f aca="false">ROUNDUP((2*(0))*Parametry!$C$15,0)</f>
        <v>0</v>
      </c>
      <c r="N41" s="7" t="n">
        <f aca="false">ROUNDUP((2*(Parametry!$C$16*Parametry!$C$19*D41))*Parametry!$C$15,0)</f>
        <v>792</v>
      </c>
      <c r="O41" s="7" t="n">
        <f aca="false">ROUNDUP(J41/H41,0)</f>
        <v>7</v>
      </c>
      <c r="P41" s="7" t="n">
        <f aca="false">ROUNDUP(K41/H41,0)</f>
        <v>7</v>
      </c>
      <c r="Q41" s="7" t="n">
        <f aca="false">ROUNDUP(L41/H41,0)</f>
        <v>0</v>
      </c>
      <c r="R41" s="7" t="n">
        <f aca="false">ROUNDUP(M41/H41,0)</f>
        <v>0</v>
      </c>
      <c r="S41" s="7" t="n">
        <f aca="false">ROUNDUP(N41/H41,0)</f>
        <v>11</v>
      </c>
      <c r="T41" s="7" t="n">
        <f aca="false">SUM(O41:S41)</f>
        <v>25</v>
      </c>
      <c r="U41" s="7" t="n">
        <f aca="false">ROUNDUP(T41/G41,0)</f>
        <v>5</v>
      </c>
      <c r="V41" s="7" t="n">
        <f aca="false">U41*Parametry!$C$11/(1+Parametry!$C$71*Parametry!$C$73)</f>
        <v>25</v>
      </c>
      <c r="W41" s="7" t="n">
        <f aca="false">2</f>
        <v>2</v>
      </c>
      <c r="X41" s="7" t="n">
        <f aca="false">V41*(W41-1)</f>
        <v>25</v>
      </c>
      <c r="Y41" s="7" t="n">
        <f aca="false">V41*W41</f>
        <v>50</v>
      </c>
      <c r="Z41" s="7" t="n">
        <f aca="false">SUM(J41:N41)</f>
        <v>1744</v>
      </c>
      <c r="AA41" s="7" t="s">
        <v>1751</v>
      </c>
    </row>
    <row r="42" customFormat="false" ht="69.75" hidden="false" customHeight="true" outlineLevel="0" collapsed="false">
      <c r="A42" s="8" t="s">
        <v>514</v>
      </c>
      <c r="B42" s="8" t="s">
        <v>1749</v>
      </c>
      <c r="C42" s="8" t="s">
        <v>1750</v>
      </c>
      <c r="D42" s="8" t="n">
        <v>1</v>
      </c>
      <c r="E42" s="8" t="n">
        <f aca="false">D42+1</f>
        <v>2</v>
      </c>
      <c r="F42" s="8" t="n">
        <v>1</v>
      </c>
      <c r="G42" s="50" t="n">
        <f aca="false">Parametry!$C$12</f>
        <v>6</v>
      </c>
      <c r="H42" s="8" t="n">
        <f aca="false">ROUNDDOWN(ROUNDDOWN(Parametry!$C$9*Parametry!$C$10^(F42-1),0)*(1+Parametry!$C$72*MAX(0,Parametry!$C$73-2)),0)</f>
        <v>60</v>
      </c>
      <c r="I42" s="8" t="n">
        <f aca="false">ROUNDUP((2*(0))*1,0)</f>
        <v>0</v>
      </c>
      <c r="J42" s="8" t="n">
        <f aca="false">ROUNDUP((2*(Parametry!$C$16*Parametry!$C$17*D42))*1,0)</f>
        <v>144</v>
      </c>
      <c r="K42" s="8" t="n">
        <f aca="false">ROUNDUP((2*(Parametry!$C$16*Parametry!$C$18*D42+Parametry!$C$16*Parametry!$C$19*D42))*1,0)</f>
        <v>384</v>
      </c>
      <c r="L42" s="8" t="n">
        <f aca="false">ROUNDUP((2*(0))*1,0)</f>
        <v>0</v>
      </c>
      <c r="M42" s="8" t="n">
        <f aca="false">ROUNDUP((2*(0))*1,0)</f>
        <v>0</v>
      </c>
      <c r="N42" s="8" t="n">
        <f aca="false">ROUNDUP((2*(0))*1,0)</f>
        <v>0</v>
      </c>
      <c r="O42" s="8" t="n">
        <f aca="false">ROUNDUP(J42/H42,0)</f>
        <v>3</v>
      </c>
      <c r="P42" s="8" t="n">
        <f aca="false">ROUNDUP(K42/H42,0)</f>
        <v>7</v>
      </c>
      <c r="Q42" s="8" t="n">
        <f aca="false">ROUNDUP(L42/H42,0)</f>
        <v>0</v>
      </c>
      <c r="R42" s="8" t="n">
        <f aca="false">ROUNDUP(M42/H42,0)</f>
        <v>0</v>
      </c>
      <c r="S42" s="8" t="n">
        <f aca="false">ROUNDUP(N42/H42,0)</f>
        <v>0</v>
      </c>
      <c r="T42" s="8" t="n">
        <f aca="false">SUM(O42:S42)</f>
        <v>10</v>
      </c>
      <c r="U42" s="8" t="n">
        <f aca="false">ROUNDUP(T42/G42,0)</f>
        <v>2</v>
      </c>
      <c r="V42" s="8" t="n">
        <f aca="false">U42*Parametry!$C$11/(1+Parametry!$C$71*Parametry!$C$73)</f>
        <v>10</v>
      </c>
      <c r="W42" s="8" t="n">
        <f aca="false">2</f>
        <v>2</v>
      </c>
      <c r="X42" s="8" t="n">
        <f aca="false">V42*(W42-1)</f>
        <v>10</v>
      </c>
      <c r="Y42" s="8" t="n">
        <f aca="false">V42*W42</f>
        <v>20</v>
      </c>
      <c r="Z42" s="8" t="n">
        <f aca="false">SUM(J42:N42)</f>
        <v>528</v>
      </c>
      <c r="AA42" s="8" t="s">
        <v>1751</v>
      </c>
    </row>
    <row r="43" customFormat="false" ht="69.75" hidden="false" customHeight="true" outlineLevel="0" collapsed="false">
      <c r="A43" s="7" t="s">
        <v>514</v>
      </c>
      <c r="B43" s="7" t="s">
        <v>1749</v>
      </c>
      <c r="C43" s="7" t="s">
        <v>1752</v>
      </c>
      <c r="D43" s="7" t="n">
        <v>1</v>
      </c>
      <c r="E43" s="7" t="n">
        <f aca="false">D43+1</f>
        <v>2</v>
      </c>
      <c r="F43" s="7" t="n">
        <v>1</v>
      </c>
      <c r="G43" s="51" t="n">
        <f aca="false">Parametry!$C$12</f>
        <v>6</v>
      </c>
      <c r="H43" s="7" t="n">
        <f aca="false">ROUNDDOWN(ROUNDDOWN(Parametry!$C$9*Parametry!$C$10^(F43-1),0)*(1+Parametry!$C$72*MAX(0,Parametry!$C$73-2)),0)</f>
        <v>60</v>
      </c>
      <c r="I43" s="7" t="n">
        <f aca="false">ROUNDUP((2*(0))*Parametry!$C$15,0)</f>
        <v>0</v>
      </c>
      <c r="J43" s="7" t="n">
        <f aca="false">ROUNDUP((2*(Parametry!$C$16*Parametry!$C$17*D43))*Parametry!$C$15,0)</f>
        <v>159</v>
      </c>
      <c r="K43" s="7" t="n">
        <f aca="false">ROUNDUP((2*(Parametry!$C$16*Parametry!$C$18*D43+Parametry!$C$16*Parametry!$C$19*D43))*Parametry!$C$15,0)</f>
        <v>423</v>
      </c>
      <c r="L43" s="7" t="n">
        <f aca="false">ROUNDUP((2*(0))*Parametry!$C$15,0)</f>
        <v>0</v>
      </c>
      <c r="M43" s="7" t="n">
        <f aca="false">ROUNDUP((2*(0))*Parametry!$C$15,0)</f>
        <v>0</v>
      </c>
      <c r="N43" s="7" t="n">
        <f aca="false">ROUNDUP((2*(0))*Parametry!$C$15,0)</f>
        <v>0</v>
      </c>
      <c r="O43" s="7" t="n">
        <f aca="false">ROUNDUP(J43/H43,0)</f>
        <v>3</v>
      </c>
      <c r="P43" s="7" t="n">
        <f aca="false">ROUNDUP(K43/H43,0)</f>
        <v>8</v>
      </c>
      <c r="Q43" s="7" t="n">
        <f aca="false">ROUNDUP(L43/H43,0)</f>
        <v>0</v>
      </c>
      <c r="R43" s="7" t="n">
        <f aca="false">ROUNDUP(M43/H43,0)</f>
        <v>0</v>
      </c>
      <c r="S43" s="7" t="n">
        <f aca="false">ROUNDUP(N43/H43,0)</f>
        <v>0</v>
      </c>
      <c r="T43" s="7" t="n">
        <f aca="false">SUM(O43:S43)</f>
        <v>11</v>
      </c>
      <c r="U43" s="7" t="n">
        <f aca="false">ROUNDUP(T43/G43,0)</f>
        <v>2</v>
      </c>
      <c r="V43" s="7" t="n">
        <f aca="false">U43*Parametry!$C$11/(1+Parametry!$C$71*Parametry!$C$73)</f>
        <v>10</v>
      </c>
      <c r="W43" s="7" t="n">
        <f aca="false">2</f>
        <v>2</v>
      </c>
      <c r="X43" s="7" t="n">
        <f aca="false">V43*(W43-1)</f>
        <v>10</v>
      </c>
      <c r="Y43" s="7" t="n">
        <f aca="false">V43*W43</f>
        <v>20</v>
      </c>
      <c r="Z43" s="7" t="n">
        <f aca="false">SUM(J43:N43)</f>
        <v>582</v>
      </c>
      <c r="AA43" s="7" t="s">
        <v>1751</v>
      </c>
    </row>
    <row r="44" customFormat="false" ht="69.75" hidden="false" customHeight="true" outlineLevel="0" collapsed="false">
      <c r="A44" s="8" t="s">
        <v>514</v>
      </c>
      <c r="B44" s="8" t="s">
        <v>1753</v>
      </c>
      <c r="C44" s="8" t="s">
        <v>1750</v>
      </c>
      <c r="D44" s="8" t="n">
        <v>2</v>
      </c>
      <c r="E44" s="8" t="n">
        <f aca="false">D44+1</f>
        <v>3</v>
      </c>
      <c r="F44" s="8" t="n">
        <v>2</v>
      </c>
      <c r="G44" s="50" t="n">
        <f aca="false">Parametry!$C$12</f>
        <v>6</v>
      </c>
      <c r="H44" s="8" t="n">
        <f aca="false">ROUNDDOWN(ROUNDDOWN(Parametry!$C$9*Parametry!$C$10^(F44-1),0)*(1+Parametry!$C$72*MAX(0,Parametry!$C$73-2)),0)</f>
        <v>66</v>
      </c>
      <c r="I44" s="8" t="n">
        <f aca="false">ROUNDUP((2*(0))*1,0)</f>
        <v>0</v>
      </c>
      <c r="J44" s="8" t="n">
        <f aca="false">ROUNDUP((2*(Parametry!$C$16*Parametry!$C$17*D44))*1,0)</f>
        <v>288</v>
      </c>
      <c r="K44" s="8" t="n">
        <f aca="false">ROUNDUP((2*(Parametry!$C$16*Parametry!$C$18*D44+Parametry!$C$16*Parametry!$C$19*D44))*1,0)</f>
        <v>768</v>
      </c>
      <c r="L44" s="8" t="n">
        <f aca="false">ROUNDUP((2*(0))*1,0)</f>
        <v>0</v>
      </c>
      <c r="M44" s="8" t="n">
        <f aca="false">ROUNDUP((2*(0))*1,0)</f>
        <v>0</v>
      </c>
      <c r="N44" s="8" t="n">
        <f aca="false">ROUNDUP((2*(0))*1,0)</f>
        <v>0</v>
      </c>
      <c r="O44" s="8" t="n">
        <f aca="false">ROUNDUP(J44/H44,0)</f>
        <v>5</v>
      </c>
      <c r="P44" s="8" t="n">
        <f aca="false">ROUNDUP(K44/H44,0)</f>
        <v>12</v>
      </c>
      <c r="Q44" s="8" t="n">
        <f aca="false">ROUNDUP(L44/H44,0)</f>
        <v>0</v>
      </c>
      <c r="R44" s="8" t="n">
        <f aca="false">ROUNDUP(M44/H44,0)</f>
        <v>0</v>
      </c>
      <c r="S44" s="8" t="n">
        <f aca="false">ROUNDUP(N44/H44,0)</f>
        <v>0</v>
      </c>
      <c r="T44" s="8" t="n">
        <f aca="false">SUM(O44:S44)</f>
        <v>17</v>
      </c>
      <c r="U44" s="8" t="n">
        <f aca="false">ROUNDUP(T44/G44,0)</f>
        <v>3</v>
      </c>
      <c r="V44" s="8" t="n">
        <f aca="false">U44*Parametry!$C$11/(1+Parametry!$C$71*Parametry!$C$73)</f>
        <v>15</v>
      </c>
      <c r="W44" s="8" t="n">
        <f aca="false">2</f>
        <v>2</v>
      </c>
      <c r="X44" s="8" t="n">
        <f aca="false">V44*(W44-1)</f>
        <v>15</v>
      </c>
      <c r="Y44" s="8" t="n">
        <f aca="false">V44*W44</f>
        <v>30</v>
      </c>
      <c r="Z44" s="8" t="n">
        <f aca="false">SUM(J44:N44)</f>
        <v>1056</v>
      </c>
      <c r="AA44" s="8" t="s">
        <v>1751</v>
      </c>
    </row>
    <row r="45" customFormat="false" ht="69.75" hidden="false" customHeight="true" outlineLevel="0" collapsed="false">
      <c r="A45" s="7" t="s">
        <v>514</v>
      </c>
      <c r="B45" s="7" t="s">
        <v>1753</v>
      </c>
      <c r="C45" s="7" t="s">
        <v>1752</v>
      </c>
      <c r="D45" s="7" t="n">
        <v>2</v>
      </c>
      <c r="E45" s="7" t="n">
        <f aca="false">D45+1</f>
        <v>3</v>
      </c>
      <c r="F45" s="7" t="n">
        <v>2</v>
      </c>
      <c r="G45" s="51" t="n">
        <f aca="false">Parametry!$C$12</f>
        <v>6</v>
      </c>
      <c r="H45" s="7" t="n">
        <f aca="false">ROUNDDOWN(ROUNDDOWN(Parametry!$C$9*Parametry!$C$10^(F45-1),0)*(1+Parametry!$C$72*MAX(0,Parametry!$C$73-2)),0)</f>
        <v>66</v>
      </c>
      <c r="I45" s="7" t="n">
        <f aca="false">ROUNDUP((2*(0))*Parametry!$C$15,0)</f>
        <v>0</v>
      </c>
      <c r="J45" s="7" t="n">
        <f aca="false">ROUNDUP((2*(Parametry!$C$16*Parametry!$C$17*D45))*Parametry!$C$15,0)</f>
        <v>317</v>
      </c>
      <c r="K45" s="7" t="n">
        <f aca="false">ROUNDUP((2*(Parametry!$C$16*Parametry!$C$18*D45+Parametry!$C$16*Parametry!$C$19*D45))*Parametry!$C$15,0)</f>
        <v>845</v>
      </c>
      <c r="L45" s="7" t="n">
        <f aca="false">ROUNDUP((2*(0))*Parametry!$C$15,0)</f>
        <v>0</v>
      </c>
      <c r="M45" s="7" t="n">
        <f aca="false">ROUNDUP((2*(0))*Parametry!$C$15,0)</f>
        <v>0</v>
      </c>
      <c r="N45" s="7" t="n">
        <f aca="false">ROUNDUP((2*(0))*Parametry!$C$15,0)</f>
        <v>0</v>
      </c>
      <c r="O45" s="7" t="n">
        <f aca="false">ROUNDUP(J45/H45,0)</f>
        <v>5</v>
      </c>
      <c r="P45" s="7" t="n">
        <f aca="false">ROUNDUP(K45/H45,0)</f>
        <v>13</v>
      </c>
      <c r="Q45" s="7" t="n">
        <f aca="false">ROUNDUP(L45/H45,0)</f>
        <v>0</v>
      </c>
      <c r="R45" s="7" t="n">
        <f aca="false">ROUNDUP(M45/H45,0)</f>
        <v>0</v>
      </c>
      <c r="S45" s="7" t="n">
        <f aca="false">ROUNDUP(N45/H45,0)</f>
        <v>0</v>
      </c>
      <c r="T45" s="7" t="n">
        <f aca="false">SUM(O45:S45)</f>
        <v>18</v>
      </c>
      <c r="U45" s="7" t="n">
        <f aca="false">ROUNDUP(T45/G45,0)</f>
        <v>3</v>
      </c>
      <c r="V45" s="7" t="n">
        <f aca="false">U45*Parametry!$C$11/(1+Parametry!$C$71*Parametry!$C$73)</f>
        <v>15</v>
      </c>
      <c r="W45" s="7" t="n">
        <f aca="false">2</f>
        <v>2</v>
      </c>
      <c r="X45" s="7" t="n">
        <f aca="false">V45*(W45-1)</f>
        <v>15</v>
      </c>
      <c r="Y45" s="7" t="n">
        <f aca="false">V45*W45</f>
        <v>30</v>
      </c>
      <c r="Z45" s="7" t="n">
        <f aca="false">SUM(J45:N45)</f>
        <v>1162</v>
      </c>
      <c r="AA45" s="7" t="s">
        <v>1751</v>
      </c>
    </row>
    <row r="46" customFormat="false" ht="69.75" hidden="false" customHeight="true" outlineLevel="0" collapsed="false">
      <c r="A46" s="8" t="s">
        <v>514</v>
      </c>
      <c r="B46" s="8" t="s">
        <v>1754</v>
      </c>
      <c r="C46" s="8" t="s">
        <v>1750</v>
      </c>
      <c r="D46" s="8" t="n">
        <v>3</v>
      </c>
      <c r="E46" s="8" t="n">
        <f aca="false">D46+1</f>
        <v>4</v>
      </c>
      <c r="F46" s="8" t="n">
        <v>3</v>
      </c>
      <c r="G46" s="50" t="n">
        <f aca="false">Parametry!$C$12</f>
        <v>6</v>
      </c>
      <c r="H46" s="8" t="n">
        <f aca="false">ROUNDDOWN(ROUNDDOWN(Parametry!$C$9*Parametry!$C$10^(F46-1),0)*(1+Parametry!$C$72*MAX(0,Parametry!$C$73-2)),0)</f>
        <v>72</v>
      </c>
      <c r="I46" s="8" t="n">
        <f aca="false">ROUNDUP((2*(0))*1,0)</f>
        <v>0</v>
      </c>
      <c r="J46" s="8" t="n">
        <f aca="false">ROUNDUP((2*(Parametry!$C$16*Parametry!$C$17*D46))*1,0)</f>
        <v>432</v>
      </c>
      <c r="K46" s="8" t="n">
        <f aca="false">ROUNDUP((2*(Parametry!$C$16*Parametry!$C$18*D46+Parametry!$C$16*Parametry!$C$19*D46))*1,0)</f>
        <v>1152</v>
      </c>
      <c r="L46" s="8" t="n">
        <f aca="false">ROUNDUP((2*(0))*1,0)</f>
        <v>0</v>
      </c>
      <c r="M46" s="8" t="n">
        <f aca="false">ROUNDUP((2*(0))*1,0)</f>
        <v>0</v>
      </c>
      <c r="N46" s="8" t="n">
        <f aca="false">ROUNDUP((2*(0))*1,0)</f>
        <v>0</v>
      </c>
      <c r="O46" s="8" t="n">
        <f aca="false">ROUNDUP(J46/H46,0)</f>
        <v>6</v>
      </c>
      <c r="P46" s="8" t="n">
        <f aca="false">ROUNDUP(K46/H46,0)</f>
        <v>16</v>
      </c>
      <c r="Q46" s="8" t="n">
        <f aca="false">ROUNDUP(L46/H46,0)</f>
        <v>0</v>
      </c>
      <c r="R46" s="8" t="n">
        <f aca="false">ROUNDUP(M46/H46,0)</f>
        <v>0</v>
      </c>
      <c r="S46" s="8" t="n">
        <f aca="false">ROUNDUP(N46/H46,0)</f>
        <v>0</v>
      </c>
      <c r="T46" s="8" t="n">
        <f aca="false">SUM(O46:S46)</f>
        <v>22</v>
      </c>
      <c r="U46" s="8" t="n">
        <f aca="false">ROUNDUP(T46/G46,0)</f>
        <v>4</v>
      </c>
      <c r="V46" s="8" t="n">
        <f aca="false">U46*Parametry!$C$11/(1+Parametry!$C$71*Parametry!$C$73)</f>
        <v>20</v>
      </c>
      <c r="W46" s="8" t="n">
        <f aca="false">2</f>
        <v>2</v>
      </c>
      <c r="X46" s="8" t="n">
        <f aca="false">V46*(W46-1)</f>
        <v>20</v>
      </c>
      <c r="Y46" s="8" t="n">
        <f aca="false">V46*W46</f>
        <v>40</v>
      </c>
      <c r="Z46" s="8" t="n">
        <f aca="false">SUM(J46:N46)</f>
        <v>1584</v>
      </c>
      <c r="AA46" s="8" t="s">
        <v>1751</v>
      </c>
    </row>
    <row r="47" customFormat="false" ht="69.75" hidden="false" customHeight="true" outlineLevel="0" collapsed="false">
      <c r="A47" s="7" t="s">
        <v>514</v>
      </c>
      <c r="B47" s="7" t="s">
        <v>1754</v>
      </c>
      <c r="C47" s="7" t="s">
        <v>1752</v>
      </c>
      <c r="D47" s="7" t="n">
        <v>3</v>
      </c>
      <c r="E47" s="7" t="n">
        <f aca="false">D47+1</f>
        <v>4</v>
      </c>
      <c r="F47" s="7" t="n">
        <v>3</v>
      </c>
      <c r="G47" s="51" t="n">
        <f aca="false">Parametry!$C$12</f>
        <v>6</v>
      </c>
      <c r="H47" s="7" t="n">
        <f aca="false">ROUNDDOWN(ROUNDDOWN(Parametry!$C$9*Parametry!$C$10^(F47-1),0)*(1+Parametry!$C$72*MAX(0,Parametry!$C$73-2)),0)</f>
        <v>72</v>
      </c>
      <c r="I47" s="7" t="n">
        <f aca="false">ROUNDUP((2*(0))*Parametry!$C$15,0)</f>
        <v>0</v>
      </c>
      <c r="J47" s="7" t="n">
        <f aca="false">ROUNDUP((2*(Parametry!$C$16*Parametry!$C$17*D47))*Parametry!$C$15,0)</f>
        <v>476</v>
      </c>
      <c r="K47" s="7" t="n">
        <f aca="false">ROUNDUP((2*(Parametry!$C$16*Parametry!$C$18*D47+Parametry!$C$16*Parametry!$C$19*D47))*Parametry!$C$15,0)</f>
        <v>1268</v>
      </c>
      <c r="L47" s="7" t="n">
        <f aca="false">ROUNDUP((2*(0))*Parametry!$C$15,0)</f>
        <v>0</v>
      </c>
      <c r="M47" s="7" t="n">
        <f aca="false">ROUNDUP((2*(0))*Parametry!$C$15,0)</f>
        <v>0</v>
      </c>
      <c r="N47" s="7" t="n">
        <f aca="false">ROUNDUP((2*(0))*Parametry!$C$15,0)</f>
        <v>0</v>
      </c>
      <c r="O47" s="7" t="n">
        <f aca="false">ROUNDUP(J47/H47,0)</f>
        <v>7</v>
      </c>
      <c r="P47" s="7" t="n">
        <f aca="false">ROUNDUP(K47/H47,0)</f>
        <v>18</v>
      </c>
      <c r="Q47" s="7" t="n">
        <f aca="false">ROUNDUP(L47/H47,0)</f>
        <v>0</v>
      </c>
      <c r="R47" s="7" t="n">
        <f aca="false">ROUNDUP(M47/H47,0)</f>
        <v>0</v>
      </c>
      <c r="S47" s="7" t="n">
        <f aca="false">ROUNDUP(N47/H47,0)</f>
        <v>0</v>
      </c>
      <c r="T47" s="7" t="n">
        <f aca="false">SUM(O47:S47)</f>
        <v>25</v>
      </c>
      <c r="U47" s="7" t="n">
        <f aca="false">ROUNDUP(T47/G47,0)</f>
        <v>5</v>
      </c>
      <c r="V47" s="7" t="n">
        <f aca="false">U47*Parametry!$C$11/(1+Parametry!$C$71*Parametry!$C$73)</f>
        <v>25</v>
      </c>
      <c r="W47" s="7" t="n">
        <f aca="false">2</f>
        <v>2</v>
      </c>
      <c r="X47" s="7" t="n">
        <f aca="false">V47*(W47-1)</f>
        <v>25</v>
      </c>
      <c r="Y47" s="7" t="n">
        <f aca="false">V47*W47</f>
        <v>50</v>
      </c>
      <c r="Z47" s="7" t="n">
        <f aca="false">SUM(J47:N47)</f>
        <v>1744</v>
      </c>
      <c r="AA47" s="7" t="s">
        <v>1751</v>
      </c>
    </row>
    <row r="48" customFormat="false" ht="69.75" hidden="false" customHeight="true" outlineLevel="0" collapsed="false">
      <c r="A48" s="8" t="s">
        <v>518</v>
      </c>
      <c r="B48" s="8" t="s">
        <v>1749</v>
      </c>
      <c r="C48" s="8" t="s">
        <v>1750</v>
      </c>
      <c r="D48" s="8" t="n">
        <v>1</v>
      </c>
      <c r="E48" s="8" t="n">
        <f aca="false">D48+1</f>
        <v>2</v>
      </c>
      <c r="F48" s="8" t="n">
        <v>1</v>
      </c>
      <c r="G48" s="50" t="n">
        <f aca="false">Parametry!$C$12</f>
        <v>6</v>
      </c>
      <c r="H48" s="8" t="n">
        <f aca="false">ROUNDDOWN(ROUNDDOWN(Parametry!$C$9*Parametry!$C$10^(F48-1),0)*(1+Parametry!$C$72*MAX(0,Parametry!$C$73-2)),0)</f>
        <v>60</v>
      </c>
      <c r="I48" s="8" t="n">
        <f aca="false">ROUNDUP((Parametry!$C$21*MAX(1,D48))*1,0)</f>
        <v>300</v>
      </c>
      <c r="J48" s="8" t="n">
        <f aca="false">ROUNDUP((Parametry!$C$21*MAX(1,D48))*1,0)</f>
        <v>300</v>
      </c>
      <c r="K48" s="8" t="n">
        <f aca="false">ROUNDUP((Parametry!$C$21*MAX(1,D48))*1,0)</f>
        <v>300</v>
      </c>
      <c r="L48" s="8" t="n">
        <f aca="false">ROUNDUP((Parametry!$C$21*MAX(1,D48))*1,0)</f>
        <v>300</v>
      </c>
      <c r="M48" s="8" t="n">
        <f aca="false">ROUNDUP((Parametry!$C$21*MAX(1,D48))*1,0)</f>
        <v>300</v>
      </c>
      <c r="N48" s="8" t="n">
        <f aca="false">ROUNDUP((Parametry!$C$21*MAX(1,D48))*1,0)</f>
        <v>300</v>
      </c>
      <c r="O48" s="8" t="n">
        <f aca="false">ROUNDUP(J48/H48,0)</f>
        <v>5</v>
      </c>
      <c r="P48" s="8" t="n">
        <f aca="false">ROUNDUP(K48/H48,0)</f>
        <v>5</v>
      </c>
      <c r="Q48" s="8" t="n">
        <f aca="false">ROUNDUP(L48/H48,0)</f>
        <v>5</v>
      </c>
      <c r="R48" s="8" t="n">
        <f aca="false">ROUNDUP(M48/H48,0)</f>
        <v>5</v>
      </c>
      <c r="S48" s="8" t="n">
        <f aca="false">ROUNDUP(N48/H48,0)</f>
        <v>5</v>
      </c>
      <c r="T48" s="8" t="n">
        <f aca="false">SUM(O48:S48)</f>
        <v>25</v>
      </c>
      <c r="U48" s="8" t="n">
        <f aca="false">ROUNDUP(T48/G48,0)</f>
        <v>5</v>
      </c>
      <c r="V48" s="8" t="n">
        <f aca="false">U48*Parametry!$C$11/(1+Parametry!$C$71*Parametry!$C$73)</f>
        <v>25</v>
      </c>
      <c r="W48" s="8" t="n">
        <f aca="false">2</f>
        <v>2</v>
      </c>
      <c r="X48" s="8" t="n">
        <f aca="false">V48*(W48-1)</f>
        <v>25</v>
      </c>
      <c r="Y48" s="8" t="n">
        <f aca="false">V48*W48</f>
        <v>50</v>
      </c>
      <c r="Z48" s="8" t="n">
        <f aca="false">SUM(J48:N48)</f>
        <v>1500</v>
      </c>
      <c r="AA48" s="8" t="s">
        <v>1751</v>
      </c>
    </row>
    <row r="49" customFormat="false" ht="69.75" hidden="false" customHeight="true" outlineLevel="0" collapsed="false">
      <c r="A49" s="7" t="s">
        <v>518</v>
      </c>
      <c r="B49" s="7" t="s">
        <v>1749</v>
      </c>
      <c r="C49" s="7" t="s">
        <v>1752</v>
      </c>
      <c r="D49" s="7" t="n">
        <v>1</v>
      </c>
      <c r="E49" s="7" t="n">
        <f aca="false">D49+1</f>
        <v>2</v>
      </c>
      <c r="F49" s="7" t="n">
        <v>1</v>
      </c>
      <c r="G49" s="51" t="n">
        <f aca="false">Parametry!$C$12</f>
        <v>6</v>
      </c>
      <c r="H49" s="7" t="n">
        <f aca="false">ROUNDDOWN(ROUNDDOWN(Parametry!$C$9*Parametry!$C$10^(F49-1),0)*(1+Parametry!$C$72*MAX(0,Parametry!$C$73-2)),0)</f>
        <v>60</v>
      </c>
      <c r="I49" s="7" t="n">
        <f aca="false">ROUNDUP((Parametry!$C$21*MAX(1,D49))*Parametry!$C$15,0)</f>
        <v>330</v>
      </c>
      <c r="J49" s="7" t="n">
        <f aca="false">ROUNDUP((Parametry!$C$21*MAX(1,D49))*Parametry!$C$15,0)</f>
        <v>330</v>
      </c>
      <c r="K49" s="7" t="n">
        <f aca="false">ROUNDUP((Parametry!$C$21*MAX(1,D49))*Parametry!$C$15,0)</f>
        <v>330</v>
      </c>
      <c r="L49" s="7" t="n">
        <f aca="false">ROUNDUP((Parametry!$C$21*MAX(1,D49))*Parametry!$C$15,0)</f>
        <v>330</v>
      </c>
      <c r="M49" s="7" t="n">
        <f aca="false">ROUNDUP((Parametry!$C$21*MAX(1,D49))*Parametry!$C$15,0)</f>
        <v>330</v>
      </c>
      <c r="N49" s="7" t="n">
        <f aca="false">ROUNDUP((Parametry!$C$21*MAX(1,D49))*Parametry!$C$15,0)</f>
        <v>330</v>
      </c>
      <c r="O49" s="7" t="n">
        <f aca="false">ROUNDUP(J49/H49,0)</f>
        <v>6</v>
      </c>
      <c r="P49" s="7" t="n">
        <f aca="false">ROUNDUP(K49/H49,0)</f>
        <v>6</v>
      </c>
      <c r="Q49" s="7" t="n">
        <f aca="false">ROUNDUP(L49/H49,0)</f>
        <v>6</v>
      </c>
      <c r="R49" s="7" t="n">
        <f aca="false">ROUNDUP(M49/H49,0)</f>
        <v>6</v>
      </c>
      <c r="S49" s="7" t="n">
        <f aca="false">ROUNDUP(N49/H49,0)</f>
        <v>6</v>
      </c>
      <c r="T49" s="7" t="n">
        <f aca="false">SUM(O49:S49)</f>
        <v>30</v>
      </c>
      <c r="U49" s="7" t="n">
        <f aca="false">ROUNDUP(T49/G49,0)</f>
        <v>5</v>
      </c>
      <c r="V49" s="7" t="n">
        <f aca="false">U49*Parametry!$C$11/(1+Parametry!$C$71*Parametry!$C$73)</f>
        <v>25</v>
      </c>
      <c r="W49" s="7" t="n">
        <f aca="false">2</f>
        <v>2</v>
      </c>
      <c r="X49" s="7" t="n">
        <f aca="false">V49*(W49-1)</f>
        <v>25</v>
      </c>
      <c r="Y49" s="7" t="n">
        <f aca="false">V49*W49</f>
        <v>50</v>
      </c>
      <c r="Z49" s="7" t="n">
        <f aca="false">SUM(J49:N49)</f>
        <v>1650</v>
      </c>
      <c r="AA49" s="7" t="s">
        <v>1751</v>
      </c>
    </row>
    <row r="50" customFormat="false" ht="69.75" hidden="false" customHeight="true" outlineLevel="0" collapsed="false">
      <c r="A50" s="8" t="s">
        <v>518</v>
      </c>
      <c r="B50" s="8" t="s">
        <v>1753</v>
      </c>
      <c r="C50" s="8" t="s">
        <v>1750</v>
      </c>
      <c r="D50" s="8" t="n">
        <v>2</v>
      </c>
      <c r="E50" s="8" t="n">
        <f aca="false">D50+1</f>
        <v>3</v>
      </c>
      <c r="F50" s="8" t="n">
        <v>2</v>
      </c>
      <c r="G50" s="50" t="n">
        <f aca="false">Parametry!$C$12</f>
        <v>6</v>
      </c>
      <c r="H50" s="8" t="n">
        <f aca="false">ROUNDDOWN(ROUNDDOWN(Parametry!$C$9*Parametry!$C$10^(F50-1),0)*(1+Parametry!$C$72*MAX(0,Parametry!$C$73-2)),0)</f>
        <v>66</v>
      </c>
      <c r="I50" s="8" t="n">
        <f aca="false">ROUNDUP((Parametry!$C$21*MAX(1,D50))*1,0)</f>
        <v>600</v>
      </c>
      <c r="J50" s="8" t="n">
        <f aca="false">ROUNDUP((Parametry!$C$21*MAX(1,D50))*1,0)</f>
        <v>600</v>
      </c>
      <c r="K50" s="8" t="n">
        <f aca="false">ROUNDUP((Parametry!$C$21*MAX(1,D50))*1,0)</f>
        <v>600</v>
      </c>
      <c r="L50" s="8" t="n">
        <f aca="false">ROUNDUP((Parametry!$C$21*MAX(1,D50))*1,0)</f>
        <v>600</v>
      </c>
      <c r="M50" s="8" t="n">
        <f aca="false">ROUNDUP((Parametry!$C$21*MAX(1,D50))*1,0)</f>
        <v>600</v>
      </c>
      <c r="N50" s="8" t="n">
        <f aca="false">ROUNDUP((Parametry!$C$21*MAX(1,D50))*1,0)</f>
        <v>600</v>
      </c>
      <c r="O50" s="8" t="n">
        <f aca="false">ROUNDUP(J50/H50,0)</f>
        <v>10</v>
      </c>
      <c r="P50" s="8" t="n">
        <f aca="false">ROUNDUP(K50/H50,0)</f>
        <v>10</v>
      </c>
      <c r="Q50" s="8" t="n">
        <f aca="false">ROUNDUP(L50/H50,0)</f>
        <v>10</v>
      </c>
      <c r="R50" s="8" t="n">
        <f aca="false">ROUNDUP(M50/H50,0)</f>
        <v>10</v>
      </c>
      <c r="S50" s="8" t="n">
        <f aca="false">ROUNDUP(N50/H50,0)</f>
        <v>10</v>
      </c>
      <c r="T50" s="8" t="n">
        <f aca="false">SUM(O50:S50)</f>
        <v>50</v>
      </c>
      <c r="U50" s="8" t="n">
        <f aca="false">ROUNDUP(T50/G50,0)</f>
        <v>9</v>
      </c>
      <c r="V50" s="8" t="n">
        <f aca="false">U50*Parametry!$C$11/(1+Parametry!$C$71*Parametry!$C$73)</f>
        <v>45</v>
      </c>
      <c r="W50" s="8" t="n">
        <f aca="false">2</f>
        <v>2</v>
      </c>
      <c r="X50" s="8" t="n">
        <f aca="false">V50*(W50-1)</f>
        <v>45</v>
      </c>
      <c r="Y50" s="8" t="n">
        <f aca="false">V50*W50</f>
        <v>90</v>
      </c>
      <c r="Z50" s="8" t="n">
        <f aca="false">SUM(J50:N50)</f>
        <v>3000</v>
      </c>
      <c r="AA50" s="8" t="s">
        <v>1751</v>
      </c>
    </row>
    <row r="51" customFormat="false" ht="69.75" hidden="false" customHeight="true" outlineLevel="0" collapsed="false">
      <c r="A51" s="7" t="s">
        <v>518</v>
      </c>
      <c r="B51" s="7" t="s">
        <v>1753</v>
      </c>
      <c r="C51" s="7" t="s">
        <v>1752</v>
      </c>
      <c r="D51" s="7" t="n">
        <v>2</v>
      </c>
      <c r="E51" s="7" t="n">
        <f aca="false">D51+1</f>
        <v>3</v>
      </c>
      <c r="F51" s="7" t="n">
        <v>2</v>
      </c>
      <c r="G51" s="51" t="n">
        <f aca="false">Parametry!$C$12</f>
        <v>6</v>
      </c>
      <c r="H51" s="7" t="n">
        <f aca="false">ROUNDDOWN(ROUNDDOWN(Parametry!$C$9*Parametry!$C$10^(F51-1),0)*(1+Parametry!$C$72*MAX(0,Parametry!$C$73-2)),0)</f>
        <v>66</v>
      </c>
      <c r="I51" s="7" t="n">
        <f aca="false">ROUNDUP((Parametry!$C$21*MAX(1,D51))*Parametry!$C$15,0)</f>
        <v>660</v>
      </c>
      <c r="J51" s="7" t="n">
        <f aca="false">ROUNDUP((Parametry!$C$21*MAX(1,D51))*Parametry!$C$15,0)</f>
        <v>660</v>
      </c>
      <c r="K51" s="7" t="n">
        <f aca="false">ROUNDUP((Parametry!$C$21*MAX(1,D51))*Parametry!$C$15,0)</f>
        <v>660</v>
      </c>
      <c r="L51" s="7" t="n">
        <f aca="false">ROUNDUP((Parametry!$C$21*MAX(1,D51))*Parametry!$C$15,0)</f>
        <v>660</v>
      </c>
      <c r="M51" s="7" t="n">
        <f aca="false">ROUNDUP((Parametry!$C$21*MAX(1,D51))*Parametry!$C$15,0)</f>
        <v>660</v>
      </c>
      <c r="N51" s="7" t="n">
        <f aca="false">ROUNDUP((Parametry!$C$21*MAX(1,D51))*Parametry!$C$15,0)</f>
        <v>660</v>
      </c>
      <c r="O51" s="7" t="n">
        <f aca="false">ROUNDUP(J51/H51,0)</f>
        <v>10</v>
      </c>
      <c r="P51" s="7" t="n">
        <f aca="false">ROUNDUP(K51/H51,0)</f>
        <v>10</v>
      </c>
      <c r="Q51" s="7" t="n">
        <f aca="false">ROUNDUP(L51/H51,0)</f>
        <v>10</v>
      </c>
      <c r="R51" s="7" t="n">
        <f aca="false">ROUNDUP(M51/H51,0)</f>
        <v>10</v>
      </c>
      <c r="S51" s="7" t="n">
        <f aca="false">ROUNDUP(N51/H51,0)</f>
        <v>10</v>
      </c>
      <c r="T51" s="7" t="n">
        <f aca="false">SUM(O51:S51)</f>
        <v>50</v>
      </c>
      <c r="U51" s="7" t="n">
        <f aca="false">ROUNDUP(T51/G51,0)</f>
        <v>9</v>
      </c>
      <c r="V51" s="7" t="n">
        <f aca="false">U51*Parametry!$C$11/(1+Parametry!$C$71*Parametry!$C$73)</f>
        <v>45</v>
      </c>
      <c r="W51" s="7" t="n">
        <f aca="false">2</f>
        <v>2</v>
      </c>
      <c r="X51" s="7" t="n">
        <f aca="false">V51*(W51-1)</f>
        <v>45</v>
      </c>
      <c r="Y51" s="7" t="n">
        <f aca="false">V51*W51</f>
        <v>90</v>
      </c>
      <c r="Z51" s="7" t="n">
        <f aca="false">SUM(J51:N51)</f>
        <v>3300</v>
      </c>
      <c r="AA51" s="7" t="s">
        <v>1751</v>
      </c>
    </row>
    <row r="52" customFormat="false" ht="69.75" hidden="false" customHeight="true" outlineLevel="0" collapsed="false">
      <c r="A52" s="8" t="s">
        <v>518</v>
      </c>
      <c r="B52" s="8" t="s">
        <v>1754</v>
      </c>
      <c r="C52" s="8" t="s">
        <v>1750</v>
      </c>
      <c r="D52" s="8" t="n">
        <v>3</v>
      </c>
      <c r="E52" s="8" t="n">
        <f aca="false">D52+1</f>
        <v>4</v>
      </c>
      <c r="F52" s="8" t="n">
        <v>3</v>
      </c>
      <c r="G52" s="50" t="n">
        <f aca="false">Parametry!$C$12</f>
        <v>6</v>
      </c>
      <c r="H52" s="8" t="n">
        <f aca="false">ROUNDDOWN(ROUNDDOWN(Parametry!$C$9*Parametry!$C$10^(F52-1),0)*(1+Parametry!$C$72*MAX(0,Parametry!$C$73-2)),0)</f>
        <v>72</v>
      </c>
      <c r="I52" s="8" t="n">
        <f aca="false">ROUNDUP((Parametry!$C$21*MAX(1,D52))*1,0)</f>
        <v>900</v>
      </c>
      <c r="J52" s="8" t="n">
        <f aca="false">ROUNDUP((Parametry!$C$21*MAX(1,D52))*1,0)</f>
        <v>900</v>
      </c>
      <c r="K52" s="8" t="n">
        <f aca="false">ROUNDUP((Parametry!$C$21*MAX(1,D52))*1,0)</f>
        <v>900</v>
      </c>
      <c r="L52" s="8" t="n">
        <f aca="false">ROUNDUP((Parametry!$C$21*MAX(1,D52))*1,0)</f>
        <v>900</v>
      </c>
      <c r="M52" s="8" t="n">
        <f aca="false">ROUNDUP((Parametry!$C$21*MAX(1,D52))*1,0)</f>
        <v>900</v>
      </c>
      <c r="N52" s="8" t="n">
        <f aca="false">ROUNDUP((Parametry!$C$21*MAX(1,D52))*1,0)</f>
        <v>900</v>
      </c>
      <c r="O52" s="8" t="n">
        <f aca="false">ROUNDUP(J52/H52,0)</f>
        <v>13</v>
      </c>
      <c r="P52" s="8" t="n">
        <f aca="false">ROUNDUP(K52/H52,0)</f>
        <v>13</v>
      </c>
      <c r="Q52" s="8" t="n">
        <f aca="false">ROUNDUP(L52/H52,0)</f>
        <v>13</v>
      </c>
      <c r="R52" s="8" t="n">
        <f aca="false">ROUNDUP(M52/H52,0)</f>
        <v>13</v>
      </c>
      <c r="S52" s="8" t="n">
        <f aca="false">ROUNDUP(N52/H52,0)</f>
        <v>13</v>
      </c>
      <c r="T52" s="8" t="n">
        <f aca="false">SUM(O52:S52)</f>
        <v>65</v>
      </c>
      <c r="U52" s="8" t="n">
        <f aca="false">ROUNDUP(T52/G52,0)</f>
        <v>11</v>
      </c>
      <c r="V52" s="8" t="n">
        <f aca="false">U52*Parametry!$C$11/(1+Parametry!$C$71*Parametry!$C$73)</f>
        <v>55</v>
      </c>
      <c r="W52" s="8" t="n">
        <f aca="false">2</f>
        <v>2</v>
      </c>
      <c r="X52" s="8" t="n">
        <f aca="false">V52*(W52-1)</f>
        <v>55</v>
      </c>
      <c r="Y52" s="8" t="n">
        <f aca="false">V52*W52</f>
        <v>110</v>
      </c>
      <c r="Z52" s="8" t="n">
        <f aca="false">SUM(J52:N52)</f>
        <v>4500</v>
      </c>
      <c r="AA52" s="8" t="s">
        <v>1751</v>
      </c>
    </row>
    <row r="53" customFormat="false" ht="69.75" hidden="false" customHeight="true" outlineLevel="0" collapsed="false">
      <c r="A53" s="7" t="s">
        <v>518</v>
      </c>
      <c r="B53" s="7" t="s">
        <v>1754</v>
      </c>
      <c r="C53" s="7" t="s">
        <v>1752</v>
      </c>
      <c r="D53" s="7" t="n">
        <v>3</v>
      </c>
      <c r="E53" s="7" t="n">
        <f aca="false">D53+1</f>
        <v>4</v>
      </c>
      <c r="F53" s="7" t="n">
        <v>3</v>
      </c>
      <c r="G53" s="51" t="n">
        <f aca="false">Parametry!$C$12</f>
        <v>6</v>
      </c>
      <c r="H53" s="7" t="n">
        <f aca="false">ROUNDDOWN(ROUNDDOWN(Parametry!$C$9*Parametry!$C$10^(F53-1),0)*(1+Parametry!$C$72*MAX(0,Parametry!$C$73-2)),0)</f>
        <v>72</v>
      </c>
      <c r="I53" s="7" t="n">
        <f aca="false">ROUNDUP((Parametry!$C$21*MAX(1,D53))*Parametry!$C$15,0)</f>
        <v>990</v>
      </c>
      <c r="J53" s="7" t="n">
        <f aca="false">ROUNDUP((Parametry!$C$21*MAX(1,D53))*Parametry!$C$15,0)</f>
        <v>990</v>
      </c>
      <c r="K53" s="7" t="n">
        <f aca="false">ROUNDUP((Parametry!$C$21*MAX(1,D53))*Parametry!$C$15,0)</f>
        <v>990</v>
      </c>
      <c r="L53" s="7" t="n">
        <f aca="false">ROUNDUP((Parametry!$C$21*MAX(1,D53))*Parametry!$C$15,0)</f>
        <v>990</v>
      </c>
      <c r="M53" s="7" t="n">
        <f aca="false">ROUNDUP((Parametry!$C$21*MAX(1,D53))*Parametry!$C$15,0)</f>
        <v>990</v>
      </c>
      <c r="N53" s="7" t="n">
        <f aca="false">ROUNDUP((Parametry!$C$21*MAX(1,D53))*Parametry!$C$15,0)</f>
        <v>990</v>
      </c>
      <c r="O53" s="7" t="n">
        <f aca="false">ROUNDUP(J53/H53,0)</f>
        <v>14</v>
      </c>
      <c r="P53" s="7" t="n">
        <f aca="false">ROUNDUP(K53/H53,0)</f>
        <v>14</v>
      </c>
      <c r="Q53" s="7" t="n">
        <f aca="false">ROUNDUP(L53/H53,0)</f>
        <v>14</v>
      </c>
      <c r="R53" s="7" t="n">
        <f aca="false">ROUNDUP(M53/H53,0)</f>
        <v>14</v>
      </c>
      <c r="S53" s="7" t="n">
        <f aca="false">ROUNDUP(N53/H53,0)</f>
        <v>14</v>
      </c>
      <c r="T53" s="7" t="n">
        <f aca="false">SUM(O53:S53)</f>
        <v>70</v>
      </c>
      <c r="U53" s="7" t="n">
        <f aca="false">ROUNDUP(T53/G53,0)</f>
        <v>12</v>
      </c>
      <c r="V53" s="7" t="n">
        <f aca="false">U53*Parametry!$C$11/(1+Parametry!$C$71*Parametry!$C$73)</f>
        <v>60</v>
      </c>
      <c r="W53" s="7" t="n">
        <f aca="false">2</f>
        <v>2</v>
      </c>
      <c r="X53" s="7" t="n">
        <f aca="false">V53*(W53-1)</f>
        <v>60</v>
      </c>
      <c r="Y53" s="7" t="n">
        <f aca="false">V53*W53</f>
        <v>120</v>
      </c>
      <c r="Z53" s="7" t="n">
        <f aca="false">SUM(J53:N53)</f>
        <v>4950</v>
      </c>
      <c r="AA53" s="7" t="s">
        <v>1751</v>
      </c>
    </row>
    <row r="54" customFormat="false" ht="69.75" hidden="false" customHeight="true" outlineLevel="0" collapsed="false">
      <c r="A54" s="8" t="s">
        <v>525</v>
      </c>
      <c r="B54" s="8" t="s">
        <v>1749</v>
      </c>
      <c r="C54" s="8" t="s">
        <v>1750</v>
      </c>
      <c r="D54" s="8" t="n">
        <v>1</v>
      </c>
      <c r="E54" s="8" t="n">
        <f aca="false">D54+1</f>
        <v>2</v>
      </c>
      <c r="F54" s="8" t="n">
        <v>1</v>
      </c>
      <c r="G54" s="50" t="n">
        <f aca="false">Parametry!$C$12</f>
        <v>6</v>
      </c>
      <c r="H54" s="8" t="n">
        <f aca="false">ROUNDDOWN(ROUNDDOWN(Parametry!$C$9*Parametry!$C$10^(F54-1),0)*(1+Parametry!$C$72*MAX(0,Parametry!$C$73-2)),0)</f>
        <v>60</v>
      </c>
      <c r="I54" s="8" t="n">
        <f aca="false">ROUNDUP((Parametry!$C$21*MAX(1,D54))*1,0)</f>
        <v>300</v>
      </c>
      <c r="J54" s="8" t="n">
        <f aca="false">ROUNDUP((Parametry!$C$21*MAX(1,D54))*1,0)</f>
        <v>300</v>
      </c>
      <c r="K54" s="8" t="n">
        <f aca="false">ROUNDUP((Parametry!$C$21*MAX(1,D54))*1,0)</f>
        <v>300</v>
      </c>
      <c r="L54" s="8" t="n">
        <f aca="false">ROUNDUP((Parametry!$C$21*MAX(1,D54))*1,0)</f>
        <v>300</v>
      </c>
      <c r="M54" s="8" t="n">
        <f aca="false">ROUNDUP((Parametry!$C$21*MAX(1,D54))*1,0)</f>
        <v>300</v>
      </c>
      <c r="N54" s="8" t="n">
        <f aca="false">ROUNDUP((Parametry!$C$21*MAX(1,D54))*1,0)</f>
        <v>300</v>
      </c>
      <c r="O54" s="8" t="n">
        <f aca="false">ROUNDUP(J54/H54,0)</f>
        <v>5</v>
      </c>
      <c r="P54" s="8" t="n">
        <f aca="false">ROUNDUP(K54/H54,0)</f>
        <v>5</v>
      </c>
      <c r="Q54" s="8" t="n">
        <f aca="false">ROUNDUP(L54/H54,0)</f>
        <v>5</v>
      </c>
      <c r="R54" s="8" t="n">
        <f aca="false">ROUNDUP(M54/H54,0)</f>
        <v>5</v>
      </c>
      <c r="S54" s="8" t="n">
        <f aca="false">ROUNDUP(N54/H54,0)</f>
        <v>5</v>
      </c>
      <c r="T54" s="8" t="n">
        <f aca="false">SUM(O54:S54)</f>
        <v>25</v>
      </c>
      <c r="U54" s="8" t="n">
        <f aca="false">ROUNDUP(T54/G54,0)</f>
        <v>5</v>
      </c>
      <c r="V54" s="8" t="n">
        <f aca="false">U54*Parametry!$C$11/(1+Parametry!$C$71*Parametry!$C$73)</f>
        <v>25</v>
      </c>
      <c r="W54" s="8" t="n">
        <f aca="false">2</f>
        <v>2</v>
      </c>
      <c r="X54" s="8" t="n">
        <f aca="false">V54*(W54-1)</f>
        <v>25</v>
      </c>
      <c r="Y54" s="8" t="n">
        <f aca="false">V54*W54</f>
        <v>50</v>
      </c>
      <c r="Z54" s="8" t="n">
        <f aca="false">SUM(J54:N54)</f>
        <v>1500</v>
      </c>
      <c r="AA54" s="8" t="s">
        <v>1751</v>
      </c>
    </row>
    <row r="55" customFormat="false" ht="69.75" hidden="false" customHeight="true" outlineLevel="0" collapsed="false">
      <c r="A55" s="7" t="s">
        <v>525</v>
      </c>
      <c r="B55" s="7" t="s">
        <v>1749</v>
      </c>
      <c r="C55" s="7" t="s">
        <v>1752</v>
      </c>
      <c r="D55" s="7" t="n">
        <v>1</v>
      </c>
      <c r="E55" s="7" t="n">
        <f aca="false">D55+1</f>
        <v>2</v>
      </c>
      <c r="F55" s="7" t="n">
        <v>1</v>
      </c>
      <c r="G55" s="51" t="n">
        <f aca="false">Parametry!$C$12</f>
        <v>6</v>
      </c>
      <c r="H55" s="7" t="n">
        <f aca="false">ROUNDDOWN(ROUNDDOWN(Parametry!$C$9*Parametry!$C$10^(F55-1),0)*(1+Parametry!$C$72*MAX(0,Parametry!$C$73-2)),0)</f>
        <v>60</v>
      </c>
      <c r="I55" s="7" t="n">
        <f aca="false">ROUNDUP((Parametry!$C$21*MAX(1,D55))*Parametry!$C$15,0)</f>
        <v>330</v>
      </c>
      <c r="J55" s="7" t="n">
        <f aca="false">ROUNDUP((Parametry!$C$21*MAX(1,D55))*Parametry!$C$15,0)</f>
        <v>330</v>
      </c>
      <c r="K55" s="7" t="n">
        <f aca="false">ROUNDUP((Parametry!$C$21*MAX(1,D55))*Parametry!$C$15,0)</f>
        <v>330</v>
      </c>
      <c r="L55" s="7" t="n">
        <f aca="false">ROUNDUP((Parametry!$C$21*MAX(1,D55))*Parametry!$C$15,0)</f>
        <v>330</v>
      </c>
      <c r="M55" s="7" t="n">
        <f aca="false">ROUNDUP((Parametry!$C$21*MAX(1,D55))*Parametry!$C$15,0)</f>
        <v>330</v>
      </c>
      <c r="N55" s="7" t="n">
        <f aca="false">ROUNDUP((Parametry!$C$21*MAX(1,D55))*Parametry!$C$15,0)</f>
        <v>330</v>
      </c>
      <c r="O55" s="7" t="n">
        <f aca="false">ROUNDUP(J55/H55,0)</f>
        <v>6</v>
      </c>
      <c r="P55" s="7" t="n">
        <f aca="false">ROUNDUP(K55/H55,0)</f>
        <v>6</v>
      </c>
      <c r="Q55" s="7" t="n">
        <f aca="false">ROUNDUP(L55/H55,0)</f>
        <v>6</v>
      </c>
      <c r="R55" s="7" t="n">
        <f aca="false">ROUNDUP(M55/H55,0)</f>
        <v>6</v>
      </c>
      <c r="S55" s="7" t="n">
        <f aca="false">ROUNDUP(N55/H55,0)</f>
        <v>6</v>
      </c>
      <c r="T55" s="7" t="n">
        <f aca="false">SUM(O55:S55)</f>
        <v>30</v>
      </c>
      <c r="U55" s="7" t="n">
        <f aca="false">ROUNDUP(T55/G55,0)</f>
        <v>5</v>
      </c>
      <c r="V55" s="7" t="n">
        <f aca="false">U55*Parametry!$C$11/(1+Parametry!$C$71*Parametry!$C$73)</f>
        <v>25</v>
      </c>
      <c r="W55" s="7" t="n">
        <f aca="false">2</f>
        <v>2</v>
      </c>
      <c r="X55" s="7" t="n">
        <f aca="false">V55*(W55-1)</f>
        <v>25</v>
      </c>
      <c r="Y55" s="7" t="n">
        <f aca="false">V55*W55</f>
        <v>50</v>
      </c>
      <c r="Z55" s="7" t="n">
        <f aca="false">SUM(J55:N55)</f>
        <v>1650</v>
      </c>
      <c r="AA55" s="7" t="s">
        <v>1751</v>
      </c>
    </row>
    <row r="56" customFormat="false" ht="69.75" hidden="false" customHeight="true" outlineLevel="0" collapsed="false">
      <c r="A56" s="8" t="s">
        <v>525</v>
      </c>
      <c r="B56" s="8" t="s">
        <v>1753</v>
      </c>
      <c r="C56" s="8" t="s">
        <v>1750</v>
      </c>
      <c r="D56" s="8" t="n">
        <v>2</v>
      </c>
      <c r="E56" s="8" t="n">
        <f aca="false">D56+1</f>
        <v>3</v>
      </c>
      <c r="F56" s="8" t="n">
        <v>2</v>
      </c>
      <c r="G56" s="50" t="n">
        <f aca="false">Parametry!$C$12</f>
        <v>6</v>
      </c>
      <c r="H56" s="8" t="n">
        <f aca="false">ROUNDDOWN(ROUNDDOWN(Parametry!$C$9*Parametry!$C$10^(F56-1),0)*(1+Parametry!$C$72*MAX(0,Parametry!$C$73-2)),0)</f>
        <v>66</v>
      </c>
      <c r="I56" s="8" t="n">
        <f aca="false">ROUNDUP((Parametry!$C$21*MAX(1,D56))*1,0)</f>
        <v>600</v>
      </c>
      <c r="J56" s="8" t="n">
        <f aca="false">ROUNDUP((Parametry!$C$21*MAX(1,D56))*1,0)</f>
        <v>600</v>
      </c>
      <c r="K56" s="8" t="n">
        <f aca="false">ROUNDUP((Parametry!$C$21*MAX(1,D56))*1,0)</f>
        <v>600</v>
      </c>
      <c r="L56" s="8" t="n">
        <f aca="false">ROUNDUP((Parametry!$C$21*MAX(1,D56))*1,0)</f>
        <v>600</v>
      </c>
      <c r="M56" s="8" t="n">
        <f aca="false">ROUNDUP((Parametry!$C$21*MAX(1,D56))*1,0)</f>
        <v>600</v>
      </c>
      <c r="N56" s="8" t="n">
        <f aca="false">ROUNDUP((Parametry!$C$21*MAX(1,D56))*1,0)</f>
        <v>600</v>
      </c>
      <c r="O56" s="8" t="n">
        <f aca="false">ROUNDUP(J56/H56,0)</f>
        <v>10</v>
      </c>
      <c r="P56" s="8" t="n">
        <f aca="false">ROUNDUP(K56/H56,0)</f>
        <v>10</v>
      </c>
      <c r="Q56" s="8" t="n">
        <f aca="false">ROUNDUP(L56/H56,0)</f>
        <v>10</v>
      </c>
      <c r="R56" s="8" t="n">
        <f aca="false">ROUNDUP(M56/H56,0)</f>
        <v>10</v>
      </c>
      <c r="S56" s="8" t="n">
        <f aca="false">ROUNDUP(N56/H56,0)</f>
        <v>10</v>
      </c>
      <c r="T56" s="8" t="n">
        <f aca="false">SUM(O56:S56)</f>
        <v>50</v>
      </c>
      <c r="U56" s="8" t="n">
        <f aca="false">ROUNDUP(T56/G56,0)</f>
        <v>9</v>
      </c>
      <c r="V56" s="8" t="n">
        <f aca="false">U56*Parametry!$C$11/(1+Parametry!$C$71*Parametry!$C$73)</f>
        <v>45</v>
      </c>
      <c r="W56" s="8" t="n">
        <f aca="false">2</f>
        <v>2</v>
      </c>
      <c r="X56" s="8" t="n">
        <f aca="false">V56*(W56-1)</f>
        <v>45</v>
      </c>
      <c r="Y56" s="8" t="n">
        <f aca="false">V56*W56</f>
        <v>90</v>
      </c>
      <c r="Z56" s="8" t="n">
        <f aca="false">SUM(J56:N56)</f>
        <v>3000</v>
      </c>
      <c r="AA56" s="8" t="s">
        <v>1751</v>
      </c>
    </row>
    <row r="57" customFormat="false" ht="69.75" hidden="false" customHeight="true" outlineLevel="0" collapsed="false">
      <c r="A57" s="7" t="s">
        <v>525</v>
      </c>
      <c r="B57" s="7" t="s">
        <v>1753</v>
      </c>
      <c r="C57" s="7" t="s">
        <v>1752</v>
      </c>
      <c r="D57" s="7" t="n">
        <v>2</v>
      </c>
      <c r="E57" s="7" t="n">
        <f aca="false">D57+1</f>
        <v>3</v>
      </c>
      <c r="F57" s="7" t="n">
        <v>2</v>
      </c>
      <c r="G57" s="51" t="n">
        <f aca="false">Parametry!$C$12</f>
        <v>6</v>
      </c>
      <c r="H57" s="7" t="n">
        <f aca="false">ROUNDDOWN(ROUNDDOWN(Parametry!$C$9*Parametry!$C$10^(F57-1),0)*(1+Parametry!$C$72*MAX(0,Parametry!$C$73-2)),0)</f>
        <v>66</v>
      </c>
      <c r="I57" s="7" t="n">
        <f aca="false">ROUNDUP((Parametry!$C$21*MAX(1,D57))*Parametry!$C$15,0)</f>
        <v>660</v>
      </c>
      <c r="J57" s="7" t="n">
        <f aca="false">ROUNDUP((Parametry!$C$21*MAX(1,D57))*Parametry!$C$15,0)</f>
        <v>660</v>
      </c>
      <c r="K57" s="7" t="n">
        <f aca="false">ROUNDUP((Parametry!$C$21*MAX(1,D57))*Parametry!$C$15,0)</f>
        <v>660</v>
      </c>
      <c r="L57" s="7" t="n">
        <f aca="false">ROUNDUP((Parametry!$C$21*MAX(1,D57))*Parametry!$C$15,0)</f>
        <v>660</v>
      </c>
      <c r="M57" s="7" t="n">
        <f aca="false">ROUNDUP((Parametry!$C$21*MAX(1,D57))*Parametry!$C$15,0)</f>
        <v>660</v>
      </c>
      <c r="N57" s="7" t="n">
        <f aca="false">ROUNDUP((Parametry!$C$21*MAX(1,D57))*Parametry!$C$15,0)</f>
        <v>660</v>
      </c>
      <c r="O57" s="7" t="n">
        <f aca="false">ROUNDUP(J57/H57,0)</f>
        <v>10</v>
      </c>
      <c r="P57" s="7" t="n">
        <f aca="false">ROUNDUP(K57/H57,0)</f>
        <v>10</v>
      </c>
      <c r="Q57" s="7" t="n">
        <f aca="false">ROUNDUP(L57/H57,0)</f>
        <v>10</v>
      </c>
      <c r="R57" s="7" t="n">
        <f aca="false">ROUNDUP(M57/H57,0)</f>
        <v>10</v>
      </c>
      <c r="S57" s="7" t="n">
        <f aca="false">ROUNDUP(N57/H57,0)</f>
        <v>10</v>
      </c>
      <c r="T57" s="7" t="n">
        <f aca="false">SUM(O57:S57)</f>
        <v>50</v>
      </c>
      <c r="U57" s="7" t="n">
        <f aca="false">ROUNDUP(T57/G57,0)</f>
        <v>9</v>
      </c>
      <c r="V57" s="7" t="n">
        <f aca="false">U57*Parametry!$C$11/(1+Parametry!$C$71*Parametry!$C$73)</f>
        <v>45</v>
      </c>
      <c r="W57" s="7" t="n">
        <f aca="false">2</f>
        <v>2</v>
      </c>
      <c r="X57" s="7" t="n">
        <f aca="false">V57*(W57-1)</f>
        <v>45</v>
      </c>
      <c r="Y57" s="7" t="n">
        <f aca="false">V57*W57</f>
        <v>90</v>
      </c>
      <c r="Z57" s="7" t="n">
        <f aca="false">SUM(J57:N57)</f>
        <v>3300</v>
      </c>
      <c r="AA57" s="7" t="s">
        <v>1751</v>
      </c>
    </row>
    <row r="58" customFormat="false" ht="69.75" hidden="false" customHeight="true" outlineLevel="0" collapsed="false">
      <c r="A58" s="8" t="s">
        <v>525</v>
      </c>
      <c r="B58" s="8" t="s">
        <v>1754</v>
      </c>
      <c r="C58" s="8" t="s">
        <v>1750</v>
      </c>
      <c r="D58" s="8" t="n">
        <v>3</v>
      </c>
      <c r="E58" s="8" t="n">
        <f aca="false">D58+1</f>
        <v>4</v>
      </c>
      <c r="F58" s="8" t="n">
        <v>3</v>
      </c>
      <c r="G58" s="50" t="n">
        <f aca="false">Parametry!$C$12</f>
        <v>6</v>
      </c>
      <c r="H58" s="8" t="n">
        <f aca="false">ROUNDDOWN(ROUNDDOWN(Parametry!$C$9*Parametry!$C$10^(F58-1),0)*(1+Parametry!$C$72*MAX(0,Parametry!$C$73-2)),0)</f>
        <v>72</v>
      </c>
      <c r="I58" s="8" t="n">
        <f aca="false">ROUNDUP((Parametry!$C$21*MAX(1,D58))*1,0)</f>
        <v>900</v>
      </c>
      <c r="J58" s="8" t="n">
        <f aca="false">ROUNDUP((Parametry!$C$21*MAX(1,D58))*1,0)</f>
        <v>900</v>
      </c>
      <c r="K58" s="8" t="n">
        <f aca="false">ROUNDUP((Parametry!$C$21*MAX(1,D58))*1,0)</f>
        <v>900</v>
      </c>
      <c r="L58" s="8" t="n">
        <f aca="false">ROUNDUP((Parametry!$C$21*MAX(1,D58))*1,0)</f>
        <v>900</v>
      </c>
      <c r="M58" s="8" t="n">
        <f aca="false">ROUNDUP((Parametry!$C$21*MAX(1,D58))*1,0)</f>
        <v>900</v>
      </c>
      <c r="N58" s="8" t="n">
        <f aca="false">ROUNDUP((Parametry!$C$21*MAX(1,D58))*1,0)</f>
        <v>900</v>
      </c>
      <c r="O58" s="8" t="n">
        <f aca="false">ROUNDUP(J58/H58,0)</f>
        <v>13</v>
      </c>
      <c r="P58" s="8" t="n">
        <f aca="false">ROUNDUP(K58/H58,0)</f>
        <v>13</v>
      </c>
      <c r="Q58" s="8" t="n">
        <f aca="false">ROUNDUP(L58/H58,0)</f>
        <v>13</v>
      </c>
      <c r="R58" s="8" t="n">
        <f aca="false">ROUNDUP(M58/H58,0)</f>
        <v>13</v>
      </c>
      <c r="S58" s="8" t="n">
        <f aca="false">ROUNDUP(N58/H58,0)</f>
        <v>13</v>
      </c>
      <c r="T58" s="8" t="n">
        <f aca="false">SUM(O58:S58)</f>
        <v>65</v>
      </c>
      <c r="U58" s="8" t="n">
        <f aca="false">ROUNDUP(T58/G58,0)</f>
        <v>11</v>
      </c>
      <c r="V58" s="8" t="n">
        <f aca="false">U58*Parametry!$C$11/(1+Parametry!$C$71*Parametry!$C$73)</f>
        <v>55</v>
      </c>
      <c r="W58" s="8" t="n">
        <f aca="false">2</f>
        <v>2</v>
      </c>
      <c r="X58" s="8" t="n">
        <f aca="false">V58*(W58-1)</f>
        <v>55</v>
      </c>
      <c r="Y58" s="8" t="n">
        <f aca="false">V58*W58</f>
        <v>110</v>
      </c>
      <c r="Z58" s="8" t="n">
        <f aca="false">SUM(J58:N58)</f>
        <v>4500</v>
      </c>
      <c r="AA58" s="8" t="s">
        <v>1751</v>
      </c>
    </row>
    <row r="59" customFormat="false" ht="69.75" hidden="false" customHeight="true" outlineLevel="0" collapsed="false">
      <c r="A59" s="7" t="s">
        <v>525</v>
      </c>
      <c r="B59" s="7" t="s">
        <v>1754</v>
      </c>
      <c r="C59" s="7" t="s">
        <v>1752</v>
      </c>
      <c r="D59" s="7" t="n">
        <v>3</v>
      </c>
      <c r="E59" s="7" t="n">
        <f aca="false">D59+1</f>
        <v>4</v>
      </c>
      <c r="F59" s="7" t="n">
        <v>3</v>
      </c>
      <c r="G59" s="51" t="n">
        <f aca="false">Parametry!$C$12</f>
        <v>6</v>
      </c>
      <c r="H59" s="7" t="n">
        <f aca="false">ROUNDDOWN(ROUNDDOWN(Parametry!$C$9*Parametry!$C$10^(F59-1),0)*(1+Parametry!$C$72*MAX(0,Parametry!$C$73-2)),0)</f>
        <v>72</v>
      </c>
      <c r="I59" s="7" t="n">
        <f aca="false">ROUNDUP((Parametry!$C$21*MAX(1,D59))*Parametry!$C$15,0)</f>
        <v>990</v>
      </c>
      <c r="J59" s="7" t="n">
        <f aca="false">ROUNDUP((Parametry!$C$21*MAX(1,D59))*Parametry!$C$15,0)</f>
        <v>990</v>
      </c>
      <c r="K59" s="7" t="n">
        <f aca="false">ROUNDUP((Parametry!$C$21*MAX(1,D59))*Parametry!$C$15,0)</f>
        <v>990</v>
      </c>
      <c r="L59" s="7" t="n">
        <f aca="false">ROUNDUP((Parametry!$C$21*MAX(1,D59))*Parametry!$C$15,0)</f>
        <v>990</v>
      </c>
      <c r="M59" s="7" t="n">
        <f aca="false">ROUNDUP((Parametry!$C$21*MAX(1,D59))*Parametry!$C$15,0)</f>
        <v>990</v>
      </c>
      <c r="N59" s="7" t="n">
        <f aca="false">ROUNDUP((Parametry!$C$21*MAX(1,D59))*Parametry!$C$15,0)</f>
        <v>990</v>
      </c>
      <c r="O59" s="7" t="n">
        <f aca="false">ROUNDUP(J59/H59,0)</f>
        <v>14</v>
      </c>
      <c r="P59" s="7" t="n">
        <f aca="false">ROUNDUP(K59/H59,0)</f>
        <v>14</v>
      </c>
      <c r="Q59" s="7" t="n">
        <f aca="false">ROUNDUP(L59/H59,0)</f>
        <v>14</v>
      </c>
      <c r="R59" s="7" t="n">
        <f aca="false">ROUNDUP(M59/H59,0)</f>
        <v>14</v>
      </c>
      <c r="S59" s="7" t="n">
        <f aca="false">ROUNDUP(N59/H59,0)</f>
        <v>14</v>
      </c>
      <c r="T59" s="7" t="n">
        <f aca="false">SUM(O59:S59)</f>
        <v>70</v>
      </c>
      <c r="U59" s="7" t="n">
        <f aca="false">ROUNDUP(T59/G59,0)</f>
        <v>12</v>
      </c>
      <c r="V59" s="7" t="n">
        <f aca="false">U59*Parametry!$C$11/(1+Parametry!$C$71*Parametry!$C$73)</f>
        <v>60</v>
      </c>
      <c r="W59" s="7" t="n">
        <f aca="false">2</f>
        <v>2</v>
      </c>
      <c r="X59" s="7" t="n">
        <f aca="false">V59*(W59-1)</f>
        <v>60</v>
      </c>
      <c r="Y59" s="7" t="n">
        <f aca="false">V59*W59</f>
        <v>120</v>
      </c>
      <c r="Z59" s="7" t="n">
        <f aca="false">SUM(J59:N59)</f>
        <v>4950</v>
      </c>
      <c r="AA59" s="7" t="s">
        <v>1751</v>
      </c>
    </row>
    <row r="60" customFormat="false" ht="69.75" hidden="false" customHeight="true" outlineLevel="0" collapsed="false">
      <c r="A60" s="8" t="s">
        <v>530</v>
      </c>
      <c r="B60" s="8" t="s">
        <v>1749</v>
      </c>
      <c r="C60" s="8" t="s">
        <v>1750</v>
      </c>
      <c r="D60" s="8" t="n">
        <v>1</v>
      </c>
      <c r="E60" s="8" t="n">
        <f aca="false">D60+1</f>
        <v>2</v>
      </c>
      <c r="F60" s="8" t="n">
        <v>1</v>
      </c>
      <c r="G60" s="50" t="n">
        <f aca="false">Parametry!$C$12</f>
        <v>6</v>
      </c>
      <c r="H60" s="8" t="n">
        <f aca="false">ROUNDDOWN(ROUNDDOWN(Parametry!$C$9*Parametry!$C$10^(F60-1),0)*(1+Parametry!$C$72*MAX(0,Parametry!$C$73-2)),0)</f>
        <v>60</v>
      </c>
      <c r="I60" s="8" t="n">
        <f aca="false">ROUNDUP((Parametry!$C$22*MAX(1,D60))*1,0)</f>
        <v>400</v>
      </c>
      <c r="J60" s="8" t="n">
        <f aca="false">ROUNDUP((Parametry!$C$22*MAX(1,D60))*1,0)</f>
        <v>400</v>
      </c>
      <c r="K60" s="8" t="n">
        <f aca="false">ROUNDUP((Parametry!$C$22*MAX(1,D60))*1,0)</f>
        <v>400</v>
      </c>
      <c r="L60" s="8" t="n">
        <f aca="false">ROUNDUP((Parametry!$C$22*MAX(1,D60))*1,0)</f>
        <v>400</v>
      </c>
      <c r="M60" s="8" t="n">
        <f aca="false">ROUNDUP((Parametry!$C$22*MAX(1,D60))*1,0)</f>
        <v>400</v>
      </c>
      <c r="N60" s="8" t="n">
        <f aca="false">ROUNDUP((Parametry!$C$22*MAX(1,D60))*1,0)</f>
        <v>400</v>
      </c>
      <c r="O60" s="8" t="n">
        <f aca="false">ROUNDUP(J60/H60,0)</f>
        <v>7</v>
      </c>
      <c r="P60" s="8" t="n">
        <f aca="false">ROUNDUP(K60/H60,0)</f>
        <v>7</v>
      </c>
      <c r="Q60" s="8" t="n">
        <f aca="false">ROUNDUP(L60/H60,0)</f>
        <v>7</v>
      </c>
      <c r="R60" s="8" t="n">
        <f aca="false">ROUNDUP(M60/H60,0)</f>
        <v>7</v>
      </c>
      <c r="S60" s="8" t="n">
        <f aca="false">ROUNDUP(N60/H60,0)</f>
        <v>7</v>
      </c>
      <c r="T60" s="8" t="n">
        <f aca="false">SUM(O60:S60)</f>
        <v>35</v>
      </c>
      <c r="U60" s="8" t="n">
        <f aca="false">ROUNDUP(T60/G60,0)</f>
        <v>6</v>
      </c>
      <c r="V60" s="8" t="n">
        <f aca="false">U60*Parametry!$C$11/(1+Parametry!$C$71*Parametry!$C$73)</f>
        <v>30</v>
      </c>
      <c r="W60" s="8" t="n">
        <f aca="false">2</f>
        <v>2</v>
      </c>
      <c r="X60" s="8" t="n">
        <f aca="false">V60*(W60-1)</f>
        <v>30</v>
      </c>
      <c r="Y60" s="8" t="n">
        <f aca="false">V60*W60</f>
        <v>60</v>
      </c>
      <c r="Z60" s="8" t="n">
        <f aca="false">SUM(J60:N60)</f>
        <v>2000</v>
      </c>
      <c r="AA60" s="8" t="s">
        <v>1751</v>
      </c>
    </row>
    <row r="61" customFormat="false" ht="69.75" hidden="false" customHeight="true" outlineLevel="0" collapsed="false">
      <c r="A61" s="7" t="s">
        <v>530</v>
      </c>
      <c r="B61" s="7" t="s">
        <v>1749</v>
      </c>
      <c r="C61" s="7" t="s">
        <v>1752</v>
      </c>
      <c r="D61" s="7" t="n">
        <v>1</v>
      </c>
      <c r="E61" s="7" t="n">
        <f aca="false">D61+1</f>
        <v>2</v>
      </c>
      <c r="F61" s="7" t="n">
        <v>1</v>
      </c>
      <c r="G61" s="51" t="n">
        <f aca="false">Parametry!$C$12</f>
        <v>6</v>
      </c>
      <c r="H61" s="7" t="n">
        <f aca="false">ROUNDDOWN(ROUNDDOWN(Parametry!$C$9*Parametry!$C$10^(F61-1),0)*(1+Parametry!$C$72*MAX(0,Parametry!$C$73-2)),0)</f>
        <v>60</v>
      </c>
      <c r="I61" s="7" t="n">
        <f aca="false">ROUNDUP((Parametry!$C$22*MAX(1,D61))*Parametry!$C$15,0)</f>
        <v>440</v>
      </c>
      <c r="J61" s="7" t="n">
        <f aca="false">ROUNDUP((Parametry!$C$22*MAX(1,D61))*Parametry!$C$15,0)</f>
        <v>440</v>
      </c>
      <c r="K61" s="7" t="n">
        <f aca="false">ROUNDUP((Parametry!$C$22*MAX(1,D61))*Parametry!$C$15,0)</f>
        <v>440</v>
      </c>
      <c r="L61" s="7" t="n">
        <f aca="false">ROUNDUP((Parametry!$C$22*MAX(1,D61))*Parametry!$C$15,0)</f>
        <v>440</v>
      </c>
      <c r="M61" s="7" t="n">
        <f aca="false">ROUNDUP((Parametry!$C$22*MAX(1,D61))*Parametry!$C$15,0)</f>
        <v>440</v>
      </c>
      <c r="N61" s="7" t="n">
        <f aca="false">ROUNDUP((Parametry!$C$22*MAX(1,D61))*Parametry!$C$15,0)</f>
        <v>440</v>
      </c>
      <c r="O61" s="7" t="n">
        <f aca="false">ROUNDUP(J61/H61,0)</f>
        <v>8</v>
      </c>
      <c r="P61" s="7" t="n">
        <f aca="false">ROUNDUP(K61/H61,0)</f>
        <v>8</v>
      </c>
      <c r="Q61" s="7" t="n">
        <f aca="false">ROUNDUP(L61/H61,0)</f>
        <v>8</v>
      </c>
      <c r="R61" s="7" t="n">
        <f aca="false">ROUNDUP(M61/H61,0)</f>
        <v>8</v>
      </c>
      <c r="S61" s="7" t="n">
        <f aca="false">ROUNDUP(N61/H61,0)</f>
        <v>8</v>
      </c>
      <c r="T61" s="7" t="n">
        <f aca="false">SUM(O61:S61)</f>
        <v>40</v>
      </c>
      <c r="U61" s="7" t="n">
        <f aca="false">ROUNDUP(T61/G61,0)</f>
        <v>7</v>
      </c>
      <c r="V61" s="7" t="n">
        <f aca="false">U61*Parametry!$C$11/(1+Parametry!$C$71*Parametry!$C$73)</f>
        <v>35</v>
      </c>
      <c r="W61" s="7" t="n">
        <f aca="false">2</f>
        <v>2</v>
      </c>
      <c r="X61" s="7" t="n">
        <f aca="false">V61*(W61-1)</f>
        <v>35</v>
      </c>
      <c r="Y61" s="7" t="n">
        <f aca="false">V61*W61</f>
        <v>70</v>
      </c>
      <c r="Z61" s="7" t="n">
        <f aca="false">SUM(J61:N61)</f>
        <v>2200</v>
      </c>
      <c r="AA61" s="7" t="s">
        <v>1751</v>
      </c>
    </row>
    <row r="62" customFormat="false" ht="69.75" hidden="false" customHeight="true" outlineLevel="0" collapsed="false">
      <c r="A62" s="8" t="s">
        <v>530</v>
      </c>
      <c r="B62" s="8" t="s">
        <v>1753</v>
      </c>
      <c r="C62" s="8" t="s">
        <v>1750</v>
      </c>
      <c r="D62" s="8" t="n">
        <v>2</v>
      </c>
      <c r="E62" s="8" t="n">
        <f aca="false">D62+1</f>
        <v>3</v>
      </c>
      <c r="F62" s="8" t="n">
        <v>2</v>
      </c>
      <c r="G62" s="50" t="n">
        <f aca="false">Parametry!$C$12</f>
        <v>6</v>
      </c>
      <c r="H62" s="8" t="n">
        <f aca="false">ROUNDDOWN(ROUNDDOWN(Parametry!$C$9*Parametry!$C$10^(F62-1),0)*(1+Parametry!$C$72*MAX(0,Parametry!$C$73-2)),0)</f>
        <v>66</v>
      </c>
      <c r="I62" s="8" t="n">
        <f aca="false">ROUNDUP((Parametry!$C$22*MAX(1,D62))*1,0)</f>
        <v>800</v>
      </c>
      <c r="J62" s="8" t="n">
        <f aca="false">ROUNDUP((Parametry!$C$22*MAX(1,D62))*1,0)</f>
        <v>800</v>
      </c>
      <c r="K62" s="8" t="n">
        <f aca="false">ROUNDUP((Parametry!$C$22*MAX(1,D62))*1,0)</f>
        <v>800</v>
      </c>
      <c r="L62" s="8" t="n">
        <f aca="false">ROUNDUP((Parametry!$C$22*MAX(1,D62))*1,0)</f>
        <v>800</v>
      </c>
      <c r="M62" s="8" t="n">
        <f aca="false">ROUNDUP((Parametry!$C$22*MAX(1,D62))*1,0)</f>
        <v>800</v>
      </c>
      <c r="N62" s="8" t="n">
        <f aca="false">ROUNDUP((Parametry!$C$22*MAX(1,D62))*1,0)</f>
        <v>800</v>
      </c>
      <c r="O62" s="8" t="n">
        <f aca="false">ROUNDUP(J62/H62,0)</f>
        <v>13</v>
      </c>
      <c r="P62" s="8" t="n">
        <f aca="false">ROUNDUP(K62/H62,0)</f>
        <v>13</v>
      </c>
      <c r="Q62" s="8" t="n">
        <f aca="false">ROUNDUP(L62/H62,0)</f>
        <v>13</v>
      </c>
      <c r="R62" s="8" t="n">
        <f aca="false">ROUNDUP(M62/H62,0)</f>
        <v>13</v>
      </c>
      <c r="S62" s="8" t="n">
        <f aca="false">ROUNDUP(N62/H62,0)</f>
        <v>13</v>
      </c>
      <c r="T62" s="8" t="n">
        <f aca="false">SUM(O62:S62)</f>
        <v>65</v>
      </c>
      <c r="U62" s="8" t="n">
        <f aca="false">ROUNDUP(T62/G62,0)</f>
        <v>11</v>
      </c>
      <c r="V62" s="8" t="n">
        <f aca="false">U62*Parametry!$C$11/(1+Parametry!$C$71*Parametry!$C$73)</f>
        <v>55</v>
      </c>
      <c r="W62" s="8" t="n">
        <f aca="false">2</f>
        <v>2</v>
      </c>
      <c r="X62" s="8" t="n">
        <f aca="false">V62*(W62-1)</f>
        <v>55</v>
      </c>
      <c r="Y62" s="8" t="n">
        <f aca="false">V62*W62</f>
        <v>110</v>
      </c>
      <c r="Z62" s="8" t="n">
        <f aca="false">SUM(J62:N62)</f>
        <v>4000</v>
      </c>
      <c r="AA62" s="8" t="s">
        <v>1751</v>
      </c>
    </row>
    <row r="63" customFormat="false" ht="69.75" hidden="false" customHeight="true" outlineLevel="0" collapsed="false">
      <c r="A63" s="7" t="s">
        <v>530</v>
      </c>
      <c r="B63" s="7" t="s">
        <v>1753</v>
      </c>
      <c r="C63" s="7" t="s">
        <v>1752</v>
      </c>
      <c r="D63" s="7" t="n">
        <v>2</v>
      </c>
      <c r="E63" s="7" t="n">
        <f aca="false">D63+1</f>
        <v>3</v>
      </c>
      <c r="F63" s="7" t="n">
        <v>2</v>
      </c>
      <c r="G63" s="51" t="n">
        <f aca="false">Parametry!$C$12</f>
        <v>6</v>
      </c>
      <c r="H63" s="7" t="n">
        <f aca="false">ROUNDDOWN(ROUNDDOWN(Parametry!$C$9*Parametry!$C$10^(F63-1),0)*(1+Parametry!$C$72*MAX(0,Parametry!$C$73-2)),0)</f>
        <v>66</v>
      </c>
      <c r="I63" s="7" t="n">
        <f aca="false">ROUNDUP((Parametry!$C$22*MAX(1,D63))*Parametry!$C$15,0)</f>
        <v>880</v>
      </c>
      <c r="J63" s="7" t="n">
        <f aca="false">ROUNDUP((Parametry!$C$22*MAX(1,D63))*Parametry!$C$15,0)</f>
        <v>880</v>
      </c>
      <c r="K63" s="7" t="n">
        <f aca="false">ROUNDUP((Parametry!$C$22*MAX(1,D63))*Parametry!$C$15,0)</f>
        <v>880</v>
      </c>
      <c r="L63" s="7" t="n">
        <f aca="false">ROUNDUP((Parametry!$C$22*MAX(1,D63))*Parametry!$C$15,0)</f>
        <v>880</v>
      </c>
      <c r="M63" s="7" t="n">
        <f aca="false">ROUNDUP((Parametry!$C$22*MAX(1,D63))*Parametry!$C$15,0)</f>
        <v>880</v>
      </c>
      <c r="N63" s="7" t="n">
        <f aca="false">ROUNDUP((Parametry!$C$22*MAX(1,D63))*Parametry!$C$15,0)</f>
        <v>880</v>
      </c>
      <c r="O63" s="7" t="n">
        <f aca="false">ROUNDUP(J63/H63,0)</f>
        <v>14</v>
      </c>
      <c r="P63" s="7" t="n">
        <f aca="false">ROUNDUP(K63/H63,0)</f>
        <v>14</v>
      </c>
      <c r="Q63" s="7" t="n">
        <f aca="false">ROUNDUP(L63/H63,0)</f>
        <v>14</v>
      </c>
      <c r="R63" s="7" t="n">
        <f aca="false">ROUNDUP(M63/H63,0)</f>
        <v>14</v>
      </c>
      <c r="S63" s="7" t="n">
        <f aca="false">ROUNDUP(N63/H63,0)</f>
        <v>14</v>
      </c>
      <c r="T63" s="7" t="n">
        <f aca="false">SUM(O63:S63)</f>
        <v>70</v>
      </c>
      <c r="U63" s="7" t="n">
        <f aca="false">ROUNDUP(T63/G63,0)</f>
        <v>12</v>
      </c>
      <c r="V63" s="7" t="n">
        <f aca="false">U63*Parametry!$C$11/(1+Parametry!$C$71*Parametry!$C$73)</f>
        <v>60</v>
      </c>
      <c r="W63" s="7" t="n">
        <f aca="false">2</f>
        <v>2</v>
      </c>
      <c r="X63" s="7" t="n">
        <f aca="false">V63*(W63-1)</f>
        <v>60</v>
      </c>
      <c r="Y63" s="7" t="n">
        <f aca="false">V63*W63</f>
        <v>120</v>
      </c>
      <c r="Z63" s="7" t="n">
        <f aca="false">SUM(J63:N63)</f>
        <v>4400</v>
      </c>
      <c r="AA63" s="7" t="s">
        <v>1751</v>
      </c>
    </row>
    <row r="64" customFormat="false" ht="69.75" hidden="false" customHeight="true" outlineLevel="0" collapsed="false">
      <c r="A64" s="8" t="s">
        <v>530</v>
      </c>
      <c r="B64" s="8" t="s">
        <v>1754</v>
      </c>
      <c r="C64" s="8" t="s">
        <v>1750</v>
      </c>
      <c r="D64" s="8" t="n">
        <v>3</v>
      </c>
      <c r="E64" s="8" t="n">
        <f aca="false">D64+1</f>
        <v>4</v>
      </c>
      <c r="F64" s="8" t="n">
        <v>3</v>
      </c>
      <c r="G64" s="50" t="n">
        <f aca="false">Parametry!$C$12</f>
        <v>6</v>
      </c>
      <c r="H64" s="8" t="n">
        <f aca="false">ROUNDDOWN(ROUNDDOWN(Parametry!$C$9*Parametry!$C$10^(F64-1),0)*(1+Parametry!$C$72*MAX(0,Parametry!$C$73-2)),0)</f>
        <v>72</v>
      </c>
      <c r="I64" s="8" t="n">
        <f aca="false">ROUNDUP((Parametry!$C$22*MAX(1,D64))*1,0)</f>
        <v>1200</v>
      </c>
      <c r="J64" s="8" t="n">
        <f aca="false">ROUNDUP((Parametry!$C$22*MAX(1,D64))*1,0)</f>
        <v>1200</v>
      </c>
      <c r="K64" s="8" t="n">
        <f aca="false">ROUNDUP((Parametry!$C$22*MAX(1,D64))*1,0)</f>
        <v>1200</v>
      </c>
      <c r="L64" s="8" t="n">
        <f aca="false">ROUNDUP((Parametry!$C$22*MAX(1,D64))*1,0)</f>
        <v>1200</v>
      </c>
      <c r="M64" s="8" t="n">
        <f aca="false">ROUNDUP((Parametry!$C$22*MAX(1,D64))*1,0)</f>
        <v>1200</v>
      </c>
      <c r="N64" s="8" t="n">
        <f aca="false">ROUNDUP((Parametry!$C$22*MAX(1,D64))*1,0)</f>
        <v>1200</v>
      </c>
      <c r="O64" s="8" t="n">
        <f aca="false">ROUNDUP(J64/H64,0)</f>
        <v>17</v>
      </c>
      <c r="P64" s="8" t="n">
        <f aca="false">ROUNDUP(K64/H64,0)</f>
        <v>17</v>
      </c>
      <c r="Q64" s="8" t="n">
        <f aca="false">ROUNDUP(L64/H64,0)</f>
        <v>17</v>
      </c>
      <c r="R64" s="8" t="n">
        <f aca="false">ROUNDUP(M64/H64,0)</f>
        <v>17</v>
      </c>
      <c r="S64" s="8" t="n">
        <f aca="false">ROUNDUP(N64/H64,0)</f>
        <v>17</v>
      </c>
      <c r="T64" s="8" t="n">
        <f aca="false">SUM(O64:S64)</f>
        <v>85</v>
      </c>
      <c r="U64" s="8" t="n">
        <f aca="false">ROUNDUP(T64/G64,0)</f>
        <v>15</v>
      </c>
      <c r="V64" s="8" t="n">
        <f aca="false">U64*Parametry!$C$11/(1+Parametry!$C$71*Parametry!$C$73)</f>
        <v>75</v>
      </c>
      <c r="W64" s="8" t="n">
        <f aca="false">2</f>
        <v>2</v>
      </c>
      <c r="X64" s="8" t="n">
        <f aca="false">V64*(W64-1)</f>
        <v>75</v>
      </c>
      <c r="Y64" s="8" t="n">
        <f aca="false">V64*W64</f>
        <v>150</v>
      </c>
      <c r="Z64" s="8" t="n">
        <f aca="false">SUM(J64:N64)</f>
        <v>6000</v>
      </c>
      <c r="AA64" s="8" t="s">
        <v>1751</v>
      </c>
    </row>
    <row r="65" customFormat="false" ht="69.75" hidden="false" customHeight="true" outlineLevel="0" collapsed="false">
      <c r="A65" s="7" t="s">
        <v>530</v>
      </c>
      <c r="B65" s="7" t="s">
        <v>1754</v>
      </c>
      <c r="C65" s="7" t="s">
        <v>1752</v>
      </c>
      <c r="D65" s="7" t="n">
        <v>3</v>
      </c>
      <c r="E65" s="7" t="n">
        <f aca="false">D65+1</f>
        <v>4</v>
      </c>
      <c r="F65" s="7" t="n">
        <v>3</v>
      </c>
      <c r="G65" s="51" t="n">
        <f aca="false">Parametry!$C$12</f>
        <v>6</v>
      </c>
      <c r="H65" s="7" t="n">
        <f aca="false">ROUNDDOWN(ROUNDDOWN(Parametry!$C$9*Parametry!$C$10^(F65-1),0)*(1+Parametry!$C$72*MAX(0,Parametry!$C$73-2)),0)</f>
        <v>72</v>
      </c>
      <c r="I65" s="7" t="n">
        <f aca="false">ROUNDUP((Parametry!$C$22*MAX(1,D65))*Parametry!$C$15,0)</f>
        <v>1320</v>
      </c>
      <c r="J65" s="7" t="n">
        <f aca="false">ROUNDUP((Parametry!$C$22*MAX(1,D65))*Parametry!$C$15,0)</f>
        <v>1320</v>
      </c>
      <c r="K65" s="7" t="n">
        <f aca="false">ROUNDUP((Parametry!$C$22*MAX(1,D65))*Parametry!$C$15,0)</f>
        <v>1320</v>
      </c>
      <c r="L65" s="7" t="n">
        <f aca="false">ROUNDUP((Parametry!$C$22*MAX(1,D65))*Parametry!$C$15,0)</f>
        <v>1320</v>
      </c>
      <c r="M65" s="7" t="n">
        <f aca="false">ROUNDUP((Parametry!$C$22*MAX(1,D65))*Parametry!$C$15,0)</f>
        <v>1320</v>
      </c>
      <c r="N65" s="7" t="n">
        <f aca="false">ROUNDUP((Parametry!$C$22*MAX(1,D65))*Parametry!$C$15,0)</f>
        <v>1320</v>
      </c>
      <c r="O65" s="7" t="n">
        <f aca="false">ROUNDUP(J65/H65,0)</f>
        <v>19</v>
      </c>
      <c r="P65" s="7" t="n">
        <f aca="false">ROUNDUP(K65/H65,0)</f>
        <v>19</v>
      </c>
      <c r="Q65" s="7" t="n">
        <f aca="false">ROUNDUP(L65/H65,0)</f>
        <v>19</v>
      </c>
      <c r="R65" s="7" t="n">
        <f aca="false">ROUNDUP(M65/H65,0)</f>
        <v>19</v>
      </c>
      <c r="S65" s="7" t="n">
        <f aca="false">ROUNDUP(N65/H65,0)</f>
        <v>19</v>
      </c>
      <c r="T65" s="7" t="n">
        <f aca="false">SUM(O65:S65)</f>
        <v>95</v>
      </c>
      <c r="U65" s="7" t="n">
        <f aca="false">ROUNDUP(T65/G65,0)</f>
        <v>16</v>
      </c>
      <c r="V65" s="7" t="n">
        <f aca="false">U65*Parametry!$C$11/(1+Parametry!$C$71*Parametry!$C$73)</f>
        <v>80</v>
      </c>
      <c r="W65" s="7" t="n">
        <f aca="false">2</f>
        <v>2</v>
      </c>
      <c r="X65" s="7" t="n">
        <f aca="false">V65*(W65-1)</f>
        <v>80</v>
      </c>
      <c r="Y65" s="7" t="n">
        <f aca="false">V65*W65</f>
        <v>160</v>
      </c>
      <c r="Z65" s="7" t="n">
        <f aca="false">SUM(J65:N65)</f>
        <v>6600</v>
      </c>
      <c r="AA65" s="7" t="s">
        <v>1751</v>
      </c>
    </row>
    <row r="66" customFormat="false" ht="69.75" hidden="false" customHeight="true" outlineLevel="0" collapsed="false">
      <c r="A66" s="8" t="s">
        <v>536</v>
      </c>
      <c r="B66" s="8" t="s">
        <v>1749</v>
      </c>
      <c r="C66" s="8" t="s">
        <v>1750</v>
      </c>
      <c r="D66" s="8" t="n">
        <v>1</v>
      </c>
      <c r="E66" s="8" t="n">
        <f aca="false">D66+1</f>
        <v>2</v>
      </c>
      <c r="F66" s="8" t="n">
        <v>1</v>
      </c>
      <c r="G66" s="50" t="n">
        <f aca="false">Parametry!$C$12</f>
        <v>6</v>
      </c>
      <c r="H66" s="8" t="n">
        <f aca="false">ROUNDDOWN(ROUNDDOWN(Parametry!$C$9*Parametry!$C$10^(F66-1),0)*(1+Parametry!$C$72*MAX(0,Parametry!$C$73-2)),0)</f>
        <v>60</v>
      </c>
      <c r="I66" s="8" t="n">
        <f aca="false">ROUNDUP((180*E66)*1,0)</f>
        <v>360</v>
      </c>
      <c r="J66" s="8" t="n">
        <f aca="false">ROUNDUP((20*E66)*1,0)</f>
        <v>40</v>
      </c>
      <c r="K66" s="8" t="n">
        <f aca="false">ROUNDUP((60*E66)*1,0)</f>
        <v>120</v>
      </c>
      <c r="L66" s="8" t="n">
        <f aca="false">ROUNDUP((0*E66)*1,0)</f>
        <v>0</v>
      </c>
      <c r="M66" s="8" t="n">
        <f aca="false">ROUNDUP((0*E66)*1,0)</f>
        <v>0</v>
      </c>
      <c r="N66" s="8" t="n">
        <f aca="false">ROUNDUP((10*E66)*1,0)</f>
        <v>20</v>
      </c>
      <c r="O66" s="8" t="n">
        <f aca="false">ROUNDUP(J66/H66,0)</f>
        <v>1</v>
      </c>
      <c r="P66" s="8" t="n">
        <f aca="false">ROUNDUP(K66/H66,0)</f>
        <v>2</v>
      </c>
      <c r="Q66" s="8" t="n">
        <f aca="false">ROUNDUP(L66/H66,0)</f>
        <v>0</v>
      </c>
      <c r="R66" s="8" t="n">
        <f aca="false">ROUNDUP(M66/H66,0)</f>
        <v>0</v>
      </c>
      <c r="S66" s="8" t="n">
        <f aca="false">ROUNDUP(N66/H66,0)</f>
        <v>1</v>
      </c>
      <c r="T66" s="8" t="n">
        <f aca="false">SUM(O66:S66)</f>
        <v>4</v>
      </c>
      <c r="U66" s="8" t="n">
        <f aca="false">ROUNDUP(T66/G66,0)</f>
        <v>1</v>
      </c>
      <c r="V66" s="8" t="n">
        <f aca="false">U66*Parametry!$C$11/(1+Parametry!$C$71*Parametry!$C$73)</f>
        <v>5</v>
      </c>
      <c r="W66" s="8" t="n">
        <f aca="false">1+3*(E66-1)</f>
        <v>4</v>
      </c>
      <c r="X66" s="8" t="n">
        <f aca="false">V66*(W66-1)</f>
        <v>15</v>
      </c>
      <c r="Y66" s="8" t="n">
        <f aca="false">V66*W66</f>
        <v>20</v>
      </c>
      <c r="Z66" s="8" t="n">
        <f aca="false">SUM(J66:N66)</f>
        <v>180</v>
      </c>
      <c r="AA66" s="8" t="s">
        <v>1751</v>
      </c>
    </row>
    <row r="67" customFormat="false" ht="69.75" hidden="false" customHeight="true" outlineLevel="0" collapsed="false">
      <c r="A67" s="7" t="s">
        <v>536</v>
      </c>
      <c r="B67" s="7" t="s">
        <v>1749</v>
      </c>
      <c r="C67" s="7" t="s">
        <v>1752</v>
      </c>
      <c r="D67" s="7" t="n">
        <v>1</v>
      </c>
      <c r="E67" s="7" t="n">
        <f aca="false">D67+1</f>
        <v>2</v>
      </c>
      <c r="F67" s="7" t="n">
        <v>1</v>
      </c>
      <c r="G67" s="51" t="n">
        <f aca="false">Parametry!$C$12</f>
        <v>6</v>
      </c>
      <c r="H67" s="7" t="n">
        <f aca="false">ROUNDDOWN(ROUNDDOWN(Parametry!$C$9*Parametry!$C$10^(F67-1),0)*(1+Parametry!$C$72*MAX(0,Parametry!$C$73-2)),0)</f>
        <v>60</v>
      </c>
      <c r="I67" s="7" t="n">
        <f aca="false">ROUNDUP((180*E67)*Parametry!$C$15,0)</f>
        <v>396</v>
      </c>
      <c r="J67" s="7" t="n">
        <f aca="false">ROUNDUP((20*E67)*Parametry!$C$15,0)</f>
        <v>44</v>
      </c>
      <c r="K67" s="7" t="n">
        <f aca="false">ROUNDUP((60*E67)*Parametry!$C$15,0)</f>
        <v>132</v>
      </c>
      <c r="L67" s="7" t="n">
        <f aca="false">ROUNDUP((0*E67)*Parametry!$C$15,0)</f>
        <v>0</v>
      </c>
      <c r="M67" s="7" t="n">
        <f aca="false">ROUNDUP((0*E67)*Parametry!$C$15,0)</f>
        <v>0</v>
      </c>
      <c r="N67" s="7" t="n">
        <f aca="false">ROUNDUP((10*E67)*Parametry!$C$15,0)</f>
        <v>22</v>
      </c>
      <c r="O67" s="7" t="n">
        <f aca="false">ROUNDUP(J67/H67,0)</f>
        <v>1</v>
      </c>
      <c r="P67" s="7" t="n">
        <f aca="false">ROUNDUP(K67/H67,0)</f>
        <v>3</v>
      </c>
      <c r="Q67" s="7" t="n">
        <f aca="false">ROUNDUP(L67/H67,0)</f>
        <v>0</v>
      </c>
      <c r="R67" s="7" t="n">
        <f aca="false">ROUNDUP(M67/H67,0)</f>
        <v>0</v>
      </c>
      <c r="S67" s="7" t="n">
        <f aca="false">ROUNDUP(N67/H67,0)</f>
        <v>1</v>
      </c>
      <c r="T67" s="7" t="n">
        <f aca="false">SUM(O67:S67)</f>
        <v>5</v>
      </c>
      <c r="U67" s="7" t="n">
        <f aca="false">ROUNDUP(T67/G67,0)</f>
        <v>1</v>
      </c>
      <c r="V67" s="7" t="n">
        <f aca="false">U67*Parametry!$C$11/(1+Parametry!$C$71*Parametry!$C$73)</f>
        <v>5</v>
      </c>
      <c r="W67" s="7" t="n">
        <f aca="false">1+3*(E67-1)</f>
        <v>4</v>
      </c>
      <c r="X67" s="7" t="n">
        <f aca="false">V67*(W67-1)</f>
        <v>15</v>
      </c>
      <c r="Y67" s="7" t="n">
        <f aca="false">V67*W67</f>
        <v>20</v>
      </c>
      <c r="Z67" s="7" t="n">
        <f aca="false">SUM(J67:N67)</f>
        <v>198</v>
      </c>
      <c r="AA67" s="7" t="s">
        <v>1751</v>
      </c>
    </row>
    <row r="68" customFormat="false" ht="69.75" hidden="false" customHeight="true" outlineLevel="0" collapsed="false">
      <c r="A68" s="8" t="s">
        <v>536</v>
      </c>
      <c r="B68" s="8" t="s">
        <v>1753</v>
      </c>
      <c r="C68" s="8" t="s">
        <v>1750</v>
      </c>
      <c r="D68" s="8" t="n">
        <v>2</v>
      </c>
      <c r="E68" s="8" t="n">
        <f aca="false">D68+1</f>
        <v>3</v>
      </c>
      <c r="F68" s="8" t="n">
        <v>2</v>
      </c>
      <c r="G68" s="50" t="n">
        <f aca="false">Parametry!$C$12</f>
        <v>6</v>
      </c>
      <c r="H68" s="8" t="n">
        <f aca="false">ROUNDDOWN(ROUNDDOWN(Parametry!$C$9*Parametry!$C$10^(F68-1),0)*(1+Parametry!$C$72*MAX(0,Parametry!$C$73-2)),0)</f>
        <v>66</v>
      </c>
      <c r="I68" s="8" t="n">
        <f aca="false">ROUNDUP((180*E68)*1,0)</f>
        <v>540</v>
      </c>
      <c r="J68" s="8" t="n">
        <f aca="false">ROUNDUP((20*E68)*1,0)</f>
        <v>60</v>
      </c>
      <c r="K68" s="8" t="n">
        <f aca="false">ROUNDUP((60*E68)*1,0)</f>
        <v>180</v>
      </c>
      <c r="L68" s="8" t="n">
        <f aca="false">ROUNDUP((0*E68)*1,0)</f>
        <v>0</v>
      </c>
      <c r="M68" s="8" t="n">
        <f aca="false">ROUNDUP((0*E68)*1,0)</f>
        <v>0</v>
      </c>
      <c r="N68" s="8" t="n">
        <f aca="false">ROUNDUP((10*E68)*1,0)</f>
        <v>30</v>
      </c>
      <c r="O68" s="8" t="n">
        <f aca="false">ROUNDUP(J68/H68,0)</f>
        <v>1</v>
      </c>
      <c r="P68" s="8" t="n">
        <f aca="false">ROUNDUP(K68/H68,0)</f>
        <v>3</v>
      </c>
      <c r="Q68" s="8" t="n">
        <f aca="false">ROUNDUP(L68/H68,0)</f>
        <v>0</v>
      </c>
      <c r="R68" s="8" t="n">
        <f aca="false">ROUNDUP(M68/H68,0)</f>
        <v>0</v>
      </c>
      <c r="S68" s="8" t="n">
        <f aca="false">ROUNDUP(N68/H68,0)</f>
        <v>1</v>
      </c>
      <c r="T68" s="8" t="n">
        <f aca="false">SUM(O68:S68)</f>
        <v>5</v>
      </c>
      <c r="U68" s="8" t="n">
        <f aca="false">ROUNDUP(T68/G68,0)</f>
        <v>1</v>
      </c>
      <c r="V68" s="8" t="n">
        <f aca="false">U68*Parametry!$C$11/(1+Parametry!$C$71*Parametry!$C$73)</f>
        <v>5</v>
      </c>
      <c r="W68" s="8" t="n">
        <f aca="false">1+3*(E68-1)</f>
        <v>7</v>
      </c>
      <c r="X68" s="8" t="n">
        <f aca="false">V68*(W68-1)</f>
        <v>30</v>
      </c>
      <c r="Y68" s="8" t="n">
        <f aca="false">V68*W68</f>
        <v>35</v>
      </c>
      <c r="Z68" s="8" t="n">
        <f aca="false">SUM(J68:N68)</f>
        <v>270</v>
      </c>
      <c r="AA68" s="8" t="s">
        <v>1751</v>
      </c>
    </row>
    <row r="69" customFormat="false" ht="69.75" hidden="false" customHeight="true" outlineLevel="0" collapsed="false">
      <c r="A69" s="7" t="s">
        <v>536</v>
      </c>
      <c r="B69" s="7" t="s">
        <v>1753</v>
      </c>
      <c r="C69" s="7" t="s">
        <v>1752</v>
      </c>
      <c r="D69" s="7" t="n">
        <v>2</v>
      </c>
      <c r="E69" s="7" t="n">
        <f aca="false">D69+1</f>
        <v>3</v>
      </c>
      <c r="F69" s="7" t="n">
        <v>2</v>
      </c>
      <c r="G69" s="51" t="n">
        <f aca="false">Parametry!$C$12</f>
        <v>6</v>
      </c>
      <c r="H69" s="7" t="n">
        <f aca="false">ROUNDDOWN(ROUNDDOWN(Parametry!$C$9*Parametry!$C$10^(F69-1),0)*(1+Parametry!$C$72*MAX(0,Parametry!$C$73-2)),0)</f>
        <v>66</v>
      </c>
      <c r="I69" s="7" t="n">
        <f aca="false">ROUNDUP((180*E69)*Parametry!$C$15,0)</f>
        <v>594</v>
      </c>
      <c r="J69" s="7" t="n">
        <f aca="false">ROUNDUP((20*E69)*Parametry!$C$15,0)</f>
        <v>66</v>
      </c>
      <c r="K69" s="7" t="n">
        <f aca="false">ROUNDUP((60*E69)*Parametry!$C$15,0)</f>
        <v>198</v>
      </c>
      <c r="L69" s="7" t="n">
        <f aca="false">ROUNDUP((0*E69)*Parametry!$C$15,0)</f>
        <v>0</v>
      </c>
      <c r="M69" s="7" t="n">
        <f aca="false">ROUNDUP((0*E69)*Parametry!$C$15,0)</f>
        <v>0</v>
      </c>
      <c r="N69" s="7" t="n">
        <f aca="false">ROUNDUP((10*E69)*Parametry!$C$15,0)</f>
        <v>33</v>
      </c>
      <c r="O69" s="7" t="n">
        <f aca="false">ROUNDUP(J69/H69,0)</f>
        <v>1</v>
      </c>
      <c r="P69" s="7" t="n">
        <f aca="false">ROUNDUP(K69/H69,0)</f>
        <v>3</v>
      </c>
      <c r="Q69" s="7" t="n">
        <f aca="false">ROUNDUP(L69/H69,0)</f>
        <v>0</v>
      </c>
      <c r="R69" s="7" t="n">
        <f aca="false">ROUNDUP(M69/H69,0)</f>
        <v>0</v>
      </c>
      <c r="S69" s="7" t="n">
        <f aca="false">ROUNDUP(N69/H69,0)</f>
        <v>1</v>
      </c>
      <c r="T69" s="7" t="n">
        <f aca="false">SUM(O69:S69)</f>
        <v>5</v>
      </c>
      <c r="U69" s="7" t="n">
        <f aca="false">ROUNDUP(T69/G69,0)</f>
        <v>1</v>
      </c>
      <c r="V69" s="7" t="n">
        <f aca="false">U69*Parametry!$C$11/(1+Parametry!$C$71*Parametry!$C$73)</f>
        <v>5</v>
      </c>
      <c r="W69" s="7" t="n">
        <f aca="false">1+3*(E69-1)</f>
        <v>7</v>
      </c>
      <c r="X69" s="7" t="n">
        <f aca="false">V69*(W69-1)</f>
        <v>30</v>
      </c>
      <c r="Y69" s="7" t="n">
        <f aca="false">V69*W69</f>
        <v>35</v>
      </c>
      <c r="Z69" s="7" t="n">
        <f aca="false">SUM(J69:N69)</f>
        <v>297</v>
      </c>
      <c r="AA69" s="7" t="s">
        <v>1751</v>
      </c>
    </row>
    <row r="70" customFormat="false" ht="69.75" hidden="false" customHeight="true" outlineLevel="0" collapsed="false">
      <c r="A70" s="8" t="s">
        <v>536</v>
      </c>
      <c r="B70" s="8" t="s">
        <v>1754</v>
      </c>
      <c r="C70" s="8" t="s">
        <v>1750</v>
      </c>
      <c r="D70" s="8" t="n">
        <v>3</v>
      </c>
      <c r="E70" s="8" t="n">
        <f aca="false">D70+1</f>
        <v>4</v>
      </c>
      <c r="F70" s="8" t="n">
        <v>3</v>
      </c>
      <c r="G70" s="50" t="n">
        <f aca="false">Parametry!$C$12</f>
        <v>6</v>
      </c>
      <c r="H70" s="8" t="n">
        <f aca="false">ROUNDDOWN(ROUNDDOWN(Parametry!$C$9*Parametry!$C$10^(F70-1),0)*(1+Parametry!$C$72*MAX(0,Parametry!$C$73-2)),0)</f>
        <v>72</v>
      </c>
      <c r="I70" s="8" t="n">
        <f aca="false">ROUNDUP((180*E70)*1,0)</f>
        <v>720</v>
      </c>
      <c r="J70" s="8" t="n">
        <f aca="false">ROUNDUP((20*E70)*1,0)</f>
        <v>80</v>
      </c>
      <c r="K70" s="8" t="n">
        <f aca="false">ROUNDUP((60*E70)*1,0)</f>
        <v>240</v>
      </c>
      <c r="L70" s="8" t="n">
        <f aca="false">ROUNDUP((0*E70)*1,0)</f>
        <v>0</v>
      </c>
      <c r="M70" s="8" t="n">
        <f aca="false">ROUNDUP((0*E70)*1,0)</f>
        <v>0</v>
      </c>
      <c r="N70" s="8" t="n">
        <f aca="false">ROUNDUP((10*E70)*1,0)</f>
        <v>40</v>
      </c>
      <c r="O70" s="8" t="n">
        <f aca="false">ROUNDUP(J70/H70,0)</f>
        <v>2</v>
      </c>
      <c r="P70" s="8" t="n">
        <f aca="false">ROUNDUP(K70/H70,0)</f>
        <v>4</v>
      </c>
      <c r="Q70" s="8" t="n">
        <f aca="false">ROUNDUP(L70/H70,0)</f>
        <v>0</v>
      </c>
      <c r="R70" s="8" t="n">
        <f aca="false">ROUNDUP(M70/H70,0)</f>
        <v>0</v>
      </c>
      <c r="S70" s="8" t="n">
        <f aca="false">ROUNDUP(N70/H70,0)</f>
        <v>1</v>
      </c>
      <c r="T70" s="8" t="n">
        <f aca="false">SUM(O70:S70)</f>
        <v>7</v>
      </c>
      <c r="U70" s="8" t="n">
        <f aca="false">ROUNDUP(T70/G70,0)</f>
        <v>2</v>
      </c>
      <c r="V70" s="8" t="n">
        <f aca="false">U70*Parametry!$C$11/(1+Parametry!$C$71*Parametry!$C$73)</f>
        <v>10</v>
      </c>
      <c r="W70" s="8" t="n">
        <f aca="false">1+3*(E70-1)</f>
        <v>10</v>
      </c>
      <c r="X70" s="8" t="n">
        <f aca="false">V70*(W70-1)</f>
        <v>90</v>
      </c>
      <c r="Y70" s="8" t="n">
        <f aca="false">V70*W70</f>
        <v>100</v>
      </c>
      <c r="Z70" s="8" t="n">
        <f aca="false">SUM(J70:N70)</f>
        <v>360</v>
      </c>
      <c r="AA70" s="8" t="s">
        <v>1751</v>
      </c>
    </row>
    <row r="71" customFormat="false" ht="69.75" hidden="false" customHeight="true" outlineLevel="0" collapsed="false">
      <c r="A71" s="7" t="s">
        <v>536</v>
      </c>
      <c r="B71" s="7" t="s">
        <v>1754</v>
      </c>
      <c r="C71" s="7" t="s">
        <v>1752</v>
      </c>
      <c r="D71" s="7" t="n">
        <v>3</v>
      </c>
      <c r="E71" s="7" t="n">
        <f aca="false">D71+1</f>
        <v>4</v>
      </c>
      <c r="F71" s="7" t="n">
        <v>3</v>
      </c>
      <c r="G71" s="51" t="n">
        <f aca="false">Parametry!$C$12</f>
        <v>6</v>
      </c>
      <c r="H71" s="7" t="n">
        <f aca="false">ROUNDDOWN(ROUNDDOWN(Parametry!$C$9*Parametry!$C$10^(F71-1),0)*(1+Parametry!$C$72*MAX(0,Parametry!$C$73-2)),0)</f>
        <v>72</v>
      </c>
      <c r="I71" s="7" t="n">
        <f aca="false">ROUNDUP((180*E71)*Parametry!$C$15,0)</f>
        <v>792</v>
      </c>
      <c r="J71" s="7" t="n">
        <f aca="false">ROUNDUP((20*E71)*Parametry!$C$15,0)</f>
        <v>88</v>
      </c>
      <c r="K71" s="7" t="n">
        <f aca="false">ROUNDUP((60*E71)*Parametry!$C$15,0)</f>
        <v>264</v>
      </c>
      <c r="L71" s="7" t="n">
        <f aca="false">ROUNDUP((0*E71)*Parametry!$C$15,0)</f>
        <v>0</v>
      </c>
      <c r="M71" s="7" t="n">
        <f aca="false">ROUNDUP((0*E71)*Parametry!$C$15,0)</f>
        <v>0</v>
      </c>
      <c r="N71" s="7" t="n">
        <f aca="false">ROUNDUP((10*E71)*Parametry!$C$15,0)</f>
        <v>44</v>
      </c>
      <c r="O71" s="7" t="n">
        <f aca="false">ROUNDUP(J71/H71,0)</f>
        <v>2</v>
      </c>
      <c r="P71" s="7" t="n">
        <f aca="false">ROUNDUP(K71/H71,0)</f>
        <v>4</v>
      </c>
      <c r="Q71" s="7" t="n">
        <f aca="false">ROUNDUP(L71/H71,0)</f>
        <v>0</v>
      </c>
      <c r="R71" s="7" t="n">
        <f aca="false">ROUNDUP(M71/H71,0)</f>
        <v>0</v>
      </c>
      <c r="S71" s="7" t="n">
        <f aca="false">ROUNDUP(N71/H71,0)</f>
        <v>1</v>
      </c>
      <c r="T71" s="7" t="n">
        <f aca="false">SUM(O71:S71)</f>
        <v>7</v>
      </c>
      <c r="U71" s="7" t="n">
        <f aca="false">ROUNDUP(T71/G71,0)</f>
        <v>2</v>
      </c>
      <c r="V71" s="7" t="n">
        <f aca="false">U71*Parametry!$C$11/(1+Parametry!$C$71*Parametry!$C$73)</f>
        <v>10</v>
      </c>
      <c r="W71" s="7" t="n">
        <f aca="false">1+3*(E71-1)</f>
        <v>10</v>
      </c>
      <c r="X71" s="7" t="n">
        <f aca="false">V71*(W71-1)</f>
        <v>90</v>
      </c>
      <c r="Y71" s="7" t="n">
        <f aca="false">V71*W71</f>
        <v>100</v>
      </c>
      <c r="Z71" s="7" t="n">
        <f aca="false">SUM(J71:N71)</f>
        <v>396</v>
      </c>
      <c r="AA71" s="7" t="s">
        <v>1751</v>
      </c>
    </row>
    <row r="72" customFormat="false" ht="69.75" hidden="false" customHeight="true" outlineLevel="0" collapsed="false">
      <c r="A72" s="8" t="s">
        <v>543</v>
      </c>
      <c r="B72" s="8" t="s">
        <v>1749</v>
      </c>
      <c r="C72" s="8" t="s">
        <v>1750</v>
      </c>
      <c r="D72" s="8" t="n">
        <v>1</v>
      </c>
      <c r="E72" s="8" t="n">
        <f aca="false">D72+1</f>
        <v>2</v>
      </c>
      <c r="F72" s="8" t="n">
        <v>1</v>
      </c>
      <c r="G72" s="50" t="n">
        <f aca="false">Parametry!$C$12</f>
        <v>6</v>
      </c>
      <c r="H72" s="8" t="n">
        <f aca="false">ROUNDDOWN(ROUNDDOWN(Parametry!$C$9*Parametry!$C$10^(F72-1),0)*(1+Parametry!$C$72*MAX(0,Parametry!$C$73-2)),0)</f>
        <v>60</v>
      </c>
      <c r="I72" s="8" t="n">
        <f aca="false">ROUNDUP((Parametry!$C$23*MAX(1,D72))*1,0)</f>
        <v>500</v>
      </c>
      <c r="J72" s="8" t="n">
        <f aca="false">ROUNDUP((Parametry!$C$23*MAX(1,D72))*1,0)</f>
        <v>500</v>
      </c>
      <c r="K72" s="8" t="n">
        <f aca="false">ROUNDUP((Parametry!$C$23*MAX(1,D72))*1,0)</f>
        <v>500</v>
      </c>
      <c r="L72" s="8" t="n">
        <f aca="false">ROUNDUP((Parametry!$C$23*MAX(1,D72))*1,0)</f>
        <v>500</v>
      </c>
      <c r="M72" s="8" t="n">
        <f aca="false">ROUNDUP((Parametry!$C$23*MAX(1,D72))*1,0)</f>
        <v>500</v>
      </c>
      <c r="N72" s="8" t="n">
        <f aca="false">ROUNDUP((Parametry!$C$23*MAX(1,D72))*1,0)</f>
        <v>500</v>
      </c>
      <c r="O72" s="8" t="n">
        <f aca="false">ROUNDUP(J72/H72,0)</f>
        <v>9</v>
      </c>
      <c r="P72" s="8" t="n">
        <f aca="false">ROUNDUP(K72/H72,0)</f>
        <v>9</v>
      </c>
      <c r="Q72" s="8" t="n">
        <f aca="false">ROUNDUP(L72/H72,0)</f>
        <v>9</v>
      </c>
      <c r="R72" s="8" t="n">
        <f aca="false">ROUNDUP(M72/H72,0)</f>
        <v>9</v>
      </c>
      <c r="S72" s="8" t="n">
        <f aca="false">ROUNDUP(N72/H72,0)</f>
        <v>9</v>
      </c>
      <c r="T72" s="8" t="n">
        <f aca="false">SUM(O72:S72)</f>
        <v>45</v>
      </c>
      <c r="U72" s="8" t="n">
        <f aca="false">ROUNDUP(T72/G72,0)</f>
        <v>8</v>
      </c>
      <c r="V72" s="8" t="n">
        <f aca="false">U72*Parametry!$C$11/(1+Parametry!$C$71*Parametry!$C$73)</f>
        <v>40</v>
      </c>
      <c r="W72" s="8" t="n">
        <f aca="false">5</f>
        <v>5</v>
      </c>
      <c r="X72" s="8" t="n">
        <f aca="false">V72*(W72-1)</f>
        <v>160</v>
      </c>
      <c r="Y72" s="8" t="n">
        <f aca="false">V72*W72</f>
        <v>200</v>
      </c>
      <c r="Z72" s="8" t="n">
        <f aca="false">SUM(J72:N72)</f>
        <v>2500</v>
      </c>
      <c r="AA72" s="8" t="s">
        <v>1751</v>
      </c>
    </row>
    <row r="73" customFormat="false" ht="69.75" hidden="false" customHeight="true" outlineLevel="0" collapsed="false">
      <c r="A73" s="7" t="s">
        <v>543</v>
      </c>
      <c r="B73" s="7" t="s">
        <v>1749</v>
      </c>
      <c r="C73" s="7" t="s">
        <v>1752</v>
      </c>
      <c r="D73" s="7" t="n">
        <v>1</v>
      </c>
      <c r="E73" s="7" t="n">
        <f aca="false">D73+1</f>
        <v>2</v>
      </c>
      <c r="F73" s="7" t="n">
        <v>1</v>
      </c>
      <c r="G73" s="51" t="n">
        <f aca="false">Parametry!$C$12</f>
        <v>6</v>
      </c>
      <c r="H73" s="7" t="n">
        <f aca="false">ROUNDDOWN(ROUNDDOWN(Parametry!$C$9*Parametry!$C$10^(F73-1),0)*(1+Parametry!$C$72*MAX(0,Parametry!$C$73-2)),0)</f>
        <v>60</v>
      </c>
      <c r="I73" s="7" t="n">
        <f aca="false">ROUNDUP((Parametry!$C$23*MAX(1,D73))*Parametry!$C$15,0)</f>
        <v>550</v>
      </c>
      <c r="J73" s="7" t="n">
        <f aca="false">ROUNDUP((Parametry!$C$23*MAX(1,D73))*Parametry!$C$15,0)</f>
        <v>550</v>
      </c>
      <c r="K73" s="7" t="n">
        <f aca="false">ROUNDUP((Parametry!$C$23*MAX(1,D73))*Parametry!$C$15,0)</f>
        <v>550</v>
      </c>
      <c r="L73" s="7" t="n">
        <f aca="false">ROUNDUP((Parametry!$C$23*MAX(1,D73))*Parametry!$C$15,0)</f>
        <v>550</v>
      </c>
      <c r="M73" s="7" t="n">
        <f aca="false">ROUNDUP((Parametry!$C$23*MAX(1,D73))*Parametry!$C$15,0)</f>
        <v>550</v>
      </c>
      <c r="N73" s="7" t="n">
        <f aca="false">ROUNDUP((Parametry!$C$23*MAX(1,D73))*Parametry!$C$15,0)</f>
        <v>550</v>
      </c>
      <c r="O73" s="7" t="n">
        <f aca="false">ROUNDUP(J73/H73,0)</f>
        <v>10</v>
      </c>
      <c r="P73" s="7" t="n">
        <f aca="false">ROUNDUP(K73/H73,0)</f>
        <v>10</v>
      </c>
      <c r="Q73" s="7" t="n">
        <f aca="false">ROUNDUP(L73/H73,0)</f>
        <v>10</v>
      </c>
      <c r="R73" s="7" t="n">
        <f aca="false">ROUNDUP(M73/H73,0)</f>
        <v>10</v>
      </c>
      <c r="S73" s="7" t="n">
        <f aca="false">ROUNDUP(N73/H73,0)</f>
        <v>10</v>
      </c>
      <c r="T73" s="7" t="n">
        <f aca="false">SUM(O73:S73)</f>
        <v>50</v>
      </c>
      <c r="U73" s="7" t="n">
        <f aca="false">ROUNDUP(T73/G73,0)</f>
        <v>9</v>
      </c>
      <c r="V73" s="7" t="n">
        <f aca="false">U73*Parametry!$C$11/(1+Parametry!$C$71*Parametry!$C$73)</f>
        <v>45</v>
      </c>
      <c r="W73" s="7" t="n">
        <f aca="false">5</f>
        <v>5</v>
      </c>
      <c r="X73" s="7" t="n">
        <f aca="false">V73*(W73-1)</f>
        <v>180</v>
      </c>
      <c r="Y73" s="7" t="n">
        <f aca="false">V73*W73</f>
        <v>225</v>
      </c>
      <c r="Z73" s="7" t="n">
        <f aca="false">SUM(J73:N73)</f>
        <v>2750</v>
      </c>
      <c r="AA73" s="7" t="s">
        <v>1751</v>
      </c>
    </row>
    <row r="74" customFormat="false" ht="69.75" hidden="false" customHeight="true" outlineLevel="0" collapsed="false">
      <c r="A74" s="8" t="s">
        <v>543</v>
      </c>
      <c r="B74" s="8" t="s">
        <v>1753</v>
      </c>
      <c r="C74" s="8" t="s">
        <v>1750</v>
      </c>
      <c r="D74" s="8" t="n">
        <v>2</v>
      </c>
      <c r="E74" s="8" t="n">
        <f aca="false">D74+1</f>
        <v>3</v>
      </c>
      <c r="F74" s="8" t="n">
        <v>2</v>
      </c>
      <c r="G74" s="50" t="n">
        <f aca="false">Parametry!$C$12</f>
        <v>6</v>
      </c>
      <c r="H74" s="8" t="n">
        <f aca="false">ROUNDDOWN(ROUNDDOWN(Parametry!$C$9*Parametry!$C$10^(F74-1),0)*(1+Parametry!$C$72*MAX(0,Parametry!$C$73-2)),0)</f>
        <v>66</v>
      </c>
      <c r="I74" s="8" t="n">
        <f aca="false">ROUNDUP((Parametry!$C$23*MAX(1,D74))*1,0)</f>
        <v>1000</v>
      </c>
      <c r="J74" s="8" t="n">
        <f aca="false">ROUNDUP((Parametry!$C$23*MAX(1,D74))*1,0)</f>
        <v>1000</v>
      </c>
      <c r="K74" s="8" t="n">
        <f aca="false">ROUNDUP((Parametry!$C$23*MAX(1,D74))*1,0)</f>
        <v>1000</v>
      </c>
      <c r="L74" s="8" t="n">
        <f aca="false">ROUNDUP((Parametry!$C$23*MAX(1,D74))*1,0)</f>
        <v>1000</v>
      </c>
      <c r="M74" s="8" t="n">
        <f aca="false">ROUNDUP((Parametry!$C$23*MAX(1,D74))*1,0)</f>
        <v>1000</v>
      </c>
      <c r="N74" s="8" t="n">
        <f aca="false">ROUNDUP((Parametry!$C$23*MAX(1,D74))*1,0)</f>
        <v>1000</v>
      </c>
      <c r="O74" s="8" t="n">
        <f aca="false">ROUNDUP(J74/H74,0)</f>
        <v>16</v>
      </c>
      <c r="P74" s="8" t="n">
        <f aca="false">ROUNDUP(K74/H74,0)</f>
        <v>16</v>
      </c>
      <c r="Q74" s="8" t="n">
        <f aca="false">ROUNDUP(L74/H74,0)</f>
        <v>16</v>
      </c>
      <c r="R74" s="8" t="n">
        <f aca="false">ROUNDUP(M74/H74,0)</f>
        <v>16</v>
      </c>
      <c r="S74" s="8" t="n">
        <f aca="false">ROUNDUP(N74/H74,0)</f>
        <v>16</v>
      </c>
      <c r="T74" s="8" t="n">
        <f aca="false">SUM(O74:S74)</f>
        <v>80</v>
      </c>
      <c r="U74" s="8" t="n">
        <f aca="false">ROUNDUP(T74/G74,0)</f>
        <v>14</v>
      </c>
      <c r="V74" s="8" t="n">
        <f aca="false">U74*Parametry!$C$11/(1+Parametry!$C$71*Parametry!$C$73)</f>
        <v>70</v>
      </c>
      <c r="W74" s="8" t="n">
        <f aca="false">5</f>
        <v>5</v>
      </c>
      <c r="X74" s="8" t="n">
        <f aca="false">V74*(W74-1)</f>
        <v>280</v>
      </c>
      <c r="Y74" s="8" t="n">
        <f aca="false">V74*W74</f>
        <v>350</v>
      </c>
      <c r="Z74" s="8" t="n">
        <f aca="false">SUM(J74:N74)</f>
        <v>5000</v>
      </c>
      <c r="AA74" s="8" t="s">
        <v>1751</v>
      </c>
    </row>
    <row r="75" customFormat="false" ht="69.75" hidden="false" customHeight="true" outlineLevel="0" collapsed="false">
      <c r="A75" s="7" t="s">
        <v>543</v>
      </c>
      <c r="B75" s="7" t="s">
        <v>1753</v>
      </c>
      <c r="C75" s="7" t="s">
        <v>1752</v>
      </c>
      <c r="D75" s="7" t="n">
        <v>2</v>
      </c>
      <c r="E75" s="7" t="n">
        <f aca="false">D75+1</f>
        <v>3</v>
      </c>
      <c r="F75" s="7" t="n">
        <v>2</v>
      </c>
      <c r="G75" s="51" t="n">
        <f aca="false">Parametry!$C$12</f>
        <v>6</v>
      </c>
      <c r="H75" s="7" t="n">
        <f aca="false">ROUNDDOWN(ROUNDDOWN(Parametry!$C$9*Parametry!$C$10^(F75-1),0)*(1+Parametry!$C$72*MAX(0,Parametry!$C$73-2)),0)</f>
        <v>66</v>
      </c>
      <c r="I75" s="7" t="n">
        <f aca="false">ROUNDUP((Parametry!$C$23*MAX(1,D75))*Parametry!$C$15,0)</f>
        <v>1100</v>
      </c>
      <c r="J75" s="7" t="n">
        <f aca="false">ROUNDUP((Parametry!$C$23*MAX(1,D75))*Parametry!$C$15,0)</f>
        <v>1100</v>
      </c>
      <c r="K75" s="7" t="n">
        <f aca="false">ROUNDUP((Parametry!$C$23*MAX(1,D75))*Parametry!$C$15,0)</f>
        <v>1100</v>
      </c>
      <c r="L75" s="7" t="n">
        <f aca="false">ROUNDUP((Parametry!$C$23*MAX(1,D75))*Parametry!$C$15,0)</f>
        <v>1100</v>
      </c>
      <c r="M75" s="7" t="n">
        <f aca="false">ROUNDUP((Parametry!$C$23*MAX(1,D75))*Parametry!$C$15,0)</f>
        <v>1100</v>
      </c>
      <c r="N75" s="7" t="n">
        <f aca="false">ROUNDUP((Parametry!$C$23*MAX(1,D75))*Parametry!$C$15,0)</f>
        <v>1100</v>
      </c>
      <c r="O75" s="7" t="n">
        <f aca="false">ROUNDUP(J75/H75,0)</f>
        <v>17</v>
      </c>
      <c r="P75" s="7" t="n">
        <f aca="false">ROUNDUP(K75/H75,0)</f>
        <v>17</v>
      </c>
      <c r="Q75" s="7" t="n">
        <f aca="false">ROUNDUP(L75/H75,0)</f>
        <v>17</v>
      </c>
      <c r="R75" s="7" t="n">
        <f aca="false">ROUNDUP(M75/H75,0)</f>
        <v>17</v>
      </c>
      <c r="S75" s="7" t="n">
        <f aca="false">ROUNDUP(N75/H75,0)</f>
        <v>17</v>
      </c>
      <c r="T75" s="7" t="n">
        <f aca="false">SUM(O75:S75)</f>
        <v>85</v>
      </c>
      <c r="U75" s="7" t="n">
        <f aca="false">ROUNDUP(T75/G75,0)</f>
        <v>15</v>
      </c>
      <c r="V75" s="7" t="n">
        <f aca="false">U75*Parametry!$C$11/(1+Parametry!$C$71*Parametry!$C$73)</f>
        <v>75</v>
      </c>
      <c r="W75" s="7" t="n">
        <f aca="false">5</f>
        <v>5</v>
      </c>
      <c r="X75" s="7" t="n">
        <f aca="false">V75*(W75-1)</f>
        <v>300</v>
      </c>
      <c r="Y75" s="7" t="n">
        <f aca="false">V75*W75</f>
        <v>375</v>
      </c>
      <c r="Z75" s="7" t="n">
        <f aca="false">SUM(J75:N75)</f>
        <v>5500</v>
      </c>
      <c r="AA75" s="7" t="s">
        <v>1751</v>
      </c>
    </row>
    <row r="76" customFormat="false" ht="69.75" hidden="false" customHeight="true" outlineLevel="0" collapsed="false">
      <c r="A76" s="8" t="s">
        <v>543</v>
      </c>
      <c r="B76" s="8" t="s">
        <v>1754</v>
      </c>
      <c r="C76" s="8" t="s">
        <v>1750</v>
      </c>
      <c r="D76" s="8" t="n">
        <v>3</v>
      </c>
      <c r="E76" s="8" t="n">
        <f aca="false">D76+1</f>
        <v>4</v>
      </c>
      <c r="F76" s="8" t="n">
        <v>3</v>
      </c>
      <c r="G76" s="50" t="n">
        <f aca="false">Parametry!$C$12</f>
        <v>6</v>
      </c>
      <c r="H76" s="8" t="n">
        <f aca="false">ROUNDDOWN(ROUNDDOWN(Parametry!$C$9*Parametry!$C$10^(F76-1),0)*(1+Parametry!$C$72*MAX(0,Parametry!$C$73-2)),0)</f>
        <v>72</v>
      </c>
      <c r="I76" s="8" t="n">
        <f aca="false">ROUNDUP((Parametry!$C$23*MAX(1,D76))*1,0)</f>
        <v>1500</v>
      </c>
      <c r="J76" s="8" t="n">
        <f aca="false">ROUNDUP((Parametry!$C$23*MAX(1,D76))*1,0)</f>
        <v>1500</v>
      </c>
      <c r="K76" s="8" t="n">
        <f aca="false">ROUNDUP((Parametry!$C$23*MAX(1,D76))*1,0)</f>
        <v>1500</v>
      </c>
      <c r="L76" s="8" t="n">
        <f aca="false">ROUNDUP((Parametry!$C$23*MAX(1,D76))*1,0)</f>
        <v>1500</v>
      </c>
      <c r="M76" s="8" t="n">
        <f aca="false">ROUNDUP((Parametry!$C$23*MAX(1,D76))*1,0)</f>
        <v>1500</v>
      </c>
      <c r="N76" s="8" t="n">
        <f aca="false">ROUNDUP((Parametry!$C$23*MAX(1,D76))*1,0)</f>
        <v>1500</v>
      </c>
      <c r="O76" s="8" t="n">
        <f aca="false">ROUNDUP(J76/H76,0)</f>
        <v>21</v>
      </c>
      <c r="P76" s="8" t="n">
        <f aca="false">ROUNDUP(K76/H76,0)</f>
        <v>21</v>
      </c>
      <c r="Q76" s="8" t="n">
        <f aca="false">ROUNDUP(L76/H76,0)</f>
        <v>21</v>
      </c>
      <c r="R76" s="8" t="n">
        <f aca="false">ROUNDUP(M76/H76,0)</f>
        <v>21</v>
      </c>
      <c r="S76" s="8" t="n">
        <f aca="false">ROUNDUP(N76/H76,0)</f>
        <v>21</v>
      </c>
      <c r="T76" s="8" t="n">
        <f aca="false">SUM(O76:S76)</f>
        <v>105</v>
      </c>
      <c r="U76" s="8" t="n">
        <f aca="false">ROUNDUP(T76/G76,0)</f>
        <v>18</v>
      </c>
      <c r="V76" s="8" t="n">
        <f aca="false">U76*Parametry!$C$11/(1+Parametry!$C$71*Parametry!$C$73)</f>
        <v>90</v>
      </c>
      <c r="W76" s="8" t="n">
        <f aca="false">5</f>
        <v>5</v>
      </c>
      <c r="X76" s="8" t="n">
        <f aca="false">V76*(W76-1)</f>
        <v>360</v>
      </c>
      <c r="Y76" s="8" t="n">
        <f aca="false">V76*W76</f>
        <v>450</v>
      </c>
      <c r="Z76" s="8" t="n">
        <f aca="false">SUM(J76:N76)</f>
        <v>7500</v>
      </c>
      <c r="AA76" s="8" t="s">
        <v>1751</v>
      </c>
    </row>
    <row r="77" customFormat="false" ht="69.75" hidden="false" customHeight="true" outlineLevel="0" collapsed="false">
      <c r="A77" s="7" t="s">
        <v>543</v>
      </c>
      <c r="B77" s="7" t="s">
        <v>1754</v>
      </c>
      <c r="C77" s="7" t="s">
        <v>1752</v>
      </c>
      <c r="D77" s="7" t="n">
        <v>3</v>
      </c>
      <c r="E77" s="7" t="n">
        <f aca="false">D77+1</f>
        <v>4</v>
      </c>
      <c r="F77" s="7" t="n">
        <v>3</v>
      </c>
      <c r="G77" s="51" t="n">
        <f aca="false">Parametry!$C$12</f>
        <v>6</v>
      </c>
      <c r="H77" s="7" t="n">
        <f aca="false">ROUNDDOWN(ROUNDDOWN(Parametry!$C$9*Parametry!$C$10^(F77-1),0)*(1+Parametry!$C$72*MAX(0,Parametry!$C$73-2)),0)</f>
        <v>72</v>
      </c>
      <c r="I77" s="7" t="n">
        <f aca="false">ROUNDUP((Parametry!$C$23*MAX(1,D77))*Parametry!$C$15,0)</f>
        <v>1650</v>
      </c>
      <c r="J77" s="7" t="n">
        <f aca="false">ROUNDUP((Parametry!$C$23*MAX(1,D77))*Parametry!$C$15,0)</f>
        <v>1650</v>
      </c>
      <c r="K77" s="7" t="n">
        <f aca="false">ROUNDUP((Parametry!$C$23*MAX(1,D77))*Parametry!$C$15,0)</f>
        <v>1650</v>
      </c>
      <c r="L77" s="7" t="n">
        <f aca="false">ROUNDUP((Parametry!$C$23*MAX(1,D77))*Parametry!$C$15,0)</f>
        <v>1650</v>
      </c>
      <c r="M77" s="7" t="n">
        <f aca="false">ROUNDUP((Parametry!$C$23*MAX(1,D77))*Parametry!$C$15,0)</f>
        <v>1650</v>
      </c>
      <c r="N77" s="7" t="n">
        <f aca="false">ROUNDUP((Parametry!$C$23*MAX(1,D77))*Parametry!$C$15,0)</f>
        <v>1650</v>
      </c>
      <c r="O77" s="7" t="n">
        <f aca="false">ROUNDUP(J77/H77,0)</f>
        <v>23</v>
      </c>
      <c r="P77" s="7" t="n">
        <f aca="false">ROUNDUP(K77/H77,0)</f>
        <v>23</v>
      </c>
      <c r="Q77" s="7" t="n">
        <f aca="false">ROUNDUP(L77/H77,0)</f>
        <v>23</v>
      </c>
      <c r="R77" s="7" t="n">
        <f aca="false">ROUNDUP(M77/H77,0)</f>
        <v>23</v>
      </c>
      <c r="S77" s="7" t="n">
        <f aca="false">ROUNDUP(N77/H77,0)</f>
        <v>23</v>
      </c>
      <c r="T77" s="7" t="n">
        <f aca="false">SUM(O77:S77)</f>
        <v>115</v>
      </c>
      <c r="U77" s="7" t="n">
        <f aca="false">ROUNDUP(T77/G77,0)</f>
        <v>20</v>
      </c>
      <c r="V77" s="7" t="n">
        <f aca="false">U77*Parametry!$C$11/(1+Parametry!$C$71*Parametry!$C$73)</f>
        <v>100</v>
      </c>
      <c r="W77" s="7" t="n">
        <f aca="false">5</f>
        <v>5</v>
      </c>
      <c r="X77" s="7" t="n">
        <f aca="false">V77*(W77-1)</f>
        <v>400</v>
      </c>
      <c r="Y77" s="7" t="n">
        <f aca="false">V77*W77</f>
        <v>500</v>
      </c>
      <c r="Z77" s="7" t="n">
        <f aca="false">SUM(J77:N77)</f>
        <v>8250</v>
      </c>
      <c r="AA77" s="7" t="s">
        <v>1751</v>
      </c>
    </row>
    <row r="78" customFormat="false" ht="69.75" hidden="false" customHeight="true" outlineLevel="0" collapsed="false">
      <c r="A78" s="8" t="s">
        <v>543</v>
      </c>
      <c r="B78" s="8" t="s">
        <v>1755</v>
      </c>
      <c r="C78" s="8" t="s">
        <v>1750</v>
      </c>
      <c r="D78" s="8" t="n">
        <v>0</v>
      </c>
      <c r="E78" s="8" t="n">
        <f aca="false">D78+1</f>
        <v>1</v>
      </c>
      <c r="F78" s="8" t="n">
        <v>1</v>
      </c>
      <c r="G78" s="50" t="n">
        <f aca="false">Parametry!$C$12</f>
        <v>6</v>
      </c>
      <c r="H78" s="8" t="n">
        <f aca="false">ROUNDDOWN(ROUNDDOWN(Parametry!$C$9*Parametry!$C$10^(F78-1),0)*(1+Parametry!$C$72*MAX(0,Parametry!$C$73-2)),0)</f>
        <v>60</v>
      </c>
      <c r="I78" s="8" t="n">
        <f aca="false">ROUNDUP((Parametry!$C$23*MAX(1,D78))*1,0)</f>
        <v>500</v>
      </c>
      <c r="J78" s="8" t="n">
        <f aca="false">ROUNDUP((Parametry!$C$23*MAX(1,D78))*1,0)</f>
        <v>500</v>
      </c>
      <c r="K78" s="8" t="n">
        <f aca="false">ROUNDUP((Parametry!$C$23*MAX(1,D78))*1,0)</f>
        <v>500</v>
      </c>
      <c r="L78" s="8" t="n">
        <f aca="false">ROUNDUP((Parametry!$C$23*MAX(1,D78))*1,0)</f>
        <v>500</v>
      </c>
      <c r="M78" s="8" t="n">
        <f aca="false">ROUNDUP((Parametry!$C$23*MAX(1,D78))*1,0)</f>
        <v>500</v>
      </c>
      <c r="N78" s="8" t="n">
        <f aca="false">ROUNDUP((Parametry!$C$23*MAX(1,D78))*1,0)</f>
        <v>500</v>
      </c>
      <c r="O78" s="8" t="n">
        <f aca="false">ROUNDUP(J78/H78,0)</f>
        <v>9</v>
      </c>
      <c r="P78" s="8" t="n">
        <f aca="false">ROUNDUP(K78/H78,0)</f>
        <v>9</v>
      </c>
      <c r="Q78" s="8" t="n">
        <f aca="false">ROUNDUP(L78/H78,0)</f>
        <v>9</v>
      </c>
      <c r="R78" s="8" t="n">
        <f aca="false">ROUNDUP(M78/H78,0)</f>
        <v>9</v>
      </c>
      <c r="S78" s="8" t="n">
        <f aca="false">ROUNDUP(N78/H78,0)</f>
        <v>9</v>
      </c>
      <c r="T78" s="8" t="n">
        <f aca="false">SUM(O78:S78)</f>
        <v>45</v>
      </c>
      <c r="U78" s="8" t="n">
        <f aca="false">ROUNDUP(T78/G78,0)</f>
        <v>8</v>
      </c>
      <c r="V78" s="8" t="n">
        <f aca="false">U78*Parametry!$C$11/(1+Parametry!$C$71*Parametry!$C$73)</f>
        <v>40</v>
      </c>
      <c r="W78" s="8" t="n">
        <f aca="false">5</f>
        <v>5</v>
      </c>
      <c r="X78" s="8" t="n">
        <f aca="false">V78*(W78-1)</f>
        <v>160</v>
      </c>
      <c r="Y78" s="8" t="n">
        <f aca="false">V78*W78</f>
        <v>200</v>
      </c>
      <c r="Z78" s="8" t="n">
        <f aca="false">SUM(J78:N78)</f>
        <v>2500</v>
      </c>
      <c r="AA78" s="8" t="s">
        <v>1751</v>
      </c>
    </row>
    <row r="79" customFormat="false" ht="69.75" hidden="false" customHeight="true" outlineLevel="0" collapsed="false">
      <c r="A79" s="7" t="s">
        <v>543</v>
      </c>
      <c r="B79" s="7" t="s">
        <v>1755</v>
      </c>
      <c r="C79" s="7" t="s">
        <v>1752</v>
      </c>
      <c r="D79" s="7" t="n">
        <v>0</v>
      </c>
      <c r="E79" s="7" t="n">
        <f aca="false">D79+1</f>
        <v>1</v>
      </c>
      <c r="F79" s="7" t="n">
        <v>1</v>
      </c>
      <c r="G79" s="51" t="n">
        <f aca="false">Parametry!$C$12</f>
        <v>6</v>
      </c>
      <c r="H79" s="7" t="n">
        <f aca="false">ROUNDDOWN(ROUNDDOWN(Parametry!$C$9*Parametry!$C$10^(F79-1),0)*(1+Parametry!$C$72*MAX(0,Parametry!$C$73-2)),0)</f>
        <v>60</v>
      </c>
      <c r="I79" s="7" t="n">
        <f aca="false">ROUNDUP((Parametry!$C$23*MAX(1,D79))*Parametry!$C$15,0)</f>
        <v>550</v>
      </c>
      <c r="J79" s="7" t="n">
        <f aca="false">ROUNDUP((Parametry!$C$23*MAX(1,D79))*Parametry!$C$15,0)</f>
        <v>550</v>
      </c>
      <c r="K79" s="7" t="n">
        <f aca="false">ROUNDUP((Parametry!$C$23*MAX(1,D79))*Parametry!$C$15,0)</f>
        <v>550</v>
      </c>
      <c r="L79" s="7" t="n">
        <f aca="false">ROUNDUP((Parametry!$C$23*MAX(1,D79))*Parametry!$C$15,0)</f>
        <v>550</v>
      </c>
      <c r="M79" s="7" t="n">
        <f aca="false">ROUNDUP((Parametry!$C$23*MAX(1,D79))*Parametry!$C$15,0)</f>
        <v>550</v>
      </c>
      <c r="N79" s="7" t="n">
        <f aca="false">ROUNDUP((Parametry!$C$23*MAX(1,D79))*Parametry!$C$15,0)</f>
        <v>550</v>
      </c>
      <c r="O79" s="7" t="n">
        <f aca="false">ROUNDUP(J79/H79,0)</f>
        <v>10</v>
      </c>
      <c r="P79" s="7" t="n">
        <f aca="false">ROUNDUP(K79/H79,0)</f>
        <v>10</v>
      </c>
      <c r="Q79" s="7" t="n">
        <f aca="false">ROUNDUP(L79/H79,0)</f>
        <v>10</v>
      </c>
      <c r="R79" s="7" t="n">
        <f aca="false">ROUNDUP(M79/H79,0)</f>
        <v>10</v>
      </c>
      <c r="S79" s="7" t="n">
        <f aca="false">ROUNDUP(N79/H79,0)</f>
        <v>10</v>
      </c>
      <c r="T79" s="7" t="n">
        <f aca="false">SUM(O79:S79)</f>
        <v>50</v>
      </c>
      <c r="U79" s="7" t="n">
        <f aca="false">ROUNDUP(T79/G79,0)</f>
        <v>9</v>
      </c>
      <c r="V79" s="7" t="n">
        <f aca="false">U79*Parametry!$C$11/(1+Parametry!$C$71*Parametry!$C$73)</f>
        <v>45</v>
      </c>
      <c r="W79" s="7" t="n">
        <f aca="false">5</f>
        <v>5</v>
      </c>
      <c r="X79" s="7" t="n">
        <f aca="false">V79*(W79-1)</f>
        <v>180</v>
      </c>
      <c r="Y79" s="7" t="n">
        <f aca="false">V79*W79</f>
        <v>225</v>
      </c>
      <c r="Z79" s="7" t="n">
        <f aca="false">SUM(J79:N79)</f>
        <v>2750</v>
      </c>
      <c r="AA79" s="7" t="s">
        <v>1751</v>
      </c>
    </row>
  </sheetData>
  <autoFilter ref="A5:AA79"/>
  <mergeCells count="2">
    <mergeCell ref="A1:AA1"/>
    <mergeCell ref="A2:AA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4"/>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15" customHeight="false" zeroHeight="false" outlineLevelRow="0" outlineLevelCol="0"/>
  <cols>
    <col collapsed="false" customWidth="true" hidden="false" outlineLevel="0" max="1" min="1" style="14" width="35"/>
    <col collapsed="false" customWidth="true" hidden="false" outlineLevel="0" max="3" min="2" style="14" width="120"/>
    <col collapsed="false" customWidth="true" hidden="false" outlineLevel="0" max="4" min="4" style="14" width="55"/>
  </cols>
  <sheetData>
    <row r="1" customFormat="false" ht="33.75" hidden="false" customHeight="true" outlineLevel="0" collapsed="false">
      <c r="A1" s="44" t="s">
        <v>1756</v>
      </c>
      <c r="B1" s="44"/>
      <c r="C1" s="44"/>
      <c r="D1" s="44"/>
    </row>
    <row r="2" customFormat="false" ht="24.75" hidden="false" customHeight="true" outlineLevel="0" collapsed="false">
      <c r="A2" s="45" t="s">
        <v>1757</v>
      </c>
      <c r="B2" s="45"/>
      <c r="C2" s="45"/>
      <c r="D2" s="45"/>
    </row>
    <row r="3" customFormat="false" ht="24.75" hidden="false" customHeight="true" outlineLevel="0" collapsed="false">
      <c r="A3" s="45"/>
      <c r="B3" s="45"/>
      <c r="C3" s="45"/>
      <c r="D3" s="45"/>
    </row>
    <row r="5" customFormat="false" ht="48" hidden="false" customHeight="true" outlineLevel="0" collapsed="false">
      <c r="A5" s="11" t="s">
        <v>2</v>
      </c>
      <c r="B5" s="11" t="s">
        <v>567</v>
      </c>
      <c r="C5" s="11" t="s">
        <v>1758</v>
      </c>
      <c r="D5" s="11" t="s">
        <v>322</v>
      </c>
    </row>
    <row r="6" customFormat="false" ht="105" hidden="false" customHeight="true" outlineLevel="0" collapsed="false">
      <c r="A6" s="8" t="s">
        <v>1759</v>
      </c>
      <c r="B6" s="8" t="s">
        <v>1760</v>
      </c>
      <c r="C6" s="8" t="s">
        <v>1761</v>
      </c>
      <c r="D6" s="8" t="s">
        <v>1187</v>
      </c>
    </row>
    <row r="7" customFormat="false" ht="105" hidden="false" customHeight="true" outlineLevel="0" collapsed="false">
      <c r="A7" s="7" t="s">
        <v>1762</v>
      </c>
      <c r="B7" s="7" t="s">
        <v>1763</v>
      </c>
      <c r="C7" s="7" t="s">
        <v>1764</v>
      </c>
      <c r="D7" s="7" t="s">
        <v>1187</v>
      </c>
    </row>
    <row r="8" customFormat="false" ht="105" hidden="false" customHeight="true" outlineLevel="0" collapsed="false">
      <c r="A8" s="8" t="s">
        <v>1765</v>
      </c>
      <c r="B8" s="8" t="s">
        <v>1766</v>
      </c>
      <c r="C8" s="8" t="s">
        <v>1767</v>
      </c>
      <c r="D8" s="8" t="s">
        <v>1187</v>
      </c>
    </row>
    <row r="9" customFormat="false" ht="105" hidden="false" customHeight="true" outlineLevel="0" collapsed="false">
      <c r="A9" s="7" t="s">
        <v>1768</v>
      </c>
      <c r="B9" s="7" t="s">
        <v>1769</v>
      </c>
      <c r="C9" s="7" t="s">
        <v>1770</v>
      </c>
      <c r="D9" s="7" t="s">
        <v>1771</v>
      </c>
    </row>
    <row r="10" customFormat="false" ht="105" hidden="false" customHeight="true" outlineLevel="0" collapsed="false">
      <c r="A10" s="8" t="s">
        <v>1772</v>
      </c>
      <c r="B10" s="8" t="s">
        <v>1773</v>
      </c>
      <c r="C10" s="8" t="s">
        <v>1774</v>
      </c>
      <c r="D10" s="8" t="s">
        <v>618</v>
      </c>
    </row>
    <row r="11" customFormat="false" ht="105" hidden="false" customHeight="true" outlineLevel="0" collapsed="false">
      <c r="A11" s="7" t="s">
        <v>1775</v>
      </c>
      <c r="B11" s="7" t="s">
        <v>1776</v>
      </c>
      <c r="C11" s="7" t="s">
        <v>1777</v>
      </c>
      <c r="D11" s="7" t="s">
        <v>1187</v>
      </c>
    </row>
    <row r="12" customFormat="false" ht="105" hidden="false" customHeight="true" outlineLevel="0" collapsed="false">
      <c r="A12" s="8" t="s">
        <v>1778</v>
      </c>
      <c r="B12" s="8" t="s">
        <v>1779</v>
      </c>
      <c r="C12" s="8" t="s">
        <v>1780</v>
      </c>
      <c r="D12" s="8" t="s">
        <v>618</v>
      </c>
    </row>
    <row r="13" customFormat="false" ht="105" hidden="false" customHeight="true" outlineLevel="0" collapsed="false">
      <c r="A13" s="7" t="s">
        <v>525</v>
      </c>
      <c r="B13" s="7" t="s">
        <v>1781</v>
      </c>
      <c r="C13" s="7" t="s">
        <v>1782</v>
      </c>
      <c r="D13" s="7" t="s">
        <v>1783</v>
      </c>
    </row>
    <row r="14" customFormat="false" ht="105" hidden="false" customHeight="true" outlineLevel="0" collapsed="false">
      <c r="A14" s="8" t="s">
        <v>1784</v>
      </c>
      <c r="B14" s="8" t="s">
        <v>1785</v>
      </c>
      <c r="C14" s="8" t="s">
        <v>1786</v>
      </c>
      <c r="D14" s="8" t="s">
        <v>1187</v>
      </c>
    </row>
    <row r="15" customFormat="false" ht="105" hidden="false" customHeight="true" outlineLevel="0" collapsed="false">
      <c r="A15" s="7" t="s">
        <v>1787</v>
      </c>
      <c r="B15" s="7" t="s">
        <v>1788</v>
      </c>
      <c r="C15" s="7" t="s">
        <v>1789</v>
      </c>
      <c r="D15" s="7" t="s">
        <v>706</v>
      </c>
    </row>
    <row r="16" customFormat="false" ht="105" hidden="false" customHeight="true" outlineLevel="0" collapsed="false">
      <c r="A16" s="8" t="s">
        <v>1790</v>
      </c>
      <c r="B16" s="8" t="s">
        <v>1791</v>
      </c>
      <c r="C16" s="8" t="s">
        <v>1792</v>
      </c>
      <c r="D16" s="8" t="s">
        <v>1187</v>
      </c>
    </row>
    <row r="17" customFormat="false" ht="105" hidden="false" customHeight="true" outlineLevel="0" collapsed="false">
      <c r="A17" s="7" t="s">
        <v>1793</v>
      </c>
      <c r="B17" s="7" t="s">
        <v>1794</v>
      </c>
      <c r="C17" s="7" t="s">
        <v>447</v>
      </c>
      <c r="D17" s="7" t="s">
        <v>665</v>
      </c>
    </row>
    <row r="18" customFormat="false" ht="105" hidden="false" customHeight="true" outlineLevel="0" collapsed="false">
      <c r="A18" s="8" t="s">
        <v>1795</v>
      </c>
      <c r="B18" s="8" t="s">
        <v>1796</v>
      </c>
      <c r="C18" s="8" t="s">
        <v>1797</v>
      </c>
      <c r="D18" s="8" t="s">
        <v>665</v>
      </c>
    </row>
    <row r="19" customFormat="false" ht="105" hidden="false" customHeight="true" outlineLevel="0" collapsed="false">
      <c r="A19" s="7" t="s">
        <v>17</v>
      </c>
      <c r="B19" s="7" t="s">
        <v>1798</v>
      </c>
      <c r="C19" s="7" t="s">
        <v>1799</v>
      </c>
      <c r="D19" s="7" t="s">
        <v>1800</v>
      </c>
    </row>
    <row r="20" customFormat="false" ht="63.75" hidden="false" customHeight="true" outlineLevel="0" collapsed="false">
      <c r="A20" s="7" t="s">
        <v>1801</v>
      </c>
      <c r="B20" s="7" t="s">
        <v>1802</v>
      </c>
      <c r="C20" s="7" t="s">
        <v>1803</v>
      </c>
      <c r="D20" s="7" t="s">
        <v>719</v>
      </c>
    </row>
    <row r="21" customFormat="false" ht="63.75" hidden="false" customHeight="true" outlineLevel="0" collapsed="false">
      <c r="A21" s="7" t="s">
        <v>179</v>
      </c>
      <c r="B21" s="7" t="s">
        <v>1804</v>
      </c>
      <c r="C21" s="7" t="s">
        <v>1805</v>
      </c>
      <c r="D21" s="7" t="s">
        <v>719</v>
      </c>
    </row>
    <row r="22" customFormat="false" ht="63.75" hidden="false" customHeight="true" outlineLevel="0" collapsed="false">
      <c r="A22" s="7" t="s">
        <v>1806</v>
      </c>
      <c r="B22" s="7" t="s">
        <v>1807</v>
      </c>
      <c r="C22" s="7" t="s">
        <v>1808</v>
      </c>
      <c r="D22" s="7" t="s">
        <v>719</v>
      </c>
    </row>
    <row r="23" customFormat="false" ht="63.75" hidden="false" customHeight="true" outlineLevel="0" collapsed="false">
      <c r="A23" s="7" t="s">
        <v>1809</v>
      </c>
      <c r="B23" s="7" t="s">
        <v>1810</v>
      </c>
      <c r="C23" s="7" t="s">
        <v>1811</v>
      </c>
      <c r="D23" s="7" t="s">
        <v>719</v>
      </c>
    </row>
    <row r="24" customFormat="false" ht="63.75" hidden="false" customHeight="true" outlineLevel="0" collapsed="false">
      <c r="A24" s="7" t="s">
        <v>83</v>
      </c>
      <c r="B24" s="7" t="s">
        <v>1812</v>
      </c>
      <c r="C24" s="7" t="s">
        <v>1813</v>
      </c>
      <c r="D24" s="7" t="s">
        <v>719</v>
      </c>
    </row>
  </sheetData>
  <autoFilter ref="A5:D24"/>
  <mergeCells count="2">
    <mergeCell ref="A1:D1"/>
    <mergeCell ref="A2:D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83"/>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15" customHeight="false" zeroHeight="false" outlineLevelRow="0" outlineLevelCol="0"/>
  <cols>
    <col collapsed="false" customWidth="true" hidden="false" outlineLevel="0" max="1" min="1" style="14" width="23"/>
    <col collapsed="false" customWidth="true" hidden="false" outlineLevel="0" max="2" min="2" style="14" width="65"/>
    <col collapsed="false" customWidth="true" hidden="false" outlineLevel="0" max="3" min="3" style="14" width="19"/>
    <col collapsed="false" customWidth="true" hidden="false" outlineLevel="0" max="4" min="4" style="14" width="29"/>
    <col collapsed="false" customWidth="true" hidden="false" outlineLevel="0" max="5" min="5" style="14" width="40"/>
    <col collapsed="false" customWidth="true" hidden="false" outlineLevel="0" max="6" min="6" style="14" width="100"/>
  </cols>
  <sheetData>
    <row r="1" customFormat="false" ht="33.75" hidden="false" customHeight="true" outlineLevel="0" collapsed="false">
      <c r="A1" s="44" t="s">
        <v>1814</v>
      </c>
      <c r="B1" s="44"/>
      <c r="C1" s="44"/>
      <c r="D1" s="44"/>
      <c r="E1" s="44"/>
      <c r="F1" s="44"/>
    </row>
    <row r="2" customFormat="false" ht="24.75" hidden="false" customHeight="true" outlineLevel="0" collapsed="false">
      <c r="A2" s="45" t="s">
        <v>1815</v>
      </c>
      <c r="B2" s="45"/>
      <c r="C2" s="45"/>
      <c r="D2" s="45"/>
      <c r="E2" s="45"/>
      <c r="F2" s="45"/>
    </row>
    <row r="3" customFormat="false" ht="24.75" hidden="false" customHeight="true" outlineLevel="0" collapsed="false">
      <c r="A3" s="45"/>
      <c r="B3" s="45"/>
      <c r="C3" s="45"/>
      <c r="D3" s="45"/>
      <c r="E3" s="45"/>
      <c r="F3" s="45"/>
    </row>
    <row r="5" customFormat="false" ht="48" hidden="false" customHeight="true" outlineLevel="0" collapsed="false">
      <c r="A5" s="11" t="s">
        <v>97</v>
      </c>
      <c r="B5" s="11" t="s">
        <v>1816</v>
      </c>
      <c r="C5" s="11" t="s">
        <v>1817</v>
      </c>
      <c r="D5" s="11" t="s">
        <v>1818</v>
      </c>
      <c r="E5" s="11" t="s">
        <v>322</v>
      </c>
      <c r="F5" s="11" t="s">
        <v>809</v>
      </c>
    </row>
    <row r="6" customFormat="false" ht="54.75" hidden="false" customHeight="true" outlineLevel="0" collapsed="false">
      <c r="A6" s="8" t="s">
        <v>1819</v>
      </c>
      <c r="B6" s="8" t="s">
        <v>1820</v>
      </c>
      <c r="C6" s="52" t="n">
        <v>12</v>
      </c>
      <c r="D6" s="8" t="s">
        <v>1821</v>
      </c>
      <c r="E6" s="8" t="s">
        <v>1822</v>
      </c>
      <c r="F6" s="8" t="s">
        <v>1823</v>
      </c>
    </row>
    <row r="7" customFormat="false" ht="54.75" hidden="false" customHeight="true" outlineLevel="0" collapsed="false">
      <c r="A7" s="7" t="s">
        <v>1824</v>
      </c>
      <c r="B7" s="7" t="s">
        <v>1825</v>
      </c>
      <c r="C7" s="52" t="n">
        <v>24</v>
      </c>
      <c r="D7" s="7" t="s">
        <v>1821</v>
      </c>
      <c r="E7" s="7" t="s">
        <v>1822</v>
      </c>
      <c r="F7" s="7" t="s">
        <v>1826</v>
      </c>
    </row>
    <row r="8" customFormat="false" ht="54.75" hidden="false" customHeight="true" outlineLevel="0" collapsed="false">
      <c r="A8" s="8" t="s">
        <v>1827</v>
      </c>
      <c r="B8" s="8" t="s">
        <v>1828</v>
      </c>
      <c r="C8" s="52" t="n">
        <v>12</v>
      </c>
      <c r="D8" s="8" t="s">
        <v>1821</v>
      </c>
      <c r="E8" s="8" t="s">
        <v>1829</v>
      </c>
      <c r="F8" s="8" t="s">
        <v>1830</v>
      </c>
    </row>
    <row r="9" customFormat="false" ht="54.75" hidden="false" customHeight="true" outlineLevel="0" collapsed="false">
      <c r="A9" s="7" t="s">
        <v>1831</v>
      </c>
      <c r="B9" s="7" t="s">
        <v>1832</v>
      </c>
      <c r="C9" s="52" t="n">
        <v>60</v>
      </c>
      <c r="D9" s="7" t="s">
        <v>1833</v>
      </c>
      <c r="E9" s="7" t="s">
        <v>1187</v>
      </c>
      <c r="F9" s="7" t="s">
        <v>1834</v>
      </c>
    </row>
    <row r="10" customFormat="false" ht="54.75" hidden="false" customHeight="true" outlineLevel="0" collapsed="false">
      <c r="A10" s="8" t="s">
        <v>1835</v>
      </c>
      <c r="B10" s="8" t="s">
        <v>1836</v>
      </c>
      <c r="C10" s="53" t="n">
        <v>1.1</v>
      </c>
      <c r="D10" s="8" t="s">
        <v>1837</v>
      </c>
      <c r="E10" s="8" t="s">
        <v>1838</v>
      </c>
      <c r="F10" s="8" t="s">
        <v>1839</v>
      </c>
    </row>
    <row r="11" customFormat="false" ht="54.75" hidden="false" customHeight="true" outlineLevel="0" collapsed="false">
      <c r="A11" s="7" t="s">
        <v>1840</v>
      </c>
      <c r="B11" s="7" t="s">
        <v>1841</v>
      </c>
      <c r="C11" s="52" t="n">
        <v>5</v>
      </c>
      <c r="D11" s="7" t="s">
        <v>1842</v>
      </c>
      <c r="E11" s="7" t="s">
        <v>1800</v>
      </c>
      <c r="F11" s="7" t="s">
        <v>1843</v>
      </c>
    </row>
    <row r="12" customFormat="false" ht="54.75" hidden="false" customHeight="true" outlineLevel="0" collapsed="false">
      <c r="A12" s="8" t="s">
        <v>1844</v>
      </c>
      <c r="B12" s="8" t="s">
        <v>1845</v>
      </c>
      <c r="C12" s="52" t="n">
        <v>6</v>
      </c>
      <c r="D12" s="8" t="s">
        <v>1821</v>
      </c>
      <c r="E12" s="8" t="s">
        <v>1846</v>
      </c>
      <c r="F12" s="8" t="s">
        <v>1847</v>
      </c>
    </row>
    <row r="13" customFormat="false" ht="54.75" hidden="false" customHeight="true" outlineLevel="0" collapsed="false">
      <c r="A13" s="7" t="s">
        <v>1848</v>
      </c>
      <c r="B13" s="7" t="s">
        <v>1849</v>
      </c>
      <c r="C13" s="52" t="n">
        <v>50</v>
      </c>
      <c r="D13" s="7" t="s">
        <v>1850</v>
      </c>
      <c r="E13" s="7" t="s">
        <v>1851</v>
      </c>
      <c r="F13" s="7" t="s">
        <v>1852</v>
      </c>
    </row>
    <row r="14" customFormat="false" ht="54.75" hidden="false" customHeight="true" outlineLevel="0" collapsed="false">
      <c r="A14" s="8" t="s">
        <v>1853</v>
      </c>
      <c r="B14" s="8" t="s">
        <v>1854</v>
      </c>
      <c r="C14" s="52" t="n">
        <v>5</v>
      </c>
      <c r="D14" s="8" t="s">
        <v>1855</v>
      </c>
      <c r="E14" s="8" t="s">
        <v>1829</v>
      </c>
      <c r="F14" s="8" t="s">
        <v>1856</v>
      </c>
    </row>
    <row r="15" customFormat="false" ht="54.75" hidden="false" customHeight="true" outlineLevel="0" collapsed="false">
      <c r="A15" s="7" t="s">
        <v>1857</v>
      </c>
      <c r="B15" s="7" t="s">
        <v>1858</v>
      </c>
      <c r="C15" s="53" t="n">
        <v>1.1</v>
      </c>
      <c r="D15" s="7" t="s">
        <v>1859</v>
      </c>
      <c r="E15" s="7" t="s">
        <v>1851</v>
      </c>
      <c r="F15" s="7" t="s">
        <v>1860</v>
      </c>
    </row>
    <row r="16" customFormat="false" ht="54.75" hidden="false" customHeight="true" outlineLevel="0" collapsed="false">
      <c r="A16" s="8" t="s">
        <v>1861</v>
      </c>
      <c r="B16" s="8" t="s">
        <v>1862</v>
      </c>
      <c r="C16" s="52" t="n">
        <v>240</v>
      </c>
      <c r="D16" s="8" t="s">
        <v>1863</v>
      </c>
      <c r="E16" s="8" t="s">
        <v>1822</v>
      </c>
      <c r="F16" s="8" t="s">
        <v>1864</v>
      </c>
    </row>
    <row r="17" customFormat="false" ht="54.75" hidden="false" customHeight="true" outlineLevel="0" collapsed="false">
      <c r="A17" s="7" t="s">
        <v>1865</v>
      </c>
      <c r="B17" s="7" t="s">
        <v>1866</v>
      </c>
      <c r="C17" s="53" t="n">
        <v>0.3</v>
      </c>
      <c r="D17" s="7" t="s">
        <v>1867</v>
      </c>
      <c r="E17" s="7" t="s">
        <v>1822</v>
      </c>
      <c r="F17" s="7" t="s">
        <v>1868</v>
      </c>
    </row>
    <row r="18" customFormat="false" ht="54.75" hidden="false" customHeight="true" outlineLevel="0" collapsed="false">
      <c r="A18" s="8" t="s">
        <v>1869</v>
      </c>
      <c r="B18" s="8" t="s">
        <v>1870</v>
      </c>
      <c r="C18" s="53" t="n">
        <v>0.3</v>
      </c>
      <c r="D18" s="8" t="s">
        <v>1867</v>
      </c>
      <c r="E18" s="8" t="s">
        <v>1822</v>
      </c>
      <c r="F18" s="8" t="s">
        <v>1871</v>
      </c>
    </row>
    <row r="19" customFormat="false" ht="54.75" hidden="false" customHeight="true" outlineLevel="0" collapsed="false">
      <c r="A19" s="7" t="s">
        <v>1872</v>
      </c>
      <c r="B19" s="7" t="s">
        <v>1873</v>
      </c>
      <c r="C19" s="53" t="n">
        <v>0.5</v>
      </c>
      <c r="D19" s="7" t="s">
        <v>1867</v>
      </c>
      <c r="E19" s="7" t="s">
        <v>1822</v>
      </c>
      <c r="F19" s="7" t="s">
        <v>1874</v>
      </c>
    </row>
    <row r="20" customFormat="false" ht="54.75" hidden="false" customHeight="true" outlineLevel="0" collapsed="false">
      <c r="A20" s="8" t="s">
        <v>1875</v>
      </c>
      <c r="B20" s="8" t="s">
        <v>1876</v>
      </c>
      <c r="C20" s="52" t="n">
        <v>500</v>
      </c>
      <c r="D20" s="8" t="s">
        <v>1877</v>
      </c>
      <c r="E20" s="8" t="s">
        <v>1822</v>
      </c>
      <c r="F20" s="8" t="s">
        <v>1878</v>
      </c>
    </row>
    <row r="21" customFormat="false" ht="54.75" hidden="false" customHeight="true" outlineLevel="0" collapsed="false">
      <c r="A21" s="7" t="s">
        <v>1879</v>
      </c>
      <c r="B21" s="7" t="s">
        <v>1880</v>
      </c>
      <c r="C21" s="52" t="n">
        <v>300</v>
      </c>
      <c r="D21" s="7" t="s">
        <v>1877</v>
      </c>
      <c r="E21" s="7" t="s">
        <v>1881</v>
      </c>
      <c r="F21" s="7" t="s">
        <v>1882</v>
      </c>
    </row>
    <row r="22" customFormat="false" ht="54.75" hidden="false" customHeight="true" outlineLevel="0" collapsed="false">
      <c r="A22" s="8" t="s">
        <v>1883</v>
      </c>
      <c r="B22" s="8" t="s">
        <v>1884</v>
      </c>
      <c r="C22" s="52" t="n">
        <v>400</v>
      </c>
      <c r="D22" s="8" t="s">
        <v>1877</v>
      </c>
      <c r="E22" s="8" t="s">
        <v>1881</v>
      </c>
      <c r="F22" s="8" t="s">
        <v>1882</v>
      </c>
    </row>
    <row r="23" customFormat="false" ht="54.75" hidden="false" customHeight="true" outlineLevel="0" collapsed="false">
      <c r="A23" s="7" t="s">
        <v>1885</v>
      </c>
      <c r="B23" s="7" t="s">
        <v>1886</v>
      </c>
      <c r="C23" s="52" t="n">
        <v>500</v>
      </c>
      <c r="D23" s="7" t="s">
        <v>1887</v>
      </c>
      <c r="E23" s="7" t="s">
        <v>1822</v>
      </c>
      <c r="F23" s="7" t="s">
        <v>1888</v>
      </c>
    </row>
    <row r="24" customFormat="false" ht="54.75" hidden="false" customHeight="true" outlineLevel="0" collapsed="false">
      <c r="A24" s="8" t="s">
        <v>1889</v>
      </c>
      <c r="B24" s="8" t="s">
        <v>1890</v>
      </c>
      <c r="C24" s="52" t="n">
        <v>1000</v>
      </c>
      <c r="D24" s="8" t="s">
        <v>1891</v>
      </c>
      <c r="E24" s="8" t="s">
        <v>1822</v>
      </c>
      <c r="F24" s="8" t="s">
        <v>1892</v>
      </c>
    </row>
    <row r="25" customFormat="false" ht="54.75" hidden="false" customHeight="true" outlineLevel="0" collapsed="false">
      <c r="A25" s="7" t="s">
        <v>1893</v>
      </c>
      <c r="B25" s="7" t="s">
        <v>1894</v>
      </c>
      <c r="C25" s="52" t="n">
        <v>4000</v>
      </c>
      <c r="D25" s="7" t="s">
        <v>1891</v>
      </c>
      <c r="E25" s="7" t="s">
        <v>1822</v>
      </c>
      <c r="F25" s="7" t="s">
        <v>1895</v>
      </c>
    </row>
    <row r="26" customFormat="false" ht="54.75" hidden="false" customHeight="true" outlineLevel="0" collapsed="false">
      <c r="A26" s="8" t="s">
        <v>1896</v>
      </c>
      <c r="B26" s="8" t="s">
        <v>1897</v>
      </c>
      <c r="C26" s="53" t="n">
        <v>1.5</v>
      </c>
      <c r="D26" s="8" t="s">
        <v>1898</v>
      </c>
      <c r="E26" s="8" t="s">
        <v>1822</v>
      </c>
      <c r="F26" s="8" t="s">
        <v>1899</v>
      </c>
    </row>
    <row r="27" customFormat="false" ht="54.75" hidden="false" customHeight="true" outlineLevel="0" collapsed="false">
      <c r="A27" s="7" t="s">
        <v>1900</v>
      </c>
      <c r="B27" s="7" t="s">
        <v>1901</v>
      </c>
      <c r="C27" s="52" t="n">
        <v>1</v>
      </c>
      <c r="D27" s="7" t="s">
        <v>1902</v>
      </c>
      <c r="E27" s="7" t="s">
        <v>1822</v>
      </c>
      <c r="F27" s="7" t="s">
        <v>1903</v>
      </c>
    </row>
    <row r="28" customFormat="false" ht="54.75" hidden="false" customHeight="true" outlineLevel="0" collapsed="false">
      <c r="A28" s="8" t="s">
        <v>1904</v>
      </c>
      <c r="B28" s="8" t="s">
        <v>1905</v>
      </c>
      <c r="C28" s="52" t="n">
        <v>1</v>
      </c>
      <c r="D28" s="8" t="s">
        <v>1906</v>
      </c>
      <c r="E28" s="8" t="s">
        <v>1822</v>
      </c>
      <c r="F28" s="8" t="s">
        <v>1907</v>
      </c>
    </row>
    <row r="29" customFormat="false" ht="54.75" hidden="false" customHeight="true" outlineLevel="0" collapsed="false">
      <c r="A29" s="7" t="s">
        <v>1908</v>
      </c>
      <c r="B29" s="7" t="s">
        <v>1909</v>
      </c>
      <c r="C29" s="52" t="n">
        <v>12</v>
      </c>
      <c r="D29" s="7" t="s">
        <v>1910</v>
      </c>
      <c r="E29" s="7" t="s">
        <v>1822</v>
      </c>
      <c r="F29" s="7" t="s">
        <v>1911</v>
      </c>
    </row>
    <row r="30" customFormat="false" ht="54.75" hidden="false" customHeight="true" outlineLevel="0" collapsed="false">
      <c r="A30" s="8" t="s">
        <v>1912</v>
      </c>
      <c r="B30" s="8" t="s">
        <v>1913</v>
      </c>
      <c r="C30" s="52" t="n">
        <v>5</v>
      </c>
      <c r="D30" s="8" t="s">
        <v>1914</v>
      </c>
      <c r="E30" s="8" t="s">
        <v>1822</v>
      </c>
      <c r="F30" s="8" t="s">
        <v>1915</v>
      </c>
    </row>
    <row r="31" customFormat="false" ht="54.75" hidden="false" customHeight="true" outlineLevel="0" collapsed="false">
      <c r="A31" s="7" t="s">
        <v>1916</v>
      </c>
      <c r="B31" s="7" t="s">
        <v>1917</v>
      </c>
      <c r="C31" s="52" t="n">
        <v>40</v>
      </c>
      <c r="D31" s="7" t="s">
        <v>1918</v>
      </c>
      <c r="E31" s="7" t="s">
        <v>1187</v>
      </c>
      <c r="F31" s="7" t="s">
        <v>1919</v>
      </c>
    </row>
    <row r="32" customFormat="false" ht="54.75" hidden="false" customHeight="true" outlineLevel="0" collapsed="false">
      <c r="A32" s="8" t="s">
        <v>1920</v>
      </c>
      <c r="B32" s="8" t="s">
        <v>1921</v>
      </c>
      <c r="C32" s="52" t="n">
        <v>50</v>
      </c>
      <c r="D32" s="8" t="s">
        <v>1918</v>
      </c>
      <c r="E32" s="8" t="s">
        <v>1187</v>
      </c>
      <c r="F32" s="8" t="s">
        <v>1922</v>
      </c>
    </row>
    <row r="33" customFormat="false" ht="54.75" hidden="false" customHeight="true" outlineLevel="0" collapsed="false">
      <c r="A33" s="7" t="s">
        <v>1923</v>
      </c>
      <c r="B33" s="7" t="s">
        <v>1924</v>
      </c>
      <c r="C33" s="52" t="n">
        <v>140</v>
      </c>
      <c r="D33" s="7" t="s">
        <v>1918</v>
      </c>
      <c r="E33" s="7" t="s">
        <v>1925</v>
      </c>
      <c r="F33" s="7" t="s">
        <v>1926</v>
      </c>
    </row>
    <row r="34" customFormat="false" ht="54.75" hidden="false" customHeight="true" outlineLevel="0" collapsed="false">
      <c r="A34" s="8" t="s">
        <v>1927</v>
      </c>
      <c r="B34" s="8" t="s">
        <v>1928</v>
      </c>
      <c r="C34" s="52" t="n">
        <v>150</v>
      </c>
      <c r="D34" s="8" t="s">
        <v>1918</v>
      </c>
      <c r="E34" s="8" t="s">
        <v>1925</v>
      </c>
      <c r="F34" s="8" t="s">
        <v>1929</v>
      </c>
    </row>
    <row r="35" customFormat="false" ht="54.75" hidden="false" customHeight="true" outlineLevel="0" collapsed="false">
      <c r="A35" s="7" t="s">
        <v>1930</v>
      </c>
      <c r="B35" s="7" t="s">
        <v>1931</v>
      </c>
      <c r="C35" s="53" t="n">
        <v>0.1</v>
      </c>
      <c r="D35" s="7" t="s">
        <v>1932</v>
      </c>
      <c r="E35" s="7" t="s">
        <v>1933</v>
      </c>
      <c r="F35" s="7" t="s">
        <v>455</v>
      </c>
    </row>
    <row r="36" customFormat="false" ht="54.75" hidden="false" customHeight="true" outlineLevel="0" collapsed="false">
      <c r="A36" s="8" t="s">
        <v>1934</v>
      </c>
      <c r="B36" s="8" t="s">
        <v>1935</v>
      </c>
      <c r="C36" s="52" t="n">
        <v>3</v>
      </c>
      <c r="D36" s="8" t="s">
        <v>1910</v>
      </c>
      <c r="E36" s="8" t="s">
        <v>1187</v>
      </c>
      <c r="F36" s="8" t="s">
        <v>1936</v>
      </c>
    </row>
    <row r="37" customFormat="false" ht="54.75" hidden="false" customHeight="true" outlineLevel="0" collapsed="false">
      <c r="A37" s="7" t="s">
        <v>1937</v>
      </c>
      <c r="B37" s="7" t="s">
        <v>1938</v>
      </c>
      <c r="C37" s="52" t="n">
        <v>24</v>
      </c>
      <c r="D37" s="7" t="s">
        <v>1910</v>
      </c>
      <c r="E37" s="7" t="s">
        <v>1851</v>
      </c>
      <c r="F37" s="7" t="s">
        <v>1939</v>
      </c>
    </row>
    <row r="38" customFormat="false" ht="54.75" hidden="false" customHeight="true" outlineLevel="0" collapsed="false">
      <c r="A38" s="8" t="s">
        <v>1940</v>
      </c>
      <c r="B38" s="8" t="s">
        <v>1941</v>
      </c>
      <c r="C38" s="53" t="n">
        <v>0.1</v>
      </c>
      <c r="D38" s="8" t="s">
        <v>1867</v>
      </c>
      <c r="E38" s="8" t="s">
        <v>1822</v>
      </c>
      <c r="F38" s="8" t="s">
        <v>1942</v>
      </c>
    </row>
    <row r="39" customFormat="false" ht="54.75" hidden="false" customHeight="true" outlineLevel="0" collapsed="false">
      <c r="A39" s="7" t="s">
        <v>1943</v>
      </c>
      <c r="B39" s="7" t="s">
        <v>1944</v>
      </c>
      <c r="C39" s="52" t="n">
        <v>1</v>
      </c>
      <c r="D39" s="7" t="s">
        <v>1910</v>
      </c>
      <c r="E39" s="7" t="s">
        <v>1945</v>
      </c>
      <c r="F39" s="7" t="s">
        <v>1946</v>
      </c>
    </row>
    <row r="40" customFormat="false" ht="54.75" hidden="false" customHeight="true" outlineLevel="0" collapsed="false">
      <c r="A40" s="8" t="s">
        <v>1947</v>
      </c>
      <c r="B40" s="8" t="s">
        <v>1948</v>
      </c>
      <c r="C40" s="52" t="n">
        <v>6</v>
      </c>
      <c r="D40" s="8" t="s">
        <v>1821</v>
      </c>
      <c r="E40" s="8" t="s">
        <v>1822</v>
      </c>
      <c r="F40" s="8" t="s">
        <v>1949</v>
      </c>
    </row>
    <row r="41" customFormat="false" ht="64.5" hidden="false" customHeight="true" outlineLevel="0" collapsed="false">
      <c r="A41" s="7" t="s">
        <v>1950</v>
      </c>
      <c r="B41" s="7" t="s">
        <v>1951</v>
      </c>
      <c r="C41" s="54" t="n">
        <v>10</v>
      </c>
      <c r="D41" s="7" t="s">
        <v>1952</v>
      </c>
      <c r="E41" s="7" t="s">
        <v>623</v>
      </c>
      <c r="F41" s="7" t="s">
        <v>1953</v>
      </c>
    </row>
    <row r="42" customFormat="false" ht="64.5" hidden="false" customHeight="true" outlineLevel="0" collapsed="false">
      <c r="A42" s="8" t="s">
        <v>1954</v>
      </c>
      <c r="B42" s="8" t="s">
        <v>1955</v>
      </c>
      <c r="C42" s="54" t="n">
        <v>1</v>
      </c>
      <c r="D42" s="8" t="s">
        <v>1956</v>
      </c>
      <c r="E42" s="8" t="s">
        <v>623</v>
      </c>
      <c r="F42" s="8" t="s">
        <v>439</v>
      </c>
    </row>
    <row r="43" customFormat="false" ht="64.5" hidden="false" customHeight="true" outlineLevel="0" collapsed="false">
      <c r="A43" s="7" t="s">
        <v>1957</v>
      </c>
      <c r="B43" s="7" t="s">
        <v>1958</v>
      </c>
      <c r="C43" s="54" t="n">
        <v>10</v>
      </c>
      <c r="D43" s="7" t="s">
        <v>1959</v>
      </c>
      <c r="E43" s="7" t="s">
        <v>623</v>
      </c>
      <c r="F43" s="7" t="s">
        <v>1960</v>
      </c>
    </row>
    <row r="44" customFormat="false" ht="64.5" hidden="false" customHeight="true" outlineLevel="0" collapsed="false">
      <c r="A44" s="8" t="s">
        <v>1961</v>
      </c>
      <c r="B44" s="8" t="s">
        <v>1962</v>
      </c>
      <c r="C44" s="54" t="n">
        <v>1.25</v>
      </c>
      <c r="D44" s="8" t="s">
        <v>1837</v>
      </c>
      <c r="E44" s="8" t="s">
        <v>623</v>
      </c>
      <c r="F44" s="8" t="s">
        <v>1963</v>
      </c>
    </row>
    <row r="45" customFormat="false" ht="64.5" hidden="false" customHeight="true" outlineLevel="0" collapsed="false">
      <c r="A45" s="7" t="s">
        <v>1964</v>
      </c>
      <c r="B45" s="7" t="s">
        <v>1965</v>
      </c>
      <c r="C45" s="54" t="n">
        <v>6</v>
      </c>
      <c r="D45" s="7" t="s">
        <v>1910</v>
      </c>
      <c r="E45" s="7" t="s">
        <v>1966</v>
      </c>
      <c r="F45" s="7" t="s">
        <v>415</v>
      </c>
    </row>
    <row r="46" customFormat="false" ht="64.5" hidden="false" customHeight="true" outlineLevel="0" collapsed="false">
      <c r="A46" s="8" t="s">
        <v>1967</v>
      </c>
      <c r="B46" s="8" t="s">
        <v>1968</v>
      </c>
      <c r="C46" s="54" t="n">
        <v>15</v>
      </c>
      <c r="D46" s="8" t="s">
        <v>1969</v>
      </c>
      <c r="E46" s="8" t="s">
        <v>623</v>
      </c>
      <c r="F46" s="8" t="s">
        <v>1970</v>
      </c>
    </row>
    <row r="47" customFormat="false" ht="64.5" hidden="false" customHeight="true" outlineLevel="0" collapsed="false">
      <c r="A47" s="7" t="s">
        <v>1971</v>
      </c>
      <c r="B47" s="7" t="s">
        <v>1972</v>
      </c>
      <c r="C47" s="54" t="n">
        <v>5</v>
      </c>
      <c r="D47" s="7" t="s">
        <v>1973</v>
      </c>
      <c r="E47" s="7" t="s">
        <v>623</v>
      </c>
      <c r="F47" s="7" t="s">
        <v>1974</v>
      </c>
    </row>
    <row r="48" customFormat="false" ht="64.5" hidden="false" customHeight="true" outlineLevel="0" collapsed="false">
      <c r="A48" s="8" t="s">
        <v>1975</v>
      </c>
      <c r="B48" s="8" t="s">
        <v>1976</v>
      </c>
      <c r="C48" s="54" t="n">
        <v>50</v>
      </c>
      <c r="D48" s="8" t="s">
        <v>1918</v>
      </c>
      <c r="E48" s="8" t="s">
        <v>623</v>
      </c>
      <c r="F48" s="8" t="s">
        <v>1977</v>
      </c>
    </row>
    <row r="49" customFormat="false" ht="64.5" hidden="false" customHeight="true" outlineLevel="0" collapsed="false">
      <c r="A49" s="7" t="s">
        <v>1978</v>
      </c>
      <c r="B49" s="7" t="s">
        <v>1979</v>
      </c>
      <c r="C49" s="54" t="n">
        <v>2</v>
      </c>
      <c r="D49" s="7" t="s">
        <v>1837</v>
      </c>
      <c r="E49" s="7" t="s">
        <v>623</v>
      </c>
      <c r="F49" s="7" t="s">
        <v>1980</v>
      </c>
    </row>
    <row r="50" customFormat="false" ht="64.5" hidden="false" customHeight="true" outlineLevel="0" collapsed="false">
      <c r="A50" s="8" t="s">
        <v>1981</v>
      </c>
      <c r="B50" s="8" t="s">
        <v>1982</v>
      </c>
      <c r="C50" s="54" t="n">
        <v>30</v>
      </c>
      <c r="D50" s="8" t="s">
        <v>1969</v>
      </c>
      <c r="E50" s="8" t="s">
        <v>623</v>
      </c>
      <c r="F50" s="8" t="s">
        <v>1983</v>
      </c>
    </row>
    <row r="51" customFormat="false" ht="64.5" hidden="false" customHeight="true" outlineLevel="0" collapsed="false">
      <c r="A51" s="7" t="s">
        <v>1984</v>
      </c>
      <c r="B51" s="7" t="s">
        <v>1985</v>
      </c>
      <c r="C51" s="54" t="n">
        <v>1</v>
      </c>
      <c r="D51" s="7" t="s">
        <v>1986</v>
      </c>
      <c r="E51" s="7" t="s">
        <v>623</v>
      </c>
      <c r="F51" s="7" t="s">
        <v>1987</v>
      </c>
    </row>
    <row r="52" customFormat="false" ht="105" hidden="false" customHeight="true" outlineLevel="0" collapsed="false">
      <c r="A52" s="8" t="s">
        <v>1988</v>
      </c>
      <c r="B52" s="8" t="s">
        <v>1989</v>
      </c>
      <c r="C52" s="8" t="n">
        <v>5</v>
      </c>
      <c r="D52" s="8" t="s">
        <v>1918</v>
      </c>
      <c r="E52" s="8" t="s">
        <v>1990</v>
      </c>
      <c r="F52" s="8" t="s">
        <v>439</v>
      </c>
    </row>
    <row r="53" customFormat="false" ht="105" hidden="false" customHeight="true" outlineLevel="0" collapsed="false">
      <c r="A53" s="7" t="s">
        <v>1991</v>
      </c>
      <c r="B53" s="7" t="s">
        <v>1992</v>
      </c>
      <c r="C53" s="7" t="n">
        <v>1000</v>
      </c>
      <c r="D53" s="7" t="s">
        <v>1993</v>
      </c>
      <c r="E53" s="7" t="s">
        <v>1994</v>
      </c>
      <c r="F53" s="7" t="s">
        <v>427</v>
      </c>
    </row>
    <row r="54" customFormat="false" ht="105" hidden="false" customHeight="true" outlineLevel="0" collapsed="false">
      <c r="A54" s="8" t="s">
        <v>1995</v>
      </c>
      <c r="B54" s="8" t="s">
        <v>1996</v>
      </c>
      <c r="C54" s="8" t="n">
        <v>24</v>
      </c>
      <c r="D54" s="8" t="s">
        <v>1997</v>
      </c>
      <c r="E54" s="8" t="s">
        <v>1994</v>
      </c>
      <c r="F54" s="8" t="s">
        <v>1998</v>
      </c>
    </row>
    <row r="55" customFormat="false" ht="105" hidden="false" customHeight="true" outlineLevel="0" collapsed="false">
      <c r="A55" s="7" t="s">
        <v>1999</v>
      </c>
      <c r="B55" s="7" t="s">
        <v>2000</v>
      </c>
      <c r="C55" s="7" t="n">
        <v>0.25</v>
      </c>
      <c r="D55" s="7" t="s">
        <v>1867</v>
      </c>
      <c r="E55" s="7" t="s">
        <v>2001</v>
      </c>
      <c r="F55" s="7" t="s">
        <v>431</v>
      </c>
    </row>
    <row r="56" customFormat="false" ht="105" hidden="false" customHeight="true" outlineLevel="0" collapsed="false">
      <c r="A56" s="8" t="s">
        <v>2002</v>
      </c>
      <c r="B56" s="8" t="s">
        <v>2003</v>
      </c>
      <c r="C56" s="8" t="n">
        <v>10</v>
      </c>
      <c r="D56" s="8" t="s">
        <v>2004</v>
      </c>
      <c r="E56" s="8" t="s">
        <v>2005</v>
      </c>
      <c r="F56" s="8" t="s">
        <v>435</v>
      </c>
    </row>
    <row r="57" customFormat="false" ht="105" hidden="false" customHeight="true" outlineLevel="0" collapsed="false">
      <c r="A57" s="7" t="s">
        <v>2006</v>
      </c>
      <c r="B57" s="7" t="s">
        <v>2007</v>
      </c>
      <c r="C57" s="7" t="n">
        <v>24</v>
      </c>
      <c r="D57" s="7" t="s">
        <v>1997</v>
      </c>
      <c r="E57" s="7" t="s">
        <v>2008</v>
      </c>
      <c r="F57" s="7" t="s">
        <v>443</v>
      </c>
    </row>
    <row r="58" customFormat="false" ht="105" hidden="false" customHeight="true" outlineLevel="0" collapsed="false">
      <c r="A58" s="8" t="s">
        <v>2009</v>
      </c>
      <c r="B58" s="8" t="s">
        <v>2010</v>
      </c>
      <c r="C58" s="8" t="n">
        <v>4</v>
      </c>
      <c r="D58" s="8" t="s">
        <v>1997</v>
      </c>
      <c r="E58" s="8" t="s">
        <v>1187</v>
      </c>
      <c r="F58" s="8" t="s">
        <v>2011</v>
      </c>
    </row>
    <row r="59" customFormat="false" ht="105" hidden="false" customHeight="true" outlineLevel="0" collapsed="false">
      <c r="A59" s="7" t="s">
        <v>2012</v>
      </c>
      <c r="B59" s="7" t="s">
        <v>2013</v>
      </c>
      <c r="C59" s="7" t="n">
        <v>10</v>
      </c>
      <c r="D59" s="7" t="s">
        <v>2014</v>
      </c>
      <c r="E59" s="7" t="s">
        <v>2015</v>
      </c>
      <c r="F59" s="7" t="s">
        <v>2016</v>
      </c>
    </row>
    <row r="60" customFormat="false" ht="105" hidden="false" customHeight="true" outlineLevel="0" collapsed="false">
      <c r="A60" s="8" t="s">
        <v>2017</v>
      </c>
      <c r="B60" s="8" t="s">
        <v>2018</v>
      </c>
      <c r="C60" s="8" t="n">
        <v>6</v>
      </c>
      <c r="D60" s="8" t="s">
        <v>2019</v>
      </c>
      <c r="E60" s="8" t="s">
        <v>2015</v>
      </c>
      <c r="F60" s="8" t="s">
        <v>396</v>
      </c>
    </row>
    <row r="61" customFormat="false" ht="105" hidden="false" customHeight="true" outlineLevel="0" collapsed="false">
      <c r="A61" s="7" t="s">
        <v>2020</v>
      </c>
      <c r="B61" s="7" t="s">
        <v>2021</v>
      </c>
      <c r="C61" s="7" t="n">
        <v>24</v>
      </c>
      <c r="D61" s="7" t="s">
        <v>2019</v>
      </c>
      <c r="E61" s="7" t="s">
        <v>1187</v>
      </c>
      <c r="F61" s="7" t="s">
        <v>2022</v>
      </c>
    </row>
    <row r="62" customFormat="false" ht="105" hidden="false" customHeight="true" outlineLevel="0" collapsed="false">
      <c r="A62" s="8" t="s">
        <v>2023</v>
      </c>
      <c r="B62" s="8" t="s">
        <v>2024</v>
      </c>
      <c r="C62" s="8" t="n">
        <v>2</v>
      </c>
      <c r="D62" s="8" t="s">
        <v>2025</v>
      </c>
      <c r="E62" s="8" t="s">
        <v>2026</v>
      </c>
      <c r="F62" s="8" t="s">
        <v>400</v>
      </c>
    </row>
    <row r="63" customFormat="false" ht="105" hidden="false" customHeight="true" outlineLevel="0" collapsed="false">
      <c r="A63" s="7" t="s">
        <v>2027</v>
      </c>
      <c r="B63" s="7" t="s">
        <v>2028</v>
      </c>
      <c r="C63" s="7" t="n">
        <v>2</v>
      </c>
      <c r="D63" s="7" t="s">
        <v>2029</v>
      </c>
      <c r="E63" s="7" t="s">
        <v>2026</v>
      </c>
      <c r="F63" s="7" t="s">
        <v>400</v>
      </c>
    </row>
    <row r="64" customFormat="false" ht="105" hidden="false" customHeight="true" outlineLevel="0" collapsed="false">
      <c r="A64" s="8" t="s">
        <v>2030</v>
      </c>
      <c r="B64" s="8" t="s">
        <v>2031</v>
      </c>
      <c r="C64" s="8" t="n">
        <v>4</v>
      </c>
      <c r="D64" s="8" t="s">
        <v>2032</v>
      </c>
      <c r="E64" s="8" t="s">
        <v>2033</v>
      </c>
      <c r="F64" s="8" t="s">
        <v>451</v>
      </c>
    </row>
    <row r="65" customFormat="false" ht="105" hidden="false" customHeight="true" outlineLevel="0" collapsed="false">
      <c r="A65" s="7" t="s">
        <v>2034</v>
      </c>
      <c r="B65" s="7" t="s">
        <v>2035</v>
      </c>
      <c r="C65" s="7" t="n">
        <v>468</v>
      </c>
      <c r="D65" s="7" t="s">
        <v>2036</v>
      </c>
      <c r="E65" s="7" t="s">
        <v>2037</v>
      </c>
      <c r="F65" s="7" t="s">
        <v>419</v>
      </c>
    </row>
    <row r="66" customFormat="false" ht="105" hidden="false" customHeight="true" outlineLevel="0" collapsed="false">
      <c r="A66" s="8" t="s">
        <v>2038</v>
      </c>
      <c r="B66" s="8" t="s">
        <v>2039</v>
      </c>
      <c r="C66" s="8" t="n">
        <v>1438</v>
      </c>
      <c r="D66" s="8" t="s">
        <v>1842</v>
      </c>
      <c r="E66" s="8" t="s">
        <v>2040</v>
      </c>
      <c r="F66" s="8" t="s">
        <v>408</v>
      </c>
    </row>
    <row r="67" customFormat="false" ht="48" hidden="false" customHeight="true" outlineLevel="0" collapsed="false">
      <c r="A67" s="8" t="s">
        <v>2041</v>
      </c>
      <c r="B67" s="8" t="s">
        <v>2042</v>
      </c>
      <c r="C67" s="55" t="n">
        <v>200</v>
      </c>
      <c r="D67" s="8" t="s">
        <v>2043</v>
      </c>
      <c r="E67" s="8" t="s">
        <v>719</v>
      </c>
      <c r="F67" s="8" t="s">
        <v>2044</v>
      </c>
    </row>
    <row r="68" customFormat="false" ht="48" hidden="false" customHeight="true" outlineLevel="0" collapsed="false">
      <c r="A68" s="8" t="s">
        <v>2045</v>
      </c>
      <c r="B68" s="8" t="s">
        <v>2046</v>
      </c>
      <c r="C68" s="55" t="n">
        <v>100</v>
      </c>
      <c r="D68" s="8" t="s">
        <v>2047</v>
      </c>
      <c r="E68" s="8" t="s">
        <v>719</v>
      </c>
      <c r="F68" s="8" t="s">
        <v>2048</v>
      </c>
    </row>
    <row r="69" customFormat="false" ht="48" hidden="false" customHeight="true" outlineLevel="0" collapsed="false">
      <c r="A69" s="8" t="s">
        <v>2049</v>
      </c>
      <c r="B69" s="8" t="s">
        <v>2050</v>
      </c>
      <c r="C69" s="55" t="n">
        <v>5</v>
      </c>
      <c r="D69" s="8" t="s">
        <v>2051</v>
      </c>
      <c r="E69" s="8" t="s">
        <v>719</v>
      </c>
      <c r="F69" s="8" t="s">
        <v>2052</v>
      </c>
    </row>
    <row r="70" customFormat="false" ht="48" hidden="false" customHeight="true" outlineLevel="0" collapsed="false">
      <c r="A70" s="8" t="s">
        <v>2053</v>
      </c>
      <c r="B70" s="8" t="s">
        <v>2054</v>
      </c>
      <c r="C70" s="55" t="n">
        <v>100</v>
      </c>
      <c r="D70" s="8" t="s">
        <v>2055</v>
      </c>
      <c r="E70" s="8" t="s">
        <v>719</v>
      </c>
      <c r="F70" s="8" t="s">
        <v>2056</v>
      </c>
    </row>
    <row r="71" customFormat="false" ht="48" hidden="false" customHeight="true" outlineLevel="0" collapsed="false">
      <c r="A71" s="8" t="s">
        <v>2057</v>
      </c>
      <c r="B71" s="8" t="s">
        <v>2058</v>
      </c>
      <c r="C71" s="56" t="n">
        <v>0.1</v>
      </c>
      <c r="D71" s="8" t="s">
        <v>1867</v>
      </c>
      <c r="E71" s="8" t="s">
        <v>719</v>
      </c>
      <c r="F71" s="8" t="s">
        <v>2059</v>
      </c>
    </row>
    <row r="72" customFormat="false" ht="48" hidden="false" customHeight="true" outlineLevel="0" collapsed="false">
      <c r="A72" s="8" t="s">
        <v>2060</v>
      </c>
      <c r="B72" s="8" t="s">
        <v>2061</v>
      </c>
      <c r="C72" s="56" t="n">
        <v>0.1</v>
      </c>
      <c r="D72" s="8" t="s">
        <v>1867</v>
      </c>
      <c r="E72" s="8" t="s">
        <v>719</v>
      </c>
      <c r="F72" s="8" t="s">
        <v>2062</v>
      </c>
    </row>
    <row r="73" customFormat="false" ht="48" hidden="false" customHeight="true" outlineLevel="0" collapsed="false">
      <c r="A73" s="8" t="s">
        <v>2063</v>
      </c>
      <c r="B73" s="8" t="s">
        <v>2064</v>
      </c>
      <c r="C73" s="55" t="n">
        <v>0</v>
      </c>
      <c r="D73" s="8" t="s">
        <v>2065</v>
      </c>
      <c r="E73" s="8" t="s">
        <v>719</v>
      </c>
      <c r="F73" s="8" t="s">
        <v>2066</v>
      </c>
    </row>
    <row r="74" customFormat="false" ht="48" hidden="false" customHeight="true" outlineLevel="0" collapsed="false">
      <c r="A74" s="8" t="s">
        <v>2067</v>
      </c>
      <c r="B74" s="8" t="s">
        <v>2068</v>
      </c>
      <c r="C74" s="55" t="n">
        <v>5</v>
      </c>
      <c r="D74" s="8" t="s">
        <v>2069</v>
      </c>
      <c r="E74" s="8" t="s">
        <v>719</v>
      </c>
      <c r="F74" s="8" t="s">
        <v>2070</v>
      </c>
    </row>
    <row r="75" customFormat="false" ht="48" hidden="false" customHeight="true" outlineLevel="0" collapsed="false">
      <c r="A75" s="8" t="s">
        <v>2071</v>
      </c>
      <c r="B75" s="8" t="s">
        <v>2072</v>
      </c>
      <c r="C75" s="55" t="n">
        <v>100</v>
      </c>
      <c r="D75" s="8" t="s">
        <v>2069</v>
      </c>
      <c r="E75" s="8" t="s">
        <v>719</v>
      </c>
      <c r="F75" s="8" t="s">
        <v>2073</v>
      </c>
    </row>
    <row r="76" customFormat="false" ht="48" hidden="false" customHeight="true" outlineLevel="0" collapsed="false">
      <c r="A76" s="8" t="s">
        <v>2074</v>
      </c>
      <c r="B76" s="8" t="s">
        <v>2075</v>
      </c>
      <c r="C76" s="55" t="n">
        <v>6</v>
      </c>
      <c r="D76" s="8" t="s">
        <v>1997</v>
      </c>
      <c r="E76" s="8" t="s">
        <v>719</v>
      </c>
      <c r="F76" s="8" t="s">
        <v>2076</v>
      </c>
    </row>
    <row r="77" customFormat="false" ht="48" hidden="false" customHeight="true" outlineLevel="0" collapsed="false">
      <c r="A77" s="8" t="s">
        <v>2077</v>
      </c>
      <c r="B77" s="8" t="s">
        <v>2078</v>
      </c>
      <c r="C77" s="55" t="n">
        <v>24</v>
      </c>
      <c r="D77" s="8" t="s">
        <v>1997</v>
      </c>
      <c r="E77" s="8" t="s">
        <v>719</v>
      </c>
      <c r="F77" s="8" t="s">
        <v>2079</v>
      </c>
    </row>
    <row r="78" customFormat="false" ht="48" hidden="false" customHeight="true" outlineLevel="0" collapsed="false">
      <c r="A78" s="8" t="s">
        <v>2080</v>
      </c>
      <c r="B78" s="8" t="s">
        <v>2081</v>
      </c>
      <c r="C78" s="55" t="n">
        <v>24</v>
      </c>
      <c r="D78" s="8" t="s">
        <v>1997</v>
      </c>
      <c r="E78" s="8" t="s">
        <v>719</v>
      </c>
      <c r="F78" s="8" t="s">
        <v>2082</v>
      </c>
    </row>
    <row r="79" customFormat="false" ht="48" hidden="false" customHeight="true" outlineLevel="0" collapsed="false">
      <c r="A79" s="8" t="s">
        <v>2083</v>
      </c>
      <c r="B79" s="8" t="s">
        <v>2084</v>
      </c>
      <c r="C79" s="55" t="n">
        <v>20</v>
      </c>
      <c r="D79" s="8" t="s">
        <v>2085</v>
      </c>
      <c r="E79" s="8" t="s">
        <v>719</v>
      </c>
      <c r="F79" s="8" t="s">
        <v>2086</v>
      </c>
    </row>
    <row r="80" customFormat="false" ht="48" hidden="false" customHeight="true" outlineLevel="0" collapsed="false">
      <c r="A80" s="8" t="s">
        <v>2087</v>
      </c>
      <c r="B80" s="8" t="s">
        <v>2088</v>
      </c>
      <c r="C80" s="55" t="n">
        <v>5</v>
      </c>
      <c r="D80" s="8" t="s">
        <v>2089</v>
      </c>
      <c r="E80" s="8" t="s">
        <v>719</v>
      </c>
      <c r="F80" s="8" t="s">
        <v>2090</v>
      </c>
    </row>
    <row r="81" customFormat="false" ht="48" hidden="false" customHeight="true" outlineLevel="0" collapsed="false">
      <c r="A81" s="8" t="s">
        <v>2091</v>
      </c>
      <c r="B81" s="8" t="s">
        <v>2092</v>
      </c>
      <c r="C81" s="55" t="n">
        <v>500</v>
      </c>
      <c r="D81" s="8" t="s">
        <v>1918</v>
      </c>
      <c r="E81" s="8" t="s">
        <v>719</v>
      </c>
      <c r="F81" s="8" t="s">
        <v>2093</v>
      </c>
    </row>
    <row r="82" customFormat="false" ht="48" hidden="false" customHeight="true" outlineLevel="0" collapsed="false">
      <c r="A82" s="8" t="s">
        <v>2094</v>
      </c>
      <c r="B82" s="8" t="s">
        <v>2095</v>
      </c>
      <c r="C82" s="55" t="n">
        <v>10000</v>
      </c>
      <c r="D82" s="8" t="s">
        <v>1918</v>
      </c>
      <c r="E82" s="8" t="s">
        <v>719</v>
      </c>
      <c r="F82" s="8" t="s">
        <v>2096</v>
      </c>
    </row>
    <row r="83" customFormat="false" ht="48" hidden="false" customHeight="true" outlineLevel="0" collapsed="false">
      <c r="A83" s="8" t="s">
        <v>2097</v>
      </c>
      <c r="B83" s="8" t="s">
        <v>2098</v>
      </c>
      <c r="C83" s="55" t="n">
        <v>3</v>
      </c>
      <c r="D83" s="8" t="s">
        <v>2099</v>
      </c>
      <c r="E83" s="8" t="s">
        <v>719</v>
      </c>
      <c r="F83" s="8" t="s">
        <v>2100</v>
      </c>
    </row>
  </sheetData>
  <autoFilter ref="A5:F83"/>
  <mergeCells count="2">
    <mergeCell ref="A1:F1"/>
    <mergeCell ref="A2:F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true"/>
  </sheetPr>
  <dimension ref="A1:G45"/>
  <sheetViews>
    <sheetView showFormulas="false" showGridLines="false" showRowColHeaders="true" showZeros="true" rightToLeft="false" tabSelected="true" showOutlineSymbols="true" defaultGridColor="true" view="normal" topLeftCell="A1" colorId="64" zoomScale="113" zoomScaleNormal="113"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15" customHeight="false" zeroHeight="false" outlineLevelRow="0" outlineLevelCol="0"/>
  <cols>
    <col collapsed="false" customWidth="true" hidden="false" outlineLevel="0" max="1" min="1" style="14" width="15"/>
    <col collapsed="false" customWidth="true" hidden="false" outlineLevel="0" max="2" min="2" style="14" width="37"/>
    <col collapsed="false" customWidth="true" hidden="false" outlineLevel="0" max="3" min="3" style="14" width="39"/>
    <col collapsed="false" customWidth="true" hidden="false" outlineLevel="0" max="4" min="4" style="14" width="39.85"/>
    <col collapsed="false" customWidth="true" hidden="false" outlineLevel="0" max="5" min="5" style="14" width="59.29"/>
  </cols>
  <sheetData>
    <row r="1" customFormat="false" ht="33.75" hidden="false" customHeight="true" outlineLevel="0" collapsed="false">
      <c r="A1" s="57" t="s">
        <v>2101</v>
      </c>
      <c r="B1" s="57"/>
      <c r="C1" s="57"/>
      <c r="D1" s="57"/>
      <c r="E1" s="57"/>
    </row>
    <row r="2" customFormat="false" ht="24.75" hidden="false" customHeight="true" outlineLevel="0" collapsed="false">
      <c r="A2" s="45" t="s">
        <v>2102</v>
      </c>
      <c r="B2" s="45"/>
      <c r="C2" s="45"/>
      <c r="D2" s="45"/>
      <c r="E2" s="45"/>
    </row>
    <row r="3" customFormat="false" ht="24.75" hidden="false" customHeight="true" outlineLevel="0" collapsed="false">
      <c r="A3" s="45"/>
      <c r="B3" s="45"/>
      <c r="C3" s="45"/>
      <c r="D3" s="45"/>
      <c r="E3" s="45"/>
    </row>
    <row r="5" customFormat="false" ht="48" hidden="false" customHeight="true" outlineLevel="0" collapsed="false">
      <c r="A5" s="58" t="s">
        <v>97</v>
      </c>
      <c r="B5" s="58" t="s">
        <v>299</v>
      </c>
      <c r="C5" s="58" t="s">
        <v>391</v>
      </c>
      <c r="D5" s="58" t="s">
        <v>2103</v>
      </c>
      <c r="E5" s="58" t="s">
        <v>2104</v>
      </c>
      <c r="G5" s="38" t="s">
        <v>470</v>
      </c>
    </row>
    <row r="6" customFormat="false" ht="105" hidden="true" customHeight="true" outlineLevel="0" collapsed="false">
      <c r="A6" s="8" t="s">
        <v>2105</v>
      </c>
      <c r="B6" s="59" t="s">
        <v>2106</v>
      </c>
      <c r="C6" s="8" t="s">
        <v>2107</v>
      </c>
      <c r="D6" s="8" t="s">
        <v>2108</v>
      </c>
      <c r="E6" s="8" t="s">
        <v>2109</v>
      </c>
    </row>
    <row r="7" customFormat="false" ht="105" hidden="true" customHeight="true" outlineLevel="0" collapsed="false">
      <c r="A7" s="7" t="s">
        <v>2110</v>
      </c>
      <c r="B7" s="59" t="s">
        <v>2106</v>
      </c>
      <c r="C7" s="7" t="s">
        <v>543</v>
      </c>
      <c r="D7" s="7" t="s">
        <v>2111</v>
      </c>
      <c r="E7" s="7" t="s">
        <v>2112</v>
      </c>
    </row>
    <row r="8" customFormat="false" ht="105" hidden="true" customHeight="true" outlineLevel="0" collapsed="false">
      <c r="A8" s="8" t="s">
        <v>2113</v>
      </c>
      <c r="B8" s="59" t="s">
        <v>2106</v>
      </c>
      <c r="C8" s="8" t="s">
        <v>536</v>
      </c>
      <c r="D8" s="8" t="s">
        <v>2114</v>
      </c>
      <c r="E8" s="8" t="s">
        <v>2112</v>
      </c>
    </row>
    <row r="9" customFormat="false" ht="105" hidden="true" customHeight="true" outlineLevel="0" collapsed="false">
      <c r="A9" s="7" t="s">
        <v>2115</v>
      </c>
      <c r="B9" s="59" t="s">
        <v>2106</v>
      </c>
      <c r="C9" s="7" t="s">
        <v>1759</v>
      </c>
      <c r="D9" s="7" t="s">
        <v>2116</v>
      </c>
      <c r="E9" s="7" t="s">
        <v>2117</v>
      </c>
    </row>
    <row r="10" customFormat="false" ht="105" hidden="true" customHeight="true" outlineLevel="0" collapsed="false">
      <c r="A10" s="8" t="s">
        <v>2118</v>
      </c>
      <c r="B10" s="59" t="s">
        <v>2106</v>
      </c>
      <c r="C10" s="8" t="s">
        <v>27</v>
      </c>
      <c r="D10" s="8" t="s">
        <v>2119</v>
      </c>
      <c r="E10" s="8" t="s">
        <v>2120</v>
      </c>
    </row>
    <row r="11" customFormat="false" ht="105" hidden="true" customHeight="true" outlineLevel="0" collapsed="false">
      <c r="A11" s="7" t="s">
        <v>2121</v>
      </c>
      <c r="B11" s="59" t="s">
        <v>2106</v>
      </c>
      <c r="C11" s="7" t="s">
        <v>17</v>
      </c>
      <c r="D11" s="7" t="s">
        <v>2122</v>
      </c>
      <c r="E11" s="7" t="s">
        <v>2123</v>
      </c>
    </row>
    <row r="12" customFormat="false" ht="105" hidden="false" customHeight="true" outlineLevel="0" collapsed="false">
      <c r="A12" s="8" t="s">
        <v>2124</v>
      </c>
      <c r="B12" s="60" t="s">
        <v>665</v>
      </c>
      <c r="C12" s="8" t="s">
        <v>2125</v>
      </c>
      <c r="D12" s="8" t="s">
        <v>447</v>
      </c>
      <c r="E12" s="8" t="s">
        <v>2126</v>
      </c>
    </row>
    <row r="13" customFormat="false" ht="105" hidden="true" customHeight="true" outlineLevel="0" collapsed="false">
      <c r="A13" s="7" t="s">
        <v>2127</v>
      </c>
      <c r="B13" s="60" t="s">
        <v>594</v>
      </c>
      <c r="C13" s="7" t="s">
        <v>2128</v>
      </c>
      <c r="D13" s="7" t="s">
        <v>2129</v>
      </c>
      <c r="E13" s="7" t="s">
        <v>2130</v>
      </c>
    </row>
    <row r="14" customFormat="false" ht="105" hidden="false" customHeight="true" outlineLevel="0" collapsed="false">
      <c r="A14" s="8" t="s">
        <v>2131</v>
      </c>
      <c r="B14" s="60" t="s">
        <v>665</v>
      </c>
      <c r="C14" s="8" t="s">
        <v>2132</v>
      </c>
      <c r="D14" s="8" t="s">
        <v>700</v>
      </c>
      <c r="E14" s="8" t="s">
        <v>2133</v>
      </c>
      <c r="G14" s="61" t="s">
        <v>2134</v>
      </c>
    </row>
    <row r="15" customFormat="false" ht="105" hidden="false" customHeight="true" outlineLevel="0" collapsed="false">
      <c r="A15" s="7" t="s">
        <v>2135</v>
      </c>
      <c r="B15" s="60" t="s">
        <v>665</v>
      </c>
      <c r="C15" s="7" t="s">
        <v>2136</v>
      </c>
      <c r="D15" s="7" t="s">
        <v>455</v>
      </c>
      <c r="E15" s="7" t="s">
        <v>2137</v>
      </c>
      <c r="G15" s="62" t="s">
        <v>2138</v>
      </c>
    </row>
    <row r="16" customFormat="false" ht="105" hidden="false" customHeight="true" outlineLevel="0" collapsed="false">
      <c r="A16" s="8" t="s">
        <v>2139</v>
      </c>
      <c r="B16" s="60" t="s">
        <v>665</v>
      </c>
      <c r="C16" s="8" t="s">
        <v>2140</v>
      </c>
      <c r="D16" s="8" t="s">
        <v>439</v>
      </c>
      <c r="E16" s="8" t="s">
        <v>2141</v>
      </c>
      <c r="G16" s="61" t="s">
        <v>2142</v>
      </c>
    </row>
    <row r="17" customFormat="false" ht="105" hidden="false" customHeight="true" outlineLevel="0" collapsed="false">
      <c r="A17" s="7" t="s">
        <v>2143</v>
      </c>
      <c r="B17" s="60" t="s">
        <v>665</v>
      </c>
      <c r="C17" s="7" t="s">
        <v>2144</v>
      </c>
      <c r="D17" s="7" t="s">
        <v>2145</v>
      </c>
      <c r="E17" s="7" t="s">
        <v>2146</v>
      </c>
      <c r="G17" s="62" t="s">
        <v>2147</v>
      </c>
    </row>
    <row r="18" customFormat="false" ht="105" hidden="false" customHeight="true" outlineLevel="0" collapsed="false">
      <c r="A18" s="8" t="s">
        <v>2148</v>
      </c>
      <c r="B18" s="60" t="s">
        <v>665</v>
      </c>
      <c r="C18" s="8" t="s">
        <v>2149</v>
      </c>
      <c r="D18" s="8" t="s">
        <v>451</v>
      </c>
      <c r="E18" s="8" t="s">
        <v>2150</v>
      </c>
      <c r="G18" s="61" t="s">
        <v>2151</v>
      </c>
    </row>
    <row r="19" customFormat="false" ht="105" hidden="false" customHeight="true" outlineLevel="0" collapsed="false">
      <c r="A19" s="7" t="s">
        <v>2152</v>
      </c>
      <c r="B19" s="60" t="s">
        <v>665</v>
      </c>
      <c r="C19" s="7" t="s">
        <v>2153</v>
      </c>
      <c r="D19" s="7" t="s">
        <v>459</v>
      </c>
      <c r="E19" s="7" t="s">
        <v>2154</v>
      </c>
    </row>
    <row r="20" customFormat="false" ht="99.75" hidden="false" customHeight="true" outlineLevel="0" collapsed="false">
      <c r="A20" s="8" t="s">
        <v>2155</v>
      </c>
      <c r="B20" s="8" t="s">
        <v>665</v>
      </c>
      <c r="C20" s="8" t="s">
        <v>2156</v>
      </c>
      <c r="D20" s="8" t="s">
        <v>2157</v>
      </c>
      <c r="E20" s="8" t="s">
        <v>2158</v>
      </c>
      <c r="G20" s="61" t="s">
        <v>2159</v>
      </c>
    </row>
    <row r="21" customFormat="false" ht="99.75" hidden="false" customHeight="true" outlineLevel="0" collapsed="false">
      <c r="A21" s="7" t="s">
        <v>2160</v>
      </c>
      <c r="B21" s="7" t="s">
        <v>665</v>
      </c>
      <c r="C21" s="7" t="s">
        <v>2161</v>
      </c>
      <c r="D21" s="7" t="s">
        <v>439</v>
      </c>
      <c r="E21" s="7" t="s">
        <v>2162</v>
      </c>
      <c r="G21" s="63" t="s">
        <v>2163</v>
      </c>
    </row>
    <row r="22" customFormat="false" ht="99.75" hidden="false" customHeight="true" outlineLevel="0" collapsed="false">
      <c r="A22" s="8" t="s">
        <v>2164</v>
      </c>
      <c r="B22" s="8" t="s">
        <v>665</v>
      </c>
      <c r="C22" s="8" t="s">
        <v>2165</v>
      </c>
      <c r="D22" s="8" t="s">
        <v>439</v>
      </c>
      <c r="E22" s="8" t="s">
        <v>2166</v>
      </c>
      <c r="G22" s="63" t="s">
        <v>2163</v>
      </c>
    </row>
    <row r="23" customFormat="false" ht="99.75" hidden="true" customHeight="true" outlineLevel="0" collapsed="false">
      <c r="A23" s="7" t="s">
        <v>2167</v>
      </c>
      <c r="B23" s="7" t="s">
        <v>2106</v>
      </c>
      <c r="C23" s="7" t="s">
        <v>2168</v>
      </c>
      <c r="D23" s="7" t="s">
        <v>2169</v>
      </c>
      <c r="E23" s="7" t="s">
        <v>2170</v>
      </c>
    </row>
    <row r="24" customFormat="false" ht="99.75" hidden="false" customHeight="true" outlineLevel="0" collapsed="false">
      <c r="A24" s="8" t="s">
        <v>2171</v>
      </c>
      <c r="B24" s="8" t="s">
        <v>665</v>
      </c>
      <c r="C24" s="8" t="s">
        <v>2172</v>
      </c>
      <c r="D24" s="8" t="s">
        <v>435</v>
      </c>
      <c r="E24" s="8" t="s">
        <v>2173</v>
      </c>
      <c r="G24" s="63" t="s">
        <v>2174</v>
      </c>
    </row>
    <row r="25" customFormat="false" ht="99.75" hidden="true" customHeight="true" outlineLevel="0" collapsed="false">
      <c r="A25" s="7" t="s">
        <v>2175</v>
      </c>
      <c r="B25" s="7" t="s">
        <v>2106</v>
      </c>
      <c r="C25" s="7" t="s">
        <v>2176</v>
      </c>
      <c r="D25" s="7" t="s">
        <v>2177</v>
      </c>
      <c r="E25" s="7" t="s">
        <v>2178</v>
      </c>
    </row>
    <row r="26" customFormat="false" ht="99.75" hidden="false" customHeight="true" outlineLevel="0" collapsed="false">
      <c r="A26" s="8" t="s">
        <v>2179</v>
      </c>
      <c r="B26" s="8" t="s">
        <v>2180</v>
      </c>
      <c r="C26" s="8" t="s">
        <v>2181</v>
      </c>
      <c r="D26" s="8" t="s">
        <v>2182</v>
      </c>
      <c r="E26" s="8" t="s">
        <v>2183</v>
      </c>
      <c r="G26" s="63" t="s">
        <v>2184</v>
      </c>
    </row>
    <row r="27" customFormat="false" ht="99.75" hidden="false" customHeight="true" outlineLevel="0" collapsed="false">
      <c r="A27" s="7" t="s">
        <v>2185</v>
      </c>
      <c r="B27" s="7" t="s">
        <v>2180</v>
      </c>
      <c r="C27" s="7" t="s">
        <v>2186</v>
      </c>
      <c r="D27" s="7" t="s">
        <v>2187</v>
      </c>
      <c r="E27" s="7" t="s">
        <v>2183</v>
      </c>
      <c r="G27" s="62" t="s">
        <v>2184</v>
      </c>
    </row>
    <row r="28" customFormat="false" ht="99.75" hidden="false" customHeight="true" outlineLevel="0" collapsed="false">
      <c r="A28" s="8" t="s">
        <v>2188</v>
      </c>
      <c r="B28" s="8" t="s">
        <v>2180</v>
      </c>
      <c r="C28" s="8" t="s">
        <v>2189</v>
      </c>
      <c r="D28" s="8" t="s">
        <v>2190</v>
      </c>
      <c r="E28" s="8" t="s">
        <v>2183</v>
      </c>
      <c r="G28" s="61" t="s">
        <v>2184</v>
      </c>
    </row>
    <row r="29" customFormat="false" ht="99.75" hidden="false" customHeight="true" outlineLevel="0" collapsed="false">
      <c r="A29" s="7" t="s">
        <v>2191</v>
      </c>
      <c r="B29" s="7" t="s">
        <v>2180</v>
      </c>
      <c r="C29" s="7" t="s">
        <v>2192</v>
      </c>
      <c r="D29" s="7" t="s">
        <v>2193</v>
      </c>
      <c r="E29" s="7" t="s">
        <v>2183</v>
      </c>
      <c r="G29" s="63" t="s">
        <v>2194</v>
      </c>
    </row>
    <row r="30" customFormat="false" ht="99.75" hidden="false" customHeight="true" outlineLevel="0" collapsed="false">
      <c r="A30" s="8" t="s">
        <v>2195</v>
      </c>
      <c r="B30" s="8" t="s">
        <v>2180</v>
      </c>
      <c r="C30" s="8" t="s">
        <v>2196</v>
      </c>
      <c r="D30" s="8" t="s">
        <v>2197</v>
      </c>
      <c r="E30" s="8" t="s">
        <v>2183</v>
      </c>
      <c r="G30" s="63" t="s">
        <v>2198</v>
      </c>
    </row>
    <row r="31" customFormat="false" ht="99.75" hidden="false" customHeight="true" outlineLevel="0" collapsed="false">
      <c r="A31" s="7" t="s">
        <v>2199</v>
      </c>
      <c r="B31" s="7" t="s">
        <v>665</v>
      </c>
      <c r="C31" s="7" t="s">
        <v>2200</v>
      </c>
      <c r="D31" s="7" t="s">
        <v>2201</v>
      </c>
      <c r="E31" s="7" t="s">
        <v>2202</v>
      </c>
      <c r="G31" s="63" t="s">
        <v>2203</v>
      </c>
    </row>
    <row r="32" customFormat="false" ht="99.75" hidden="false" customHeight="true" outlineLevel="0" collapsed="false">
      <c r="A32" s="8" t="s">
        <v>2204</v>
      </c>
      <c r="B32" s="8" t="s">
        <v>665</v>
      </c>
      <c r="C32" s="8" t="s">
        <v>2205</v>
      </c>
      <c r="D32" s="8" t="s">
        <v>2206</v>
      </c>
      <c r="E32" s="8" t="s">
        <v>2207</v>
      </c>
      <c r="G32" s="63" t="s">
        <v>2142</v>
      </c>
    </row>
    <row r="33" customFormat="false" ht="99.75" hidden="false" customHeight="true" outlineLevel="0" collapsed="false">
      <c r="A33" s="7" t="s">
        <v>2208</v>
      </c>
      <c r="B33" s="7" t="s">
        <v>665</v>
      </c>
      <c r="C33" s="7" t="s">
        <v>2209</v>
      </c>
      <c r="D33" s="7" t="s">
        <v>411</v>
      </c>
      <c r="E33" s="7" t="s">
        <v>2210</v>
      </c>
      <c r="G33" s="63" t="s">
        <v>2211</v>
      </c>
    </row>
    <row r="34" customFormat="false" ht="99.75" hidden="true" customHeight="true" outlineLevel="0" collapsed="false">
      <c r="A34" s="8" t="s">
        <v>2212</v>
      </c>
      <c r="B34" s="8" t="s">
        <v>665</v>
      </c>
      <c r="C34" s="8" t="s">
        <v>2213</v>
      </c>
      <c r="D34" s="8" t="s">
        <v>2214</v>
      </c>
      <c r="E34" s="8" t="s">
        <v>2215</v>
      </c>
    </row>
    <row r="35" customFormat="false" ht="99.75" hidden="false" customHeight="true" outlineLevel="0" collapsed="false">
      <c r="A35" s="7" t="s">
        <v>2216</v>
      </c>
      <c r="B35" s="7" t="s">
        <v>665</v>
      </c>
      <c r="C35" s="7" t="s">
        <v>2217</v>
      </c>
      <c r="D35" s="7" t="s">
        <v>415</v>
      </c>
      <c r="E35" s="7" t="s">
        <v>2218</v>
      </c>
      <c r="G35" s="63" t="s">
        <v>2219</v>
      </c>
    </row>
    <row r="36" customFormat="false" ht="99.75" hidden="false" customHeight="true" outlineLevel="0" collapsed="false">
      <c r="A36" s="8" t="s">
        <v>2220</v>
      </c>
      <c r="B36" s="8" t="s">
        <v>665</v>
      </c>
      <c r="C36" s="8" t="s">
        <v>2221</v>
      </c>
      <c r="D36" s="8" t="s">
        <v>419</v>
      </c>
      <c r="E36" s="8" t="s">
        <v>2222</v>
      </c>
      <c r="G36" s="63" t="s">
        <v>2223</v>
      </c>
    </row>
    <row r="37" customFormat="false" ht="99.75" hidden="false" customHeight="true" outlineLevel="0" collapsed="false">
      <c r="A37" s="7" t="s">
        <v>2224</v>
      </c>
      <c r="B37" s="7" t="s">
        <v>665</v>
      </c>
      <c r="C37" s="7" t="s">
        <v>2225</v>
      </c>
      <c r="D37" s="7" t="s">
        <v>1471</v>
      </c>
      <c r="E37" s="7" t="s">
        <v>2226</v>
      </c>
      <c r="G37" s="63" t="s">
        <v>2227</v>
      </c>
    </row>
    <row r="38" customFormat="false" ht="99.75" hidden="false" customHeight="true" outlineLevel="0" collapsed="false">
      <c r="A38" s="8" t="s">
        <v>2228</v>
      </c>
      <c r="B38" s="8" t="s">
        <v>665</v>
      </c>
      <c r="C38" s="8" t="s">
        <v>2229</v>
      </c>
      <c r="D38" s="8" t="s">
        <v>1501</v>
      </c>
      <c r="E38" s="8" t="s">
        <v>2230</v>
      </c>
      <c r="G38" s="63" t="s">
        <v>2231</v>
      </c>
    </row>
    <row r="39" customFormat="false" ht="120" hidden="false" customHeight="true" outlineLevel="0" collapsed="false">
      <c r="A39" s="7" t="s">
        <v>2232</v>
      </c>
      <c r="B39" s="7" t="s">
        <v>665</v>
      </c>
      <c r="C39" s="7" t="s">
        <v>2233</v>
      </c>
      <c r="D39" s="7" t="s">
        <v>447</v>
      </c>
      <c r="E39" s="7" t="s">
        <v>2234</v>
      </c>
      <c r="G39" s="63" t="s">
        <v>2235</v>
      </c>
    </row>
    <row r="40" customFormat="false" ht="120" hidden="false" customHeight="true" outlineLevel="0" collapsed="false">
      <c r="A40" s="8" t="s">
        <v>2236</v>
      </c>
      <c r="B40" s="8" t="s">
        <v>665</v>
      </c>
      <c r="C40" s="8" t="s">
        <v>2237</v>
      </c>
      <c r="D40" s="8" t="s">
        <v>700</v>
      </c>
      <c r="E40" s="8" t="s">
        <v>2238</v>
      </c>
      <c r="G40" s="63" t="s">
        <v>2239</v>
      </c>
    </row>
    <row r="41" customFormat="false" ht="120" hidden="false" customHeight="true" outlineLevel="0" collapsed="false">
      <c r="A41" s="7" t="s">
        <v>2240</v>
      </c>
      <c r="B41" s="7" t="s">
        <v>665</v>
      </c>
      <c r="C41" s="7" t="s">
        <v>2241</v>
      </c>
      <c r="D41" s="7" t="s">
        <v>2242</v>
      </c>
      <c r="E41" s="7" t="s">
        <v>2243</v>
      </c>
      <c r="G41" s="63" t="s">
        <v>2227</v>
      </c>
    </row>
    <row r="42" customFormat="false" ht="120" hidden="false" customHeight="true" outlineLevel="0" collapsed="false">
      <c r="A42" s="8" t="s">
        <v>2244</v>
      </c>
      <c r="B42" s="8" t="s">
        <v>665</v>
      </c>
      <c r="C42" s="8" t="s">
        <v>2245</v>
      </c>
      <c r="D42" s="8" t="s">
        <v>443</v>
      </c>
      <c r="E42" s="8" t="s">
        <v>2246</v>
      </c>
      <c r="G42" s="63" t="s">
        <v>2247</v>
      </c>
    </row>
    <row r="43" customFormat="false" ht="120" hidden="false" customHeight="true" outlineLevel="0" collapsed="false">
      <c r="A43" s="7" t="s">
        <v>2248</v>
      </c>
      <c r="B43" s="7" t="s">
        <v>665</v>
      </c>
      <c r="C43" s="7" t="s">
        <v>2249</v>
      </c>
      <c r="D43" s="7" t="s">
        <v>2250</v>
      </c>
      <c r="E43" s="7" t="s">
        <v>2251</v>
      </c>
      <c r="G43" s="63" t="s">
        <v>2252</v>
      </c>
    </row>
    <row r="44" customFormat="false" ht="120" hidden="false" customHeight="true" outlineLevel="0" collapsed="false">
      <c r="A44" s="8" t="s">
        <v>2253</v>
      </c>
      <c r="B44" s="8" t="s">
        <v>665</v>
      </c>
      <c r="C44" s="8" t="s">
        <v>2254</v>
      </c>
      <c r="D44" s="8" t="s">
        <v>451</v>
      </c>
      <c r="E44" s="8" t="s">
        <v>2255</v>
      </c>
      <c r="G44" s="63" t="s">
        <v>2256</v>
      </c>
    </row>
    <row r="45" customFormat="false" ht="120" hidden="false" customHeight="true" outlineLevel="0" collapsed="false">
      <c r="A45" s="7" t="s">
        <v>2257</v>
      </c>
      <c r="B45" s="7" t="s">
        <v>665</v>
      </c>
      <c r="C45" s="7" t="s">
        <v>2258</v>
      </c>
      <c r="D45" s="7" t="s">
        <v>2259</v>
      </c>
      <c r="E45" s="7" t="s">
        <v>2260</v>
      </c>
    </row>
  </sheetData>
  <autoFilter ref="A5:G45">
    <filterColumn colId="1">
      <filters>
        <filter val="CZĘŚCIOWO ROZSTRZYGNIĘTE"/>
        <filter val="CZĘŚCIOWO ROZSTRZYGNIĘTE V5"/>
        <filter val="DO DOPRECYZOWANIA"/>
        <filter val="DO USTALENIA"/>
        <filter val="DO USTALENIA — ŚREDNI"/>
        <filter val="DO USTALENIA — WYSOKI"/>
        <filter val="MODEL DO POTWIERDZENIA"/>
        <filter val="SZCZEGÓŁ NA PÓŹNIEJ"/>
        <filter val="WYJAŚNIENIE „NIEROZUMIEM”"/>
        <filter val="WYMAGANIE UI ROZSTRZYGNIĘTE V5"/>
      </filters>
    </filterColumn>
  </autoFilter>
  <mergeCells count="2">
    <mergeCell ref="A1:E1"/>
    <mergeCell ref="A2:E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70"/>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15" customHeight="false" zeroHeight="false" outlineLevelRow="0" outlineLevelCol="0"/>
  <cols>
    <col collapsed="false" customWidth="true" hidden="false" outlineLevel="0" max="1" min="1" style="14" width="13"/>
    <col collapsed="false" customWidth="true" hidden="false" outlineLevel="0" max="2" min="2" style="14" width="29"/>
    <col collapsed="false" customWidth="true" hidden="false" outlineLevel="0" max="3" min="3" style="14" width="53"/>
    <col collapsed="false" customWidth="true" hidden="false" outlineLevel="0" max="4" min="4" style="14" width="48"/>
    <col collapsed="false" customWidth="true" hidden="false" outlineLevel="0" max="6" min="5" style="14" width="115"/>
  </cols>
  <sheetData>
    <row r="1" customFormat="false" ht="33.75" hidden="false" customHeight="true" outlineLevel="0" collapsed="false">
      <c r="A1" s="44" t="s">
        <v>2261</v>
      </c>
      <c r="B1" s="44"/>
      <c r="C1" s="44"/>
      <c r="D1" s="44"/>
      <c r="E1" s="44"/>
      <c r="F1" s="44"/>
    </row>
    <row r="2" customFormat="false" ht="24.75" hidden="false" customHeight="true" outlineLevel="0" collapsed="false">
      <c r="A2" s="45" t="s">
        <v>2262</v>
      </c>
      <c r="B2" s="45"/>
      <c r="C2" s="45"/>
      <c r="D2" s="45"/>
      <c r="E2" s="45"/>
      <c r="F2" s="45"/>
    </row>
    <row r="3" customFormat="false" ht="24.75" hidden="false" customHeight="true" outlineLevel="0" collapsed="false">
      <c r="A3" s="45"/>
      <c r="B3" s="45"/>
      <c r="C3" s="45"/>
      <c r="D3" s="45"/>
      <c r="E3" s="45"/>
      <c r="F3" s="45"/>
    </row>
    <row r="5" customFormat="false" ht="48" hidden="false" customHeight="true" outlineLevel="0" collapsed="false">
      <c r="A5" s="11" t="s">
        <v>97</v>
      </c>
      <c r="B5" s="11" t="s">
        <v>2</v>
      </c>
      <c r="C5" s="11" t="s">
        <v>2263</v>
      </c>
      <c r="D5" s="11" t="s">
        <v>322</v>
      </c>
      <c r="E5" s="11" t="s">
        <v>567</v>
      </c>
      <c r="F5" s="11" t="s">
        <v>100</v>
      </c>
    </row>
    <row r="6" customFormat="false" ht="99.75" hidden="false" customHeight="true" outlineLevel="0" collapsed="false">
      <c r="A6" s="8" t="s">
        <v>2264</v>
      </c>
      <c r="B6" s="8" t="s">
        <v>107</v>
      </c>
      <c r="C6" s="8" t="s">
        <v>103</v>
      </c>
      <c r="D6" s="8" t="s">
        <v>1822</v>
      </c>
      <c r="E6" s="8" t="s">
        <v>2265</v>
      </c>
      <c r="F6" s="8" t="s">
        <v>2266</v>
      </c>
    </row>
    <row r="7" customFormat="false" ht="99.75" hidden="false" customHeight="true" outlineLevel="0" collapsed="false">
      <c r="A7" s="7" t="s">
        <v>2267</v>
      </c>
      <c r="B7" s="7" t="s">
        <v>107</v>
      </c>
      <c r="C7" s="7" t="s">
        <v>2268</v>
      </c>
      <c r="D7" s="7" t="s">
        <v>2269</v>
      </c>
      <c r="E7" s="7" t="s">
        <v>2270</v>
      </c>
      <c r="F7" s="7" t="s">
        <v>2271</v>
      </c>
    </row>
    <row r="8" customFormat="false" ht="99.75" hidden="false" customHeight="true" outlineLevel="0" collapsed="false">
      <c r="A8" s="8" t="s">
        <v>2272</v>
      </c>
      <c r="B8" s="8" t="s">
        <v>107</v>
      </c>
      <c r="C8" s="8" t="s">
        <v>103</v>
      </c>
      <c r="D8" s="8" t="s">
        <v>1822</v>
      </c>
      <c r="E8" s="8" t="s">
        <v>2273</v>
      </c>
      <c r="F8" s="8" t="s">
        <v>2274</v>
      </c>
    </row>
    <row r="9" customFormat="false" ht="99.75" hidden="false" customHeight="true" outlineLevel="0" collapsed="false">
      <c r="A9" s="7" t="s">
        <v>2275</v>
      </c>
      <c r="B9" s="7" t="s">
        <v>2276</v>
      </c>
      <c r="C9" s="7" t="s">
        <v>475</v>
      </c>
      <c r="D9" s="7" t="s">
        <v>1822</v>
      </c>
      <c r="E9" s="7" t="s">
        <v>2277</v>
      </c>
      <c r="F9" s="7" t="s">
        <v>2278</v>
      </c>
    </row>
    <row r="10" customFormat="false" ht="99.75" hidden="false" customHeight="true" outlineLevel="0" collapsed="false">
      <c r="A10" s="8" t="s">
        <v>2279</v>
      </c>
      <c r="B10" s="8" t="s">
        <v>2276</v>
      </c>
      <c r="C10" s="8" t="s">
        <v>103</v>
      </c>
      <c r="D10" s="8" t="s">
        <v>1822</v>
      </c>
      <c r="E10" s="8" t="s">
        <v>2280</v>
      </c>
      <c r="F10" s="8" t="s">
        <v>2281</v>
      </c>
    </row>
    <row r="11" customFormat="false" ht="99.75" hidden="false" customHeight="true" outlineLevel="0" collapsed="false">
      <c r="A11" s="7" t="s">
        <v>2282</v>
      </c>
      <c r="B11" s="7" t="s">
        <v>2283</v>
      </c>
      <c r="C11" s="7" t="s">
        <v>475</v>
      </c>
      <c r="D11" s="7" t="s">
        <v>1822</v>
      </c>
      <c r="E11" s="7" t="s">
        <v>2284</v>
      </c>
      <c r="F11" s="7" t="s">
        <v>2285</v>
      </c>
    </row>
    <row r="12" customFormat="false" ht="99.75" hidden="false" customHeight="true" outlineLevel="0" collapsed="false">
      <c r="A12" s="8" t="s">
        <v>2286</v>
      </c>
      <c r="B12" s="8" t="s">
        <v>2287</v>
      </c>
      <c r="C12" s="8" t="s">
        <v>486</v>
      </c>
      <c r="D12" s="8" t="s">
        <v>1822</v>
      </c>
      <c r="E12" s="8" t="s">
        <v>2288</v>
      </c>
      <c r="F12" s="8" t="s">
        <v>2289</v>
      </c>
    </row>
    <row r="13" customFormat="false" ht="99.75" hidden="false" customHeight="true" outlineLevel="0" collapsed="false">
      <c r="A13" s="7" t="s">
        <v>2290</v>
      </c>
      <c r="B13" s="7" t="s">
        <v>2287</v>
      </c>
      <c r="C13" s="7" t="s">
        <v>2291</v>
      </c>
      <c r="D13" s="7" t="s">
        <v>1822</v>
      </c>
      <c r="E13" s="7" t="s">
        <v>2292</v>
      </c>
      <c r="F13" s="7" t="s">
        <v>2293</v>
      </c>
    </row>
    <row r="14" customFormat="false" ht="99.75" hidden="false" customHeight="true" outlineLevel="0" collapsed="false">
      <c r="A14" s="8" t="s">
        <v>2294</v>
      </c>
      <c r="B14" s="8" t="s">
        <v>2287</v>
      </c>
      <c r="C14" s="8" t="s">
        <v>2291</v>
      </c>
      <c r="D14" s="8" t="s">
        <v>1822</v>
      </c>
      <c r="E14" s="8" t="s">
        <v>2295</v>
      </c>
      <c r="F14" s="8" t="s">
        <v>2296</v>
      </c>
    </row>
    <row r="15" customFormat="false" ht="99.75" hidden="false" customHeight="true" outlineLevel="0" collapsed="false">
      <c r="A15" s="7" t="s">
        <v>2297</v>
      </c>
      <c r="B15" s="7" t="s">
        <v>2298</v>
      </c>
      <c r="C15" s="7" t="s">
        <v>2299</v>
      </c>
      <c r="D15" s="7" t="s">
        <v>2300</v>
      </c>
      <c r="E15" s="7" t="s">
        <v>2301</v>
      </c>
      <c r="F15" s="7" t="s">
        <v>2302</v>
      </c>
    </row>
    <row r="16" customFormat="false" ht="99.75" hidden="false" customHeight="true" outlineLevel="0" collapsed="false">
      <c r="A16" s="8" t="s">
        <v>2303</v>
      </c>
      <c r="B16" s="8" t="s">
        <v>2298</v>
      </c>
      <c r="C16" s="8" t="s">
        <v>2299</v>
      </c>
      <c r="D16" s="8" t="s">
        <v>2304</v>
      </c>
      <c r="E16" s="8" t="s">
        <v>2305</v>
      </c>
      <c r="F16" s="8" t="s">
        <v>2306</v>
      </c>
    </row>
    <row r="17" customFormat="false" ht="99.75" hidden="false" customHeight="true" outlineLevel="0" collapsed="false">
      <c r="A17" s="7" t="s">
        <v>2307</v>
      </c>
      <c r="B17" s="7" t="s">
        <v>2308</v>
      </c>
      <c r="C17" s="7" t="s">
        <v>2268</v>
      </c>
      <c r="D17" s="7" t="s">
        <v>1822</v>
      </c>
      <c r="E17" s="7" t="s">
        <v>2309</v>
      </c>
      <c r="F17" s="7" t="s">
        <v>2310</v>
      </c>
    </row>
    <row r="18" customFormat="false" ht="99.75" hidden="false" customHeight="true" outlineLevel="0" collapsed="false">
      <c r="A18" s="8" t="s">
        <v>2311</v>
      </c>
      <c r="B18" s="8" t="s">
        <v>2312</v>
      </c>
      <c r="C18" s="8" t="s">
        <v>2268</v>
      </c>
      <c r="D18" s="8" t="s">
        <v>1822</v>
      </c>
      <c r="E18" s="8" t="s">
        <v>2313</v>
      </c>
      <c r="F18" s="8" t="s">
        <v>2314</v>
      </c>
    </row>
    <row r="19" customFormat="false" ht="99.75" hidden="false" customHeight="true" outlineLevel="0" collapsed="false">
      <c r="A19" s="7" t="s">
        <v>2315</v>
      </c>
      <c r="B19" s="7" t="s">
        <v>2316</v>
      </c>
      <c r="C19" s="7" t="s">
        <v>2268</v>
      </c>
      <c r="D19" s="7" t="s">
        <v>2300</v>
      </c>
      <c r="E19" s="7" t="s">
        <v>2317</v>
      </c>
      <c r="F19" s="7" t="s">
        <v>2318</v>
      </c>
    </row>
    <row r="20" customFormat="false" ht="99.75" hidden="false" customHeight="true" outlineLevel="0" collapsed="false">
      <c r="A20" s="8" t="s">
        <v>2319</v>
      </c>
      <c r="B20" s="8" t="s">
        <v>2320</v>
      </c>
      <c r="C20" s="8" t="s">
        <v>2268</v>
      </c>
      <c r="D20" s="8" t="s">
        <v>2304</v>
      </c>
      <c r="E20" s="8" t="s">
        <v>2321</v>
      </c>
      <c r="F20" s="8" t="s">
        <v>2322</v>
      </c>
    </row>
    <row r="21" customFormat="false" ht="99.75" hidden="false" customHeight="true" outlineLevel="0" collapsed="false">
      <c r="A21" s="7" t="s">
        <v>2323</v>
      </c>
      <c r="B21" s="7" t="s">
        <v>120</v>
      </c>
      <c r="C21" s="7" t="s">
        <v>2324</v>
      </c>
      <c r="D21" s="7" t="s">
        <v>1800</v>
      </c>
      <c r="E21" s="7" t="s">
        <v>2325</v>
      </c>
      <c r="F21" s="7" t="s">
        <v>2326</v>
      </c>
    </row>
    <row r="22" customFormat="false" ht="99.75" hidden="false" customHeight="true" outlineLevel="0" collapsed="false">
      <c r="A22" s="8" t="s">
        <v>2327</v>
      </c>
      <c r="B22" s="8" t="s">
        <v>120</v>
      </c>
      <c r="C22" s="8" t="s">
        <v>2328</v>
      </c>
      <c r="D22" s="8" t="s">
        <v>1822</v>
      </c>
      <c r="E22" s="8" t="s">
        <v>2329</v>
      </c>
      <c r="F22" s="8" t="s">
        <v>2330</v>
      </c>
    </row>
    <row r="23" customFormat="false" ht="99.75" hidden="false" customHeight="true" outlineLevel="0" collapsed="false">
      <c r="A23" s="7" t="s">
        <v>2331</v>
      </c>
      <c r="B23" s="7" t="s">
        <v>2332</v>
      </c>
      <c r="C23" s="7" t="s">
        <v>494</v>
      </c>
      <c r="D23" s="7" t="s">
        <v>1822</v>
      </c>
      <c r="E23" s="7" t="s">
        <v>2333</v>
      </c>
      <c r="F23" s="7" t="s">
        <v>2334</v>
      </c>
    </row>
    <row r="24" customFormat="false" ht="99.75" hidden="false" customHeight="true" outlineLevel="0" collapsed="false">
      <c r="A24" s="8" t="s">
        <v>2335</v>
      </c>
      <c r="B24" s="8" t="s">
        <v>605</v>
      </c>
      <c r="C24" s="8" t="s">
        <v>502</v>
      </c>
      <c r="D24" s="8" t="s">
        <v>1822</v>
      </c>
      <c r="E24" s="8" t="s">
        <v>2336</v>
      </c>
      <c r="F24" s="8" t="s">
        <v>2337</v>
      </c>
    </row>
    <row r="25" customFormat="false" ht="99.75" hidden="false" customHeight="true" outlineLevel="0" collapsed="false">
      <c r="A25" s="7" t="s">
        <v>2338</v>
      </c>
      <c r="B25" s="7" t="s">
        <v>605</v>
      </c>
      <c r="C25" s="7" t="s">
        <v>510</v>
      </c>
      <c r="D25" s="7" t="s">
        <v>1822</v>
      </c>
      <c r="E25" s="7" t="s">
        <v>2339</v>
      </c>
      <c r="F25" s="7" t="s">
        <v>2337</v>
      </c>
    </row>
    <row r="26" customFormat="false" ht="99.75" hidden="false" customHeight="true" outlineLevel="0" collapsed="false">
      <c r="A26" s="8" t="s">
        <v>2340</v>
      </c>
      <c r="B26" s="8" t="s">
        <v>2332</v>
      </c>
      <c r="C26" s="8" t="s">
        <v>2341</v>
      </c>
      <c r="D26" s="8" t="s">
        <v>1822</v>
      </c>
      <c r="E26" s="8" t="s">
        <v>2342</v>
      </c>
      <c r="F26" s="8" t="s">
        <v>2343</v>
      </c>
    </row>
    <row r="27" customFormat="false" ht="99.75" hidden="false" customHeight="true" outlineLevel="0" collapsed="false">
      <c r="A27" s="7" t="s">
        <v>2344</v>
      </c>
      <c r="B27" s="7" t="s">
        <v>2345</v>
      </c>
      <c r="C27" s="7" t="s">
        <v>2324</v>
      </c>
      <c r="D27" s="7" t="s">
        <v>1822</v>
      </c>
      <c r="E27" s="7" t="s">
        <v>2346</v>
      </c>
      <c r="F27" s="7" t="s">
        <v>2347</v>
      </c>
    </row>
    <row r="28" customFormat="false" ht="99.75" hidden="false" customHeight="true" outlineLevel="0" collapsed="false">
      <c r="A28" s="8" t="s">
        <v>2348</v>
      </c>
      <c r="B28" s="8" t="s">
        <v>2349</v>
      </c>
      <c r="C28" s="8" t="s">
        <v>2350</v>
      </c>
      <c r="D28" s="8" t="s">
        <v>1822</v>
      </c>
      <c r="E28" s="8" t="s">
        <v>2351</v>
      </c>
      <c r="F28" s="8" t="s">
        <v>2352</v>
      </c>
    </row>
    <row r="29" customFormat="false" ht="99.75" hidden="false" customHeight="true" outlineLevel="0" collapsed="false">
      <c r="A29" s="7" t="s">
        <v>2353</v>
      </c>
      <c r="B29" s="7" t="s">
        <v>2349</v>
      </c>
      <c r="C29" s="7" t="s">
        <v>2350</v>
      </c>
      <c r="D29" s="7" t="s">
        <v>2354</v>
      </c>
      <c r="E29" s="7" t="s">
        <v>447</v>
      </c>
      <c r="F29" s="7" t="s">
        <v>2355</v>
      </c>
    </row>
    <row r="30" customFormat="false" ht="99.75" hidden="false" customHeight="true" outlineLevel="0" collapsed="false">
      <c r="A30" s="8" t="s">
        <v>2356</v>
      </c>
      <c r="B30" s="8" t="s">
        <v>468</v>
      </c>
      <c r="C30" s="8" t="s">
        <v>2357</v>
      </c>
      <c r="D30" s="8" t="s">
        <v>2358</v>
      </c>
      <c r="E30" s="8" t="s">
        <v>2359</v>
      </c>
      <c r="F30" s="8" t="s">
        <v>2360</v>
      </c>
    </row>
    <row r="31" customFormat="false" ht="99.75" hidden="false" customHeight="true" outlineLevel="0" collapsed="false">
      <c r="A31" s="7" t="s">
        <v>2361</v>
      </c>
      <c r="B31" s="7" t="s">
        <v>518</v>
      </c>
      <c r="C31" s="7" t="s">
        <v>518</v>
      </c>
      <c r="D31" s="7" t="s">
        <v>1822</v>
      </c>
      <c r="E31" s="7" t="s">
        <v>2362</v>
      </c>
      <c r="F31" s="7" t="s">
        <v>2363</v>
      </c>
    </row>
    <row r="32" customFormat="false" ht="99.75" hidden="false" customHeight="true" outlineLevel="0" collapsed="false">
      <c r="A32" s="8" t="s">
        <v>2364</v>
      </c>
      <c r="B32" s="8" t="s">
        <v>518</v>
      </c>
      <c r="C32" s="8" t="s">
        <v>518</v>
      </c>
      <c r="D32" s="8" t="s">
        <v>1822</v>
      </c>
      <c r="E32" s="8" t="s">
        <v>2365</v>
      </c>
      <c r="F32" s="8" t="s">
        <v>2366</v>
      </c>
    </row>
    <row r="33" customFormat="false" ht="99.75" hidden="false" customHeight="true" outlineLevel="0" collapsed="false">
      <c r="A33" s="7" t="s">
        <v>2367</v>
      </c>
      <c r="B33" s="7" t="s">
        <v>24</v>
      </c>
      <c r="C33" s="7" t="s">
        <v>518</v>
      </c>
      <c r="D33" s="7" t="s">
        <v>2300</v>
      </c>
      <c r="E33" s="7" t="s">
        <v>2368</v>
      </c>
      <c r="F33" s="7" t="s">
        <v>2369</v>
      </c>
    </row>
    <row r="34" customFormat="false" ht="99.75" hidden="false" customHeight="true" outlineLevel="0" collapsed="false">
      <c r="A34" s="8" t="s">
        <v>2370</v>
      </c>
      <c r="B34" s="8" t="s">
        <v>24</v>
      </c>
      <c r="C34" s="8" t="s">
        <v>518</v>
      </c>
      <c r="D34" s="8" t="s">
        <v>2371</v>
      </c>
      <c r="E34" s="8" t="s">
        <v>2372</v>
      </c>
      <c r="F34" s="8" t="s">
        <v>2373</v>
      </c>
    </row>
    <row r="35" customFormat="false" ht="99.75" hidden="false" customHeight="true" outlineLevel="0" collapsed="false">
      <c r="A35" s="7" t="s">
        <v>2374</v>
      </c>
      <c r="B35" s="7" t="s">
        <v>24</v>
      </c>
      <c r="C35" s="7" t="s">
        <v>2375</v>
      </c>
      <c r="D35" s="7" t="s">
        <v>2300</v>
      </c>
      <c r="E35" s="7" t="s">
        <v>2376</v>
      </c>
      <c r="F35" s="7" t="s">
        <v>2377</v>
      </c>
    </row>
    <row r="36" customFormat="false" ht="99.75" hidden="false" customHeight="true" outlineLevel="0" collapsed="false">
      <c r="A36" s="8" t="s">
        <v>2378</v>
      </c>
      <c r="B36" s="8" t="s">
        <v>585</v>
      </c>
      <c r="C36" s="8" t="s">
        <v>2379</v>
      </c>
      <c r="D36" s="8" t="s">
        <v>1822</v>
      </c>
      <c r="E36" s="8" t="s">
        <v>2380</v>
      </c>
      <c r="F36" s="8" t="s">
        <v>2381</v>
      </c>
    </row>
    <row r="37" customFormat="false" ht="99.75" hidden="false" customHeight="true" outlineLevel="0" collapsed="false">
      <c r="A37" s="7" t="s">
        <v>2382</v>
      </c>
      <c r="B37" s="7" t="s">
        <v>2383</v>
      </c>
      <c r="C37" s="7" t="s">
        <v>2384</v>
      </c>
      <c r="D37" s="7" t="s">
        <v>2300</v>
      </c>
      <c r="E37" s="7" t="s">
        <v>2385</v>
      </c>
      <c r="F37" s="7" t="s">
        <v>2386</v>
      </c>
    </row>
    <row r="38" customFormat="false" ht="99.75" hidden="false" customHeight="true" outlineLevel="0" collapsed="false">
      <c r="A38" s="8" t="s">
        <v>2387</v>
      </c>
      <c r="B38" s="8" t="s">
        <v>2383</v>
      </c>
      <c r="C38" s="8" t="s">
        <v>2388</v>
      </c>
      <c r="D38" s="8" t="s">
        <v>2389</v>
      </c>
      <c r="E38" s="8" t="s">
        <v>2390</v>
      </c>
      <c r="F38" s="8" t="s">
        <v>2391</v>
      </c>
    </row>
    <row r="39" customFormat="false" ht="99.75" hidden="false" customHeight="true" outlineLevel="0" collapsed="false">
      <c r="A39" s="7" t="s">
        <v>2392</v>
      </c>
      <c r="B39" s="7" t="s">
        <v>250</v>
      </c>
      <c r="C39" s="7" t="s">
        <v>2268</v>
      </c>
      <c r="D39" s="7" t="s">
        <v>1822</v>
      </c>
      <c r="E39" s="7" t="s">
        <v>2393</v>
      </c>
      <c r="F39" s="7" t="s">
        <v>2394</v>
      </c>
    </row>
    <row r="40" customFormat="false" ht="99.75" hidden="false" customHeight="true" outlineLevel="0" collapsed="false">
      <c r="A40" s="8" t="s">
        <v>2395</v>
      </c>
      <c r="B40" s="8" t="s">
        <v>250</v>
      </c>
      <c r="C40" s="8" t="s">
        <v>2268</v>
      </c>
      <c r="D40" s="8" t="s">
        <v>2354</v>
      </c>
      <c r="E40" s="8" t="s">
        <v>2396</v>
      </c>
      <c r="F40" s="8" t="s">
        <v>2355</v>
      </c>
    </row>
    <row r="41" customFormat="false" ht="99.75" hidden="false" customHeight="true" outlineLevel="0" collapsed="false">
      <c r="A41" s="7" t="s">
        <v>2397</v>
      </c>
      <c r="B41" s="7" t="s">
        <v>250</v>
      </c>
      <c r="C41" s="7" t="s">
        <v>2268</v>
      </c>
      <c r="D41" s="7" t="s">
        <v>1822</v>
      </c>
      <c r="E41" s="7" t="s">
        <v>2398</v>
      </c>
      <c r="F41" s="7" t="s">
        <v>2399</v>
      </c>
    </row>
    <row r="42" customFormat="false" ht="99.75" hidden="false" customHeight="true" outlineLevel="0" collapsed="false">
      <c r="A42" s="8" t="s">
        <v>2400</v>
      </c>
      <c r="B42" s="8" t="s">
        <v>250</v>
      </c>
      <c r="C42" s="8" t="s">
        <v>2268</v>
      </c>
      <c r="D42" s="8" t="s">
        <v>1822</v>
      </c>
      <c r="E42" s="8" t="s">
        <v>2401</v>
      </c>
      <c r="F42" s="8" t="s">
        <v>2402</v>
      </c>
    </row>
    <row r="43" customFormat="false" ht="99.75" hidden="false" customHeight="true" outlineLevel="0" collapsed="false">
      <c r="A43" s="7" t="s">
        <v>2403</v>
      </c>
      <c r="B43" s="7" t="s">
        <v>250</v>
      </c>
      <c r="C43" s="7" t="s">
        <v>2268</v>
      </c>
      <c r="D43" s="7" t="s">
        <v>1822</v>
      </c>
      <c r="E43" s="7" t="s">
        <v>2404</v>
      </c>
      <c r="F43" s="7" t="s">
        <v>2405</v>
      </c>
    </row>
    <row r="44" customFormat="false" ht="99.75" hidden="false" customHeight="true" outlineLevel="0" collapsed="false">
      <c r="A44" s="8" t="s">
        <v>2406</v>
      </c>
      <c r="B44" s="8" t="s">
        <v>250</v>
      </c>
      <c r="C44" s="8" t="s">
        <v>2268</v>
      </c>
      <c r="D44" s="8" t="s">
        <v>1822</v>
      </c>
      <c r="E44" s="8" t="s">
        <v>2407</v>
      </c>
      <c r="F44" s="8" t="s">
        <v>2408</v>
      </c>
    </row>
    <row r="45" customFormat="false" ht="99.75" hidden="false" customHeight="true" outlineLevel="0" collapsed="false">
      <c r="A45" s="7" t="s">
        <v>2409</v>
      </c>
      <c r="B45" s="7" t="s">
        <v>644</v>
      </c>
      <c r="C45" s="7" t="s">
        <v>2268</v>
      </c>
      <c r="D45" s="7" t="s">
        <v>2354</v>
      </c>
      <c r="E45" s="7" t="s">
        <v>2410</v>
      </c>
      <c r="F45" s="7" t="s">
        <v>2355</v>
      </c>
    </row>
    <row r="46" customFormat="false" ht="99.75" hidden="false" customHeight="true" outlineLevel="0" collapsed="false">
      <c r="A46" s="8" t="s">
        <v>2411</v>
      </c>
      <c r="B46" s="8" t="s">
        <v>2107</v>
      </c>
      <c r="C46" s="8" t="s">
        <v>2412</v>
      </c>
      <c r="D46" s="8" t="s">
        <v>2354</v>
      </c>
      <c r="E46" s="8" t="s">
        <v>2413</v>
      </c>
      <c r="F46" s="8" t="s">
        <v>2355</v>
      </c>
    </row>
    <row r="47" customFormat="false" ht="99.75" hidden="false" customHeight="true" outlineLevel="0" collapsed="false">
      <c r="A47" s="7" t="s">
        <v>2414</v>
      </c>
      <c r="B47" s="7" t="s">
        <v>146</v>
      </c>
      <c r="C47" s="7" t="s">
        <v>2415</v>
      </c>
      <c r="D47" s="7" t="s">
        <v>2354</v>
      </c>
      <c r="E47" s="7" t="s">
        <v>2416</v>
      </c>
      <c r="F47" s="7" t="s">
        <v>2355</v>
      </c>
    </row>
    <row r="48" customFormat="false" ht="99.75" hidden="false" customHeight="true" outlineLevel="0" collapsed="false">
      <c r="A48" s="8" t="s">
        <v>2417</v>
      </c>
      <c r="B48" s="8" t="s">
        <v>146</v>
      </c>
      <c r="C48" s="8" t="s">
        <v>2418</v>
      </c>
      <c r="D48" s="8" t="s">
        <v>1822</v>
      </c>
      <c r="E48" s="8" t="s">
        <v>2419</v>
      </c>
      <c r="F48" s="8" t="s">
        <v>2420</v>
      </c>
    </row>
    <row r="49" customFormat="false" ht="99.75" hidden="false" customHeight="true" outlineLevel="0" collapsed="false">
      <c r="A49" s="7" t="s">
        <v>2421</v>
      </c>
      <c r="B49" s="7" t="s">
        <v>2422</v>
      </c>
      <c r="C49" s="7" t="s">
        <v>2268</v>
      </c>
      <c r="D49" s="7" t="s">
        <v>1822</v>
      </c>
      <c r="E49" s="7" t="s">
        <v>2423</v>
      </c>
      <c r="F49" s="7" t="s">
        <v>2424</v>
      </c>
    </row>
    <row r="50" customFormat="false" ht="99.75" hidden="false" customHeight="true" outlineLevel="0" collapsed="false">
      <c r="A50" s="8" t="s">
        <v>2425</v>
      </c>
      <c r="B50" s="8" t="s">
        <v>2426</v>
      </c>
      <c r="C50" s="8" t="s">
        <v>2415</v>
      </c>
      <c r="D50" s="8" t="s">
        <v>1822</v>
      </c>
      <c r="E50" s="8" t="s">
        <v>2427</v>
      </c>
      <c r="F50" s="8" t="s">
        <v>2428</v>
      </c>
    </row>
    <row r="51" customFormat="false" ht="99.75" hidden="false" customHeight="true" outlineLevel="0" collapsed="false">
      <c r="A51" s="7" t="s">
        <v>2429</v>
      </c>
      <c r="B51" s="7" t="s">
        <v>2426</v>
      </c>
      <c r="C51" s="7" t="s">
        <v>2268</v>
      </c>
      <c r="D51" s="7" t="s">
        <v>1822</v>
      </c>
      <c r="E51" s="7" t="s">
        <v>2430</v>
      </c>
      <c r="F51" s="7" t="s">
        <v>2431</v>
      </c>
    </row>
    <row r="52" customFormat="false" ht="99.75" hidden="false" customHeight="true" outlineLevel="0" collapsed="false">
      <c r="A52" s="8" t="s">
        <v>2432</v>
      </c>
      <c r="B52" s="8" t="s">
        <v>2426</v>
      </c>
      <c r="C52" s="8" t="s">
        <v>2268</v>
      </c>
      <c r="D52" s="8" t="s">
        <v>1822</v>
      </c>
      <c r="E52" s="8" t="s">
        <v>2433</v>
      </c>
      <c r="F52" s="8" t="s">
        <v>2434</v>
      </c>
    </row>
    <row r="53" customFormat="false" ht="99.75" hidden="false" customHeight="true" outlineLevel="0" collapsed="false">
      <c r="A53" s="7" t="s">
        <v>2435</v>
      </c>
      <c r="B53" s="7" t="s">
        <v>2426</v>
      </c>
      <c r="C53" s="7" t="s">
        <v>2415</v>
      </c>
      <c r="D53" s="7" t="s">
        <v>1822</v>
      </c>
      <c r="E53" s="7" t="s">
        <v>2436</v>
      </c>
      <c r="F53" s="7" t="s">
        <v>2437</v>
      </c>
    </row>
    <row r="54" customFormat="false" ht="99.75" hidden="false" customHeight="true" outlineLevel="0" collapsed="false">
      <c r="A54" s="8" t="s">
        <v>2438</v>
      </c>
      <c r="B54" s="8" t="s">
        <v>731</v>
      </c>
      <c r="C54" s="8" t="s">
        <v>103</v>
      </c>
      <c r="D54" s="8" t="s">
        <v>2354</v>
      </c>
      <c r="E54" s="8" t="s">
        <v>2439</v>
      </c>
      <c r="F54" s="8" t="s">
        <v>2355</v>
      </c>
    </row>
    <row r="55" customFormat="false" ht="99.75" hidden="false" customHeight="true" outlineLevel="0" collapsed="false">
      <c r="A55" s="7" t="s">
        <v>2440</v>
      </c>
      <c r="B55" s="7" t="s">
        <v>525</v>
      </c>
      <c r="C55" s="7" t="s">
        <v>525</v>
      </c>
      <c r="D55" s="7" t="s">
        <v>1822</v>
      </c>
      <c r="E55" s="7" t="s">
        <v>2441</v>
      </c>
      <c r="F55" s="7" t="s">
        <v>2442</v>
      </c>
    </row>
    <row r="56" customFormat="false" ht="99.75" hidden="false" customHeight="true" outlineLevel="0" collapsed="false">
      <c r="A56" s="8" t="s">
        <v>2443</v>
      </c>
      <c r="B56" s="8" t="s">
        <v>525</v>
      </c>
      <c r="C56" s="8" t="s">
        <v>525</v>
      </c>
      <c r="D56" s="8" t="s">
        <v>1822</v>
      </c>
      <c r="E56" s="8" t="s">
        <v>2444</v>
      </c>
      <c r="F56" s="8" t="s">
        <v>2445</v>
      </c>
    </row>
    <row r="57" customFormat="false" ht="99.75" hidden="false" customHeight="true" outlineLevel="0" collapsed="false">
      <c r="A57" s="7" t="s">
        <v>2446</v>
      </c>
      <c r="B57" s="7" t="s">
        <v>525</v>
      </c>
      <c r="C57" s="7" t="s">
        <v>525</v>
      </c>
      <c r="D57" s="7" t="s">
        <v>1822</v>
      </c>
      <c r="E57" s="7" t="s">
        <v>2447</v>
      </c>
      <c r="F57" s="7" t="s">
        <v>2448</v>
      </c>
    </row>
    <row r="58" customFormat="false" ht="99.75" hidden="false" customHeight="true" outlineLevel="0" collapsed="false">
      <c r="A58" s="8" t="s">
        <v>2449</v>
      </c>
      <c r="B58" s="8" t="s">
        <v>525</v>
      </c>
      <c r="C58" s="8" t="s">
        <v>525</v>
      </c>
      <c r="D58" s="8" t="s">
        <v>1822</v>
      </c>
      <c r="E58" s="8" t="s">
        <v>2450</v>
      </c>
      <c r="F58" s="8" t="s">
        <v>2451</v>
      </c>
    </row>
    <row r="59" customFormat="false" ht="99.75" hidden="false" customHeight="true" outlineLevel="0" collapsed="false">
      <c r="A59" s="7" t="s">
        <v>2452</v>
      </c>
      <c r="B59" s="7" t="s">
        <v>525</v>
      </c>
      <c r="C59" s="7" t="s">
        <v>2453</v>
      </c>
      <c r="D59" s="7" t="s">
        <v>2300</v>
      </c>
      <c r="E59" s="7" t="s">
        <v>2454</v>
      </c>
      <c r="F59" s="7" t="s">
        <v>2455</v>
      </c>
    </row>
    <row r="60" customFormat="false" ht="99.75" hidden="false" customHeight="true" outlineLevel="0" collapsed="false">
      <c r="A60" s="8" t="s">
        <v>2456</v>
      </c>
      <c r="B60" s="8" t="s">
        <v>525</v>
      </c>
      <c r="C60" s="8" t="s">
        <v>2453</v>
      </c>
      <c r="D60" s="8" t="s">
        <v>2300</v>
      </c>
      <c r="E60" s="8" t="s">
        <v>2457</v>
      </c>
      <c r="F60" s="8" t="s">
        <v>2458</v>
      </c>
    </row>
    <row r="61" customFormat="false" ht="99.75" hidden="false" customHeight="true" outlineLevel="0" collapsed="false">
      <c r="A61" s="7" t="s">
        <v>2459</v>
      </c>
      <c r="B61" s="7" t="s">
        <v>536</v>
      </c>
      <c r="C61" s="7" t="s">
        <v>536</v>
      </c>
      <c r="D61" s="7" t="s">
        <v>1822</v>
      </c>
      <c r="E61" s="7" t="s">
        <v>2460</v>
      </c>
      <c r="F61" s="7" t="s">
        <v>2461</v>
      </c>
    </row>
    <row r="62" customFormat="false" ht="99.75" hidden="false" customHeight="true" outlineLevel="0" collapsed="false">
      <c r="A62" s="8" t="s">
        <v>2462</v>
      </c>
      <c r="B62" s="8" t="s">
        <v>2463</v>
      </c>
      <c r="C62" s="8" t="s">
        <v>2464</v>
      </c>
      <c r="D62" s="8" t="s">
        <v>2354</v>
      </c>
      <c r="E62" s="8" t="s">
        <v>2465</v>
      </c>
      <c r="F62" s="8" t="s">
        <v>2355</v>
      </c>
    </row>
    <row r="63" customFormat="false" ht="99.75" hidden="false" customHeight="true" outlineLevel="0" collapsed="false">
      <c r="A63" s="7" t="s">
        <v>2466</v>
      </c>
      <c r="B63" s="7" t="s">
        <v>2463</v>
      </c>
      <c r="C63" s="7" t="s">
        <v>2467</v>
      </c>
      <c r="D63" s="7" t="s">
        <v>1258</v>
      </c>
      <c r="E63" s="7" t="s">
        <v>2468</v>
      </c>
      <c r="F63" s="7" t="s">
        <v>2469</v>
      </c>
    </row>
    <row r="64" customFormat="false" ht="99.75" hidden="false" customHeight="true" outlineLevel="0" collapsed="false">
      <c r="A64" s="8" t="s">
        <v>2470</v>
      </c>
      <c r="B64" s="8" t="s">
        <v>2471</v>
      </c>
      <c r="C64" s="8" t="s">
        <v>2467</v>
      </c>
      <c r="D64" s="8" t="s">
        <v>1258</v>
      </c>
      <c r="E64" s="8" t="s">
        <v>2472</v>
      </c>
      <c r="F64" s="8" t="s">
        <v>2473</v>
      </c>
    </row>
    <row r="65" customFormat="false" ht="99.75" hidden="false" customHeight="true" outlineLevel="0" collapsed="false">
      <c r="A65" s="7" t="s">
        <v>2474</v>
      </c>
      <c r="B65" s="7" t="s">
        <v>2475</v>
      </c>
      <c r="C65" s="7" t="s">
        <v>2299</v>
      </c>
      <c r="D65" s="7" t="s">
        <v>2476</v>
      </c>
      <c r="E65" s="7" t="s">
        <v>2477</v>
      </c>
      <c r="F65" s="7" t="s">
        <v>2478</v>
      </c>
    </row>
    <row r="66" customFormat="false" ht="99.75" hidden="false" customHeight="true" outlineLevel="0" collapsed="false">
      <c r="A66" s="8" t="s">
        <v>2479</v>
      </c>
      <c r="B66" s="8" t="s">
        <v>2480</v>
      </c>
      <c r="C66" s="8" t="s">
        <v>2324</v>
      </c>
      <c r="D66" s="8" t="s">
        <v>2481</v>
      </c>
      <c r="E66" s="8" t="s">
        <v>2482</v>
      </c>
      <c r="F66" s="8" t="s">
        <v>2483</v>
      </c>
    </row>
    <row r="67" customFormat="false" ht="99.75" hidden="false" customHeight="true" outlineLevel="0" collapsed="false">
      <c r="A67" s="7" t="s">
        <v>2484</v>
      </c>
      <c r="B67" s="7" t="s">
        <v>2480</v>
      </c>
      <c r="C67" s="7" t="s">
        <v>2341</v>
      </c>
      <c r="D67" s="7" t="s">
        <v>2481</v>
      </c>
      <c r="E67" s="7" t="s">
        <v>2485</v>
      </c>
      <c r="F67" s="7" t="s">
        <v>2486</v>
      </c>
    </row>
    <row r="68" customFormat="false" ht="99.75" hidden="false" customHeight="true" outlineLevel="0" collapsed="false">
      <c r="A68" s="8" t="s">
        <v>2487</v>
      </c>
      <c r="B68" s="8" t="s">
        <v>21</v>
      </c>
      <c r="C68" s="8" t="s">
        <v>2488</v>
      </c>
      <c r="D68" s="8" t="s">
        <v>2300</v>
      </c>
      <c r="E68" s="8" t="s">
        <v>2489</v>
      </c>
      <c r="F68" s="8" t="s">
        <v>2490</v>
      </c>
    </row>
    <row r="69" customFormat="false" ht="99.75" hidden="false" customHeight="true" outlineLevel="0" collapsed="false">
      <c r="A69" s="7" t="s">
        <v>2491</v>
      </c>
      <c r="B69" s="7" t="s">
        <v>21</v>
      </c>
      <c r="C69" s="7" t="s">
        <v>536</v>
      </c>
      <c r="D69" s="7" t="s">
        <v>2354</v>
      </c>
      <c r="E69" s="7" t="s">
        <v>459</v>
      </c>
      <c r="F69" s="7" t="s">
        <v>2355</v>
      </c>
    </row>
    <row r="70" customFormat="false" ht="99.75" hidden="false" customHeight="true" outlineLevel="0" collapsed="false">
      <c r="A70" s="8" t="s">
        <v>2492</v>
      </c>
      <c r="B70" s="8" t="s">
        <v>21</v>
      </c>
      <c r="C70" s="8" t="s">
        <v>543</v>
      </c>
      <c r="D70" s="8" t="s">
        <v>1822</v>
      </c>
      <c r="E70" s="8" t="s">
        <v>2493</v>
      </c>
      <c r="F70" s="8" t="s">
        <v>2494</v>
      </c>
    </row>
    <row r="71" customFormat="false" ht="99.75" hidden="false" customHeight="true" outlineLevel="0" collapsed="false">
      <c r="A71" s="7" t="s">
        <v>2495</v>
      </c>
      <c r="B71" s="7" t="s">
        <v>2496</v>
      </c>
      <c r="C71" s="7" t="s">
        <v>103</v>
      </c>
      <c r="D71" s="7" t="s">
        <v>1822</v>
      </c>
      <c r="E71" s="7" t="s">
        <v>2497</v>
      </c>
      <c r="F71" s="7" t="s">
        <v>2498</v>
      </c>
    </row>
    <row r="72" customFormat="false" ht="99.75" hidden="false" customHeight="true" outlineLevel="0" collapsed="false">
      <c r="A72" s="8" t="s">
        <v>2499</v>
      </c>
      <c r="B72" s="8" t="s">
        <v>2500</v>
      </c>
      <c r="C72" s="8" t="s">
        <v>103</v>
      </c>
      <c r="D72" s="8" t="s">
        <v>1822</v>
      </c>
      <c r="E72" s="8" t="s">
        <v>2501</v>
      </c>
      <c r="F72" s="8" t="s">
        <v>2502</v>
      </c>
    </row>
    <row r="73" customFormat="false" ht="99.75" hidden="false" customHeight="true" outlineLevel="0" collapsed="false">
      <c r="A73" s="7" t="s">
        <v>2503</v>
      </c>
      <c r="B73" s="7" t="s">
        <v>2504</v>
      </c>
      <c r="C73" s="7" t="s">
        <v>103</v>
      </c>
      <c r="D73" s="7" t="s">
        <v>2269</v>
      </c>
      <c r="E73" s="7" t="s">
        <v>2505</v>
      </c>
      <c r="F73" s="7" t="s">
        <v>2506</v>
      </c>
    </row>
    <row r="74" customFormat="false" ht="99.75" hidden="false" customHeight="true" outlineLevel="0" collapsed="false">
      <c r="A74" s="8" t="s">
        <v>2507</v>
      </c>
      <c r="B74" s="8" t="s">
        <v>2504</v>
      </c>
      <c r="C74" s="8" t="s">
        <v>2508</v>
      </c>
      <c r="D74" s="8" t="s">
        <v>2300</v>
      </c>
      <c r="E74" s="8" t="s">
        <v>2509</v>
      </c>
      <c r="F74" s="8" t="s">
        <v>2510</v>
      </c>
    </row>
    <row r="75" customFormat="false" ht="99.75" hidden="false" customHeight="true" outlineLevel="0" collapsed="false">
      <c r="A75" s="7" t="s">
        <v>2511</v>
      </c>
      <c r="B75" s="7" t="s">
        <v>2504</v>
      </c>
      <c r="C75" s="7" t="s">
        <v>2357</v>
      </c>
      <c r="D75" s="7" t="s">
        <v>1822</v>
      </c>
      <c r="E75" s="7" t="s">
        <v>2512</v>
      </c>
      <c r="F75" s="7" t="s">
        <v>2513</v>
      </c>
    </row>
    <row r="76" customFormat="false" ht="99.75" hidden="false" customHeight="true" outlineLevel="0" collapsed="false">
      <c r="A76" s="8" t="s">
        <v>2514</v>
      </c>
      <c r="B76" s="8" t="s">
        <v>2504</v>
      </c>
      <c r="C76" s="8" t="s">
        <v>536</v>
      </c>
      <c r="D76" s="8" t="s">
        <v>1800</v>
      </c>
      <c r="E76" s="8" t="s">
        <v>2515</v>
      </c>
      <c r="F76" s="8" t="s">
        <v>2516</v>
      </c>
    </row>
    <row r="77" customFormat="false" ht="99.75" hidden="false" customHeight="true" outlineLevel="0" collapsed="false">
      <c r="A77" s="7" t="s">
        <v>2517</v>
      </c>
      <c r="B77" s="7" t="s">
        <v>2504</v>
      </c>
      <c r="C77" s="7" t="s">
        <v>543</v>
      </c>
      <c r="D77" s="7" t="s">
        <v>1800</v>
      </c>
      <c r="E77" s="7" t="s">
        <v>2518</v>
      </c>
      <c r="F77" s="7" t="s">
        <v>2519</v>
      </c>
    </row>
    <row r="78" customFormat="false" ht="99.75" hidden="false" customHeight="true" outlineLevel="0" collapsed="false">
      <c r="A78" s="8" t="s">
        <v>2520</v>
      </c>
      <c r="B78" s="8" t="s">
        <v>2521</v>
      </c>
      <c r="C78" s="8" t="s">
        <v>103</v>
      </c>
      <c r="D78" s="8" t="s">
        <v>1822</v>
      </c>
      <c r="E78" s="8" t="s">
        <v>2522</v>
      </c>
      <c r="F78" s="8" t="s">
        <v>2523</v>
      </c>
    </row>
    <row r="79" customFormat="false" ht="99.75" hidden="false" customHeight="true" outlineLevel="0" collapsed="false">
      <c r="A79" s="7" t="s">
        <v>2524</v>
      </c>
      <c r="B79" s="7" t="s">
        <v>11</v>
      </c>
      <c r="C79" s="7" t="s">
        <v>2525</v>
      </c>
      <c r="D79" s="7" t="s">
        <v>1822</v>
      </c>
      <c r="E79" s="7" t="s">
        <v>2526</v>
      </c>
      <c r="F79" s="7" t="s">
        <v>2527</v>
      </c>
    </row>
    <row r="80" customFormat="false" ht="99.75" hidden="false" customHeight="true" outlineLevel="0" collapsed="false">
      <c r="A80" s="8" t="s">
        <v>2528</v>
      </c>
      <c r="B80" s="8" t="s">
        <v>11</v>
      </c>
      <c r="C80" s="8" t="s">
        <v>103</v>
      </c>
      <c r="D80" s="8" t="s">
        <v>1822</v>
      </c>
      <c r="E80" s="8" t="s">
        <v>2529</v>
      </c>
      <c r="F80" s="8" t="s">
        <v>2530</v>
      </c>
    </row>
    <row r="81" customFormat="false" ht="99.75" hidden="false" customHeight="true" outlineLevel="0" collapsed="false">
      <c r="A81" s="7" t="s">
        <v>2531</v>
      </c>
      <c r="B81" s="7" t="s">
        <v>2532</v>
      </c>
      <c r="C81" s="7" t="s">
        <v>103</v>
      </c>
      <c r="D81" s="7" t="s">
        <v>2354</v>
      </c>
      <c r="E81" s="7" t="s">
        <v>427</v>
      </c>
      <c r="F81" s="7" t="s">
        <v>2355</v>
      </c>
    </row>
    <row r="82" customFormat="false" ht="99.75" hidden="false" customHeight="true" outlineLevel="0" collapsed="false">
      <c r="A82" s="8" t="s">
        <v>2533</v>
      </c>
      <c r="B82" s="8" t="s">
        <v>2532</v>
      </c>
      <c r="C82" s="8" t="s">
        <v>103</v>
      </c>
      <c r="D82" s="8" t="s">
        <v>2354</v>
      </c>
      <c r="E82" s="8" t="s">
        <v>431</v>
      </c>
      <c r="F82" s="8" t="s">
        <v>2355</v>
      </c>
    </row>
    <row r="83" customFormat="false" ht="99.75" hidden="false" customHeight="true" outlineLevel="0" collapsed="false">
      <c r="A83" s="7" t="s">
        <v>2534</v>
      </c>
      <c r="B83" s="7" t="s">
        <v>2532</v>
      </c>
      <c r="C83" s="7" t="s">
        <v>103</v>
      </c>
      <c r="D83" s="7" t="s">
        <v>2354</v>
      </c>
      <c r="E83" s="7" t="s">
        <v>2535</v>
      </c>
      <c r="F83" s="7" t="s">
        <v>2355</v>
      </c>
    </row>
    <row r="84" customFormat="false" ht="99.75" hidden="false" customHeight="true" outlineLevel="0" collapsed="false">
      <c r="A84" s="8" t="s">
        <v>2536</v>
      </c>
      <c r="B84" s="8" t="s">
        <v>543</v>
      </c>
      <c r="C84" s="8" t="s">
        <v>2537</v>
      </c>
      <c r="D84" s="8" t="s">
        <v>2354</v>
      </c>
      <c r="E84" s="8" t="s">
        <v>2538</v>
      </c>
      <c r="F84" s="8" t="s">
        <v>2355</v>
      </c>
    </row>
    <row r="85" customFormat="false" ht="99.75" hidden="false" customHeight="true" outlineLevel="0" collapsed="false">
      <c r="A85" s="7" t="s">
        <v>2539</v>
      </c>
      <c r="B85" s="7" t="s">
        <v>543</v>
      </c>
      <c r="C85" s="7" t="s">
        <v>543</v>
      </c>
      <c r="D85" s="7" t="s">
        <v>2354</v>
      </c>
      <c r="E85" s="7" t="s">
        <v>2540</v>
      </c>
      <c r="F85" s="7" t="s">
        <v>2355</v>
      </c>
    </row>
    <row r="86" customFormat="false" ht="99.75" hidden="false" customHeight="true" outlineLevel="0" collapsed="false">
      <c r="A86" s="8" t="s">
        <v>2541</v>
      </c>
      <c r="B86" s="8" t="s">
        <v>530</v>
      </c>
      <c r="C86" s="8" t="s">
        <v>530</v>
      </c>
      <c r="D86" s="8" t="s">
        <v>1771</v>
      </c>
      <c r="E86" s="8" t="s">
        <v>2542</v>
      </c>
      <c r="F86" s="8" t="s">
        <v>2543</v>
      </c>
    </row>
    <row r="87" customFormat="false" ht="99.75" hidden="false" customHeight="true" outlineLevel="0" collapsed="false">
      <c r="A87" s="7" t="s">
        <v>2544</v>
      </c>
      <c r="B87" s="7" t="s">
        <v>530</v>
      </c>
      <c r="C87" s="7" t="s">
        <v>530</v>
      </c>
      <c r="D87" s="7" t="s">
        <v>2545</v>
      </c>
      <c r="E87" s="7" t="s">
        <v>2546</v>
      </c>
      <c r="F87" s="7" t="s">
        <v>2547</v>
      </c>
    </row>
    <row r="88" customFormat="false" ht="99.75" hidden="false" customHeight="true" outlineLevel="0" collapsed="false">
      <c r="A88" s="8" t="s">
        <v>2548</v>
      </c>
      <c r="B88" s="8" t="s">
        <v>530</v>
      </c>
      <c r="C88" s="8" t="s">
        <v>530</v>
      </c>
      <c r="D88" s="8" t="s">
        <v>1933</v>
      </c>
      <c r="E88" s="8" t="s">
        <v>2549</v>
      </c>
      <c r="F88" s="8" t="s">
        <v>2550</v>
      </c>
    </row>
    <row r="89" customFormat="false" ht="99.75" hidden="false" customHeight="true" outlineLevel="0" collapsed="false">
      <c r="A89" s="7" t="s">
        <v>2551</v>
      </c>
      <c r="B89" s="7" t="s">
        <v>530</v>
      </c>
      <c r="C89" s="7" t="s">
        <v>530</v>
      </c>
      <c r="D89" s="7" t="s">
        <v>2354</v>
      </c>
      <c r="E89" s="7" t="s">
        <v>2552</v>
      </c>
      <c r="F89" s="7" t="s">
        <v>2355</v>
      </c>
    </row>
    <row r="90" customFormat="false" ht="99.75" hidden="false" customHeight="true" outlineLevel="0" collapsed="false">
      <c r="A90" s="8" t="s">
        <v>2553</v>
      </c>
      <c r="B90" s="8" t="s">
        <v>530</v>
      </c>
      <c r="C90" s="8" t="s">
        <v>530</v>
      </c>
      <c r="D90" s="8" t="s">
        <v>1771</v>
      </c>
      <c r="E90" s="8" t="s">
        <v>2554</v>
      </c>
      <c r="F90" s="8" t="s">
        <v>2555</v>
      </c>
    </row>
    <row r="91" customFormat="false" ht="99.75" hidden="false" customHeight="true" outlineLevel="0" collapsed="false">
      <c r="A91" s="7" t="s">
        <v>2556</v>
      </c>
      <c r="B91" s="7" t="s">
        <v>530</v>
      </c>
      <c r="C91" s="7" t="s">
        <v>530</v>
      </c>
      <c r="D91" s="7" t="s">
        <v>2304</v>
      </c>
      <c r="E91" s="7" t="s">
        <v>2557</v>
      </c>
      <c r="F91" s="7" t="s">
        <v>2558</v>
      </c>
    </row>
    <row r="92" customFormat="false" ht="99.75" hidden="false" customHeight="true" outlineLevel="0" collapsed="false">
      <c r="A92" s="8" t="s">
        <v>2559</v>
      </c>
      <c r="B92" s="8" t="s">
        <v>530</v>
      </c>
      <c r="C92" s="8" t="s">
        <v>530</v>
      </c>
      <c r="D92" s="8" t="s">
        <v>2560</v>
      </c>
      <c r="E92" s="8" t="s">
        <v>2561</v>
      </c>
      <c r="F92" s="8" t="s">
        <v>2562</v>
      </c>
    </row>
    <row r="93" customFormat="false" ht="99.75" hidden="false" customHeight="true" outlineLevel="0" collapsed="false">
      <c r="A93" s="7" t="s">
        <v>2563</v>
      </c>
      <c r="B93" s="7" t="s">
        <v>290</v>
      </c>
      <c r="C93" s="7" t="s">
        <v>103</v>
      </c>
      <c r="D93" s="7" t="s">
        <v>2564</v>
      </c>
      <c r="E93" s="7" t="s">
        <v>2565</v>
      </c>
      <c r="F93" s="7" t="s">
        <v>2566</v>
      </c>
    </row>
    <row r="94" customFormat="false" ht="99.75" hidden="false" customHeight="true" outlineLevel="0" collapsed="false">
      <c r="A94" s="8" t="s">
        <v>2567</v>
      </c>
      <c r="B94" s="8" t="s">
        <v>290</v>
      </c>
      <c r="C94" s="8" t="s">
        <v>2291</v>
      </c>
      <c r="D94" s="8" t="s">
        <v>1771</v>
      </c>
      <c r="E94" s="8" t="s">
        <v>2568</v>
      </c>
      <c r="F94" s="8" t="s">
        <v>2569</v>
      </c>
    </row>
    <row r="95" customFormat="false" ht="99.75" hidden="false" customHeight="true" outlineLevel="0" collapsed="false">
      <c r="A95" s="7" t="s">
        <v>2570</v>
      </c>
      <c r="B95" s="7" t="s">
        <v>2571</v>
      </c>
      <c r="C95" s="7" t="s">
        <v>2572</v>
      </c>
      <c r="D95" s="7" t="s">
        <v>2573</v>
      </c>
      <c r="E95" s="7" t="s">
        <v>2574</v>
      </c>
      <c r="F95" s="7" t="s">
        <v>2575</v>
      </c>
    </row>
    <row r="96" customFormat="false" ht="99.75" hidden="false" customHeight="true" outlineLevel="0" collapsed="false">
      <c r="A96" s="8" t="s">
        <v>2576</v>
      </c>
      <c r="B96" s="8" t="s">
        <v>2577</v>
      </c>
      <c r="C96" s="8" t="s">
        <v>2324</v>
      </c>
      <c r="D96" s="8" t="s">
        <v>2578</v>
      </c>
      <c r="E96" s="8" t="s">
        <v>2579</v>
      </c>
      <c r="F96" s="8" t="s">
        <v>2580</v>
      </c>
    </row>
    <row r="97" customFormat="false" ht="99.75" hidden="false" customHeight="true" outlineLevel="0" collapsed="false">
      <c r="A97" s="7" t="s">
        <v>2581</v>
      </c>
      <c r="B97" s="7" t="s">
        <v>2577</v>
      </c>
      <c r="C97" s="7" t="s">
        <v>103</v>
      </c>
      <c r="D97" s="7" t="s">
        <v>2582</v>
      </c>
      <c r="E97" s="7" t="s">
        <v>2583</v>
      </c>
      <c r="F97" s="7" t="s">
        <v>2584</v>
      </c>
    </row>
    <row r="98" customFormat="false" ht="114.75" hidden="false" customHeight="true" outlineLevel="0" collapsed="false">
      <c r="A98" s="8" t="s">
        <v>2585</v>
      </c>
      <c r="B98" s="8" t="s">
        <v>842</v>
      </c>
      <c r="C98" s="8" t="s">
        <v>103</v>
      </c>
      <c r="D98" s="8" t="s">
        <v>2586</v>
      </c>
      <c r="E98" s="8" t="s">
        <v>2587</v>
      </c>
      <c r="F98" s="8" t="s">
        <v>2588</v>
      </c>
    </row>
    <row r="99" customFormat="false" ht="114.75" hidden="false" customHeight="true" outlineLevel="0" collapsed="false">
      <c r="A99" s="7" t="s">
        <v>2589</v>
      </c>
      <c r="B99" s="7" t="s">
        <v>2590</v>
      </c>
      <c r="C99" s="7" t="s">
        <v>2591</v>
      </c>
      <c r="D99" s="7" t="s">
        <v>584</v>
      </c>
      <c r="E99" s="7" t="s">
        <v>2592</v>
      </c>
      <c r="F99" s="7" t="s">
        <v>2593</v>
      </c>
    </row>
    <row r="100" customFormat="false" ht="114.75" hidden="false" customHeight="true" outlineLevel="0" collapsed="false">
      <c r="A100" s="8" t="s">
        <v>2594</v>
      </c>
      <c r="B100" s="8" t="s">
        <v>486</v>
      </c>
      <c r="C100" s="8" t="s">
        <v>2291</v>
      </c>
      <c r="D100" s="8" t="s">
        <v>2354</v>
      </c>
      <c r="E100" s="8" t="s">
        <v>2595</v>
      </c>
      <c r="F100" s="8" t="s">
        <v>2355</v>
      </c>
    </row>
    <row r="101" customFormat="false" ht="114.75" hidden="false" customHeight="true" outlineLevel="0" collapsed="false">
      <c r="A101" s="7" t="s">
        <v>2596</v>
      </c>
      <c r="B101" s="7" t="s">
        <v>120</v>
      </c>
      <c r="C101" s="7" t="s">
        <v>2324</v>
      </c>
      <c r="D101" s="7" t="s">
        <v>599</v>
      </c>
      <c r="E101" s="7" t="s">
        <v>2597</v>
      </c>
      <c r="F101" s="7" t="s">
        <v>2598</v>
      </c>
    </row>
    <row r="102" customFormat="false" ht="114.75" hidden="false" customHeight="true" outlineLevel="0" collapsed="false">
      <c r="A102" s="8" t="s">
        <v>2599</v>
      </c>
      <c r="B102" s="8" t="s">
        <v>867</v>
      </c>
      <c r="C102" s="8" t="s">
        <v>2600</v>
      </c>
      <c r="D102" s="8" t="s">
        <v>2354</v>
      </c>
      <c r="E102" s="8" t="s">
        <v>447</v>
      </c>
      <c r="F102" s="8" t="s">
        <v>2355</v>
      </c>
    </row>
    <row r="103" customFormat="false" ht="114.75" hidden="false" customHeight="true" outlineLevel="0" collapsed="false">
      <c r="A103" s="7" t="s">
        <v>2601</v>
      </c>
      <c r="B103" s="7" t="s">
        <v>2602</v>
      </c>
      <c r="C103" s="7" t="s">
        <v>2268</v>
      </c>
      <c r="D103" s="7" t="s">
        <v>609</v>
      </c>
      <c r="E103" s="7" t="s">
        <v>2603</v>
      </c>
      <c r="F103" s="7" t="s">
        <v>2604</v>
      </c>
    </row>
    <row r="104" customFormat="false" ht="114.75" hidden="false" customHeight="true" outlineLevel="0" collapsed="false">
      <c r="A104" s="8" t="s">
        <v>2605</v>
      </c>
      <c r="B104" s="8" t="s">
        <v>24</v>
      </c>
      <c r="C104" s="8" t="s">
        <v>2606</v>
      </c>
      <c r="D104" s="8" t="s">
        <v>599</v>
      </c>
      <c r="E104" s="8" t="s">
        <v>2607</v>
      </c>
      <c r="F104" s="8" t="s">
        <v>2608</v>
      </c>
    </row>
    <row r="105" customFormat="false" ht="114.75" hidden="false" customHeight="true" outlineLevel="0" collapsed="false">
      <c r="A105" s="7" t="s">
        <v>2609</v>
      </c>
      <c r="B105" s="7" t="s">
        <v>2610</v>
      </c>
      <c r="C105" s="7" t="s">
        <v>2606</v>
      </c>
      <c r="D105" s="7" t="s">
        <v>2611</v>
      </c>
      <c r="E105" s="7" t="s">
        <v>2612</v>
      </c>
      <c r="F105" s="7" t="s">
        <v>2613</v>
      </c>
    </row>
    <row r="106" customFormat="false" ht="114.75" hidden="false" customHeight="true" outlineLevel="0" collapsed="false">
      <c r="A106" s="8" t="s">
        <v>2614</v>
      </c>
      <c r="B106" s="8" t="s">
        <v>174</v>
      </c>
      <c r="C106" s="8" t="s">
        <v>518</v>
      </c>
      <c r="D106" s="8" t="s">
        <v>1771</v>
      </c>
      <c r="E106" s="8" t="s">
        <v>2615</v>
      </c>
      <c r="F106" s="8" t="s">
        <v>2616</v>
      </c>
    </row>
    <row r="107" customFormat="false" ht="114.75" hidden="false" customHeight="true" outlineLevel="0" collapsed="false">
      <c r="A107" s="7" t="s">
        <v>2617</v>
      </c>
      <c r="B107" s="7" t="s">
        <v>2618</v>
      </c>
      <c r="C107" s="7" t="s">
        <v>518</v>
      </c>
      <c r="D107" s="7" t="s">
        <v>594</v>
      </c>
      <c r="E107" s="7" t="s">
        <v>2619</v>
      </c>
      <c r="F107" s="7" t="s">
        <v>2620</v>
      </c>
    </row>
    <row r="108" customFormat="false" ht="114.75" hidden="false" customHeight="true" outlineLevel="0" collapsed="false">
      <c r="A108" s="8" t="s">
        <v>2621</v>
      </c>
      <c r="B108" s="8" t="s">
        <v>2383</v>
      </c>
      <c r="C108" s="8" t="s">
        <v>2622</v>
      </c>
      <c r="D108" s="8" t="s">
        <v>2623</v>
      </c>
      <c r="E108" s="8" t="s">
        <v>2624</v>
      </c>
      <c r="F108" s="8" t="s">
        <v>2625</v>
      </c>
    </row>
    <row r="109" customFormat="false" ht="114.75" hidden="false" customHeight="true" outlineLevel="0" collapsed="false">
      <c r="A109" s="7" t="s">
        <v>2626</v>
      </c>
      <c r="B109" s="7" t="s">
        <v>2627</v>
      </c>
      <c r="C109" s="7" t="s">
        <v>518</v>
      </c>
      <c r="D109" s="7" t="s">
        <v>2623</v>
      </c>
      <c r="E109" s="7" t="s">
        <v>2628</v>
      </c>
      <c r="F109" s="7" t="s">
        <v>2629</v>
      </c>
    </row>
    <row r="110" customFormat="false" ht="114.75" hidden="false" customHeight="true" outlineLevel="0" collapsed="false">
      <c r="A110" s="8" t="s">
        <v>2630</v>
      </c>
      <c r="B110" s="8" t="s">
        <v>2627</v>
      </c>
      <c r="C110" s="8" t="s">
        <v>525</v>
      </c>
      <c r="D110" s="8" t="s">
        <v>2623</v>
      </c>
      <c r="E110" s="8" t="s">
        <v>2631</v>
      </c>
      <c r="F110" s="8" t="s">
        <v>2632</v>
      </c>
    </row>
    <row r="111" customFormat="false" ht="114.75" hidden="false" customHeight="true" outlineLevel="0" collapsed="false">
      <c r="A111" s="7" t="s">
        <v>2633</v>
      </c>
      <c r="B111" s="7" t="s">
        <v>2627</v>
      </c>
      <c r="C111" s="7" t="s">
        <v>530</v>
      </c>
      <c r="D111" s="7" t="s">
        <v>2623</v>
      </c>
      <c r="E111" s="7" t="s">
        <v>2634</v>
      </c>
      <c r="F111" s="7" t="s">
        <v>2635</v>
      </c>
    </row>
    <row r="112" customFormat="false" ht="114.75" hidden="false" customHeight="true" outlineLevel="0" collapsed="false">
      <c r="A112" s="8" t="s">
        <v>2636</v>
      </c>
      <c r="B112" s="8" t="s">
        <v>11</v>
      </c>
      <c r="C112" s="8" t="s">
        <v>2525</v>
      </c>
      <c r="D112" s="8" t="s">
        <v>1771</v>
      </c>
      <c r="E112" s="8" t="s">
        <v>2637</v>
      </c>
      <c r="F112" s="8" t="s">
        <v>2638</v>
      </c>
    </row>
    <row r="113" customFormat="false" ht="114.75" hidden="false" customHeight="true" outlineLevel="0" collapsed="false">
      <c r="A113" s="7" t="s">
        <v>2639</v>
      </c>
      <c r="B113" s="7" t="s">
        <v>2640</v>
      </c>
      <c r="C113" s="7" t="s">
        <v>475</v>
      </c>
      <c r="D113" s="7" t="s">
        <v>2354</v>
      </c>
      <c r="E113" s="7" t="s">
        <v>2641</v>
      </c>
      <c r="F113" s="7" t="s">
        <v>2355</v>
      </c>
    </row>
    <row r="114" customFormat="false" ht="114.75" hidden="false" customHeight="true" outlineLevel="0" collapsed="false">
      <c r="A114" s="8" t="s">
        <v>2642</v>
      </c>
      <c r="B114" s="8" t="s">
        <v>2643</v>
      </c>
      <c r="C114" s="8" t="s">
        <v>103</v>
      </c>
      <c r="D114" s="8" t="s">
        <v>1771</v>
      </c>
      <c r="E114" s="8" t="s">
        <v>2644</v>
      </c>
      <c r="F114" s="8" t="s">
        <v>2645</v>
      </c>
    </row>
    <row r="115" customFormat="false" ht="114.75" hidden="false" customHeight="true" outlineLevel="0" collapsed="false">
      <c r="A115" s="7" t="s">
        <v>2646</v>
      </c>
      <c r="B115" s="7" t="s">
        <v>731</v>
      </c>
      <c r="C115" s="7" t="s">
        <v>2508</v>
      </c>
      <c r="D115" s="7" t="s">
        <v>2623</v>
      </c>
      <c r="E115" s="7" t="s">
        <v>2647</v>
      </c>
      <c r="F115" s="7" t="s">
        <v>2648</v>
      </c>
    </row>
    <row r="116" customFormat="false" ht="114.75" hidden="false" customHeight="true" outlineLevel="0" collapsed="false">
      <c r="A116" s="8" t="s">
        <v>2649</v>
      </c>
      <c r="B116" s="8" t="s">
        <v>731</v>
      </c>
      <c r="C116" s="8" t="s">
        <v>536</v>
      </c>
      <c r="D116" s="8" t="s">
        <v>599</v>
      </c>
      <c r="E116" s="8" t="s">
        <v>2650</v>
      </c>
      <c r="F116" s="8" t="s">
        <v>2651</v>
      </c>
    </row>
    <row r="117" customFormat="false" ht="114.75" hidden="false" customHeight="true" outlineLevel="0" collapsed="false">
      <c r="A117" s="7" t="s">
        <v>2652</v>
      </c>
      <c r="B117" s="7" t="s">
        <v>731</v>
      </c>
      <c r="C117" s="7" t="s">
        <v>543</v>
      </c>
      <c r="D117" s="7" t="s">
        <v>599</v>
      </c>
      <c r="E117" s="7" t="s">
        <v>2653</v>
      </c>
      <c r="F117" s="7" t="s">
        <v>2654</v>
      </c>
    </row>
    <row r="118" customFormat="false" ht="114.75" hidden="false" customHeight="true" outlineLevel="0" collapsed="false">
      <c r="A118" s="8" t="s">
        <v>2655</v>
      </c>
      <c r="B118" s="8" t="s">
        <v>702</v>
      </c>
      <c r="C118" s="8" t="s">
        <v>103</v>
      </c>
      <c r="D118" s="8" t="s">
        <v>599</v>
      </c>
      <c r="E118" s="8" t="s">
        <v>2656</v>
      </c>
      <c r="F118" s="8" t="s">
        <v>2657</v>
      </c>
    </row>
    <row r="119" customFormat="false" ht="114.75" hidden="false" customHeight="true" outlineLevel="0" collapsed="false">
      <c r="A119" s="7" t="s">
        <v>2658</v>
      </c>
      <c r="B119" s="7" t="s">
        <v>2140</v>
      </c>
      <c r="C119" s="7" t="s">
        <v>103</v>
      </c>
      <c r="D119" s="7" t="s">
        <v>2354</v>
      </c>
      <c r="E119" s="7" t="s">
        <v>2659</v>
      </c>
      <c r="F119" s="7" t="s">
        <v>2355</v>
      </c>
    </row>
    <row r="120" customFormat="false" ht="114.75" hidden="false" customHeight="true" outlineLevel="0" collapsed="false">
      <c r="A120" s="8" t="s">
        <v>2660</v>
      </c>
      <c r="B120" s="8" t="s">
        <v>525</v>
      </c>
      <c r="C120" s="8" t="s">
        <v>2453</v>
      </c>
      <c r="D120" s="8" t="s">
        <v>2623</v>
      </c>
      <c r="E120" s="8" t="s">
        <v>2661</v>
      </c>
      <c r="F120" s="8" t="s">
        <v>2662</v>
      </c>
    </row>
    <row r="121" customFormat="false" ht="114.75" hidden="false" customHeight="true" outlineLevel="0" collapsed="false">
      <c r="A121" s="7" t="s">
        <v>2663</v>
      </c>
      <c r="B121" s="7" t="s">
        <v>2664</v>
      </c>
      <c r="C121" s="7" t="s">
        <v>525</v>
      </c>
      <c r="D121" s="7" t="s">
        <v>2354</v>
      </c>
      <c r="E121" s="7" t="s">
        <v>2665</v>
      </c>
      <c r="F121" s="7" t="s">
        <v>2355</v>
      </c>
    </row>
    <row r="122" customFormat="false" ht="114.75" hidden="false" customHeight="true" outlineLevel="0" collapsed="false">
      <c r="A122" s="8" t="s">
        <v>2666</v>
      </c>
      <c r="B122" s="8" t="s">
        <v>2667</v>
      </c>
      <c r="C122" s="8" t="s">
        <v>525</v>
      </c>
      <c r="D122" s="8" t="s">
        <v>2668</v>
      </c>
      <c r="E122" s="8" t="s">
        <v>2669</v>
      </c>
      <c r="F122" s="8" t="s">
        <v>2670</v>
      </c>
    </row>
    <row r="123" customFormat="false" ht="114.75" hidden="false" customHeight="true" outlineLevel="0" collapsed="false">
      <c r="A123" s="7" t="s">
        <v>2671</v>
      </c>
      <c r="B123" s="7" t="s">
        <v>2672</v>
      </c>
      <c r="C123" s="7" t="s">
        <v>530</v>
      </c>
      <c r="D123" s="7" t="s">
        <v>2354</v>
      </c>
      <c r="E123" s="7" t="s">
        <v>2673</v>
      </c>
      <c r="F123" s="7" t="s">
        <v>2355</v>
      </c>
    </row>
    <row r="124" customFormat="false" ht="114.75" hidden="false" customHeight="true" outlineLevel="0" collapsed="false">
      <c r="A124" s="8" t="s">
        <v>2674</v>
      </c>
      <c r="B124" s="8" t="s">
        <v>2675</v>
      </c>
      <c r="C124" s="8" t="s">
        <v>530</v>
      </c>
      <c r="D124" s="8" t="s">
        <v>1771</v>
      </c>
      <c r="E124" s="8" t="s">
        <v>2676</v>
      </c>
      <c r="F124" s="8" t="s">
        <v>2677</v>
      </c>
    </row>
    <row r="125" customFormat="false" ht="114.75" hidden="false" customHeight="true" outlineLevel="0" collapsed="false">
      <c r="A125" s="7" t="s">
        <v>2678</v>
      </c>
      <c r="B125" s="7" t="s">
        <v>2679</v>
      </c>
      <c r="C125" s="7" t="s">
        <v>530</v>
      </c>
      <c r="D125" s="7" t="s">
        <v>2680</v>
      </c>
      <c r="E125" s="7" t="s">
        <v>2681</v>
      </c>
      <c r="F125" s="7" t="s">
        <v>2682</v>
      </c>
    </row>
    <row r="126" customFormat="false" ht="114.75" hidden="false" customHeight="true" outlineLevel="0" collapsed="false">
      <c r="A126" s="8" t="s">
        <v>2683</v>
      </c>
      <c r="B126" s="8" t="s">
        <v>2684</v>
      </c>
      <c r="C126" s="8" t="s">
        <v>530</v>
      </c>
      <c r="D126" s="8" t="s">
        <v>2354</v>
      </c>
      <c r="E126" s="8" t="s">
        <v>455</v>
      </c>
      <c r="F126" s="8" t="s">
        <v>2355</v>
      </c>
    </row>
    <row r="127" customFormat="false" ht="114.75" hidden="false" customHeight="true" outlineLevel="0" collapsed="false">
      <c r="A127" s="7" t="s">
        <v>2685</v>
      </c>
      <c r="B127" s="7" t="s">
        <v>2686</v>
      </c>
      <c r="C127" s="7" t="s">
        <v>530</v>
      </c>
      <c r="D127" s="7" t="s">
        <v>2623</v>
      </c>
      <c r="E127" s="7" t="s">
        <v>2687</v>
      </c>
      <c r="F127" s="7" t="s">
        <v>2688</v>
      </c>
    </row>
    <row r="128" customFormat="false" ht="114.75" hidden="false" customHeight="true" outlineLevel="0" collapsed="false">
      <c r="A128" s="8" t="s">
        <v>2689</v>
      </c>
      <c r="B128" s="8" t="s">
        <v>2690</v>
      </c>
      <c r="C128" s="8" t="s">
        <v>2467</v>
      </c>
      <c r="D128" s="8" t="s">
        <v>2691</v>
      </c>
      <c r="E128" s="8" t="s">
        <v>2692</v>
      </c>
      <c r="F128" s="8" t="s">
        <v>2693</v>
      </c>
    </row>
    <row r="129" customFormat="false" ht="114.75" hidden="false" customHeight="true" outlineLevel="0" collapsed="false">
      <c r="A129" s="7" t="s">
        <v>2694</v>
      </c>
      <c r="B129" s="7" t="s">
        <v>2695</v>
      </c>
      <c r="C129" s="7" t="s">
        <v>2537</v>
      </c>
      <c r="D129" s="7" t="s">
        <v>2354</v>
      </c>
      <c r="E129" s="7" t="s">
        <v>2696</v>
      </c>
      <c r="F129" s="7" t="s">
        <v>2355</v>
      </c>
    </row>
    <row r="130" customFormat="false" ht="114.75" hidden="false" customHeight="true" outlineLevel="0" collapsed="false">
      <c r="A130" s="8" t="s">
        <v>2697</v>
      </c>
      <c r="B130" s="8" t="s">
        <v>707</v>
      </c>
      <c r="C130" s="8" t="s">
        <v>2525</v>
      </c>
      <c r="D130" s="8" t="s">
        <v>609</v>
      </c>
      <c r="E130" s="8" t="s">
        <v>2698</v>
      </c>
      <c r="F130" s="8" t="s">
        <v>2699</v>
      </c>
    </row>
    <row r="131" customFormat="false" ht="114.75" hidden="false" customHeight="true" outlineLevel="0" collapsed="false">
      <c r="A131" s="7" t="s">
        <v>2700</v>
      </c>
      <c r="B131" s="7" t="s">
        <v>2701</v>
      </c>
      <c r="C131" s="7" t="s">
        <v>2291</v>
      </c>
      <c r="D131" s="7" t="s">
        <v>1771</v>
      </c>
      <c r="E131" s="7" t="s">
        <v>2702</v>
      </c>
      <c r="F131" s="7" t="s">
        <v>2703</v>
      </c>
    </row>
    <row r="132" customFormat="false" ht="114.75" hidden="false" customHeight="true" outlineLevel="0" collapsed="false">
      <c r="A132" s="8" t="s">
        <v>2704</v>
      </c>
      <c r="B132" s="8" t="s">
        <v>2132</v>
      </c>
      <c r="C132" s="8" t="s">
        <v>2268</v>
      </c>
      <c r="D132" s="8" t="s">
        <v>2691</v>
      </c>
      <c r="E132" s="8" t="s">
        <v>2705</v>
      </c>
      <c r="F132" s="8" t="s">
        <v>2706</v>
      </c>
    </row>
    <row r="133" customFormat="false" ht="114.75" hidden="false" customHeight="true" outlineLevel="0" collapsed="false">
      <c r="A133" s="7" t="s">
        <v>2707</v>
      </c>
      <c r="B133" s="7" t="s">
        <v>2708</v>
      </c>
      <c r="C133" s="7" t="s">
        <v>2709</v>
      </c>
      <c r="D133" s="7" t="s">
        <v>2354</v>
      </c>
      <c r="E133" s="7" t="s">
        <v>700</v>
      </c>
      <c r="F133" s="7" t="s">
        <v>2355</v>
      </c>
    </row>
    <row r="134" customFormat="false" ht="114.75" hidden="false" customHeight="true" outlineLevel="0" collapsed="false">
      <c r="A134" s="8" t="s">
        <v>2710</v>
      </c>
      <c r="B134" s="8" t="s">
        <v>36</v>
      </c>
      <c r="C134" s="8" t="s">
        <v>103</v>
      </c>
      <c r="D134" s="8" t="s">
        <v>2354</v>
      </c>
      <c r="E134" s="8" t="s">
        <v>37</v>
      </c>
      <c r="F134" s="8" t="s">
        <v>2355</v>
      </c>
    </row>
    <row r="135" customFormat="false" ht="114.75" hidden="false" customHeight="true" outlineLevel="0" collapsed="false">
      <c r="A135" s="7" t="s">
        <v>2711</v>
      </c>
      <c r="B135" s="7" t="s">
        <v>2712</v>
      </c>
      <c r="C135" s="7" t="s">
        <v>2713</v>
      </c>
      <c r="D135" s="7" t="s">
        <v>2354</v>
      </c>
      <c r="E135" s="7" t="s">
        <v>2714</v>
      </c>
      <c r="F135" s="7" t="s">
        <v>2355</v>
      </c>
    </row>
    <row r="136" customFormat="false" ht="114.75" hidden="false" customHeight="true" outlineLevel="0" collapsed="false">
      <c r="A136" s="8" t="s">
        <v>2715</v>
      </c>
      <c r="B136" s="8" t="s">
        <v>36</v>
      </c>
      <c r="C136" s="8" t="s">
        <v>2716</v>
      </c>
      <c r="D136" s="8" t="s">
        <v>2354</v>
      </c>
      <c r="E136" s="8" t="s">
        <v>2717</v>
      </c>
      <c r="F136" s="8" t="s">
        <v>2355</v>
      </c>
    </row>
    <row r="137" customFormat="false" ht="114.75" hidden="false" customHeight="true" outlineLevel="0" collapsed="false">
      <c r="A137" s="7" t="s">
        <v>2718</v>
      </c>
      <c r="B137" s="7" t="s">
        <v>36</v>
      </c>
      <c r="C137" s="7" t="s">
        <v>2716</v>
      </c>
      <c r="D137" s="7" t="s">
        <v>2354</v>
      </c>
      <c r="E137" s="7" t="s">
        <v>2719</v>
      </c>
      <c r="F137" s="7" t="s">
        <v>2355</v>
      </c>
    </row>
    <row r="138" customFormat="false" ht="114.75" hidden="false" customHeight="true" outlineLevel="0" collapsed="false">
      <c r="A138" s="8" t="s">
        <v>2720</v>
      </c>
      <c r="B138" s="8" t="s">
        <v>36</v>
      </c>
      <c r="C138" s="8" t="s">
        <v>2716</v>
      </c>
      <c r="D138" s="8" t="s">
        <v>2354</v>
      </c>
      <c r="E138" s="8" t="s">
        <v>439</v>
      </c>
      <c r="F138" s="8" t="s">
        <v>2355</v>
      </c>
    </row>
    <row r="139" customFormat="false" ht="114.75" hidden="false" customHeight="true" outlineLevel="0" collapsed="false">
      <c r="A139" s="7" t="s">
        <v>2721</v>
      </c>
      <c r="B139" s="7" t="s">
        <v>36</v>
      </c>
      <c r="C139" s="7" t="s">
        <v>2716</v>
      </c>
      <c r="D139" s="7" t="s">
        <v>2354</v>
      </c>
      <c r="E139" s="7" t="s">
        <v>439</v>
      </c>
      <c r="F139" s="7" t="s">
        <v>2355</v>
      </c>
    </row>
    <row r="140" customFormat="false" ht="114.75" hidden="false" customHeight="true" outlineLevel="0" collapsed="false">
      <c r="A140" s="8" t="s">
        <v>2722</v>
      </c>
      <c r="B140" s="8" t="s">
        <v>36</v>
      </c>
      <c r="C140" s="8" t="s">
        <v>2716</v>
      </c>
      <c r="D140" s="8" t="s">
        <v>2354</v>
      </c>
      <c r="E140" s="8" t="s">
        <v>439</v>
      </c>
      <c r="F140" s="8" t="s">
        <v>2355</v>
      </c>
    </row>
    <row r="141" customFormat="false" ht="114.75" hidden="false" customHeight="true" outlineLevel="0" collapsed="false">
      <c r="A141" s="7" t="s">
        <v>2723</v>
      </c>
      <c r="B141" s="7" t="s">
        <v>36</v>
      </c>
      <c r="C141" s="7" t="s">
        <v>2716</v>
      </c>
      <c r="D141" s="7" t="s">
        <v>2354</v>
      </c>
      <c r="E141" s="7" t="s">
        <v>439</v>
      </c>
      <c r="F141" s="7" t="s">
        <v>2355</v>
      </c>
    </row>
    <row r="142" customFormat="false" ht="114.75" hidden="false" customHeight="true" outlineLevel="0" collapsed="false">
      <c r="A142" s="8" t="s">
        <v>2724</v>
      </c>
      <c r="B142" s="8" t="s">
        <v>36</v>
      </c>
      <c r="C142" s="8" t="s">
        <v>2716</v>
      </c>
      <c r="D142" s="8" t="s">
        <v>1187</v>
      </c>
      <c r="E142" s="8" t="s">
        <v>2725</v>
      </c>
      <c r="F142" s="8" t="s">
        <v>2726</v>
      </c>
    </row>
    <row r="143" customFormat="false" ht="114.75" hidden="false" customHeight="true" outlineLevel="0" collapsed="false">
      <c r="A143" s="7" t="s">
        <v>2727</v>
      </c>
      <c r="B143" s="7" t="s">
        <v>36</v>
      </c>
      <c r="C143" s="7" t="s">
        <v>2716</v>
      </c>
      <c r="D143" s="7" t="s">
        <v>2354</v>
      </c>
      <c r="E143" s="7" t="s">
        <v>2728</v>
      </c>
      <c r="F143" s="7" t="s">
        <v>2355</v>
      </c>
    </row>
    <row r="144" customFormat="false" ht="114.75" hidden="false" customHeight="true" outlineLevel="0" collapsed="false">
      <c r="A144" s="8" t="s">
        <v>2729</v>
      </c>
      <c r="B144" s="8" t="s">
        <v>36</v>
      </c>
      <c r="C144" s="8" t="s">
        <v>2716</v>
      </c>
      <c r="D144" s="8" t="s">
        <v>2354</v>
      </c>
      <c r="E144" s="8" t="s">
        <v>2730</v>
      </c>
      <c r="F144" s="8" t="s">
        <v>2355</v>
      </c>
    </row>
    <row r="145" customFormat="false" ht="114.75" hidden="false" customHeight="true" outlineLevel="0" collapsed="false">
      <c r="A145" s="7" t="s">
        <v>2731</v>
      </c>
      <c r="B145" s="7" t="s">
        <v>36</v>
      </c>
      <c r="C145" s="7" t="s">
        <v>2716</v>
      </c>
      <c r="D145" s="7" t="s">
        <v>2354</v>
      </c>
      <c r="E145" s="7" t="s">
        <v>2732</v>
      </c>
      <c r="F145" s="7" t="s">
        <v>2355</v>
      </c>
    </row>
    <row r="146" customFormat="false" ht="114.75" hidden="false" customHeight="true" outlineLevel="0" collapsed="false">
      <c r="A146" s="8" t="s">
        <v>2733</v>
      </c>
      <c r="B146" s="8" t="s">
        <v>36</v>
      </c>
      <c r="C146" s="8" t="s">
        <v>2716</v>
      </c>
      <c r="D146" s="8" t="s">
        <v>2354</v>
      </c>
      <c r="E146" s="8" t="s">
        <v>435</v>
      </c>
      <c r="F146" s="8" t="s">
        <v>2355</v>
      </c>
    </row>
    <row r="147" customFormat="false" ht="114.75" hidden="false" customHeight="true" outlineLevel="0" collapsed="false">
      <c r="A147" s="7" t="s">
        <v>2734</v>
      </c>
      <c r="B147" s="7" t="s">
        <v>36</v>
      </c>
      <c r="C147" s="7" t="s">
        <v>2716</v>
      </c>
      <c r="D147" s="7" t="s">
        <v>2354</v>
      </c>
      <c r="E147" s="7" t="s">
        <v>2735</v>
      </c>
      <c r="F147" s="7" t="s">
        <v>2355</v>
      </c>
    </row>
    <row r="148" customFormat="false" ht="114.75" hidden="false" customHeight="true" outlineLevel="0" collapsed="false">
      <c r="A148" s="8" t="s">
        <v>2736</v>
      </c>
      <c r="B148" s="8" t="s">
        <v>36</v>
      </c>
      <c r="C148" s="8" t="s">
        <v>2716</v>
      </c>
      <c r="D148" s="8" t="s">
        <v>2354</v>
      </c>
      <c r="E148" s="8" t="s">
        <v>427</v>
      </c>
      <c r="F148" s="8" t="s">
        <v>2355</v>
      </c>
    </row>
    <row r="149" customFormat="false" ht="114.75" hidden="false" customHeight="true" outlineLevel="0" collapsed="false">
      <c r="A149" s="7" t="s">
        <v>2737</v>
      </c>
      <c r="B149" s="7" t="s">
        <v>36</v>
      </c>
      <c r="C149" s="7" t="s">
        <v>2716</v>
      </c>
      <c r="D149" s="7" t="s">
        <v>1258</v>
      </c>
      <c r="E149" s="7" t="s">
        <v>2738</v>
      </c>
      <c r="F149" s="7" t="s">
        <v>2739</v>
      </c>
    </row>
    <row r="150" customFormat="false" ht="114.75" hidden="false" customHeight="true" outlineLevel="0" collapsed="false">
      <c r="A150" s="8" t="s">
        <v>2740</v>
      </c>
      <c r="B150" s="8" t="s">
        <v>2741</v>
      </c>
      <c r="C150" s="8" t="s">
        <v>2742</v>
      </c>
      <c r="D150" s="8" t="s">
        <v>2743</v>
      </c>
      <c r="E150" s="8" t="s">
        <v>2744</v>
      </c>
      <c r="F150" s="8" t="s">
        <v>2745</v>
      </c>
    </row>
    <row r="151" customFormat="false" ht="114.75" hidden="false" customHeight="true" outlineLevel="0" collapsed="false">
      <c r="A151" s="7" t="s">
        <v>2746</v>
      </c>
      <c r="B151" s="7" t="s">
        <v>2741</v>
      </c>
      <c r="C151" s="7" t="s">
        <v>2742</v>
      </c>
      <c r="D151" s="7" t="s">
        <v>2743</v>
      </c>
      <c r="E151" s="7" t="s">
        <v>2747</v>
      </c>
      <c r="F151" s="7" t="s">
        <v>2748</v>
      </c>
    </row>
    <row r="152" customFormat="false" ht="114.75" hidden="false" customHeight="true" outlineLevel="0" collapsed="false">
      <c r="A152" s="8" t="s">
        <v>2749</v>
      </c>
      <c r="B152" s="8" t="s">
        <v>2741</v>
      </c>
      <c r="C152" s="8" t="s">
        <v>2742</v>
      </c>
      <c r="D152" s="8" t="s">
        <v>2743</v>
      </c>
      <c r="E152" s="8" t="s">
        <v>2750</v>
      </c>
      <c r="F152" s="8" t="s">
        <v>2751</v>
      </c>
    </row>
    <row r="153" customFormat="false" ht="114.75" hidden="false" customHeight="true" outlineLevel="0" collapsed="false">
      <c r="A153" s="7" t="s">
        <v>2752</v>
      </c>
      <c r="B153" s="7" t="s">
        <v>2741</v>
      </c>
      <c r="C153" s="7" t="s">
        <v>2742</v>
      </c>
      <c r="D153" s="7" t="s">
        <v>2743</v>
      </c>
      <c r="E153" s="7" t="s">
        <v>2753</v>
      </c>
      <c r="F153" s="7" t="s">
        <v>2754</v>
      </c>
    </row>
    <row r="154" customFormat="false" ht="114.75" hidden="false" customHeight="true" outlineLevel="0" collapsed="false">
      <c r="A154" s="8" t="s">
        <v>2755</v>
      </c>
      <c r="B154" s="8" t="s">
        <v>2741</v>
      </c>
      <c r="C154" s="8" t="s">
        <v>2742</v>
      </c>
      <c r="D154" s="8" t="s">
        <v>2743</v>
      </c>
      <c r="E154" s="8" t="s">
        <v>2756</v>
      </c>
      <c r="F154" s="8" t="s">
        <v>2757</v>
      </c>
    </row>
    <row r="155" customFormat="false" ht="114.75" hidden="false" customHeight="true" outlineLevel="0" collapsed="false">
      <c r="A155" s="7" t="s">
        <v>2758</v>
      </c>
      <c r="B155" s="7" t="s">
        <v>53</v>
      </c>
      <c r="C155" s="7" t="s">
        <v>543</v>
      </c>
      <c r="D155" s="7" t="s">
        <v>2354</v>
      </c>
      <c r="E155" s="7" t="s">
        <v>411</v>
      </c>
      <c r="F155" s="7" t="s">
        <v>2355</v>
      </c>
    </row>
    <row r="156" customFormat="false" ht="114.75" hidden="false" customHeight="true" outlineLevel="0" collapsed="false">
      <c r="A156" s="8" t="s">
        <v>2759</v>
      </c>
      <c r="B156" s="8" t="s">
        <v>53</v>
      </c>
      <c r="C156" s="8" t="s">
        <v>543</v>
      </c>
      <c r="D156" s="8" t="s">
        <v>623</v>
      </c>
      <c r="E156" s="8" t="s">
        <v>2760</v>
      </c>
      <c r="F156" s="8" t="s">
        <v>2761</v>
      </c>
    </row>
    <row r="157" customFormat="false" ht="114.75" hidden="false" customHeight="true" outlineLevel="0" collapsed="false">
      <c r="A157" s="7" t="s">
        <v>2762</v>
      </c>
      <c r="B157" s="7" t="s">
        <v>53</v>
      </c>
      <c r="C157" s="7" t="s">
        <v>543</v>
      </c>
      <c r="D157" s="7" t="s">
        <v>2354</v>
      </c>
      <c r="E157" s="7" t="s">
        <v>2763</v>
      </c>
      <c r="F157" s="7" t="s">
        <v>2355</v>
      </c>
    </row>
    <row r="158" customFormat="false" ht="114.75" hidden="false" customHeight="true" outlineLevel="0" collapsed="false">
      <c r="A158" s="8" t="s">
        <v>2764</v>
      </c>
      <c r="B158" s="8" t="s">
        <v>53</v>
      </c>
      <c r="C158" s="8" t="s">
        <v>543</v>
      </c>
      <c r="D158" s="8" t="s">
        <v>623</v>
      </c>
      <c r="E158" s="8" t="s">
        <v>2765</v>
      </c>
      <c r="F158" s="8" t="s">
        <v>2766</v>
      </c>
    </row>
    <row r="159" customFormat="false" ht="114.75" hidden="false" customHeight="true" outlineLevel="0" collapsed="false">
      <c r="A159" s="7" t="s">
        <v>2767</v>
      </c>
      <c r="B159" s="7" t="s">
        <v>53</v>
      </c>
      <c r="C159" s="7" t="s">
        <v>543</v>
      </c>
      <c r="D159" s="7" t="s">
        <v>2354</v>
      </c>
      <c r="E159" s="7" t="s">
        <v>2768</v>
      </c>
      <c r="F159" s="7" t="s">
        <v>2355</v>
      </c>
    </row>
    <row r="160" customFormat="false" ht="114.75" hidden="false" customHeight="true" outlineLevel="0" collapsed="false">
      <c r="A160" s="8" t="s">
        <v>2769</v>
      </c>
      <c r="B160" s="8" t="s">
        <v>53</v>
      </c>
      <c r="C160" s="8" t="s">
        <v>543</v>
      </c>
      <c r="D160" s="8" t="s">
        <v>2354</v>
      </c>
      <c r="E160" s="8" t="s">
        <v>2770</v>
      </c>
      <c r="F160" s="8" t="s">
        <v>2355</v>
      </c>
    </row>
    <row r="161" customFormat="false" ht="114.75" hidden="false" customHeight="true" outlineLevel="0" collapsed="false">
      <c r="A161" s="7" t="s">
        <v>2771</v>
      </c>
      <c r="B161" s="7" t="s">
        <v>53</v>
      </c>
      <c r="C161" s="7" t="s">
        <v>543</v>
      </c>
      <c r="D161" s="7" t="s">
        <v>2354</v>
      </c>
      <c r="E161" s="7" t="s">
        <v>2772</v>
      </c>
      <c r="F161" s="7" t="s">
        <v>2355</v>
      </c>
    </row>
    <row r="162" customFormat="false" ht="114.75" hidden="false" customHeight="true" outlineLevel="0" collapsed="false">
      <c r="A162" s="8" t="s">
        <v>2773</v>
      </c>
      <c r="B162" s="8" t="s">
        <v>53</v>
      </c>
      <c r="C162" s="8" t="s">
        <v>543</v>
      </c>
      <c r="D162" s="8" t="s">
        <v>2354</v>
      </c>
      <c r="E162" s="8" t="s">
        <v>419</v>
      </c>
      <c r="F162" s="8" t="s">
        <v>2355</v>
      </c>
    </row>
    <row r="163" customFormat="false" ht="114.75" hidden="false" customHeight="true" outlineLevel="0" collapsed="false">
      <c r="A163" s="7" t="s">
        <v>2774</v>
      </c>
      <c r="B163" s="7" t="s">
        <v>53</v>
      </c>
      <c r="C163" s="7" t="s">
        <v>543</v>
      </c>
      <c r="D163" s="7" t="s">
        <v>2354</v>
      </c>
      <c r="E163" s="7" t="s">
        <v>419</v>
      </c>
      <c r="F163" s="7" t="s">
        <v>2355</v>
      </c>
    </row>
    <row r="164" customFormat="false" ht="114.75" hidden="false" customHeight="true" outlineLevel="0" collapsed="false">
      <c r="A164" s="8" t="s">
        <v>2775</v>
      </c>
      <c r="B164" s="8" t="s">
        <v>53</v>
      </c>
      <c r="C164" s="8" t="s">
        <v>543</v>
      </c>
      <c r="D164" s="8" t="s">
        <v>623</v>
      </c>
      <c r="E164" s="8" t="s">
        <v>2776</v>
      </c>
      <c r="F164" s="8" t="s">
        <v>2777</v>
      </c>
    </row>
    <row r="165" customFormat="false" ht="114.75" hidden="false" customHeight="true" outlineLevel="0" collapsed="false">
      <c r="A165" s="7" t="s">
        <v>2778</v>
      </c>
      <c r="B165" s="7" t="s">
        <v>53</v>
      </c>
      <c r="C165" s="7" t="s">
        <v>543</v>
      </c>
      <c r="D165" s="7" t="s">
        <v>2354</v>
      </c>
      <c r="E165" s="7" t="s">
        <v>2779</v>
      </c>
      <c r="F165" s="7" t="s">
        <v>2355</v>
      </c>
    </row>
    <row r="166" customFormat="false" ht="114.75" hidden="false" customHeight="true" outlineLevel="0" collapsed="false">
      <c r="A166" s="8" t="s">
        <v>2780</v>
      </c>
      <c r="B166" s="8" t="s">
        <v>53</v>
      </c>
      <c r="C166" s="8" t="s">
        <v>543</v>
      </c>
      <c r="D166" s="8" t="s">
        <v>2354</v>
      </c>
      <c r="E166" s="8" t="s">
        <v>415</v>
      </c>
      <c r="F166" s="8" t="s">
        <v>2355</v>
      </c>
    </row>
    <row r="167" customFormat="false" ht="114.75" hidden="false" customHeight="true" outlineLevel="0" collapsed="false">
      <c r="A167" s="7" t="s">
        <v>2781</v>
      </c>
      <c r="B167" s="7" t="s">
        <v>53</v>
      </c>
      <c r="C167" s="7" t="s">
        <v>543</v>
      </c>
      <c r="D167" s="7" t="s">
        <v>2354</v>
      </c>
      <c r="E167" s="7" t="s">
        <v>2782</v>
      </c>
      <c r="F167" s="7" t="s">
        <v>2355</v>
      </c>
    </row>
    <row r="168" customFormat="false" ht="114.75" hidden="false" customHeight="true" outlineLevel="0" collapsed="false">
      <c r="A168" s="8" t="s">
        <v>2783</v>
      </c>
      <c r="B168" s="8" t="s">
        <v>53</v>
      </c>
      <c r="C168" s="8" t="s">
        <v>543</v>
      </c>
      <c r="D168" s="8" t="s">
        <v>2354</v>
      </c>
      <c r="E168" s="8" t="s">
        <v>2784</v>
      </c>
      <c r="F168" s="8" t="s">
        <v>2355</v>
      </c>
    </row>
    <row r="169" customFormat="false" ht="114.75" hidden="false" customHeight="true" outlineLevel="0" collapsed="false">
      <c r="A169" s="7" t="s">
        <v>2785</v>
      </c>
      <c r="B169" s="7" t="s">
        <v>53</v>
      </c>
      <c r="C169" s="7" t="s">
        <v>543</v>
      </c>
      <c r="D169" s="7" t="s">
        <v>623</v>
      </c>
      <c r="E169" s="7" t="s">
        <v>2786</v>
      </c>
      <c r="F169" s="7" t="s">
        <v>2787</v>
      </c>
    </row>
    <row r="170" customFormat="false" ht="114.75" hidden="false" customHeight="true" outlineLevel="0" collapsed="false">
      <c r="A170" s="8" t="s">
        <v>2788</v>
      </c>
      <c r="B170" s="8" t="s">
        <v>53</v>
      </c>
      <c r="C170" s="8" t="s">
        <v>543</v>
      </c>
      <c r="D170" s="8" t="s">
        <v>623</v>
      </c>
      <c r="E170" s="8" t="s">
        <v>2789</v>
      </c>
      <c r="F170" s="8" t="s">
        <v>2790</v>
      </c>
    </row>
    <row r="171" customFormat="false" ht="114.75" hidden="false" customHeight="true" outlineLevel="0" collapsed="false">
      <c r="A171" s="7" t="s">
        <v>2791</v>
      </c>
      <c r="B171" s="7" t="s">
        <v>53</v>
      </c>
      <c r="C171" s="7" t="s">
        <v>543</v>
      </c>
      <c r="D171" s="7" t="s">
        <v>2354</v>
      </c>
      <c r="E171" s="7" t="s">
        <v>1501</v>
      </c>
      <c r="F171" s="7" t="s">
        <v>2355</v>
      </c>
    </row>
    <row r="172" customFormat="false" ht="114.75" hidden="false" customHeight="true" outlineLevel="0" collapsed="false">
      <c r="A172" s="8" t="s">
        <v>2792</v>
      </c>
      <c r="B172" s="8" t="s">
        <v>53</v>
      </c>
      <c r="C172" s="8" t="s">
        <v>543</v>
      </c>
      <c r="D172" s="8" t="s">
        <v>2354</v>
      </c>
      <c r="E172" s="8" t="s">
        <v>1471</v>
      </c>
      <c r="F172" s="8" t="s">
        <v>2355</v>
      </c>
    </row>
    <row r="173" customFormat="false" ht="114.75" hidden="false" customHeight="true" outlineLevel="0" collapsed="false">
      <c r="A173" s="7" t="s">
        <v>2793</v>
      </c>
      <c r="B173" s="7" t="s">
        <v>53</v>
      </c>
      <c r="C173" s="7" t="s">
        <v>543</v>
      </c>
      <c r="D173" s="7" t="s">
        <v>2794</v>
      </c>
      <c r="E173" s="7" t="s">
        <v>2795</v>
      </c>
      <c r="F173" s="7" t="s">
        <v>2796</v>
      </c>
    </row>
    <row r="174" customFormat="false" ht="114.75" hidden="false" customHeight="true" outlineLevel="0" collapsed="false">
      <c r="A174" s="8" t="s">
        <v>2797</v>
      </c>
      <c r="B174" s="8" t="s">
        <v>53</v>
      </c>
      <c r="C174" s="8" t="s">
        <v>543</v>
      </c>
      <c r="D174" s="8" t="s">
        <v>2354</v>
      </c>
      <c r="E174" s="8" t="s">
        <v>419</v>
      </c>
      <c r="F174" s="8" t="s">
        <v>2355</v>
      </c>
    </row>
    <row r="175" customFormat="false" ht="114.75" hidden="false" customHeight="true" outlineLevel="0" collapsed="false">
      <c r="A175" s="7" t="s">
        <v>2798</v>
      </c>
      <c r="B175" s="7" t="s">
        <v>53</v>
      </c>
      <c r="C175" s="7" t="s">
        <v>543</v>
      </c>
      <c r="D175" s="7" t="s">
        <v>2799</v>
      </c>
      <c r="E175" s="7" t="s">
        <v>2800</v>
      </c>
      <c r="F175" s="7" t="s">
        <v>2801</v>
      </c>
    </row>
    <row r="176" customFormat="false" ht="114.75" hidden="false" customHeight="true" outlineLevel="0" collapsed="false">
      <c r="A176" s="8" t="s">
        <v>2802</v>
      </c>
      <c r="B176" s="8" t="s">
        <v>56</v>
      </c>
      <c r="C176" s="8" t="s">
        <v>2803</v>
      </c>
      <c r="D176" s="8" t="s">
        <v>1633</v>
      </c>
      <c r="E176" s="8" t="s">
        <v>1631</v>
      </c>
      <c r="F176" s="8" t="s">
        <v>2804</v>
      </c>
    </row>
    <row r="177" customFormat="false" ht="114.75" hidden="false" customHeight="true" outlineLevel="0" collapsed="false">
      <c r="A177" s="7" t="s">
        <v>2805</v>
      </c>
      <c r="B177" s="7" t="s">
        <v>56</v>
      </c>
      <c r="C177" s="7" t="s">
        <v>2803</v>
      </c>
      <c r="D177" s="7" t="s">
        <v>1637</v>
      </c>
      <c r="E177" s="7" t="s">
        <v>1635</v>
      </c>
      <c r="F177" s="7" t="s">
        <v>2806</v>
      </c>
    </row>
    <row r="178" customFormat="false" ht="114.75" hidden="false" customHeight="true" outlineLevel="0" collapsed="false">
      <c r="A178" s="8" t="s">
        <v>2807</v>
      </c>
      <c r="B178" s="8" t="s">
        <v>56</v>
      </c>
      <c r="C178" s="8" t="s">
        <v>2803</v>
      </c>
      <c r="D178" s="8" t="s">
        <v>2354</v>
      </c>
      <c r="E178" s="8" t="s">
        <v>2808</v>
      </c>
      <c r="F178" s="8" t="s">
        <v>2355</v>
      </c>
    </row>
    <row r="179" customFormat="false" ht="114.75" hidden="false" customHeight="true" outlineLevel="0" collapsed="false">
      <c r="A179" s="7" t="s">
        <v>2809</v>
      </c>
      <c r="B179" s="7" t="s">
        <v>56</v>
      </c>
      <c r="C179" s="7" t="s">
        <v>2803</v>
      </c>
      <c r="D179" s="7" t="s">
        <v>1187</v>
      </c>
      <c r="E179" s="7" t="s">
        <v>1641</v>
      </c>
      <c r="F179" s="7" t="s">
        <v>2810</v>
      </c>
    </row>
    <row r="180" customFormat="false" ht="114.75" hidden="false" customHeight="true" outlineLevel="0" collapsed="false">
      <c r="A180" s="8" t="s">
        <v>2811</v>
      </c>
      <c r="B180" s="8" t="s">
        <v>56</v>
      </c>
      <c r="C180" s="8" t="s">
        <v>2803</v>
      </c>
      <c r="D180" s="8" t="s">
        <v>1187</v>
      </c>
      <c r="E180" s="8" t="s">
        <v>1644</v>
      </c>
      <c r="F180" s="8" t="s">
        <v>2812</v>
      </c>
    </row>
    <row r="181" customFormat="false" ht="114.75" hidden="false" customHeight="true" outlineLevel="0" collapsed="false">
      <c r="A181" s="7" t="s">
        <v>2813</v>
      </c>
      <c r="B181" s="7" t="s">
        <v>56</v>
      </c>
      <c r="C181" s="7" t="s">
        <v>2803</v>
      </c>
      <c r="D181" s="7" t="s">
        <v>1649</v>
      </c>
      <c r="E181" s="7" t="s">
        <v>1647</v>
      </c>
      <c r="F181" s="7" t="s">
        <v>2814</v>
      </c>
    </row>
    <row r="182" customFormat="false" ht="114.75" hidden="false" customHeight="true" outlineLevel="0" collapsed="false">
      <c r="A182" s="8" t="s">
        <v>2815</v>
      </c>
      <c r="B182" s="8" t="s">
        <v>56</v>
      </c>
      <c r="C182" s="8" t="s">
        <v>2803</v>
      </c>
      <c r="D182" s="8" t="s">
        <v>1653</v>
      </c>
      <c r="E182" s="8" t="s">
        <v>1651</v>
      </c>
      <c r="F182" s="8" t="s">
        <v>2816</v>
      </c>
    </row>
    <row r="183" customFormat="false" ht="114.75" hidden="false" customHeight="true" outlineLevel="0" collapsed="false">
      <c r="A183" s="7" t="s">
        <v>2817</v>
      </c>
      <c r="B183" s="7" t="s">
        <v>56</v>
      </c>
      <c r="C183" s="7" t="s">
        <v>2803</v>
      </c>
      <c r="D183" s="7" t="s">
        <v>1657</v>
      </c>
      <c r="E183" s="7" t="s">
        <v>1655</v>
      </c>
      <c r="F183" s="7" t="s">
        <v>2818</v>
      </c>
    </row>
    <row r="184" customFormat="false" ht="114.75" hidden="false" customHeight="true" outlineLevel="0" collapsed="false">
      <c r="A184" s="8" t="s">
        <v>2819</v>
      </c>
      <c r="B184" s="8" t="s">
        <v>56</v>
      </c>
      <c r="C184" s="8" t="s">
        <v>2803</v>
      </c>
      <c r="D184" s="8" t="s">
        <v>1661</v>
      </c>
      <c r="E184" s="8" t="s">
        <v>1659</v>
      </c>
      <c r="F184" s="8" t="s">
        <v>2820</v>
      </c>
    </row>
    <row r="185" customFormat="false" ht="114.75" hidden="false" customHeight="true" outlineLevel="0" collapsed="false">
      <c r="A185" s="7" t="s">
        <v>2821</v>
      </c>
      <c r="B185" s="7" t="s">
        <v>56</v>
      </c>
      <c r="C185" s="7" t="s">
        <v>2803</v>
      </c>
      <c r="D185" s="7" t="s">
        <v>1187</v>
      </c>
      <c r="E185" s="7" t="s">
        <v>1663</v>
      </c>
      <c r="F185" s="7" t="s">
        <v>2822</v>
      </c>
    </row>
    <row r="186" customFormat="false" ht="114.75" hidden="false" customHeight="true" outlineLevel="0" collapsed="false">
      <c r="A186" s="8" t="s">
        <v>2823</v>
      </c>
      <c r="B186" s="8" t="s">
        <v>56</v>
      </c>
      <c r="C186" s="8" t="s">
        <v>2803</v>
      </c>
      <c r="D186" s="8" t="s">
        <v>1668</v>
      </c>
      <c r="E186" s="8" t="s">
        <v>1666</v>
      </c>
      <c r="F186" s="8" t="s">
        <v>2824</v>
      </c>
    </row>
    <row r="187" customFormat="false" ht="114.75" hidden="false" customHeight="true" outlineLevel="0" collapsed="false">
      <c r="A187" s="7" t="s">
        <v>2825</v>
      </c>
      <c r="B187" s="7" t="s">
        <v>56</v>
      </c>
      <c r="C187" s="7" t="s">
        <v>2803</v>
      </c>
      <c r="D187" s="7" t="s">
        <v>1672</v>
      </c>
      <c r="E187" s="7" t="s">
        <v>1670</v>
      </c>
      <c r="F187" s="7" t="s">
        <v>2826</v>
      </c>
    </row>
    <row r="188" customFormat="false" ht="120" hidden="false" customHeight="true" outlineLevel="0" collapsed="false">
      <c r="A188" s="8" t="s">
        <v>2827</v>
      </c>
      <c r="B188" s="8" t="s">
        <v>2828</v>
      </c>
      <c r="C188" s="8" t="s">
        <v>2829</v>
      </c>
      <c r="D188" s="8" t="s">
        <v>2830</v>
      </c>
      <c r="E188" s="8" t="s">
        <v>2831</v>
      </c>
      <c r="F188" s="8" t="s">
        <v>2832</v>
      </c>
    </row>
    <row r="189" customFormat="false" ht="120" hidden="false" customHeight="true" outlineLevel="0" collapsed="false">
      <c r="A189" s="7" t="s">
        <v>2833</v>
      </c>
      <c r="B189" s="7" t="s">
        <v>36</v>
      </c>
      <c r="C189" s="7" t="s">
        <v>2829</v>
      </c>
      <c r="D189" s="7" t="s">
        <v>2834</v>
      </c>
      <c r="E189" s="7" t="s">
        <v>2835</v>
      </c>
      <c r="F189" s="7" t="s">
        <v>2836</v>
      </c>
    </row>
    <row r="190" customFormat="false" ht="120" hidden="false" customHeight="true" outlineLevel="0" collapsed="false">
      <c r="A190" s="8" t="s">
        <v>2837</v>
      </c>
      <c r="B190" s="8" t="s">
        <v>2838</v>
      </c>
      <c r="C190" s="8" t="s">
        <v>2829</v>
      </c>
      <c r="D190" s="8" t="s">
        <v>2839</v>
      </c>
      <c r="E190" s="8" t="s">
        <v>2840</v>
      </c>
      <c r="F190" s="8" t="s">
        <v>2841</v>
      </c>
    </row>
    <row r="191" customFormat="false" ht="120" hidden="false" customHeight="true" outlineLevel="0" collapsed="false">
      <c r="A191" s="7" t="s">
        <v>2842</v>
      </c>
      <c r="B191" s="7" t="s">
        <v>2843</v>
      </c>
      <c r="C191" s="7" t="s">
        <v>2829</v>
      </c>
      <c r="D191" s="7" t="s">
        <v>2106</v>
      </c>
      <c r="E191" s="7" t="s">
        <v>2844</v>
      </c>
      <c r="F191" s="7" t="s">
        <v>2845</v>
      </c>
    </row>
    <row r="192" customFormat="false" ht="120" hidden="false" customHeight="true" outlineLevel="0" collapsed="false">
      <c r="A192" s="8" t="s">
        <v>2846</v>
      </c>
      <c r="B192" s="8" t="s">
        <v>2847</v>
      </c>
      <c r="C192" s="8" t="s">
        <v>2829</v>
      </c>
      <c r="D192" s="8" t="s">
        <v>2354</v>
      </c>
      <c r="E192" s="8" t="s">
        <v>447</v>
      </c>
      <c r="F192" s="8" t="s">
        <v>2355</v>
      </c>
    </row>
    <row r="193" customFormat="false" ht="120" hidden="false" customHeight="true" outlineLevel="0" collapsed="false">
      <c r="A193" s="7" t="s">
        <v>2848</v>
      </c>
      <c r="B193" s="7" t="s">
        <v>2849</v>
      </c>
      <c r="C193" s="7" t="s">
        <v>2829</v>
      </c>
      <c r="D193" s="7" t="s">
        <v>2106</v>
      </c>
      <c r="E193" s="7" t="s">
        <v>2850</v>
      </c>
      <c r="F193" s="7" t="s">
        <v>2851</v>
      </c>
    </row>
    <row r="194" customFormat="false" ht="120" hidden="false" customHeight="true" outlineLevel="0" collapsed="false">
      <c r="A194" s="8" t="s">
        <v>2852</v>
      </c>
      <c r="B194" s="8" t="s">
        <v>2853</v>
      </c>
      <c r="C194" s="8" t="s">
        <v>2829</v>
      </c>
      <c r="D194" s="8" t="s">
        <v>2354</v>
      </c>
      <c r="E194" s="8" t="s">
        <v>447</v>
      </c>
      <c r="F194" s="8" t="s">
        <v>2355</v>
      </c>
    </row>
    <row r="195" customFormat="false" ht="120" hidden="false" customHeight="true" outlineLevel="0" collapsed="false">
      <c r="A195" s="7" t="s">
        <v>2854</v>
      </c>
      <c r="B195" s="7" t="s">
        <v>2855</v>
      </c>
      <c r="C195" s="7" t="s">
        <v>2829</v>
      </c>
      <c r="D195" s="7" t="s">
        <v>2354</v>
      </c>
      <c r="E195" s="7" t="s">
        <v>447</v>
      </c>
      <c r="F195" s="7" t="s">
        <v>2355</v>
      </c>
    </row>
    <row r="196" customFormat="false" ht="120" hidden="false" customHeight="true" outlineLevel="0" collapsed="false">
      <c r="A196" s="8" t="s">
        <v>2856</v>
      </c>
      <c r="B196" s="8" t="s">
        <v>2857</v>
      </c>
      <c r="C196" s="8" t="s">
        <v>2829</v>
      </c>
      <c r="D196" s="8" t="s">
        <v>2354</v>
      </c>
      <c r="E196" s="8" t="s">
        <v>700</v>
      </c>
      <c r="F196" s="8" t="s">
        <v>2355</v>
      </c>
    </row>
    <row r="197" customFormat="false" ht="120" hidden="false" customHeight="true" outlineLevel="0" collapsed="false">
      <c r="A197" s="7" t="s">
        <v>2858</v>
      </c>
      <c r="B197" s="7" t="s">
        <v>2859</v>
      </c>
      <c r="C197" s="7" t="s">
        <v>2829</v>
      </c>
      <c r="D197" s="7" t="s">
        <v>2354</v>
      </c>
      <c r="E197" s="7" t="s">
        <v>2860</v>
      </c>
      <c r="F197" s="7" t="s">
        <v>2355</v>
      </c>
    </row>
    <row r="198" customFormat="false" ht="120" hidden="false" customHeight="true" outlineLevel="0" collapsed="false">
      <c r="A198" s="8" t="s">
        <v>2861</v>
      </c>
      <c r="B198" s="8" t="s">
        <v>1778</v>
      </c>
      <c r="C198" s="8" t="s">
        <v>2829</v>
      </c>
      <c r="D198" s="8" t="s">
        <v>1187</v>
      </c>
      <c r="E198" s="8" t="s">
        <v>2862</v>
      </c>
      <c r="F198" s="8" t="s">
        <v>2863</v>
      </c>
    </row>
    <row r="199" customFormat="false" ht="120" hidden="false" customHeight="true" outlineLevel="0" collapsed="false">
      <c r="A199" s="7" t="s">
        <v>2864</v>
      </c>
      <c r="B199" s="7" t="s">
        <v>2865</v>
      </c>
      <c r="C199" s="7" t="s">
        <v>2829</v>
      </c>
      <c r="D199" s="7" t="s">
        <v>2866</v>
      </c>
      <c r="E199" s="7" t="s">
        <v>2867</v>
      </c>
      <c r="F199" s="7" t="s">
        <v>2868</v>
      </c>
    </row>
    <row r="200" customFormat="false" ht="120" hidden="false" customHeight="true" outlineLevel="0" collapsed="false">
      <c r="A200" s="8" t="s">
        <v>2869</v>
      </c>
      <c r="B200" s="8" t="s">
        <v>2870</v>
      </c>
      <c r="C200" s="8" t="s">
        <v>2829</v>
      </c>
      <c r="D200" s="8" t="s">
        <v>2354</v>
      </c>
      <c r="E200" s="8" t="s">
        <v>2871</v>
      </c>
      <c r="F200" s="8" t="s">
        <v>2355</v>
      </c>
    </row>
    <row r="201" customFormat="false" ht="120" hidden="false" customHeight="true" outlineLevel="0" collapsed="false">
      <c r="A201" s="7" t="s">
        <v>2872</v>
      </c>
      <c r="B201" s="7" t="s">
        <v>2873</v>
      </c>
      <c r="C201" s="7" t="s">
        <v>2829</v>
      </c>
      <c r="D201" s="7" t="s">
        <v>2354</v>
      </c>
      <c r="E201" s="7" t="s">
        <v>451</v>
      </c>
      <c r="F201" s="7" t="s">
        <v>2355</v>
      </c>
    </row>
    <row r="202" customFormat="false" ht="120" hidden="false" customHeight="true" outlineLevel="0" collapsed="false">
      <c r="A202" s="8" t="s">
        <v>2874</v>
      </c>
      <c r="B202" s="8" t="s">
        <v>2875</v>
      </c>
      <c r="C202" s="8" t="s">
        <v>2829</v>
      </c>
      <c r="D202" s="8" t="s">
        <v>2354</v>
      </c>
      <c r="E202" s="8" t="s">
        <v>2876</v>
      </c>
      <c r="F202" s="8" t="s">
        <v>2355</v>
      </c>
    </row>
    <row r="203" customFormat="false" ht="120" hidden="false" customHeight="true" outlineLevel="0" collapsed="false">
      <c r="A203" s="7" t="s">
        <v>2877</v>
      </c>
      <c r="B203" s="7" t="s">
        <v>2878</v>
      </c>
      <c r="C203" s="7" t="s">
        <v>2829</v>
      </c>
      <c r="D203" s="7" t="s">
        <v>2354</v>
      </c>
      <c r="E203" s="7" t="s">
        <v>1268</v>
      </c>
      <c r="F203" s="7" t="s">
        <v>2355</v>
      </c>
    </row>
    <row r="204" customFormat="false" ht="120" hidden="false" customHeight="true" outlineLevel="0" collapsed="false">
      <c r="A204" s="8" t="s">
        <v>2879</v>
      </c>
      <c r="B204" s="8" t="s">
        <v>2880</v>
      </c>
      <c r="C204" s="8" t="s">
        <v>2829</v>
      </c>
      <c r="D204" s="8" t="s">
        <v>2354</v>
      </c>
      <c r="E204" s="8" t="s">
        <v>396</v>
      </c>
      <c r="F204" s="8" t="s">
        <v>2355</v>
      </c>
    </row>
    <row r="205" customFormat="false" ht="120" hidden="false" customHeight="true" outlineLevel="0" collapsed="false">
      <c r="A205" s="7" t="s">
        <v>2881</v>
      </c>
      <c r="B205" s="7" t="s">
        <v>707</v>
      </c>
      <c r="C205" s="7" t="s">
        <v>2829</v>
      </c>
      <c r="D205" s="7" t="s">
        <v>2866</v>
      </c>
      <c r="E205" s="7" t="s">
        <v>2882</v>
      </c>
      <c r="F205" s="7" t="s">
        <v>2883</v>
      </c>
    </row>
    <row r="206" customFormat="false" ht="135" hidden="false" customHeight="true" outlineLevel="0" collapsed="false">
      <c r="A206" s="8" t="s">
        <v>2884</v>
      </c>
      <c r="B206" s="8" t="s">
        <v>395</v>
      </c>
      <c r="C206" s="8" t="s">
        <v>2885</v>
      </c>
      <c r="D206" s="8" t="s">
        <v>2106</v>
      </c>
      <c r="E206" s="8" t="s">
        <v>396</v>
      </c>
      <c r="F206" s="8" t="s">
        <v>2886</v>
      </c>
    </row>
    <row r="207" customFormat="false" ht="135" hidden="false" customHeight="true" outlineLevel="0" collapsed="false">
      <c r="A207" s="7" t="s">
        <v>2887</v>
      </c>
      <c r="B207" s="7" t="s">
        <v>399</v>
      </c>
      <c r="C207" s="7" t="s">
        <v>2885</v>
      </c>
      <c r="D207" s="7" t="s">
        <v>2106</v>
      </c>
      <c r="E207" s="7" t="s">
        <v>400</v>
      </c>
      <c r="F207" s="7" t="s">
        <v>2888</v>
      </c>
    </row>
    <row r="208" customFormat="false" ht="135" hidden="false" customHeight="true" outlineLevel="0" collapsed="false">
      <c r="A208" s="8" t="s">
        <v>2889</v>
      </c>
      <c r="B208" s="8" t="s">
        <v>403</v>
      </c>
      <c r="C208" s="8" t="s">
        <v>2885</v>
      </c>
      <c r="D208" s="8" t="s">
        <v>2106</v>
      </c>
      <c r="E208" s="8" t="s">
        <v>404</v>
      </c>
      <c r="F208" s="8" t="s">
        <v>2890</v>
      </c>
    </row>
    <row r="209" customFormat="false" ht="135" hidden="false" customHeight="true" outlineLevel="0" collapsed="false">
      <c r="A209" s="7" t="s">
        <v>2891</v>
      </c>
      <c r="B209" s="7" t="s">
        <v>407</v>
      </c>
      <c r="C209" s="7" t="s">
        <v>2885</v>
      </c>
      <c r="D209" s="7" t="s">
        <v>2106</v>
      </c>
      <c r="E209" s="7" t="s">
        <v>408</v>
      </c>
      <c r="F209" s="7" t="s">
        <v>2890</v>
      </c>
    </row>
    <row r="210" customFormat="false" ht="135" hidden="false" customHeight="true" outlineLevel="0" collapsed="false">
      <c r="A210" s="8" t="s">
        <v>2892</v>
      </c>
      <c r="B210" s="8" t="s">
        <v>410</v>
      </c>
      <c r="C210" s="8" t="s">
        <v>2885</v>
      </c>
      <c r="D210" s="8" t="s">
        <v>2106</v>
      </c>
      <c r="E210" s="8" t="s">
        <v>411</v>
      </c>
      <c r="F210" s="8" t="s">
        <v>2893</v>
      </c>
    </row>
    <row r="211" customFormat="false" ht="135" hidden="false" customHeight="true" outlineLevel="0" collapsed="false">
      <c r="A211" s="7" t="s">
        <v>2894</v>
      </c>
      <c r="B211" s="7" t="s">
        <v>414</v>
      </c>
      <c r="C211" s="7" t="s">
        <v>2885</v>
      </c>
      <c r="D211" s="7" t="s">
        <v>2106</v>
      </c>
      <c r="E211" s="7" t="s">
        <v>415</v>
      </c>
      <c r="F211" s="7" t="s">
        <v>2895</v>
      </c>
    </row>
    <row r="212" customFormat="false" ht="135" hidden="false" customHeight="true" outlineLevel="0" collapsed="false">
      <c r="A212" s="8" t="s">
        <v>2896</v>
      </c>
      <c r="B212" s="8" t="s">
        <v>418</v>
      </c>
      <c r="C212" s="8" t="s">
        <v>2885</v>
      </c>
      <c r="D212" s="8" t="s">
        <v>2106</v>
      </c>
      <c r="E212" s="8" t="s">
        <v>419</v>
      </c>
      <c r="F212" s="8" t="s">
        <v>2897</v>
      </c>
    </row>
    <row r="213" customFormat="false" ht="135" hidden="false" customHeight="true" outlineLevel="0" collapsed="false">
      <c r="A213" s="7" t="s">
        <v>2898</v>
      </c>
      <c r="B213" s="7" t="s">
        <v>422</v>
      </c>
      <c r="C213" s="7" t="s">
        <v>2885</v>
      </c>
      <c r="D213" s="7" t="s">
        <v>2106</v>
      </c>
      <c r="E213" s="7" t="s">
        <v>423</v>
      </c>
      <c r="F213" s="7" t="s">
        <v>2899</v>
      </c>
    </row>
    <row r="214" customFormat="false" ht="135" hidden="false" customHeight="true" outlineLevel="0" collapsed="false">
      <c r="A214" s="8" t="s">
        <v>2900</v>
      </c>
      <c r="B214" s="8" t="s">
        <v>426</v>
      </c>
      <c r="C214" s="8" t="s">
        <v>2885</v>
      </c>
      <c r="D214" s="8" t="s">
        <v>2106</v>
      </c>
      <c r="E214" s="8" t="s">
        <v>427</v>
      </c>
      <c r="F214" s="8" t="s">
        <v>2901</v>
      </c>
    </row>
    <row r="215" customFormat="false" ht="135" hidden="false" customHeight="true" outlineLevel="0" collapsed="false">
      <c r="A215" s="7" t="s">
        <v>2902</v>
      </c>
      <c r="B215" s="7" t="s">
        <v>430</v>
      </c>
      <c r="C215" s="7" t="s">
        <v>2885</v>
      </c>
      <c r="D215" s="7" t="s">
        <v>2106</v>
      </c>
      <c r="E215" s="7" t="s">
        <v>431</v>
      </c>
      <c r="F215" s="7" t="s">
        <v>2903</v>
      </c>
    </row>
    <row r="216" customFormat="false" ht="135" hidden="false" customHeight="true" outlineLevel="0" collapsed="false">
      <c r="A216" s="8" t="s">
        <v>2904</v>
      </c>
      <c r="B216" s="8" t="s">
        <v>434</v>
      </c>
      <c r="C216" s="8" t="s">
        <v>2885</v>
      </c>
      <c r="D216" s="8" t="s">
        <v>2106</v>
      </c>
      <c r="E216" s="8" t="s">
        <v>435</v>
      </c>
      <c r="F216" s="8" t="s">
        <v>2905</v>
      </c>
    </row>
    <row r="217" customFormat="false" ht="135" hidden="false" customHeight="true" outlineLevel="0" collapsed="false">
      <c r="A217" s="7" t="s">
        <v>2906</v>
      </c>
      <c r="B217" s="7" t="s">
        <v>438</v>
      </c>
      <c r="C217" s="7" t="s">
        <v>2885</v>
      </c>
      <c r="D217" s="7" t="s">
        <v>2106</v>
      </c>
      <c r="E217" s="7" t="s">
        <v>439</v>
      </c>
      <c r="F217" s="7" t="s">
        <v>2907</v>
      </c>
    </row>
    <row r="218" customFormat="false" ht="135" hidden="false" customHeight="true" outlineLevel="0" collapsed="false">
      <c r="A218" s="8" t="s">
        <v>2908</v>
      </c>
      <c r="B218" s="8" t="s">
        <v>442</v>
      </c>
      <c r="C218" s="8" t="s">
        <v>2885</v>
      </c>
      <c r="D218" s="8" t="s">
        <v>2106</v>
      </c>
      <c r="E218" s="8" t="s">
        <v>443</v>
      </c>
      <c r="F218" s="8" t="s">
        <v>2909</v>
      </c>
    </row>
    <row r="219" customFormat="false" ht="135" hidden="false" customHeight="true" outlineLevel="0" collapsed="false">
      <c r="A219" s="7" t="s">
        <v>2910</v>
      </c>
      <c r="B219" s="7" t="s">
        <v>446</v>
      </c>
      <c r="C219" s="7" t="s">
        <v>2885</v>
      </c>
      <c r="D219" s="7" t="s">
        <v>2106</v>
      </c>
      <c r="E219" s="7" t="s">
        <v>447</v>
      </c>
      <c r="F219" s="7" t="s">
        <v>2911</v>
      </c>
    </row>
    <row r="220" customFormat="false" ht="135" hidden="false" customHeight="true" outlineLevel="0" collapsed="false">
      <c r="A220" s="8" t="s">
        <v>2912</v>
      </c>
      <c r="B220" s="8" t="s">
        <v>450</v>
      </c>
      <c r="C220" s="8" t="s">
        <v>2885</v>
      </c>
      <c r="D220" s="8" t="s">
        <v>2106</v>
      </c>
      <c r="E220" s="8" t="s">
        <v>451</v>
      </c>
      <c r="F220" s="8" t="s">
        <v>2913</v>
      </c>
    </row>
    <row r="221" customFormat="false" ht="135" hidden="false" customHeight="true" outlineLevel="0" collapsed="false">
      <c r="A221" s="7" t="s">
        <v>2914</v>
      </c>
      <c r="B221" s="7" t="s">
        <v>454</v>
      </c>
      <c r="C221" s="7" t="s">
        <v>2885</v>
      </c>
      <c r="D221" s="7" t="s">
        <v>2106</v>
      </c>
      <c r="E221" s="7" t="s">
        <v>455</v>
      </c>
      <c r="F221" s="7" t="s">
        <v>2915</v>
      </c>
    </row>
    <row r="222" customFormat="false" ht="135" hidden="false" customHeight="true" outlineLevel="0" collapsed="false">
      <c r="A222" s="8" t="s">
        <v>2916</v>
      </c>
      <c r="B222" s="8" t="s">
        <v>458</v>
      </c>
      <c r="C222" s="8" t="s">
        <v>2885</v>
      </c>
      <c r="D222" s="8" t="s">
        <v>2106</v>
      </c>
      <c r="E222" s="8" t="s">
        <v>459</v>
      </c>
      <c r="F222" s="8" t="s">
        <v>2917</v>
      </c>
    </row>
    <row r="223" customFormat="false" ht="79.5" hidden="false" customHeight="true" outlineLevel="0" collapsed="false">
      <c r="A223" s="8" t="s">
        <v>101</v>
      </c>
      <c r="B223" s="8" t="s">
        <v>102</v>
      </c>
      <c r="C223" s="8" t="s">
        <v>103</v>
      </c>
      <c r="D223" s="8" t="s">
        <v>719</v>
      </c>
      <c r="E223" s="8" t="s">
        <v>104</v>
      </c>
      <c r="F223" s="8" t="s">
        <v>2918</v>
      </c>
    </row>
    <row r="224" customFormat="false" ht="79.5" hidden="false" customHeight="true" outlineLevel="0" collapsed="false">
      <c r="A224" s="8" t="s">
        <v>106</v>
      </c>
      <c r="B224" s="8" t="s">
        <v>107</v>
      </c>
      <c r="C224" s="8" t="s">
        <v>108</v>
      </c>
      <c r="D224" s="8" t="s">
        <v>719</v>
      </c>
      <c r="E224" s="8" t="s">
        <v>109</v>
      </c>
      <c r="F224" s="8" t="s">
        <v>2919</v>
      </c>
    </row>
    <row r="225" customFormat="false" ht="79.5" hidden="false" customHeight="true" outlineLevel="0" collapsed="false">
      <c r="A225" s="8" t="s">
        <v>111</v>
      </c>
      <c r="B225" s="8" t="s">
        <v>107</v>
      </c>
      <c r="C225" s="8" t="s">
        <v>112</v>
      </c>
      <c r="D225" s="8" t="s">
        <v>719</v>
      </c>
      <c r="E225" s="8" t="s">
        <v>113</v>
      </c>
      <c r="F225" s="8" t="s">
        <v>2920</v>
      </c>
    </row>
    <row r="226" customFormat="false" ht="79.5" hidden="false" customHeight="true" outlineLevel="0" collapsed="false">
      <c r="A226" s="8" t="s">
        <v>115</v>
      </c>
      <c r="B226" s="8" t="s">
        <v>107</v>
      </c>
      <c r="C226" s="8" t="s">
        <v>116</v>
      </c>
      <c r="D226" s="8" t="s">
        <v>719</v>
      </c>
      <c r="E226" s="8" t="s">
        <v>117</v>
      </c>
      <c r="F226" s="8" t="s">
        <v>2921</v>
      </c>
    </row>
    <row r="227" customFormat="false" ht="79.5" hidden="false" customHeight="true" outlineLevel="0" collapsed="false">
      <c r="A227" s="8" t="s">
        <v>119</v>
      </c>
      <c r="B227" s="8" t="s">
        <v>120</v>
      </c>
      <c r="C227" s="8" t="s">
        <v>121</v>
      </c>
      <c r="D227" s="8" t="s">
        <v>719</v>
      </c>
      <c r="E227" s="8" t="s">
        <v>122</v>
      </c>
      <c r="F227" s="8" t="s">
        <v>2922</v>
      </c>
    </row>
    <row r="228" customFormat="false" ht="79.5" hidden="false" customHeight="true" outlineLevel="0" collapsed="false">
      <c r="A228" s="8" t="s">
        <v>124</v>
      </c>
      <c r="B228" s="8" t="s">
        <v>125</v>
      </c>
      <c r="C228" s="8" t="s">
        <v>126</v>
      </c>
      <c r="D228" s="8" t="s">
        <v>719</v>
      </c>
      <c r="E228" s="8" t="s">
        <v>127</v>
      </c>
      <c r="F228" s="8" t="s">
        <v>2923</v>
      </c>
    </row>
    <row r="229" customFormat="false" ht="79.5" hidden="false" customHeight="true" outlineLevel="0" collapsed="false">
      <c r="A229" s="8" t="s">
        <v>129</v>
      </c>
      <c r="B229" s="8" t="s">
        <v>130</v>
      </c>
      <c r="C229" s="8" t="s">
        <v>131</v>
      </c>
      <c r="D229" s="8" t="s">
        <v>719</v>
      </c>
      <c r="E229" s="8" t="s">
        <v>132</v>
      </c>
      <c r="F229" s="8" t="s">
        <v>2924</v>
      </c>
    </row>
    <row r="230" customFormat="false" ht="79.5" hidden="false" customHeight="true" outlineLevel="0" collapsed="false">
      <c r="A230" s="8" t="s">
        <v>134</v>
      </c>
      <c r="B230" s="8" t="s">
        <v>130</v>
      </c>
      <c r="C230" s="8" t="s">
        <v>120</v>
      </c>
      <c r="D230" s="8" t="s">
        <v>719</v>
      </c>
      <c r="E230" s="8" t="s">
        <v>135</v>
      </c>
      <c r="F230" s="8" t="s">
        <v>2925</v>
      </c>
    </row>
    <row r="231" customFormat="false" ht="79.5" hidden="false" customHeight="true" outlineLevel="0" collapsed="false">
      <c r="A231" s="8" t="s">
        <v>137</v>
      </c>
      <c r="B231" s="8" t="s">
        <v>130</v>
      </c>
      <c r="C231" s="8" t="s">
        <v>138</v>
      </c>
      <c r="D231" s="8" t="s">
        <v>719</v>
      </c>
      <c r="E231" s="8" t="s">
        <v>139</v>
      </c>
      <c r="F231" s="8" t="s">
        <v>2926</v>
      </c>
    </row>
    <row r="232" customFormat="false" ht="79.5" hidden="false" customHeight="true" outlineLevel="0" collapsed="false">
      <c r="A232" s="8" t="s">
        <v>141</v>
      </c>
      <c r="B232" s="8" t="s">
        <v>130</v>
      </c>
      <c r="C232" s="8" t="s">
        <v>142</v>
      </c>
      <c r="D232" s="8" t="s">
        <v>719</v>
      </c>
      <c r="E232" s="8" t="s">
        <v>143</v>
      </c>
      <c r="F232" s="8" t="s">
        <v>2927</v>
      </c>
    </row>
    <row r="233" customFormat="false" ht="79.5" hidden="false" customHeight="true" outlineLevel="0" collapsed="false">
      <c r="A233" s="8" t="s">
        <v>145</v>
      </c>
      <c r="B233" s="8" t="s">
        <v>130</v>
      </c>
      <c r="C233" s="8" t="s">
        <v>146</v>
      </c>
      <c r="D233" s="8" t="s">
        <v>719</v>
      </c>
      <c r="E233" s="8" t="s">
        <v>147</v>
      </c>
      <c r="F233" s="8" t="s">
        <v>2928</v>
      </c>
    </row>
    <row r="234" customFormat="false" ht="79.5" hidden="false" customHeight="true" outlineLevel="0" collapsed="false">
      <c r="A234" s="8" t="s">
        <v>149</v>
      </c>
      <c r="B234" s="8" t="s">
        <v>130</v>
      </c>
      <c r="C234" s="8" t="s">
        <v>150</v>
      </c>
      <c r="D234" s="8" t="s">
        <v>719</v>
      </c>
      <c r="E234" s="8" t="s">
        <v>151</v>
      </c>
      <c r="F234" s="8" t="s">
        <v>2929</v>
      </c>
    </row>
    <row r="235" customFormat="false" ht="79.5" hidden="false" customHeight="true" outlineLevel="0" collapsed="false">
      <c r="A235" s="8" t="s">
        <v>153</v>
      </c>
      <c r="B235" s="8" t="s">
        <v>130</v>
      </c>
      <c r="C235" s="8" t="s">
        <v>154</v>
      </c>
      <c r="D235" s="8" t="s">
        <v>719</v>
      </c>
      <c r="E235" s="8" t="s">
        <v>155</v>
      </c>
      <c r="F235" s="8" t="s">
        <v>2930</v>
      </c>
    </row>
    <row r="236" customFormat="false" ht="79.5" hidden="false" customHeight="true" outlineLevel="0" collapsed="false">
      <c r="A236" s="8" t="s">
        <v>157</v>
      </c>
      <c r="B236" s="8" t="s">
        <v>130</v>
      </c>
      <c r="C236" s="8" t="s">
        <v>158</v>
      </c>
      <c r="D236" s="8" t="s">
        <v>719</v>
      </c>
      <c r="E236" s="8" t="s">
        <v>159</v>
      </c>
      <c r="F236" s="8" t="s">
        <v>2931</v>
      </c>
    </row>
    <row r="237" customFormat="false" ht="79.5" hidden="false" customHeight="true" outlineLevel="0" collapsed="false">
      <c r="A237" s="8" t="s">
        <v>161</v>
      </c>
      <c r="B237" s="8" t="s">
        <v>130</v>
      </c>
      <c r="C237" s="8" t="s">
        <v>162</v>
      </c>
      <c r="D237" s="8" t="s">
        <v>719</v>
      </c>
      <c r="E237" s="8" t="s">
        <v>163</v>
      </c>
      <c r="F237" s="8" t="s">
        <v>2932</v>
      </c>
    </row>
    <row r="238" customFormat="false" ht="79.5" hidden="false" customHeight="true" outlineLevel="0" collapsed="false">
      <c r="A238" s="8" t="s">
        <v>165</v>
      </c>
      <c r="B238" s="8" t="s">
        <v>130</v>
      </c>
      <c r="C238" s="8" t="s">
        <v>166</v>
      </c>
      <c r="D238" s="8" t="s">
        <v>719</v>
      </c>
      <c r="E238" s="8" t="s">
        <v>167</v>
      </c>
      <c r="F238" s="8" t="s">
        <v>2933</v>
      </c>
    </row>
    <row r="239" customFormat="false" ht="79.5" hidden="false" customHeight="true" outlineLevel="0" collapsed="false">
      <c r="A239" s="8" t="s">
        <v>169</v>
      </c>
      <c r="B239" s="8" t="s">
        <v>24</v>
      </c>
      <c r="C239" s="8" t="s">
        <v>170</v>
      </c>
      <c r="D239" s="8" t="s">
        <v>719</v>
      </c>
      <c r="E239" s="8" t="s">
        <v>171</v>
      </c>
      <c r="F239" s="8" t="s">
        <v>2934</v>
      </c>
    </row>
    <row r="240" customFormat="false" ht="79.5" hidden="false" customHeight="true" outlineLevel="0" collapsed="false">
      <c r="A240" s="8" t="s">
        <v>173</v>
      </c>
      <c r="B240" s="8" t="s">
        <v>174</v>
      </c>
      <c r="C240" s="8" t="s">
        <v>175</v>
      </c>
      <c r="D240" s="8" t="s">
        <v>719</v>
      </c>
      <c r="E240" s="8" t="s">
        <v>176</v>
      </c>
      <c r="F240" s="8" t="s">
        <v>2935</v>
      </c>
    </row>
    <row r="241" customFormat="false" ht="79.5" hidden="false" customHeight="true" outlineLevel="0" collapsed="false">
      <c r="A241" s="8" t="s">
        <v>178</v>
      </c>
      <c r="B241" s="8" t="s">
        <v>174</v>
      </c>
      <c r="C241" s="8" t="s">
        <v>179</v>
      </c>
      <c r="D241" s="8" t="s">
        <v>719</v>
      </c>
      <c r="E241" s="8" t="s">
        <v>180</v>
      </c>
      <c r="F241" s="8" t="s">
        <v>2936</v>
      </c>
    </row>
    <row r="242" customFormat="false" ht="79.5" hidden="false" customHeight="true" outlineLevel="0" collapsed="false">
      <c r="A242" s="8" t="s">
        <v>182</v>
      </c>
      <c r="B242" s="8" t="s">
        <v>174</v>
      </c>
      <c r="C242" s="8" t="s">
        <v>183</v>
      </c>
      <c r="D242" s="8" t="s">
        <v>719</v>
      </c>
      <c r="E242" s="8" t="s">
        <v>184</v>
      </c>
      <c r="F242" s="8" t="s">
        <v>2937</v>
      </c>
    </row>
    <row r="243" customFormat="false" ht="79.5" hidden="false" customHeight="true" outlineLevel="0" collapsed="false">
      <c r="A243" s="8" t="s">
        <v>186</v>
      </c>
      <c r="B243" s="8" t="s">
        <v>187</v>
      </c>
      <c r="C243" s="8" t="s">
        <v>188</v>
      </c>
      <c r="D243" s="8" t="s">
        <v>719</v>
      </c>
      <c r="E243" s="8" t="s">
        <v>189</v>
      </c>
      <c r="F243" s="8" t="s">
        <v>2938</v>
      </c>
    </row>
    <row r="244" customFormat="false" ht="79.5" hidden="false" customHeight="true" outlineLevel="0" collapsed="false">
      <c r="A244" s="8" t="s">
        <v>191</v>
      </c>
      <c r="B244" s="8" t="s">
        <v>187</v>
      </c>
      <c r="C244" s="8" t="s">
        <v>192</v>
      </c>
      <c r="D244" s="8" t="s">
        <v>719</v>
      </c>
      <c r="E244" s="8" t="s">
        <v>193</v>
      </c>
      <c r="F244" s="8" t="s">
        <v>2939</v>
      </c>
    </row>
    <row r="245" customFormat="false" ht="79.5" hidden="false" customHeight="true" outlineLevel="0" collapsed="false">
      <c r="A245" s="8" t="s">
        <v>195</v>
      </c>
      <c r="B245" s="8" t="s">
        <v>187</v>
      </c>
      <c r="C245" s="8" t="s">
        <v>196</v>
      </c>
      <c r="D245" s="8" t="s">
        <v>719</v>
      </c>
      <c r="E245" s="8" t="s">
        <v>197</v>
      </c>
      <c r="F245" s="8" t="s">
        <v>2940</v>
      </c>
    </row>
    <row r="246" customFormat="false" ht="79.5" hidden="false" customHeight="true" outlineLevel="0" collapsed="false">
      <c r="A246" s="8" t="s">
        <v>199</v>
      </c>
      <c r="B246" s="8" t="s">
        <v>200</v>
      </c>
      <c r="C246" s="8" t="s">
        <v>201</v>
      </c>
      <c r="D246" s="8" t="s">
        <v>719</v>
      </c>
      <c r="E246" s="8" t="s">
        <v>202</v>
      </c>
      <c r="F246" s="8" t="s">
        <v>2941</v>
      </c>
    </row>
    <row r="247" customFormat="false" ht="79.5" hidden="false" customHeight="true" outlineLevel="0" collapsed="false">
      <c r="A247" s="8" t="s">
        <v>204</v>
      </c>
      <c r="B247" s="8" t="s">
        <v>130</v>
      </c>
      <c r="C247" s="8" t="s">
        <v>205</v>
      </c>
      <c r="D247" s="8" t="s">
        <v>719</v>
      </c>
      <c r="E247" s="8" t="s">
        <v>206</v>
      </c>
      <c r="F247" s="8" t="s">
        <v>2942</v>
      </c>
    </row>
    <row r="248" customFormat="false" ht="79.5" hidden="false" customHeight="true" outlineLevel="0" collapsed="false">
      <c r="A248" s="8" t="s">
        <v>208</v>
      </c>
      <c r="B248" s="8" t="s">
        <v>209</v>
      </c>
      <c r="C248" s="8" t="s">
        <v>210</v>
      </c>
      <c r="D248" s="8" t="s">
        <v>719</v>
      </c>
      <c r="E248" s="8" t="s">
        <v>211</v>
      </c>
      <c r="F248" s="8" t="s">
        <v>2943</v>
      </c>
    </row>
    <row r="249" customFormat="false" ht="79.5" hidden="false" customHeight="true" outlineLevel="0" collapsed="false">
      <c r="A249" s="8" t="s">
        <v>213</v>
      </c>
      <c r="B249" s="8" t="s">
        <v>209</v>
      </c>
      <c r="C249" s="8" t="s">
        <v>214</v>
      </c>
      <c r="D249" s="8" t="s">
        <v>719</v>
      </c>
      <c r="E249" s="8" t="s">
        <v>215</v>
      </c>
      <c r="F249" s="8" t="s">
        <v>2944</v>
      </c>
    </row>
    <row r="250" customFormat="false" ht="79.5" hidden="false" customHeight="true" outlineLevel="0" collapsed="false">
      <c r="A250" s="8" t="s">
        <v>217</v>
      </c>
      <c r="B250" s="8" t="s">
        <v>209</v>
      </c>
      <c r="C250" s="8" t="s">
        <v>218</v>
      </c>
      <c r="D250" s="8" t="s">
        <v>719</v>
      </c>
      <c r="E250" s="8" t="s">
        <v>219</v>
      </c>
      <c r="F250" s="8" t="s">
        <v>2945</v>
      </c>
    </row>
    <row r="251" customFormat="false" ht="79.5" hidden="false" customHeight="true" outlineLevel="0" collapsed="false">
      <c r="A251" s="8" t="s">
        <v>221</v>
      </c>
      <c r="B251" s="8" t="s">
        <v>209</v>
      </c>
      <c r="C251" s="8" t="s">
        <v>222</v>
      </c>
      <c r="D251" s="8" t="s">
        <v>719</v>
      </c>
      <c r="E251" s="8" t="s">
        <v>223</v>
      </c>
      <c r="F251" s="8" t="s">
        <v>2946</v>
      </c>
    </row>
    <row r="252" customFormat="false" ht="79.5" hidden="false" customHeight="true" outlineLevel="0" collapsed="false">
      <c r="A252" s="8" t="s">
        <v>225</v>
      </c>
      <c r="B252" s="8" t="s">
        <v>187</v>
      </c>
      <c r="C252" s="8" t="s">
        <v>226</v>
      </c>
      <c r="D252" s="8" t="s">
        <v>719</v>
      </c>
      <c r="E252" s="8" t="s">
        <v>227</v>
      </c>
      <c r="F252" s="8" t="s">
        <v>2947</v>
      </c>
    </row>
    <row r="253" customFormat="false" ht="79.5" hidden="false" customHeight="true" outlineLevel="0" collapsed="false">
      <c r="A253" s="8" t="s">
        <v>229</v>
      </c>
      <c r="B253" s="8" t="s">
        <v>187</v>
      </c>
      <c r="C253" s="8" t="s">
        <v>230</v>
      </c>
      <c r="D253" s="8" t="s">
        <v>719</v>
      </c>
      <c r="E253" s="8" t="s">
        <v>231</v>
      </c>
      <c r="F253" s="8" t="s">
        <v>2948</v>
      </c>
    </row>
    <row r="254" customFormat="false" ht="79.5" hidden="false" customHeight="true" outlineLevel="0" collapsed="false">
      <c r="A254" s="8" t="s">
        <v>233</v>
      </c>
      <c r="B254" s="8" t="s">
        <v>187</v>
      </c>
      <c r="C254" s="8" t="s">
        <v>234</v>
      </c>
      <c r="D254" s="8" t="s">
        <v>719</v>
      </c>
      <c r="E254" s="8" t="s">
        <v>235</v>
      </c>
      <c r="F254" s="8" t="s">
        <v>2949</v>
      </c>
    </row>
    <row r="255" customFormat="false" ht="79.5" hidden="false" customHeight="true" outlineLevel="0" collapsed="false">
      <c r="A255" s="8" t="s">
        <v>237</v>
      </c>
      <c r="B255" s="8" t="s">
        <v>80</v>
      </c>
      <c r="C255" s="8" t="s">
        <v>238</v>
      </c>
      <c r="D255" s="8" t="s">
        <v>719</v>
      </c>
      <c r="E255" s="8" t="s">
        <v>239</v>
      </c>
      <c r="F255" s="8" t="s">
        <v>2950</v>
      </c>
    </row>
    <row r="256" customFormat="false" ht="79.5" hidden="false" customHeight="true" outlineLevel="0" collapsed="false">
      <c r="A256" s="8" t="s">
        <v>241</v>
      </c>
      <c r="B256" s="8" t="s">
        <v>80</v>
      </c>
      <c r="C256" s="8" t="s">
        <v>242</v>
      </c>
      <c r="D256" s="8" t="s">
        <v>719</v>
      </c>
      <c r="E256" s="8" t="s">
        <v>243</v>
      </c>
      <c r="F256" s="8" t="s">
        <v>2951</v>
      </c>
    </row>
    <row r="257" customFormat="false" ht="79.5" hidden="false" customHeight="true" outlineLevel="0" collapsed="false">
      <c r="A257" s="8" t="s">
        <v>245</v>
      </c>
      <c r="B257" s="8" t="s">
        <v>80</v>
      </c>
      <c r="C257" s="8" t="s">
        <v>246</v>
      </c>
      <c r="D257" s="8" t="s">
        <v>719</v>
      </c>
      <c r="E257" s="8" t="s">
        <v>247</v>
      </c>
      <c r="F257" s="8" t="s">
        <v>2952</v>
      </c>
    </row>
    <row r="258" customFormat="false" ht="79.5" hidden="false" customHeight="true" outlineLevel="0" collapsed="false">
      <c r="A258" s="8" t="s">
        <v>249</v>
      </c>
      <c r="B258" s="8" t="s">
        <v>80</v>
      </c>
      <c r="C258" s="8" t="s">
        <v>250</v>
      </c>
      <c r="D258" s="8" t="s">
        <v>719</v>
      </c>
      <c r="E258" s="8" t="s">
        <v>251</v>
      </c>
      <c r="F258" s="8" t="s">
        <v>2953</v>
      </c>
    </row>
    <row r="259" customFormat="false" ht="79.5" hidden="false" customHeight="true" outlineLevel="0" collapsed="false">
      <c r="A259" s="8" t="s">
        <v>253</v>
      </c>
      <c r="B259" s="8" t="s">
        <v>80</v>
      </c>
      <c r="C259" s="8" t="s">
        <v>254</v>
      </c>
      <c r="D259" s="8" t="s">
        <v>719</v>
      </c>
      <c r="E259" s="8" t="s">
        <v>255</v>
      </c>
      <c r="F259" s="8" t="s">
        <v>2954</v>
      </c>
    </row>
    <row r="260" customFormat="false" ht="79.5" hidden="false" customHeight="true" outlineLevel="0" collapsed="false">
      <c r="A260" s="8" t="s">
        <v>257</v>
      </c>
      <c r="B260" s="8" t="s">
        <v>80</v>
      </c>
      <c r="C260" s="8" t="s">
        <v>258</v>
      </c>
      <c r="D260" s="8" t="s">
        <v>719</v>
      </c>
      <c r="E260" s="8" t="s">
        <v>259</v>
      </c>
      <c r="F260" s="8" t="s">
        <v>2955</v>
      </c>
    </row>
    <row r="261" customFormat="false" ht="79.5" hidden="false" customHeight="true" outlineLevel="0" collapsed="false">
      <c r="A261" s="8" t="s">
        <v>261</v>
      </c>
      <c r="B261" s="8" t="s">
        <v>83</v>
      </c>
      <c r="C261" s="8" t="s">
        <v>262</v>
      </c>
      <c r="D261" s="8" t="s">
        <v>719</v>
      </c>
      <c r="E261" s="8" t="s">
        <v>263</v>
      </c>
      <c r="F261" s="8" t="s">
        <v>2956</v>
      </c>
    </row>
    <row r="262" customFormat="false" ht="79.5" hidden="false" customHeight="true" outlineLevel="0" collapsed="false">
      <c r="A262" s="8" t="s">
        <v>265</v>
      </c>
      <c r="B262" s="8" t="s">
        <v>83</v>
      </c>
      <c r="C262" s="8" t="s">
        <v>266</v>
      </c>
      <c r="D262" s="8" t="s">
        <v>719</v>
      </c>
      <c r="E262" s="8" t="s">
        <v>267</v>
      </c>
      <c r="F262" s="8" t="s">
        <v>2957</v>
      </c>
    </row>
    <row r="263" customFormat="false" ht="79.5" hidden="false" customHeight="true" outlineLevel="0" collapsed="false">
      <c r="A263" s="8" t="s">
        <v>269</v>
      </c>
      <c r="B263" s="8" t="s">
        <v>83</v>
      </c>
      <c r="C263" s="8" t="s">
        <v>270</v>
      </c>
      <c r="D263" s="8" t="s">
        <v>719</v>
      </c>
      <c r="E263" s="8" t="s">
        <v>271</v>
      </c>
      <c r="F263" s="8" t="s">
        <v>2958</v>
      </c>
    </row>
    <row r="264" customFormat="false" ht="79.5" hidden="false" customHeight="true" outlineLevel="0" collapsed="false">
      <c r="A264" s="8" t="s">
        <v>273</v>
      </c>
      <c r="B264" s="8" t="s">
        <v>83</v>
      </c>
      <c r="C264" s="8" t="s">
        <v>274</v>
      </c>
      <c r="D264" s="8" t="s">
        <v>719</v>
      </c>
      <c r="E264" s="8" t="s">
        <v>275</v>
      </c>
      <c r="F264" s="8" t="s">
        <v>2959</v>
      </c>
    </row>
    <row r="265" customFormat="false" ht="79.5" hidden="false" customHeight="true" outlineLevel="0" collapsed="false">
      <c r="A265" s="8" t="s">
        <v>277</v>
      </c>
      <c r="B265" s="8" t="s">
        <v>83</v>
      </c>
      <c r="C265" s="8" t="s">
        <v>278</v>
      </c>
      <c r="D265" s="8" t="s">
        <v>719</v>
      </c>
      <c r="E265" s="8" t="s">
        <v>279</v>
      </c>
      <c r="F265" s="8" t="s">
        <v>2960</v>
      </c>
    </row>
    <row r="266" customFormat="false" ht="79.5" hidden="false" customHeight="true" outlineLevel="0" collapsed="false">
      <c r="A266" s="8" t="s">
        <v>281</v>
      </c>
      <c r="B266" s="8" t="s">
        <v>83</v>
      </c>
      <c r="C266" s="8" t="s">
        <v>282</v>
      </c>
      <c r="D266" s="8" t="s">
        <v>719</v>
      </c>
      <c r="E266" s="8" t="s">
        <v>283</v>
      </c>
      <c r="F266" s="8" t="s">
        <v>2961</v>
      </c>
    </row>
    <row r="267" customFormat="false" ht="79.5" hidden="false" customHeight="true" outlineLevel="0" collapsed="false">
      <c r="A267" s="8" t="s">
        <v>285</v>
      </c>
      <c r="B267" s="8" t="s">
        <v>86</v>
      </c>
      <c r="C267" s="8" t="s">
        <v>286</v>
      </c>
      <c r="D267" s="8" t="s">
        <v>719</v>
      </c>
      <c r="E267" s="8" t="s">
        <v>287</v>
      </c>
      <c r="F267" s="8" t="s">
        <v>2962</v>
      </c>
    </row>
    <row r="268" customFormat="false" ht="79.5" hidden="false" customHeight="true" outlineLevel="0" collapsed="false">
      <c r="A268" s="8" t="s">
        <v>289</v>
      </c>
      <c r="B268" s="8" t="s">
        <v>86</v>
      </c>
      <c r="C268" s="8" t="s">
        <v>290</v>
      </c>
      <c r="D268" s="8" t="s">
        <v>719</v>
      </c>
      <c r="E268" s="8" t="s">
        <v>291</v>
      </c>
      <c r="F268" s="8" t="s">
        <v>2963</v>
      </c>
    </row>
    <row r="269" customFormat="false" ht="79.5" hidden="false" customHeight="true" outlineLevel="0" collapsed="false">
      <c r="A269" s="8" t="s">
        <v>293</v>
      </c>
      <c r="B269" s="8" t="s">
        <v>294</v>
      </c>
      <c r="C269" s="8" t="s">
        <v>295</v>
      </c>
      <c r="D269" s="8" t="s">
        <v>719</v>
      </c>
      <c r="E269" s="8" t="s">
        <v>296</v>
      </c>
      <c r="F269" s="8" t="s">
        <v>2964</v>
      </c>
    </row>
    <row r="270" customFormat="false" ht="79.5" hidden="false" customHeight="true" outlineLevel="0" collapsed="false">
      <c r="A270" s="8" t="s">
        <v>298</v>
      </c>
      <c r="B270" s="8" t="s">
        <v>299</v>
      </c>
      <c r="C270" s="8" t="s">
        <v>300</v>
      </c>
      <c r="D270" s="8" t="s">
        <v>719</v>
      </c>
      <c r="E270" s="8" t="s">
        <v>301</v>
      </c>
      <c r="F270" s="8" t="s">
        <v>2965</v>
      </c>
    </row>
  </sheetData>
  <autoFilter ref="A5:F270"/>
  <mergeCells count="2">
    <mergeCell ref="A1:F1"/>
    <mergeCell ref="A2:F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6D75"/>
    <pageSetUpPr fitToPage="true"/>
  </sheetPr>
  <dimension ref="A1:E19"/>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1" ySplit="5" topLeftCell="C10" activePane="bottomRight" state="frozen"/>
      <selection pane="topLeft" activeCell="A1" activeCellId="0" sqref="A1"/>
      <selection pane="topRight" activeCell="C1" activeCellId="0" sqref="C1"/>
      <selection pane="bottomLeft" activeCell="A10" activeCellId="0" sqref="A10"/>
      <selection pane="bottomRight" activeCell="E16" activeCellId="0" sqref="E16"/>
    </sheetView>
  </sheetViews>
  <sheetFormatPr defaultColWidth="8.71484375" defaultRowHeight="15" customHeight="false" zeroHeight="false" outlineLevelRow="0" outlineLevelCol="0"/>
  <cols>
    <col collapsed="false" customWidth="true" hidden="false" outlineLevel="0" max="1" min="1" style="14" width="28.71"/>
    <col collapsed="false" customWidth="true" hidden="false" outlineLevel="0" max="2" min="2" style="14" width="24.71"/>
    <col collapsed="false" customWidth="true" hidden="false" outlineLevel="0" max="3" min="3" style="14" width="26.71"/>
    <col collapsed="false" customWidth="true" hidden="false" outlineLevel="0" max="4" min="4" style="14" width="65.71"/>
    <col collapsed="false" customWidth="true" hidden="false" outlineLevel="0" max="5" min="5" style="14" width="110.71"/>
  </cols>
  <sheetData>
    <row r="1" customFormat="false" ht="33.75" hidden="false" customHeight="true" outlineLevel="0" collapsed="false">
      <c r="A1" s="64" t="s">
        <v>2966</v>
      </c>
      <c r="B1" s="64"/>
      <c r="C1" s="64"/>
      <c r="D1" s="64"/>
      <c r="E1" s="64"/>
    </row>
    <row r="2" customFormat="false" ht="24.75" hidden="false" customHeight="true" outlineLevel="0" collapsed="false">
      <c r="A2" s="65" t="s">
        <v>2967</v>
      </c>
      <c r="B2" s="65"/>
      <c r="C2" s="65"/>
      <c r="D2" s="65"/>
      <c r="E2" s="65"/>
    </row>
    <row r="3" customFormat="false" ht="24.75" hidden="false" customHeight="true" outlineLevel="0" collapsed="false">
      <c r="A3" s="65"/>
      <c r="B3" s="65"/>
      <c r="C3" s="65"/>
      <c r="D3" s="65"/>
      <c r="E3" s="65"/>
    </row>
    <row r="5" customFormat="false" ht="48" hidden="false" customHeight="true" outlineLevel="0" collapsed="false">
      <c r="A5" s="66" t="s">
        <v>2968</v>
      </c>
      <c r="B5" s="66" t="s">
        <v>2969</v>
      </c>
      <c r="C5" s="66" t="s">
        <v>2970</v>
      </c>
      <c r="D5" s="66" t="s">
        <v>727</v>
      </c>
      <c r="E5" s="66" t="s">
        <v>809</v>
      </c>
    </row>
    <row r="6" customFormat="false" ht="51.75" hidden="false" customHeight="true" outlineLevel="0" collapsed="false">
      <c r="A6" s="67" t="n">
        <v>-100</v>
      </c>
      <c r="B6" s="67" t="n">
        <f aca="false">SIGN(A6)*IF(ABS(A6)&lt;=50,ABS(A6)/300,1/6+(ABS(A6)-50)/60)</f>
        <v>-1</v>
      </c>
      <c r="C6" s="68" t="n">
        <f aca="false">IF(B6=0,"brak zmiany",1/ABS(B6))</f>
        <v>1</v>
      </c>
      <c r="D6" s="69" t="s">
        <v>2971</v>
      </c>
      <c r="E6" s="69" t="s">
        <v>700</v>
      </c>
    </row>
    <row r="7" customFormat="false" ht="51.75" hidden="false" customHeight="true" outlineLevel="0" collapsed="false">
      <c r="A7" s="67" t="n">
        <v>-75</v>
      </c>
      <c r="B7" s="67" t="n">
        <f aca="false">SIGN(A7)*IF(ABS(A7)&lt;=50,ABS(A7)/300,1/6+(ABS(A7)-50)/60)</f>
        <v>-0.583333333333333</v>
      </c>
      <c r="C7" s="68" t="n">
        <f aca="false">IF(B7=0,"brak zmiany",1/ABS(B7))</f>
        <v>1.71428571428571</v>
      </c>
      <c r="D7" s="70" t="s">
        <v>2971</v>
      </c>
      <c r="E7" s="70" t="s">
        <v>700</v>
      </c>
    </row>
    <row r="8" customFormat="false" ht="51.75" hidden="false" customHeight="true" outlineLevel="0" collapsed="false">
      <c r="A8" s="67" t="n">
        <v>-50</v>
      </c>
      <c r="B8" s="67" t="n">
        <f aca="false">SIGN(A8)*IF(ABS(A8)&lt;=50,ABS(A8)/300,1/6+(ABS(A8)-50)/60)</f>
        <v>-0.166666666666667</v>
      </c>
      <c r="C8" s="68" t="n">
        <f aca="false">IF(B8=0,"brak zmiany",1/ABS(B8))</f>
        <v>6</v>
      </c>
      <c r="D8" s="69" t="s">
        <v>2971</v>
      </c>
      <c r="E8" s="69" t="s">
        <v>700</v>
      </c>
    </row>
    <row r="9" customFormat="false" ht="51.75" hidden="false" customHeight="true" outlineLevel="0" collapsed="false">
      <c r="A9" s="67" t="n">
        <v>-25</v>
      </c>
      <c r="B9" s="67" t="n">
        <f aca="false">SIGN(A9)*IF(ABS(A9)&lt;=50,ABS(A9)/300,1/6+(ABS(A9)-50)/60)</f>
        <v>-0.0833333333333333</v>
      </c>
      <c r="C9" s="68" t="n">
        <f aca="false">IF(B9=0,"brak zmiany",1/ABS(B9))</f>
        <v>12</v>
      </c>
      <c r="D9" s="70" t="s">
        <v>2971</v>
      </c>
      <c r="E9" s="70" t="s">
        <v>700</v>
      </c>
    </row>
    <row r="10" customFormat="false" ht="51.75" hidden="false" customHeight="true" outlineLevel="0" collapsed="false">
      <c r="A10" s="67" t="n">
        <v>0</v>
      </c>
      <c r="B10" s="67" t="n">
        <f aca="false">SIGN(A10)*IF(ABS(A10)&lt;=50,ABS(A10)/300,1/6+(ABS(A10)-50)/60)</f>
        <v>0</v>
      </c>
      <c r="C10" s="68" t="str">
        <f aca="false">IF(B10=0,"brak zmiany",1/ABS(B10))</f>
        <v>brak zmiany</v>
      </c>
      <c r="D10" s="69" t="s">
        <v>2972</v>
      </c>
      <c r="E10" s="69" t="s">
        <v>700</v>
      </c>
    </row>
    <row r="11" customFormat="false" ht="51.75" hidden="false" customHeight="true" outlineLevel="0" collapsed="false">
      <c r="A11" s="67" t="n">
        <v>25</v>
      </c>
      <c r="B11" s="67" t="n">
        <f aca="false">SIGN(A11)*IF(ABS(A11)&lt;=50,ABS(A11)/300,1/6+(ABS(A11)-50)/60)</f>
        <v>0.0833333333333333</v>
      </c>
      <c r="C11" s="68" t="n">
        <f aca="false">IF(B11=0,"brak zmiany",1/ABS(B11))</f>
        <v>12</v>
      </c>
      <c r="D11" s="70" t="s">
        <v>2973</v>
      </c>
      <c r="E11" s="70" t="s">
        <v>700</v>
      </c>
    </row>
    <row r="12" customFormat="false" ht="51.75" hidden="false" customHeight="true" outlineLevel="0" collapsed="false">
      <c r="A12" s="67" t="n">
        <v>50</v>
      </c>
      <c r="B12" s="67" t="n">
        <f aca="false">SIGN(A12)*IF(ABS(A12)&lt;=50,ABS(A12)/300,1/6+(ABS(A12)-50)/60)</f>
        <v>0.166666666666667</v>
      </c>
      <c r="C12" s="68" t="n">
        <f aca="false">IF(B12=0,"brak zmiany",1/ABS(B12))</f>
        <v>6</v>
      </c>
      <c r="D12" s="69" t="s">
        <v>2973</v>
      </c>
      <c r="E12" s="69" t="s">
        <v>700</v>
      </c>
    </row>
    <row r="13" customFormat="false" ht="51.75" hidden="false" customHeight="true" outlineLevel="0" collapsed="false">
      <c r="A13" s="67" t="n">
        <v>75</v>
      </c>
      <c r="B13" s="67" t="n">
        <f aca="false">SIGN(A13)*IF(ABS(A13)&lt;=50,ABS(A13)/300,1/6+(ABS(A13)-50)/60)</f>
        <v>0.583333333333333</v>
      </c>
      <c r="C13" s="68" t="n">
        <f aca="false">IF(B13=0,"brak zmiany",1/ABS(B13))</f>
        <v>1.71428571428571</v>
      </c>
      <c r="D13" s="70" t="s">
        <v>2973</v>
      </c>
      <c r="E13" s="70" t="s">
        <v>700</v>
      </c>
    </row>
    <row r="14" customFormat="false" ht="51.75" hidden="false" customHeight="true" outlineLevel="0" collapsed="false">
      <c r="A14" s="67" t="n">
        <v>100</v>
      </c>
      <c r="B14" s="67" t="n">
        <f aca="false">SIGN(A14)*IF(ABS(A14)&lt;=50,ABS(A14)/300,1/6+(ABS(A14)-50)/60)</f>
        <v>1</v>
      </c>
      <c r="C14" s="68" t="n">
        <f aca="false">IF(B14=0,"brak zmiany",1/ABS(B14))</f>
        <v>1</v>
      </c>
      <c r="D14" s="69" t="s">
        <v>2973</v>
      </c>
      <c r="E14" s="69" t="s">
        <v>700</v>
      </c>
    </row>
    <row r="17" customFormat="false" ht="14.25" hidden="false" customHeight="true" outlineLevel="0" collapsed="false">
      <c r="A17" s="66" t="s">
        <v>2974</v>
      </c>
      <c r="B17" s="66"/>
      <c r="C17" s="66"/>
      <c r="D17" s="66"/>
      <c r="E17" s="66"/>
    </row>
    <row r="18" customFormat="false" ht="14.25" hidden="false" customHeight="true" outlineLevel="0" collapsed="false">
      <c r="A18" s="65" t="s">
        <v>2975</v>
      </c>
      <c r="B18" s="65"/>
      <c r="C18" s="65"/>
      <c r="D18" s="65"/>
      <c r="E18" s="65"/>
    </row>
    <row r="19" customFormat="false" ht="14.25" hidden="false" customHeight="true" outlineLevel="0" collapsed="false">
      <c r="A19" s="65"/>
      <c r="B19" s="65"/>
      <c r="C19" s="65"/>
      <c r="D19" s="65"/>
      <c r="E19" s="65"/>
    </row>
  </sheetData>
  <autoFilter ref="A5:E14"/>
  <mergeCells count="4">
    <mergeCell ref="A1:E1"/>
    <mergeCell ref="A2:E3"/>
    <mergeCell ref="A17:E17"/>
    <mergeCell ref="A18:E19"/>
  </mergeCells>
  <printOptions headings="false" gridLines="false" gridLinesSet="true" horizontalCentered="false" verticalCentered="false"/>
  <pageMargins left="0.3" right="0.3" top="0.4" bottom="0.4" header="0.511811023622047" footer="0.3"/>
  <pageSetup paperSize="8" scale="100" fitToWidth="1" fitToHeight="0" pageOrder="downThenOver" orientation="landscape" blackAndWhite="false" draft="false" cellComments="none" horizontalDpi="300" verticalDpi="300" copies="1"/>
  <headerFooter differentFirst="false" differentOddEven="false">
    <oddHeader/>
    <oddFooter>&amp;LHARBORLIGHT — projekt zasad, bez wdrożenia&amp;R&amp;P / &amp;N</oddFooter>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8"/>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14" width="23"/>
    <col collapsed="false" customWidth="true" hidden="false" outlineLevel="0" max="2" min="2" style="14" width="26"/>
    <col collapsed="false" customWidth="true" hidden="false" outlineLevel="0" max="3" min="3" style="14" width="28"/>
    <col collapsed="false" customWidth="true" hidden="false" outlineLevel="0" max="4" min="4" style="14" width="27"/>
    <col collapsed="false" customWidth="true" hidden="false" outlineLevel="0" max="5" min="5" style="14" width="28"/>
    <col collapsed="false" customWidth="true" hidden="false" outlineLevel="0" max="6" min="6" style="14" width="31"/>
    <col collapsed="false" customWidth="true" hidden="false" outlineLevel="0" max="7" min="7" style="14" width="32"/>
    <col collapsed="false" customWidth="true" hidden="false" outlineLevel="0" max="8" min="8" style="14" width="115"/>
  </cols>
  <sheetData>
    <row r="1" customFormat="false" ht="33.75" hidden="false" customHeight="true" outlineLevel="0" collapsed="false">
      <c r="A1" s="44" t="s">
        <v>2976</v>
      </c>
      <c r="B1" s="44"/>
      <c r="C1" s="44"/>
      <c r="D1" s="44"/>
      <c r="E1" s="44"/>
      <c r="F1" s="44"/>
      <c r="G1" s="44"/>
      <c r="H1" s="44"/>
    </row>
    <row r="2" customFormat="false" ht="24.75" hidden="false" customHeight="true" outlineLevel="0" collapsed="false">
      <c r="A2" s="45" t="s">
        <v>2977</v>
      </c>
      <c r="B2" s="45"/>
      <c r="C2" s="45"/>
      <c r="D2" s="45"/>
      <c r="E2" s="45"/>
      <c r="F2" s="45"/>
      <c r="G2" s="45"/>
      <c r="H2" s="45"/>
    </row>
    <row r="3" customFormat="false" ht="24.75" hidden="false" customHeight="true" outlineLevel="0" collapsed="false">
      <c r="A3" s="45"/>
      <c r="B3" s="45"/>
      <c r="C3" s="45"/>
      <c r="D3" s="45"/>
      <c r="E3" s="45"/>
      <c r="F3" s="45"/>
      <c r="G3" s="45"/>
      <c r="H3" s="45"/>
    </row>
    <row r="5" customFormat="false" ht="48" hidden="false" customHeight="true" outlineLevel="0" collapsed="false">
      <c r="A5" s="11" t="s">
        <v>2978</v>
      </c>
      <c r="B5" s="11" t="s">
        <v>2979</v>
      </c>
      <c r="C5" s="11" t="s">
        <v>2980</v>
      </c>
      <c r="D5" s="11" t="s">
        <v>2981</v>
      </c>
      <c r="E5" s="11" t="s">
        <v>2982</v>
      </c>
      <c r="F5" s="11" t="s">
        <v>2983</v>
      </c>
      <c r="G5" s="11" t="s">
        <v>2984</v>
      </c>
      <c r="H5" s="11" t="s">
        <v>809</v>
      </c>
    </row>
    <row r="6" customFormat="false" ht="64.5" hidden="false" customHeight="true" outlineLevel="0" collapsed="false">
      <c r="A6" s="8" t="n">
        <v>1</v>
      </c>
      <c r="B6" s="8" t="n">
        <f aca="false">Parametry!$C$32*(1+Parametry!$C$35*(A6-1))</f>
        <v>50</v>
      </c>
      <c r="C6" s="8" t="n">
        <f aca="false">Parametry!$C$34*(1+Parametry!$C$35*(A6-1))</f>
        <v>150</v>
      </c>
      <c r="D6" s="50" t="n">
        <f aca="false">Parametry!$C$31</f>
        <v>40</v>
      </c>
      <c r="E6" s="50" t="n">
        <f aca="false">Parametry!$C$33</f>
        <v>140</v>
      </c>
      <c r="F6" s="8" t="n">
        <f aca="false">Parametry!$C$32*(A6+Parametry!$C$35*A6*(A6-1)/2)</f>
        <v>50</v>
      </c>
      <c r="G6" s="8" t="n">
        <f aca="false">Parametry!$C$34*(A6+Parametry!$C$35*A6*(A6-1)/2)</f>
        <v>150</v>
      </c>
      <c r="H6" s="8" t="s">
        <v>2985</v>
      </c>
    </row>
    <row r="7" customFormat="false" ht="64.5" hidden="false" customHeight="true" outlineLevel="0" collapsed="false">
      <c r="A7" s="7" t="n">
        <v>2</v>
      </c>
      <c r="B7" s="7" t="n">
        <f aca="false">Parametry!$C$32*(1+Parametry!$C$35*(A7-1))</f>
        <v>55</v>
      </c>
      <c r="C7" s="7" t="n">
        <f aca="false">Parametry!$C$34*(1+Parametry!$C$35*(A7-1))</f>
        <v>165</v>
      </c>
      <c r="D7" s="51" t="n">
        <f aca="false">Parametry!$C$31</f>
        <v>40</v>
      </c>
      <c r="E7" s="51" t="n">
        <f aca="false">Parametry!$C$33</f>
        <v>140</v>
      </c>
      <c r="F7" s="7" t="n">
        <f aca="false">Parametry!$C$32*(A7+Parametry!$C$35*A7*(A7-1)/2)</f>
        <v>105</v>
      </c>
      <c r="G7" s="7" t="n">
        <f aca="false">Parametry!$C$34*(A7+Parametry!$C$35*A7*(A7-1)/2)</f>
        <v>315</v>
      </c>
      <c r="H7" s="7" t="s">
        <v>2985</v>
      </c>
    </row>
    <row r="8" customFormat="false" ht="64.5" hidden="false" customHeight="true" outlineLevel="0" collapsed="false">
      <c r="A8" s="8" t="n">
        <v>3</v>
      </c>
      <c r="B8" s="8" t="n">
        <f aca="false">Parametry!$C$32*(1+Parametry!$C$35*(A8-1))</f>
        <v>60</v>
      </c>
      <c r="C8" s="8" t="n">
        <f aca="false">Parametry!$C$34*(1+Parametry!$C$35*(A8-1))</f>
        <v>180</v>
      </c>
      <c r="D8" s="50" t="n">
        <f aca="false">Parametry!$C$31</f>
        <v>40</v>
      </c>
      <c r="E8" s="50" t="n">
        <f aca="false">Parametry!$C$33</f>
        <v>140</v>
      </c>
      <c r="F8" s="8" t="n">
        <f aca="false">Parametry!$C$32*(A8+Parametry!$C$35*A8*(A8-1)/2)</f>
        <v>165</v>
      </c>
      <c r="G8" s="8" t="n">
        <f aca="false">Parametry!$C$34*(A8+Parametry!$C$35*A8*(A8-1)/2)</f>
        <v>495</v>
      </c>
      <c r="H8" s="8" t="s">
        <v>2985</v>
      </c>
    </row>
    <row r="9" customFormat="false" ht="64.5" hidden="false" customHeight="true" outlineLevel="0" collapsed="false">
      <c r="A9" s="7" t="n">
        <v>4</v>
      </c>
      <c r="B9" s="7" t="n">
        <f aca="false">Parametry!$C$32*(1+Parametry!$C$35*(A9-1))</f>
        <v>65</v>
      </c>
      <c r="C9" s="7" t="n">
        <f aca="false">Parametry!$C$34*(1+Parametry!$C$35*(A9-1))</f>
        <v>195</v>
      </c>
      <c r="D9" s="51" t="n">
        <f aca="false">Parametry!$C$31</f>
        <v>40</v>
      </c>
      <c r="E9" s="51" t="n">
        <f aca="false">Parametry!$C$33</f>
        <v>140</v>
      </c>
      <c r="F9" s="7" t="n">
        <f aca="false">Parametry!$C$32*(A9+Parametry!$C$35*A9*(A9-1)/2)</f>
        <v>230</v>
      </c>
      <c r="G9" s="7" t="n">
        <f aca="false">Parametry!$C$34*(A9+Parametry!$C$35*A9*(A9-1)/2)</f>
        <v>690</v>
      </c>
      <c r="H9" s="7" t="s">
        <v>2985</v>
      </c>
    </row>
    <row r="10" customFormat="false" ht="64.5" hidden="false" customHeight="true" outlineLevel="0" collapsed="false">
      <c r="A10" s="8" t="n">
        <v>5</v>
      </c>
      <c r="B10" s="8" t="n">
        <f aca="false">Parametry!$C$32*(1+Parametry!$C$35*(A10-1))</f>
        <v>70</v>
      </c>
      <c r="C10" s="8" t="n">
        <f aca="false">Parametry!$C$34*(1+Parametry!$C$35*(A10-1))</f>
        <v>210</v>
      </c>
      <c r="D10" s="50" t="n">
        <f aca="false">Parametry!$C$31</f>
        <v>40</v>
      </c>
      <c r="E10" s="50" t="n">
        <f aca="false">Parametry!$C$33</f>
        <v>140</v>
      </c>
      <c r="F10" s="8" t="n">
        <f aca="false">Parametry!$C$32*(A10+Parametry!$C$35*A10*(A10-1)/2)</f>
        <v>300</v>
      </c>
      <c r="G10" s="8" t="n">
        <f aca="false">Parametry!$C$34*(A10+Parametry!$C$35*A10*(A10-1)/2)</f>
        <v>900</v>
      </c>
      <c r="H10" s="8" t="s">
        <v>2985</v>
      </c>
    </row>
    <row r="11" customFormat="false" ht="64.5" hidden="false" customHeight="true" outlineLevel="0" collapsed="false">
      <c r="A11" s="7" t="n">
        <v>6</v>
      </c>
      <c r="B11" s="7" t="n">
        <f aca="false">Parametry!$C$32*(1+Parametry!$C$35*(A11-1))</f>
        <v>75</v>
      </c>
      <c r="C11" s="7" t="n">
        <f aca="false">Parametry!$C$34*(1+Parametry!$C$35*(A11-1))</f>
        <v>225</v>
      </c>
      <c r="D11" s="51" t="n">
        <f aca="false">Parametry!$C$31</f>
        <v>40</v>
      </c>
      <c r="E11" s="51" t="n">
        <f aca="false">Parametry!$C$33</f>
        <v>140</v>
      </c>
      <c r="F11" s="7" t="n">
        <f aca="false">Parametry!$C$32*(A11+Parametry!$C$35*A11*(A11-1)/2)</f>
        <v>375</v>
      </c>
      <c r="G11" s="7" t="n">
        <f aca="false">Parametry!$C$34*(A11+Parametry!$C$35*A11*(A11-1)/2)</f>
        <v>1125</v>
      </c>
      <c r="H11" s="7" t="s">
        <v>2985</v>
      </c>
    </row>
    <row r="12" customFormat="false" ht="64.5" hidden="false" customHeight="true" outlineLevel="0" collapsed="false">
      <c r="A12" s="8" t="n">
        <v>7</v>
      </c>
      <c r="B12" s="8" t="n">
        <f aca="false">Parametry!$C$32*(1+Parametry!$C$35*(A12-1))</f>
        <v>80</v>
      </c>
      <c r="C12" s="8" t="n">
        <f aca="false">Parametry!$C$34*(1+Parametry!$C$35*(A12-1))</f>
        <v>240</v>
      </c>
      <c r="D12" s="50" t="n">
        <f aca="false">Parametry!$C$31</f>
        <v>40</v>
      </c>
      <c r="E12" s="50" t="n">
        <f aca="false">Parametry!$C$33</f>
        <v>140</v>
      </c>
      <c r="F12" s="8" t="n">
        <f aca="false">Parametry!$C$32*(A12+Parametry!$C$35*A12*(A12-1)/2)</f>
        <v>455</v>
      </c>
      <c r="G12" s="8" t="n">
        <f aca="false">Parametry!$C$34*(A12+Parametry!$C$35*A12*(A12-1)/2)</f>
        <v>1365</v>
      </c>
      <c r="H12" s="8" t="s">
        <v>2985</v>
      </c>
    </row>
    <row r="13" customFormat="false" ht="64.5" hidden="false" customHeight="true" outlineLevel="0" collapsed="false">
      <c r="A13" s="7" t="n">
        <v>8</v>
      </c>
      <c r="B13" s="7" t="n">
        <f aca="false">Parametry!$C$32*(1+Parametry!$C$35*(A13-1))</f>
        <v>85</v>
      </c>
      <c r="C13" s="7" t="n">
        <f aca="false">Parametry!$C$34*(1+Parametry!$C$35*(A13-1))</f>
        <v>255</v>
      </c>
      <c r="D13" s="51" t="n">
        <f aca="false">Parametry!$C$31</f>
        <v>40</v>
      </c>
      <c r="E13" s="51" t="n">
        <f aca="false">Parametry!$C$33</f>
        <v>140</v>
      </c>
      <c r="F13" s="7" t="n">
        <f aca="false">Parametry!$C$32*(A13+Parametry!$C$35*A13*(A13-1)/2)</f>
        <v>540</v>
      </c>
      <c r="G13" s="7" t="n">
        <f aca="false">Parametry!$C$34*(A13+Parametry!$C$35*A13*(A13-1)/2)</f>
        <v>1620</v>
      </c>
      <c r="H13" s="7" t="s">
        <v>2985</v>
      </c>
    </row>
    <row r="14" customFormat="false" ht="64.5" hidden="false" customHeight="true" outlineLevel="0" collapsed="false">
      <c r="A14" s="8" t="n">
        <v>9</v>
      </c>
      <c r="B14" s="8" t="n">
        <f aca="false">Parametry!$C$32*(1+Parametry!$C$35*(A14-1))</f>
        <v>90</v>
      </c>
      <c r="C14" s="8" t="n">
        <f aca="false">Parametry!$C$34*(1+Parametry!$C$35*(A14-1))</f>
        <v>270</v>
      </c>
      <c r="D14" s="50" t="n">
        <f aca="false">Parametry!$C$31</f>
        <v>40</v>
      </c>
      <c r="E14" s="50" t="n">
        <f aca="false">Parametry!$C$33</f>
        <v>140</v>
      </c>
      <c r="F14" s="8" t="n">
        <f aca="false">Parametry!$C$32*(A14+Parametry!$C$35*A14*(A14-1)/2)</f>
        <v>630</v>
      </c>
      <c r="G14" s="8" t="n">
        <f aca="false">Parametry!$C$34*(A14+Parametry!$C$35*A14*(A14-1)/2)</f>
        <v>1890</v>
      </c>
      <c r="H14" s="8" t="s">
        <v>2985</v>
      </c>
    </row>
    <row r="15" customFormat="false" ht="64.5" hidden="false" customHeight="true" outlineLevel="0" collapsed="false">
      <c r="A15" s="7" t="n">
        <v>10</v>
      </c>
      <c r="B15" s="7" t="n">
        <f aca="false">Parametry!$C$32*(1+Parametry!$C$35*(A15-1))</f>
        <v>95</v>
      </c>
      <c r="C15" s="7" t="n">
        <f aca="false">Parametry!$C$34*(1+Parametry!$C$35*(A15-1))</f>
        <v>285</v>
      </c>
      <c r="D15" s="51" t="n">
        <f aca="false">Parametry!$C$31</f>
        <v>40</v>
      </c>
      <c r="E15" s="51" t="n">
        <f aca="false">Parametry!$C$33</f>
        <v>140</v>
      </c>
      <c r="F15" s="7" t="n">
        <f aca="false">Parametry!$C$32*(A15+Parametry!$C$35*A15*(A15-1)/2)</f>
        <v>725</v>
      </c>
      <c r="G15" s="7" t="n">
        <f aca="false">Parametry!$C$34*(A15+Parametry!$C$35*A15*(A15-1)/2)</f>
        <v>2175</v>
      </c>
      <c r="H15" s="7" t="s">
        <v>2985</v>
      </c>
    </row>
    <row r="17" customFormat="false" ht="99.75" hidden="false" customHeight="true" outlineLevel="0" collapsed="false">
      <c r="A17" s="7" t="s">
        <v>2986</v>
      </c>
      <c r="B17" s="7"/>
      <c r="C17" s="7"/>
      <c r="D17" s="7"/>
      <c r="E17" s="7"/>
      <c r="F17" s="7"/>
      <c r="G17" s="7"/>
      <c r="H17" s="7" t="s">
        <v>2987</v>
      </c>
    </row>
    <row r="18" customFormat="false" ht="109.5" hidden="false" customHeight="true" outlineLevel="0" collapsed="false">
      <c r="A18" s="8" t="s">
        <v>2988</v>
      </c>
      <c r="B18" s="8"/>
      <c r="C18" s="8"/>
      <c r="D18" s="8"/>
      <c r="E18" s="8"/>
      <c r="F18" s="8"/>
      <c r="G18" s="8"/>
      <c r="H18" s="8" t="s">
        <v>2989</v>
      </c>
    </row>
  </sheetData>
  <autoFilter ref="A5:H18"/>
  <mergeCells count="2">
    <mergeCell ref="A1:H1"/>
    <mergeCell ref="A2:H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0"/>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14" width="38"/>
    <col collapsed="false" customWidth="true" hidden="false" outlineLevel="0" max="2" min="2" style="14" width="140"/>
    <col collapsed="false" customWidth="true" hidden="false" outlineLevel="0" max="3" min="3" style="14" width="135"/>
  </cols>
  <sheetData>
    <row r="1" customFormat="false" ht="33.75" hidden="false" customHeight="true" outlineLevel="0" collapsed="false">
      <c r="A1" s="44" t="s">
        <v>2990</v>
      </c>
      <c r="B1" s="44"/>
      <c r="C1" s="44"/>
    </row>
    <row r="2" customFormat="false" ht="24.75" hidden="false" customHeight="true" outlineLevel="0" collapsed="false">
      <c r="A2" s="45" t="s">
        <v>2991</v>
      </c>
      <c r="B2" s="45"/>
      <c r="C2" s="45"/>
    </row>
    <row r="3" customFormat="false" ht="24.75" hidden="false" customHeight="true" outlineLevel="0" collapsed="false">
      <c r="A3" s="45"/>
      <c r="B3" s="45"/>
      <c r="C3" s="45"/>
    </row>
    <row r="5" customFormat="false" ht="48" hidden="false" customHeight="true" outlineLevel="0" collapsed="false">
      <c r="A5" s="11" t="s">
        <v>2992</v>
      </c>
      <c r="B5" s="11" t="s">
        <v>2993</v>
      </c>
      <c r="C5" s="11" t="s">
        <v>2994</v>
      </c>
    </row>
    <row r="6" customFormat="false" ht="105" hidden="false" customHeight="true" outlineLevel="0" collapsed="false">
      <c r="A6" s="8" t="s">
        <v>882</v>
      </c>
      <c r="B6" s="8" t="s">
        <v>2995</v>
      </c>
      <c r="C6" s="8" t="s">
        <v>459</v>
      </c>
    </row>
    <row r="7" customFormat="false" ht="105" hidden="false" customHeight="true" outlineLevel="0" collapsed="false">
      <c r="A7" s="7" t="s">
        <v>674</v>
      </c>
      <c r="B7" s="7" t="s">
        <v>2996</v>
      </c>
      <c r="C7" s="7" t="s">
        <v>451</v>
      </c>
    </row>
    <row r="8" customFormat="false" ht="105" hidden="false" customHeight="true" outlineLevel="0" collapsed="false">
      <c r="A8" s="8" t="s">
        <v>891</v>
      </c>
      <c r="B8" s="8" t="s">
        <v>2997</v>
      </c>
      <c r="C8" s="8" t="s">
        <v>2998</v>
      </c>
    </row>
    <row r="9" customFormat="false" ht="105" hidden="false" customHeight="true" outlineLevel="0" collapsed="false">
      <c r="A9" s="7" t="s">
        <v>682</v>
      </c>
      <c r="B9" s="7" t="s">
        <v>2999</v>
      </c>
      <c r="C9" s="7" t="s">
        <v>400</v>
      </c>
    </row>
    <row r="10" customFormat="false" ht="105" hidden="false" customHeight="true" outlineLevel="0" collapsed="false">
      <c r="A10" s="8" t="s">
        <v>3000</v>
      </c>
      <c r="B10" s="8" t="s">
        <v>3001</v>
      </c>
      <c r="C10" s="8" t="s">
        <v>3002</v>
      </c>
    </row>
  </sheetData>
  <autoFilter ref="A5:C10"/>
  <mergeCells count="2">
    <mergeCell ref="A1:C1"/>
    <mergeCell ref="A2:C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6"/>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14" width="38"/>
    <col collapsed="false" customWidth="true" hidden="false" outlineLevel="0" max="2" min="2" style="14" width="140"/>
    <col collapsed="false" customWidth="true" hidden="false" outlineLevel="0" max="3" min="3" style="14" width="100"/>
  </cols>
  <sheetData>
    <row r="1" customFormat="false" ht="33.75" hidden="false" customHeight="true" outlineLevel="0" collapsed="false">
      <c r="A1" s="44" t="s">
        <v>3003</v>
      </c>
      <c r="B1" s="44"/>
      <c r="C1" s="44"/>
    </row>
    <row r="2" customFormat="false" ht="24.75" hidden="false" customHeight="true" outlineLevel="0" collapsed="false">
      <c r="A2" s="45" t="s">
        <v>3004</v>
      </c>
      <c r="B2" s="45"/>
      <c r="C2" s="45"/>
    </row>
    <row r="3" customFormat="false" ht="24.75" hidden="false" customHeight="true" outlineLevel="0" collapsed="false">
      <c r="A3" s="45"/>
      <c r="B3" s="45"/>
      <c r="C3" s="45"/>
    </row>
    <row r="5" customFormat="false" ht="48" hidden="false" customHeight="true" outlineLevel="0" collapsed="false">
      <c r="A5" s="11" t="s">
        <v>391</v>
      </c>
      <c r="B5" s="11" t="s">
        <v>3005</v>
      </c>
      <c r="C5" s="11" t="s">
        <v>1362</v>
      </c>
    </row>
    <row r="6" customFormat="false" ht="90" hidden="false" customHeight="true" outlineLevel="0" collapsed="false">
      <c r="A6" s="8" t="s">
        <v>120</v>
      </c>
      <c r="B6" s="8" t="s">
        <v>2108</v>
      </c>
      <c r="C6" s="8" t="s">
        <v>3006</v>
      </c>
    </row>
    <row r="7" customFormat="false" ht="90" hidden="false" customHeight="true" outlineLevel="0" collapsed="false">
      <c r="A7" s="7" t="s">
        <v>543</v>
      </c>
      <c r="B7" s="7" t="s">
        <v>3007</v>
      </c>
      <c r="C7" s="7" t="s">
        <v>3008</v>
      </c>
    </row>
    <row r="8" customFormat="false" ht="90" hidden="false" customHeight="true" outlineLevel="0" collapsed="false">
      <c r="A8" s="8" t="s">
        <v>536</v>
      </c>
      <c r="B8" s="8" t="s">
        <v>3009</v>
      </c>
      <c r="C8" s="8" t="s">
        <v>3008</v>
      </c>
    </row>
    <row r="9" customFormat="false" ht="90" hidden="false" customHeight="true" outlineLevel="0" collapsed="false">
      <c r="A9" s="7" t="s">
        <v>24</v>
      </c>
      <c r="B9" s="7" t="s">
        <v>3010</v>
      </c>
      <c r="C9" s="7" t="s">
        <v>3011</v>
      </c>
    </row>
    <row r="10" customFormat="false" ht="90" hidden="false" customHeight="true" outlineLevel="0" collapsed="false">
      <c r="A10" s="8" t="s">
        <v>3012</v>
      </c>
      <c r="B10" s="8" t="s">
        <v>3013</v>
      </c>
      <c r="C10" s="8" t="s">
        <v>3014</v>
      </c>
    </row>
    <row r="11" customFormat="false" ht="90" hidden="false" customHeight="true" outlineLevel="0" collapsed="false">
      <c r="A11" s="7" t="s">
        <v>17</v>
      </c>
      <c r="B11" s="7" t="s">
        <v>3015</v>
      </c>
      <c r="C11" s="7" t="s">
        <v>3016</v>
      </c>
    </row>
    <row r="12" customFormat="false" ht="90" hidden="false" customHeight="true" outlineLevel="0" collapsed="false">
      <c r="A12" s="8" t="s">
        <v>842</v>
      </c>
      <c r="B12" s="8" t="s">
        <v>3017</v>
      </c>
      <c r="C12" s="8" t="s">
        <v>3018</v>
      </c>
    </row>
    <row r="13" customFormat="false" ht="99.75" hidden="false" customHeight="true" outlineLevel="0" collapsed="false">
      <c r="A13" s="7" t="s">
        <v>3019</v>
      </c>
      <c r="B13" s="7" t="s">
        <v>3020</v>
      </c>
      <c r="C13" s="7" t="s">
        <v>3021</v>
      </c>
    </row>
    <row r="14" customFormat="false" ht="99.75" hidden="false" customHeight="true" outlineLevel="0" collapsed="false">
      <c r="A14" s="8" t="s">
        <v>3022</v>
      </c>
      <c r="B14" s="8" t="s">
        <v>3023</v>
      </c>
      <c r="C14" s="8" t="s">
        <v>3024</v>
      </c>
    </row>
    <row r="15" customFormat="false" ht="99.75" hidden="false" customHeight="true" outlineLevel="0" collapsed="false">
      <c r="A15" s="7" t="s">
        <v>3025</v>
      </c>
      <c r="B15" s="7" t="s">
        <v>3026</v>
      </c>
      <c r="C15" s="7" t="s">
        <v>3027</v>
      </c>
    </row>
    <row r="16" customFormat="false" ht="105" hidden="false" customHeight="true" outlineLevel="0" collapsed="false">
      <c r="A16" s="8" t="s">
        <v>3028</v>
      </c>
      <c r="B16" s="8" t="s">
        <v>3029</v>
      </c>
      <c r="C16" s="8" t="s">
        <v>3030</v>
      </c>
    </row>
  </sheetData>
  <autoFilter ref="A5:C15"/>
  <mergeCells count="2">
    <mergeCell ref="A1:C1"/>
    <mergeCell ref="A2:C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customHeight="false" zeroHeight="false" outlineLevelRow="0" outlineLevelCol="0"/>
  <cols>
    <col collapsed="false" customWidth="true" hidden="false" outlineLevel="0" max="1" min="1" style="14" width="38"/>
    <col collapsed="false" customWidth="true" hidden="false" outlineLevel="0" max="2" min="2" style="14" width="140"/>
    <col collapsed="false" customWidth="true" hidden="false" outlineLevel="0" max="3" min="3" style="14" width="100"/>
  </cols>
  <sheetData>
    <row r="1" customFormat="false" ht="33.75" hidden="false" customHeight="true" outlineLevel="0" collapsed="false">
      <c r="A1" s="44" t="s">
        <v>3031</v>
      </c>
      <c r="B1" s="44"/>
      <c r="C1" s="44"/>
    </row>
    <row r="2" customFormat="false" ht="24.75" hidden="false" customHeight="true" outlineLevel="0" collapsed="false">
      <c r="A2" s="45" t="s">
        <v>3032</v>
      </c>
      <c r="B2" s="45"/>
      <c r="C2" s="45"/>
    </row>
    <row r="3" customFormat="false" ht="24.75" hidden="false" customHeight="true" outlineLevel="0" collapsed="false">
      <c r="A3" s="45"/>
      <c r="B3" s="45"/>
      <c r="C3" s="45"/>
    </row>
    <row r="5" customFormat="false" ht="48" hidden="false" customHeight="true" outlineLevel="0" collapsed="false">
      <c r="A5" s="11" t="s">
        <v>3033</v>
      </c>
      <c r="B5" s="11" t="s">
        <v>842</v>
      </c>
      <c r="C5" s="11" t="s">
        <v>3034</v>
      </c>
    </row>
    <row r="6" customFormat="false" ht="90" hidden="false" customHeight="true" outlineLevel="0" collapsed="false">
      <c r="A6" s="8" t="s">
        <v>3035</v>
      </c>
      <c r="B6" s="8" t="s">
        <v>3036</v>
      </c>
      <c r="C6" s="8" t="s">
        <v>3037</v>
      </c>
    </row>
    <row r="7" customFormat="false" ht="90" hidden="false" customHeight="true" outlineLevel="0" collapsed="false">
      <c r="A7" s="8" t="s">
        <v>3038</v>
      </c>
      <c r="B7" s="8" t="s">
        <v>3036</v>
      </c>
      <c r="C7" s="8" t="s">
        <v>3039</v>
      </c>
    </row>
    <row r="8" customFormat="false" ht="90" hidden="false" customHeight="true" outlineLevel="0" collapsed="false">
      <c r="A8" s="8" t="s">
        <v>3040</v>
      </c>
      <c r="B8" s="8" t="s">
        <v>3036</v>
      </c>
      <c r="C8" s="8" t="s">
        <v>3041</v>
      </c>
    </row>
    <row r="9" customFormat="false" ht="90" hidden="false" customHeight="true" outlineLevel="0" collapsed="false"/>
    <row r="10" customFormat="false" ht="90" hidden="false" customHeight="true" outlineLevel="0" collapsed="false"/>
    <row r="11" customFormat="false" ht="90" hidden="false" customHeight="true" outlineLevel="0" collapsed="false"/>
    <row r="12" customFormat="false" ht="90" hidden="false" customHeight="true" outlineLevel="0" collapsed="false"/>
  </sheetData>
  <autoFilter ref="A5:C8"/>
  <mergeCells count="2">
    <mergeCell ref="A1:C1"/>
    <mergeCell ref="A2:C3"/>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AA9B2"/>
    <pageSetUpPr fitToPage="true"/>
  </sheetPr>
  <dimension ref="A1:D80"/>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14" width="33"/>
    <col collapsed="false" customWidth="true" hidden="false" outlineLevel="0" max="2" min="2" style="14" width="80"/>
    <col collapsed="false" customWidth="true" hidden="false" outlineLevel="0" max="3" min="3" style="14" width="145"/>
    <col collapsed="false" customWidth="true" hidden="false" outlineLevel="0" max="4" min="4" style="14" width="70"/>
  </cols>
  <sheetData>
    <row r="1" customFormat="false" ht="33.75" hidden="false" customHeight="true" outlineLevel="0" collapsed="false">
      <c r="A1" s="44" t="s">
        <v>3042</v>
      </c>
      <c r="B1" s="44"/>
      <c r="C1" s="44"/>
      <c r="D1" s="44"/>
    </row>
    <row r="2" customFormat="false" ht="24.75" hidden="false" customHeight="true" outlineLevel="0" collapsed="false">
      <c r="A2" s="45" t="s">
        <v>3043</v>
      </c>
      <c r="B2" s="45"/>
      <c r="C2" s="45"/>
      <c r="D2" s="45"/>
    </row>
    <row r="3" customFormat="false" ht="24.75" hidden="false" customHeight="true" outlineLevel="0" collapsed="false">
      <c r="A3" s="45"/>
      <c r="B3" s="45"/>
      <c r="C3" s="45"/>
      <c r="D3" s="45"/>
    </row>
    <row r="5" customFormat="false" ht="48" hidden="false" customHeight="true" outlineLevel="0" collapsed="false">
      <c r="A5" s="11" t="s">
        <v>842</v>
      </c>
      <c r="B5" s="11" t="s">
        <v>3044</v>
      </c>
      <c r="C5" s="11" t="s">
        <v>3045</v>
      </c>
      <c r="D5" s="11" t="s">
        <v>3046</v>
      </c>
    </row>
    <row r="6" customFormat="false" ht="135" hidden="false" customHeight="true" outlineLevel="0" collapsed="false">
      <c r="A6" s="8" t="s">
        <v>3047</v>
      </c>
      <c r="B6" s="8"/>
      <c r="C6" s="8" t="s">
        <v>3048</v>
      </c>
      <c r="D6" s="8" t="s">
        <v>3049</v>
      </c>
    </row>
    <row r="7" customFormat="false" ht="135" hidden="false" customHeight="true" outlineLevel="0" collapsed="false">
      <c r="A7" s="7" t="s">
        <v>3050</v>
      </c>
      <c r="B7" s="7"/>
      <c r="C7" s="7" t="s">
        <v>3051</v>
      </c>
      <c r="D7" s="7" t="s">
        <v>3049</v>
      </c>
    </row>
    <row r="8" customFormat="false" ht="135" hidden="false" customHeight="true" outlineLevel="0" collapsed="false">
      <c r="A8" s="8" t="s">
        <v>3052</v>
      </c>
      <c r="B8" s="8"/>
      <c r="C8" s="8" t="s">
        <v>3053</v>
      </c>
      <c r="D8" s="8" t="s">
        <v>3049</v>
      </c>
    </row>
    <row r="9" customFormat="false" ht="135" hidden="false" customHeight="true" outlineLevel="0" collapsed="false">
      <c r="A9" s="7" t="s">
        <v>3054</v>
      </c>
      <c r="B9" s="7"/>
      <c r="C9" s="7" t="s">
        <v>3055</v>
      </c>
      <c r="D9" s="7" t="s">
        <v>3049</v>
      </c>
    </row>
    <row r="10" customFormat="false" ht="135" hidden="false" customHeight="true" outlineLevel="0" collapsed="false">
      <c r="A10" s="8" t="s">
        <v>3056</v>
      </c>
      <c r="B10" s="8" t="s">
        <v>3057</v>
      </c>
      <c r="C10" s="8" t="s">
        <v>3058</v>
      </c>
      <c r="D10" s="8" t="s">
        <v>3049</v>
      </c>
    </row>
    <row r="11" customFormat="false" ht="135" hidden="false" customHeight="true" outlineLevel="0" collapsed="false">
      <c r="A11" s="7" t="s">
        <v>3059</v>
      </c>
      <c r="B11" s="7" t="s">
        <v>3060</v>
      </c>
      <c r="C11" s="7" t="s">
        <v>3057</v>
      </c>
      <c r="D11" s="7" t="s">
        <v>3049</v>
      </c>
    </row>
    <row r="12" customFormat="false" ht="135" hidden="false" customHeight="true" outlineLevel="0" collapsed="false">
      <c r="A12" s="8" t="s">
        <v>3061</v>
      </c>
      <c r="B12" s="8"/>
      <c r="C12" s="8" t="s">
        <v>3062</v>
      </c>
      <c r="D12" s="8" t="s">
        <v>3049</v>
      </c>
    </row>
    <row r="13" customFormat="false" ht="135" hidden="false" customHeight="true" outlineLevel="0" collapsed="false">
      <c r="A13" s="7" t="s">
        <v>3063</v>
      </c>
      <c r="B13" s="7"/>
      <c r="C13" s="7" t="s">
        <v>3060</v>
      </c>
      <c r="D13" s="7" t="s">
        <v>3049</v>
      </c>
    </row>
    <row r="14" customFormat="false" ht="135" hidden="false" customHeight="true" outlineLevel="0" collapsed="false">
      <c r="A14" s="8" t="s">
        <v>3064</v>
      </c>
      <c r="B14" s="8" t="s">
        <v>3065</v>
      </c>
      <c r="C14" s="8" t="s">
        <v>3066</v>
      </c>
      <c r="D14" s="8" t="s">
        <v>3049</v>
      </c>
    </row>
    <row r="15" customFormat="false" ht="135" hidden="false" customHeight="true" outlineLevel="0" collapsed="false">
      <c r="A15" s="7" t="s">
        <v>3067</v>
      </c>
      <c r="B15" s="7" t="s">
        <v>3068</v>
      </c>
      <c r="C15" s="7" t="s">
        <v>3069</v>
      </c>
      <c r="D15" s="7" t="s">
        <v>3049</v>
      </c>
    </row>
    <row r="16" customFormat="false" ht="135" hidden="false" customHeight="true" outlineLevel="0" collapsed="false">
      <c r="A16" s="8" t="s">
        <v>3070</v>
      </c>
      <c r="B16" s="8" t="s">
        <v>3071</v>
      </c>
      <c r="C16" s="8" t="s">
        <v>484</v>
      </c>
      <c r="D16" s="8" t="s">
        <v>3049</v>
      </c>
    </row>
    <row r="17" customFormat="false" ht="135" hidden="false" customHeight="true" outlineLevel="0" collapsed="false">
      <c r="A17" s="7" t="s">
        <v>3072</v>
      </c>
      <c r="B17" s="7" t="s">
        <v>3065</v>
      </c>
      <c r="C17" s="7" t="s">
        <v>3066</v>
      </c>
      <c r="D17" s="7" t="s">
        <v>3049</v>
      </c>
    </row>
    <row r="18" customFormat="false" ht="135" hidden="false" customHeight="true" outlineLevel="0" collapsed="false">
      <c r="A18" s="8" t="s">
        <v>3073</v>
      </c>
      <c r="B18" s="8" t="s">
        <v>3068</v>
      </c>
      <c r="C18" s="8" t="s">
        <v>3069</v>
      </c>
      <c r="D18" s="8" t="s">
        <v>3049</v>
      </c>
    </row>
    <row r="19" customFormat="false" ht="135" hidden="false" customHeight="true" outlineLevel="0" collapsed="false">
      <c r="A19" s="7" t="s">
        <v>3074</v>
      </c>
      <c r="B19" s="7" t="s">
        <v>3075</v>
      </c>
      <c r="C19" s="7" t="s">
        <v>3076</v>
      </c>
      <c r="D19" s="7" t="s">
        <v>3049</v>
      </c>
    </row>
    <row r="20" customFormat="false" ht="135" hidden="false" customHeight="true" outlineLevel="0" collapsed="false">
      <c r="A20" s="8" t="s">
        <v>3077</v>
      </c>
      <c r="B20" s="8" t="s">
        <v>3078</v>
      </c>
      <c r="C20" s="8" t="s">
        <v>3079</v>
      </c>
      <c r="D20" s="8" t="s">
        <v>3049</v>
      </c>
    </row>
    <row r="21" customFormat="false" ht="135" hidden="false" customHeight="true" outlineLevel="0" collapsed="false">
      <c r="A21" s="7" t="s">
        <v>3080</v>
      </c>
      <c r="B21" s="7" t="s">
        <v>3081</v>
      </c>
      <c r="C21" s="7" t="s">
        <v>3082</v>
      </c>
      <c r="D21" s="7" t="s">
        <v>3049</v>
      </c>
    </row>
    <row r="22" customFormat="false" ht="135" hidden="false" customHeight="true" outlineLevel="0" collapsed="false">
      <c r="A22" s="8" t="s">
        <v>3083</v>
      </c>
      <c r="B22" s="8" t="s">
        <v>3068</v>
      </c>
      <c r="C22" s="8" t="s">
        <v>3069</v>
      </c>
      <c r="D22" s="8" t="s">
        <v>3049</v>
      </c>
    </row>
    <row r="23" customFormat="false" ht="135" hidden="false" customHeight="true" outlineLevel="0" collapsed="false">
      <c r="A23" s="7" t="s">
        <v>3084</v>
      </c>
      <c r="B23" s="7" t="s">
        <v>3085</v>
      </c>
      <c r="C23" s="7" t="s">
        <v>500</v>
      </c>
      <c r="D23" s="7" t="s">
        <v>3049</v>
      </c>
    </row>
    <row r="24" customFormat="false" ht="135" hidden="false" customHeight="true" outlineLevel="0" collapsed="false">
      <c r="A24" s="8" t="s">
        <v>3086</v>
      </c>
      <c r="B24" s="8" t="s">
        <v>3068</v>
      </c>
      <c r="C24" s="8" t="s">
        <v>3069</v>
      </c>
      <c r="D24" s="8" t="s">
        <v>3049</v>
      </c>
    </row>
    <row r="25" customFormat="false" ht="135" hidden="false" customHeight="true" outlineLevel="0" collapsed="false">
      <c r="A25" s="7" t="s">
        <v>3087</v>
      </c>
      <c r="B25" s="7" t="s">
        <v>3068</v>
      </c>
      <c r="C25" s="7" t="s">
        <v>3069</v>
      </c>
      <c r="D25" s="7" t="s">
        <v>3049</v>
      </c>
    </row>
    <row r="26" customFormat="false" ht="135" hidden="false" customHeight="true" outlineLevel="0" collapsed="false">
      <c r="A26" s="8" t="s">
        <v>3088</v>
      </c>
      <c r="B26" s="8" t="s">
        <v>3068</v>
      </c>
      <c r="C26" s="8" t="s">
        <v>3069</v>
      </c>
      <c r="D26" s="8" t="s">
        <v>3049</v>
      </c>
    </row>
    <row r="27" customFormat="false" ht="135" hidden="false" customHeight="true" outlineLevel="0" collapsed="false">
      <c r="A27" s="7" t="s">
        <v>3089</v>
      </c>
      <c r="B27" s="7" t="s">
        <v>3068</v>
      </c>
      <c r="C27" s="7" t="s">
        <v>3069</v>
      </c>
      <c r="D27" s="7" t="s">
        <v>3049</v>
      </c>
    </row>
    <row r="28" customFormat="false" ht="135" hidden="false" customHeight="true" outlineLevel="0" collapsed="false">
      <c r="A28" s="8" t="s">
        <v>3090</v>
      </c>
      <c r="B28" s="8" t="s">
        <v>3091</v>
      </c>
      <c r="C28" s="8" t="s">
        <v>3092</v>
      </c>
      <c r="D28" s="8" t="s">
        <v>3049</v>
      </c>
    </row>
    <row r="29" customFormat="false" ht="135" hidden="false" customHeight="true" outlineLevel="0" collapsed="false">
      <c r="A29" s="7" t="s">
        <v>3093</v>
      </c>
      <c r="B29" s="7" t="s">
        <v>3068</v>
      </c>
      <c r="C29" s="7" t="s">
        <v>3069</v>
      </c>
      <c r="D29" s="7" t="s">
        <v>3049</v>
      </c>
    </row>
    <row r="30" customFormat="false" ht="135" hidden="false" customHeight="true" outlineLevel="0" collapsed="false">
      <c r="A30" s="8" t="s">
        <v>3094</v>
      </c>
      <c r="B30" s="8" t="s">
        <v>3095</v>
      </c>
      <c r="C30" s="8" t="s">
        <v>523</v>
      </c>
      <c r="D30" s="8" t="s">
        <v>3049</v>
      </c>
    </row>
    <row r="31" customFormat="false" ht="135" hidden="false" customHeight="true" outlineLevel="0" collapsed="false">
      <c r="A31" s="7" t="s">
        <v>3096</v>
      </c>
      <c r="B31" s="7" t="s">
        <v>3097</v>
      </c>
      <c r="C31" s="7" t="s">
        <v>3098</v>
      </c>
      <c r="D31" s="7" t="s">
        <v>3049</v>
      </c>
    </row>
    <row r="32" customFormat="false" ht="135" hidden="false" customHeight="true" outlineLevel="0" collapsed="false">
      <c r="A32" s="8" t="s">
        <v>3099</v>
      </c>
      <c r="B32" s="8" t="s">
        <v>3091</v>
      </c>
      <c r="C32" s="8" t="s">
        <v>3092</v>
      </c>
      <c r="D32" s="8" t="s">
        <v>3049</v>
      </c>
    </row>
    <row r="33" customFormat="false" ht="135" hidden="false" customHeight="true" outlineLevel="0" collapsed="false">
      <c r="A33" s="7" t="s">
        <v>3100</v>
      </c>
      <c r="B33" s="7" t="s">
        <v>3068</v>
      </c>
      <c r="C33" s="7" t="s">
        <v>3069</v>
      </c>
      <c r="D33" s="7" t="s">
        <v>3049</v>
      </c>
    </row>
    <row r="34" customFormat="false" ht="135" hidden="false" customHeight="true" outlineLevel="0" collapsed="false">
      <c r="A34" s="8" t="s">
        <v>3101</v>
      </c>
      <c r="B34" s="8" t="s">
        <v>3102</v>
      </c>
      <c r="C34" s="8" t="s">
        <v>528</v>
      </c>
      <c r="D34" s="8" t="s">
        <v>3049</v>
      </c>
    </row>
    <row r="35" customFormat="false" ht="135" hidden="false" customHeight="true" outlineLevel="0" collapsed="false">
      <c r="A35" s="7" t="s">
        <v>3103</v>
      </c>
      <c r="B35" s="7" t="s">
        <v>3091</v>
      </c>
      <c r="C35" s="7" t="s">
        <v>3104</v>
      </c>
      <c r="D35" s="7" t="s">
        <v>3049</v>
      </c>
    </row>
    <row r="36" customFormat="false" ht="135" hidden="false" customHeight="true" outlineLevel="0" collapsed="false">
      <c r="A36" s="8" t="s">
        <v>3105</v>
      </c>
      <c r="B36" s="8" t="s">
        <v>3068</v>
      </c>
      <c r="C36" s="8" t="s">
        <v>3069</v>
      </c>
      <c r="D36" s="8" t="s">
        <v>3049</v>
      </c>
    </row>
    <row r="37" customFormat="false" ht="135" hidden="false" customHeight="true" outlineLevel="0" collapsed="false">
      <c r="A37" s="7" t="s">
        <v>3106</v>
      </c>
      <c r="B37" s="7" t="s">
        <v>3107</v>
      </c>
      <c r="C37" s="7" t="s">
        <v>534</v>
      </c>
      <c r="D37" s="7" t="s">
        <v>3049</v>
      </c>
    </row>
    <row r="38" customFormat="false" ht="135" hidden="false" customHeight="true" outlineLevel="0" collapsed="false">
      <c r="A38" s="8" t="s">
        <v>3108</v>
      </c>
      <c r="B38" s="8" t="s">
        <v>3109</v>
      </c>
      <c r="C38" s="8" t="s">
        <v>3110</v>
      </c>
      <c r="D38" s="8" t="s">
        <v>3049</v>
      </c>
    </row>
    <row r="39" customFormat="false" ht="135" hidden="false" customHeight="true" outlineLevel="0" collapsed="false">
      <c r="A39" s="7" t="s">
        <v>3111</v>
      </c>
      <c r="B39" s="7" t="s">
        <v>550</v>
      </c>
      <c r="C39" s="7" t="s">
        <v>3112</v>
      </c>
      <c r="D39" s="7" t="s">
        <v>3049</v>
      </c>
    </row>
    <row r="40" customFormat="false" ht="135" hidden="false" customHeight="true" outlineLevel="0" collapsed="false">
      <c r="A40" s="8" t="s">
        <v>3113</v>
      </c>
      <c r="B40" s="8" t="s">
        <v>3114</v>
      </c>
      <c r="C40" s="8" t="s">
        <v>3115</v>
      </c>
      <c r="D40" s="8" t="s">
        <v>3049</v>
      </c>
    </row>
    <row r="41" customFormat="false" ht="135" hidden="false" customHeight="true" outlineLevel="0" collapsed="false">
      <c r="A41" s="7" t="s">
        <v>3116</v>
      </c>
      <c r="B41" s="7" t="s">
        <v>550</v>
      </c>
      <c r="C41" s="7" t="s">
        <v>3112</v>
      </c>
      <c r="D41" s="7" t="s">
        <v>3049</v>
      </c>
    </row>
    <row r="42" customFormat="false" ht="135" hidden="false" customHeight="true" outlineLevel="0" collapsed="false">
      <c r="A42" s="8" t="s">
        <v>3117</v>
      </c>
      <c r="B42" s="8" t="s">
        <v>3118</v>
      </c>
      <c r="C42" s="8" t="s">
        <v>550</v>
      </c>
      <c r="D42" s="8" t="s">
        <v>3049</v>
      </c>
    </row>
    <row r="43" customFormat="false" ht="135" hidden="false" customHeight="true" outlineLevel="0" collapsed="false">
      <c r="A43" s="7" t="s">
        <v>3119</v>
      </c>
      <c r="B43" s="7" t="s">
        <v>563</v>
      </c>
      <c r="C43" s="7" t="s">
        <v>3120</v>
      </c>
      <c r="D43" s="7" t="s">
        <v>3049</v>
      </c>
    </row>
    <row r="44" customFormat="false" ht="135" hidden="false" customHeight="true" outlineLevel="0" collapsed="false">
      <c r="A44" s="8" t="s">
        <v>3121</v>
      </c>
      <c r="B44" s="8"/>
      <c r="C44" s="8" t="s">
        <v>563</v>
      </c>
      <c r="D44" s="8" t="s">
        <v>3049</v>
      </c>
    </row>
    <row r="45" customFormat="false" ht="135" hidden="false" customHeight="true" outlineLevel="0" collapsed="false">
      <c r="A45" s="7" t="s">
        <v>3122</v>
      </c>
      <c r="B45" s="7"/>
      <c r="C45" s="7" t="s">
        <v>563</v>
      </c>
      <c r="D45" s="7" t="s">
        <v>3049</v>
      </c>
    </row>
    <row r="46" customFormat="false" ht="135" hidden="false" customHeight="true" outlineLevel="0" collapsed="false">
      <c r="A46" s="8" t="s">
        <v>3123</v>
      </c>
      <c r="B46" s="8" t="s">
        <v>3124</v>
      </c>
      <c r="C46" s="8" t="s">
        <v>3125</v>
      </c>
      <c r="D46" s="8" t="s">
        <v>3049</v>
      </c>
    </row>
    <row r="47" customFormat="false" ht="135" hidden="false" customHeight="true" outlineLevel="0" collapsed="false">
      <c r="A47" s="7" t="s">
        <v>3126</v>
      </c>
      <c r="B47" s="7" t="s">
        <v>3127</v>
      </c>
      <c r="C47" s="7" t="s">
        <v>3128</v>
      </c>
      <c r="D47" s="7" t="s">
        <v>3049</v>
      </c>
    </row>
    <row r="48" customFormat="false" ht="135" hidden="false" customHeight="true" outlineLevel="0" collapsed="false">
      <c r="A48" s="8" t="s">
        <v>3129</v>
      </c>
      <c r="B48" s="8" t="s">
        <v>3130</v>
      </c>
      <c r="C48" s="8" t="s">
        <v>3131</v>
      </c>
      <c r="D48" s="8" t="s">
        <v>3049</v>
      </c>
    </row>
    <row r="49" customFormat="false" ht="135" hidden="false" customHeight="true" outlineLevel="0" collapsed="false">
      <c r="A49" s="7" t="s">
        <v>3132</v>
      </c>
      <c r="B49" s="7" t="s">
        <v>3133</v>
      </c>
      <c r="C49" s="7" t="s">
        <v>3134</v>
      </c>
      <c r="D49" s="7" t="s">
        <v>3049</v>
      </c>
    </row>
    <row r="50" customFormat="false" ht="135" hidden="false" customHeight="true" outlineLevel="0" collapsed="false">
      <c r="A50" s="8" t="s">
        <v>3135</v>
      </c>
      <c r="B50" s="8" t="s">
        <v>3136</v>
      </c>
      <c r="C50" s="8" t="s">
        <v>3137</v>
      </c>
      <c r="D50" s="8" t="s">
        <v>3049</v>
      </c>
    </row>
    <row r="51" customFormat="false" ht="135" hidden="false" customHeight="true" outlineLevel="0" collapsed="false">
      <c r="A51" s="7" t="s">
        <v>3138</v>
      </c>
      <c r="B51" s="7" t="s">
        <v>3139</v>
      </c>
      <c r="C51" s="7" t="s">
        <v>3140</v>
      </c>
      <c r="D51" s="7" t="s">
        <v>3049</v>
      </c>
    </row>
    <row r="52" customFormat="false" ht="135" hidden="false" customHeight="true" outlineLevel="0" collapsed="false">
      <c r="A52" s="8" t="s">
        <v>3141</v>
      </c>
      <c r="B52" s="8" t="s">
        <v>3142</v>
      </c>
      <c r="C52" s="8" t="s">
        <v>3143</v>
      </c>
      <c r="D52" s="8" t="s">
        <v>3049</v>
      </c>
    </row>
    <row r="53" customFormat="false" ht="135" hidden="false" customHeight="true" outlineLevel="0" collapsed="false">
      <c r="A53" s="7" t="s">
        <v>3144</v>
      </c>
      <c r="B53" s="7" t="s">
        <v>3145</v>
      </c>
      <c r="C53" s="7" t="s">
        <v>3146</v>
      </c>
      <c r="D53" s="7" t="s">
        <v>3049</v>
      </c>
    </row>
    <row r="54" customFormat="false" ht="135" hidden="false" customHeight="true" outlineLevel="0" collapsed="false">
      <c r="A54" s="8" t="s">
        <v>3147</v>
      </c>
      <c r="B54" s="8" t="s">
        <v>3148</v>
      </c>
      <c r="C54" s="8" t="s">
        <v>3149</v>
      </c>
      <c r="D54" s="8" t="s">
        <v>3049</v>
      </c>
    </row>
    <row r="55" customFormat="false" ht="135" hidden="false" customHeight="true" outlineLevel="0" collapsed="false">
      <c r="A55" s="7" t="s">
        <v>3150</v>
      </c>
      <c r="B55" s="7" t="s">
        <v>2277</v>
      </c>
      <c r="C55" s="7" t="s">
        <v>3151</v>
      </c>
      <c r="D55" s="7" t="s">
        <v>3049</v>
      </c>
    </row>
    <row r="56" customFormat="false" ht="135" hidden="false" customHeight="true" outlineLevel="0" collapsed="false">
      <c r="A56" s="8" t="s">
        <v>3152</v>
      </c>
      <c r="B56" s="8" t="s">
        <v>3153</v>
      </c>
      <c r="C56" s="8" t="s">
        <v>3154</v>
      </c>
      <c r="D56" s="8" t="s">
        <v>3049</v>
      </c>
    </row>
    <row r="57" customFormat="false" ht="135" hidden="false" customHeight="true" outlineLevel="0" collapsed="false">
      <c r="A57" s="7" t="s">
        <v>3155</v>
      </c>
      <c r="B57" s="7" t="s">
        <v>3156</v>
      </c>
      <c r="C57" s="7" t="s">
        <v>3157</v>
      </c>
      <c r="D57" s="7" t="s">
        <v>3049</v>
      </c>
    </row>
    <row r="58" customFormat="false" ht="135" hidden="false" customHeight="true" outlineLevel="0" collapsed="false">
      <c r="A58" s="8" t="s">
        <v>3158</v>
      </c>
      <c r="B58" s="8" t="s">
        <v>2334</v>
      </c>
      <c r="C58" s="8" t="s">
        <v>3159</v>
      </c>
      <c r="D58" s="8" t="s">
        <v>3049</v>
      </c>
    </row>
    <row r="59" customFormat="false" ht="135" hidden="false" customHeight="true" outlineLevel="0" collapsed="false">
      <c r="A59" s="7" t="s">
        <v>3160</v>
      </c>
      <c r="B59" s="7" t="s">
        <v>2337</v>
      </c>
      <c r="C59" s="7" t="s">
        <v>3161</v>
      </c>
      <c r="D59" s="7" t="s">
        <v>3049</v>
      </c>
    </row>
    <row r="60" customFormat="false" ht="135" hidden="false" customHeight="true" outlineLevel="0" collapsed="false">
      <c r="A60" s="8" t="s">
        <v>3162</v>
      </c>
      <c r="B60" s="8" t="s">
        <v>2337</v>
      </c>
      <c r="C60" s="8" t="s">
        <v>3161</v>
      </c>
      <c r="D60" s="8" t="s">
        <v>3049</v>
      </c>
    </row>
    <row r="61" customFormat="false" ht="135" hidden="false" customHeight="true" outlineLevel="0" collapsed="false">
      <c r="A61" s="7" t="s">
        <v>3163</v>
      </c>
      <c r="B61" s="7" t="s">
        <v>2358</v>
      </c>
      <c r="C61" s="7" t="s">
        <v>3164</v>
      </c>
      <c r="D61" s="7" t="s">
        <v>3049</v>
      </c>
    </row>
    <row r="62" customFormat="false" ht="135" hidden="false" customHeight="true" outlineLevel="0" collapsed="false">
      <c r="A62" s="8" t="s">
        <v>3165</v>
      </c>
      <c r="B62" s="8" t="s">
        <v>3166</v>
      </c>
      <c r="C62" s="8" t="s">
        <v>3167</v>
      </c>
      <c r="D62" s="8" t="s">
        <v>3049</v>
      </c>
    </row>
    <row r="63" customFormat="false" ht="135" hidden="false" customHeight="true" outlineLevel="0" collapsed="false">
      <c r="A63" s="7" t="s">
        <v>3168</v>
      </c>
      <c r="B63" s="7" t="s">
        <v>3169</v>
      </c>
      <c r="C63" s="7" t="s">
        <v>3170</v>
      </c>
      <c r="D63" s="7" t="s">
        <v>3049</v>
      </c>
    </row>
    <row r="64" customFormat="false" ht="135" hidden="false" customHeight="true" outlineLevel="0" collapsed="false">
      <c r="A64" s="8" t="s">
        <v>3171</v>
      </c>
      <c r="B64" s="8" t="s">
        <v>3172</v>
      </c>
      <c r="C64" s="8" t="s">
        <v>3173</v>
      </c>
      <c r="D64" s="8" t="s">
        <v>3049</v>
      </c>
    </row>
    <row r="65" customFormat="false" ht="135" hidden="false" customHeight="true" outlineLevel="0" collapsed="false">
      <c r="A65" s="7" t="s">
        <v>3174</v>
      </c>
      <c r="B65" s="7"/>
      <c r="C65" s="7" t="s">
        <v>3175</v>
      </c>
      <c r="D65" s="7" t="s">
        <v>3049</v>
      </c>
    </row>
    <row r="66" customFormat="false" ht="135" hidden="false" customHeight="true" outlineLevel="0" collapsed="false">
      <c r="A66" s="8" t="s">
        <v>3176</v>
      </c>
      <c r="B66" s="8"/>
      <c r="C66" s="8" t="s">
        <v>3177</v>
      </c>
      <c r="D66" s="8" t="s">
        <v>3049</v>
      </c>
    </row>
    <row r="67" customFormat="false" ht="135" hidden="false" customHeight="true" outlineLevel="0" collapsed="false">
      <c r="A67" s="7" t="s">
        <v>3178</v>
      </c>
      <c r="B67" s="7"/>
      <c r="C67" s="7" t="s">
        <v>3179</v>
      </c>
      <c r="D67" s="7" t="s">
        <v>3049</v>
      </c>
    </row>
    <row r="68" customFormat="false" ht="135" hidden="false" customHeight="true" outlineLevel="0" collapsed="false">
      <c r="A68" s="8" t="s">
        <v>3180</v>
      </c>
      <c r="B68" s="8"/>
      <c r="C68" s="8" t="s">
        <v>3181</v>
      </c>
      <c r="D68" s="8" t="s">
        <v>3049</v>
      </c>
    </row>
    <row r="69" customFormat="false" ht="135" hidden="false" customHeight="true" outlineLevel="0" collapsed="false">
      <c r="A69" s="7" t="s">
        <v>3182</v>
      </c>
      <c r="B69" s="7"/>
      <c r="C69" s="7" t="s">
        <v>3183</v>
      </c>
      <c r="D69" s="7" t="s">
        <v>3049</v>
      </c>
    </row>
    <row r="70" customFormat="false" ht="135" hidden="false" customHeight="true" outlineLevel="0" collapsed="false">
      <c r="A70" s="8" t="s">
        <v>3184</v>
      </c>
      <c r="B70" s="8"/>
      <c r="C70" s="8" t="s">
        <v>3185</v>
      </c>
      <c r="D70" s="8" t="s">
        <v>3049</v>
      </c>
    </row>
    <row r="71" customFormat="false" ht="135" hidden="false" customHeight="true" outlineLevel="0" collapsed="false">
      <c r="A71" s="7" t="s">
        <v>3186</v>
      </c>
      <c r="B71" s="7"/>
      <c r="C71" s="7" t="s">
        <v>3187</v>
      </c>
      <c r="D71" s="7" t="s">
        <v>3049</v>
      </c>
    </row>
    <row r="72" customFormat="false" ht="135" hidden="false" customHeight="true" outlineLevel="0" collapsed="false">
      <c r="A72" s="8" t="s">
        <v>3188</v>
      </c>
      <c r="B72" s="8"/>
      <c r="C72" s="8" t="s">
        <v>3189</v>
      </c>
      <c r="D72" s="8" t="s">
        <v>3049</v>
      </c>
    </row>
    <row r="73" customFormat="false" ht="135" hidden="false" customHeight="true" outlineLevel="0" collapsed="false">
      <c r="A73" s="7" t="s">
        <v>3190</v>
      </c>
      <c r="B73" s="7"/>
      <c r="C73" s="7" t="s">
        <v>3191</v>
      </c>
      <c r="D73" s="7" t="s">
        <v>3049</v>
      </c>
    </row>
    <row r="74" customFormat="false" ht="135" hidden="false" customHeight="true" outlineLevel="0" collapsed="false">
      <c r="A74" s="8" t="s">
        <v>3192</v>
      </c>
      <c r="B74" s="8"/>
      <c r="C74" s="8" t="s">
        <v>3193</v>
      </c>
      <c r="D74" s="8" t="s">
        <v>3049</v>
      </c>
    </row>
    <row r="75" customFormat="false" ht="135" hidden="false" customHeight="true" outlineLevel="0" collapsed="false">
      <c r="A75" s="7" t="s">
        <v>3194</v>
      </c>
      <c r="B75" s="7"/>
      <c r="C75" s="7" t="s">
        <v>3187</v>
      </c>
      <c r="D75" s="7" t="s">
        <v>3049</v>
      </c>
    </row>
    <row r="76" customFormat="false" ht="135" hidden="false" customHeight="true" outlineLevel="0" collapsed="false">
      <c r="A76" s="8" t="s">
        <v>3195</v>
      </c>
      <c r="B76" s="8"/>
      <c r="C76" s="8" t="s">
        <v>3193</v>
      </c>
      <c r="D76" s="8" t="s">
        <v>3049</v>
      </c>
    </row>
    <row r="77" customFormat="false" ht="135" hidden="false" customHeight="true" outlineLevel="0" collapsed="false">
      <c r="A77" s="7" t="s">
        <v>3196</v>
      </c>
      <c r="B77" s="7"/>
      <c r="C77" s="7" t="s">
        <v>3197</v>
      </c>
      <c r="D77" s="7" t="s">
        <v>3049</v>
      </c>
    </row>
    <row r="78" customFormat="false" ht="135" hidden="false" customHeight="true" outlineLevel="0" collapsed="false">
      <c r="A78" s="8" t="s">
        <v>3198</v>
      </c>
      <c r="B78" s="8" t="s">
        <v>3199</v>
      </c>
      <c r="C78" s="8" t="s">
        <v>3200</v>
      </c>
      <c r="D78" s="8" t="s">
        <v>3049</v>
      </c>
    </row>
    <row r="79" customFormat="false" ht="135" hidden="false" customHeight="true" outlineLevel="0" collapsed="false">
      <c r="A79" s="7" t="s">
        <v>3201</v>
      </c>
      <c r="B79" s="7" t="s">
        <v>3199</v>
      </c>
      <c r="C79" s="7" t="s">
        <v>3202</v>
      </c>
      <c r="D79" s="7" t="s">
        <v>3049</v>
      </c>
    </row>
    <row r="80" customFormat="false" ht="135" hidden="false" customHeight="true" outlineLevel="0" collapsed="false">
      <c r="A80" s="8" t="s">
        <v>3203</v>
      </c>
      <c r="B80" s="8" t="s">
        <v>3204</v>
      </c>
      <c r="C80" s="8" t="s">
        <v>3205</v>
      </c>
      <c r="D80" s="8" t="s">
        <v>3049</v>
      </c>
    </row>
  </sheetData>
  <autoFilter ref="A5:D80"/>
  <mergeCells count="2">
    <mergeCell ref="A1:D1"/>
    <mergeCell ref="A2:D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AA9B2"/>
    <pageSetUpPr fitToPage="true"/>
  </sheetPr>
  <dimension ref="A1:M19"/>
  <sheetViews>
    <sheetView showFormulas="false" showGridLines="false" showRowColHeaders="true" showZeros="true" rightToLeft="false" tabSelected="false" showOutlineSymbols="true" defaultGridColor="true" view="normal" topLeftCell="A1" colorId="64" zoomScale="60" zoomScaleNormal="6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14" width="24.71"/>
    <col collapsed="false" customWidth="true" hidden="false" outlineLevel="0" max="2" min="2" style="14" width="44.71"/>
    <col collapsed="false" customWidth="true" hidden="false" outlineLevel="0" max="3" min="3" style="14" width="50.71"/>
    <col collapsed="false" customWidth="true" hidden="false" outlineLevel="0" max="4" min="4" style="14" width="55.71"/>
    <col collapsed="false" customWidth="true" hidden="false" outlineLevel="0" max="5" min="5" style="14" width="48.71"/>
    <col collapsed="false" customWidth="true" hidden="false" outlineLevel="0" max="6" min="6" style="14" width="22.71"/>
    <col collapsed="false" customWidth="true" hidden="false" outlineLevel="0" max="7" min="7" style="14" width="90.71"/>
    <col collapsed="false" customWidth="true" hidden="false" outlineLevel="0" max="8" min="8" style="14" width="65.71"/>
    <col collapsed="false" customWidth="true" hidden="false" outlineLevel="0" max="9" min="9" style="14" width="90.71"/>
    <col collapsed="false" customWidth="true" hidden="false" outlineLevel="0" max="10" min="10" style="14" width="65.71"/>
    <col collapsed="false" customWidth="true" hidden="false" outlineLevel="0" max="13" min="11" style="14" width="36.71"/>
  </cols>
  <sheetData>
    <row r="1" customFormat="false" ht="33.75" hidden="false" customHeight="true" outlineLevel="0" collapsed="false">
      <c r="A1" s="64" t="s">
        <v>3206</v>
      </c>
      <c r="B1" s="64"/>
      <c r="C1" s="64"/>
      <c r="D1" s="64"/>
      <c r="E1" s="64"/>
      <c r="F1" s="64"/>
      <c r="G1" s="64"/>
      <c r="H1" s="64"/>
      <c r="I1" s="64"/>
      <c r="J1" s="64"/>
      <c r="K1" s="64"/>
      <c r="L1" s="64"/>
      <c r="M1" s="64"/>
    </row>
    <row r="2" customFormat="false" ht="24.75" hidden="false" customHeight="true" outlineLevel="0" collapsed="false">
      <c r="A2" s="65" t="s">
        <v>3207</v>
      </c>
      <c r="B2" s="65"/>
      <c r="C2" s="65"/>
      <c r="D2" s="65"/>
      <c r="E2" s="65"/>
      <c r="F2" s="65"/>
      <c r="G2" s="65"/>
      <c r="H2" s="65"/>
      <c r="I2" s="65"/>
      <c r="J2" s="65"/>
      <c r="K2" s="65"/>
      <c r="L2" s="65"/>
      <c r="M2" s="65"/>
    </row>
    <row r="3" customFormat="false" ht="24.75" hidden="false" customHeight="true" outlineLevel="0" collapsed="false">
      <c r="A3" s="65"/>
      <c r="B3" s="65"/>
      <c r="C3" s="65"/>
      <c r="D3" s="65"/>
      <c r="E3" s="65"/>
      <c r="F3" s="65"/>
      <c r="G3" s="65"/>
      <c r="H3" s="65"/>
      <c r="I3" s="65"/>
      <c r="J3" s="65"/>
      <c r="K3" s="65"/>
      <c r="L3" s="65"/>
      <c r="M3" s="65"/>
    </row>
    <row r="5" customFormat="false" ht="48" hidden="false" customHeight="true" outlineLevel="0" collapsed="false">
      <c r="A5" s="66" t="s">
        <v>1731</v>
      </c>
      <c r="B5" s="66" t="s">
        <v>3208</v>
      </c>
      <c r="C5" s="66" t="s">
        <v>3209</v>
      </c>
      <c r="D5" s="66" t="s">
        <v>465</v>
      </c>
      <c r="E5" s="66" t="s">
        <v>3210</v>
      </c>
      <c r="F5" s="66" t="s">
        <v>3211</v>
      </c>
      <c r="G5" s="66" t="s">
        <v>299</v>
      </c>
      <c r="H5" s="66" t="s">
        <v>3212</v>
      </c>
      <c r="I5" s="66" t="s">
        <v>3213</v>
      </c>
      <c r="J5" s="66" t="s">
        <v>3214</v>
      </c>
      <c r="K5" s="66" t="s">
        <v>3215</v>
      </c>
      <c r="L5" s="66" t="s">
        <v>3216</v>
      </c>
      <c r="M5" s="66" t="s">
        <v>3217</v>
      </c>
    </row>
    <row r="6" customFormat="false" ht="159.75" hidden="false" customHeight="true" outlineLevel="0" collapsed="false">
      <c r="A6" s="69" t="s">
        <v>475</v>
      </c>
      <c r="B6" s="69" t="s">
        <v>3218</v>
      </c>
      <c r="C6" s="69" t="s">
        <v>3219</v>
      </c>
      <c r="D6" s="69" t="s">
        <v>3220</v>
      </c>
      <c r="E6" s="69" t="s">
        <v>3221</v>
      </c>
      <c r="F6" s="69" t="s">
        <v>3222</v>
      </c>
      <c r="G6" s="69" t="s">
        <v>3223</v>
      </c>
      <c r="H6" s="69" t="s">
        <v>3224</v>
      </c>
      <c r="I6" s="69"/>
      <c r="J6" s="69" t="s">
        <v>3225</v>
      </c>
      <c r="K6" s="69"/>
      <c r="L6" s="69"/>
      <c r="M6" s="69"/>
    </row>
    <row r="7" customFormat="false" ht="159.75" hidden="false" customHeight="true" outlineLevel="0" collapsed="false">
      <c r="A7" s="70" t="s">
        <v>486</v>
      </c>
      <c r="B7" s="70" t="s">
        <v>3226</v>
      </c>
      <c r="C7" s="70" t="s">
        <v>3227</v>
      </c>
      <c r="D7" s="70" t="s">
        <v>3228</v>
      </c>
      <c r="E7" s="70" t="s">
        <v>3221</v>
      </c>
      <c r="F7" s="70" t="s">
        <v>3222</v>
      </c>
      <c r="G7" s="70" t="s">
        <v>3223</v>
      </c>
      <c r="H7" s="70" t="s">
        <v>3229</v>
      </c>
      <c r="I7" s="70"/>
      <c r="J7" s="70" t="s">
        <v>3225</v>
      </c>
      <c r="K7" s="70"/>
      <c r="L7" s="70"/>
      <c r="M7" s="70"/>
    </row>
    <row r="8" customFormat="false" ht="159.75" hidden="false" customHeight="true" outlineLevel="0" collapsed="false">
      <c r="A8" s="69" t="s">
        <v>494</v>
      </c>
      <c r="B8" s="69" t="s">
        <v>3230</v>
      </c>
      <c r="C8" s="69" t="s">
        <v>3231</v>
      </c>
      <c r="D8" s="69" t="s">
        <v>3232</v>
      </c>
      <c r="E8" s="69" t="s">
        <v>3233</v>
      </c>
      <c r="F8" s="69" t="s">
        <v>3234</v>
      </c>
      <c r="G8" s="69" t="s">
        <v>3235</v>
      </c>
      <c r="H8" s="69" t="s">
        <v>3236</v>
      </c>
      <c r="I8" s="69" t="s">
        <v>3237</v>
      </c>
      <c r="J8" s="69" t="s">
        <v>3225</v>
      </c>
      <c r="K8" s="69"/>
      <c r="L8" s="69"/>
      <c r="M8" s="69"/>
    </row>
    <row r="9" customFormat="false" ht="159.75" hidden="false" customHeight="true" outlineLevel="0" collapsed="false">
      <c r="A9" s="70" t="s">
        <v>502</v>
      </c>
      <c r="B9" s="70" t="s">
        <v>3238</v>
      </c>
      <c r="C9" s="70" t="s">
        <v>3231</v>
      </c>
      <c r="D9" s="70" t="s">
        <v>3232</v>
      </c>
      <c r="E9" s="70" t="s">
        <v>3239</v>
      </c>
      <c r="F9" s="70" t="s">
        <v>3234</v>
      </c>
      <c r="G9" s="70" t="s">
        <v>3240</v>
      </c>
      <c r="H9" s="70" t="s">
        <v>3236</v>
      </c>
      <c r="I9" s="70" t="s">
        <v>3237</v>
      </c>
      <c r="J9" s="70" t="s">
        <v>3225</v>
      </c>
      <c r="K9" s="70"/>
      <c r="L9" s="70"/>
      <c r="M9" s="70"/>
    </row>
    <row r="10" customFormat="false" ht="159.75" hidden="false" customHeight="true" outlineLevel="0" collapsed="false">
      <c r="A10" s="69" t="s">
        <v>506</v>
      </c>
      <c r="B10" s="69" t="s">
        <v>3241</v>
      </c>
      <c r="C10" s="69" t="s">
        <v>3231</v>
      </c>
      <c r="D10" s="69" t="s">
        <v>3232</v>
      </c>
      <c r="E10" s="69" t="s">
        <v>3242</v>
      </c>
      <c r="F10" s="69" t="s">
        <v>3234</v>
      </c>
      <c r="G10" s="69" t="s">
        <v>3240</v>
      </c>
      <c r="H10" s="69" t="s">
        <v>3236</v>
      </c>
      <c r="I10" s="69" t="s">
        <v>3237</v>
      </c>
      <c r="J10" s="69" t="s">
        <v>3225</v>
      </c>
      <c r="K10" s="69"/>
      <c r="L10" s="69"/>
      <c r="M10" s="69"/>
    </row>
    <row r="11" customFormat="false" ht="159.75" hidden="false" customHeight="true" outlineLevel="0" collapsed="false">
      <c r="A11" s="70" t="s">
        <v>510</v>
      </c>
      <c r="B11" s="70" t="s">
        <v>3243</v>
      </c>
      <c r="C11" s="70" t="s">
        <v>3231</v>
      </c>
      <c r="D11" s="70" t="s">
        <v>3232</v>
      </c>
      <c r="E11" s="70" t="s">
        <v>3244</v>
      </c>
      <c r="F11" s="70" t="s">
        <v>3234</v>
      </c>
      <c r="G11" s="70" t="s">
        <v>3240</v>
      </c>
      <c r="H11" s="70" t="s">
        <v>3236</v>
      </c>
      <c r="I11" s="70" t="s">
        <v>3237</v>
      </c>
      <c r="J11" s="70" t="s">
        <v>3225</v>
      </c>
      <c r="K11" s="70"/>
      <c r="L11" s="70"/>
      <c r="M11" s="70"/>
    </row>
    <row r="12" customFormat="false" ht="159.75" hidden="false" customHeight="true" outlineLevel="0" collapsed="false">
      <c r="A12" s="69" t="s">
        <v>514</v>
      </c>
      <c r="B12" s="69" t="s">
        <v>3245</v>
      </c>
      <c r="C12" s="69" t="s">
        <v>3231</v>
      </c>
      <c r="D12" s="69" t="s">
        <v>3232</v>
      </c>
      <c r="E12" s="69" t="s">
        <v>3246</v>
      </c>
      <c r="F12" s="69" t="s">
        <v>3234</v>
      </c>
      <c r="G12" s="69" t="s">
        <v>3240</v>
      </c>
      <c r="H12" s="69" t="s">
        <v>3236</v>
      </c>
      <c r="I12" s="69" t="s">
        <v>3237</v>
      </c>
      <c r="J12" s="69" t="s">
        <v>3225</v>
      </c>
      <c r="K12" s="69"/>
      <c r="L12" s="69"/>
      <c r="M12" s="69"/>
    </row>
    <row r="13" customFormat="false" ht="159.75" hidden="false" customHeight="true" outlineLevel="0" collapsed="false">
      <c r="A13" s="70" t="s">
        <v>518</v>
      </c>
      <c r="B13" s="70" t="s">
        <v>3247</v>
      </c>
      <c r="C13" s="70" t="s">
        <v>3231</v>
      </c>
      <c r="D13" s="70" t="s">
        <v>3248</v>
      </c>
      <c r="E13" s="70" t="s">
        <v>3221</v>
      </c>
      <c r="F13" s="70" t="s">
        <v>3234</v>
      </c>
      <c r="G13" s="70" t="s">
        <v>3249</v>
      </c>
      <c r="H13" s="70" t="s">
        <v>3250</v>
      </c>
      <c r="I13" s="70" t="s">
        <v>3251</v>
      </c>
      <c r="J13" s="70" t="s">
        <v>3225</v>
      </c>
      <c r="K13" s="70"/>
      <c r="L13" s="70"/>
      <c r="M13" s="70"/>
    </row>
    <row r="14" customFormat="false" ht="159.75" hidden="false" customHeight="true" outlineLevel="0" collapsed="false">
      <c r="A14" s="69" t="s">
        <v>525</v>
      </c>
      <c r="B14" s="69" t="s">
        <v>3252</v>
      </c>
      <c r="C14" s="69" t="s">
        <v>3253</v>
      </c>
      <c r="D14" s="69" t="s">
        <v>3254</v>
      </c>
      <c r="E14" s="69" t="s">
        <v>3221</v>
      </c>
      <c r="F14" s="69" t="s">
        <v>3234</v>
      </c>
      <c r="G14" s="69" t="s">
        <v>3223</v>
      </c>
      <c r="H14" s="69" t="s">
        <v>3236</v>
      </c>
      <c r="I14" s="69"/>
      <c r="J14" s="69" t="s">
        <v>3225</v>
      </c>
      <c r="K14" s="69"/>
      <c r="L14" s="69"/>
      <c r="M14" s="69"/>
    </row>
    <row r="15" customFormat="false" ht="159.75" hidden="false" customHeight="true" outlineLevel="0" collapsed="false">
      <c r="A15" s="70" t="s">
        <v>530</v>
      </c>
      <c r="B15" s="70" t="s">
        <v>3255</v>
      </c>
      <c r="C15" s="70" t="s">
        <v>3253</v>
      </c>
      <c r="D15" s="70" t="s">
        <v>3256</v>
      </c>
      <c r="E15" s="70" t="s">
        <v>3221</v>
      </c>
      <c r="F15" s="70" t="s">
        <v>3234</v>
      </c>
      <c r="G15" s="70" t="s">
        <v>3257</v>
      </c>
      <c r="H15" s="70" t="s">
        <v>3258</v>
      </c>
      <c r="I15" s="70"/>
      <c r="J15" s="70" t="s">
        <v>3225</v>
      </c>
      <c r="K15" s="70"/>
      <c r="L15" s="70"/>
      <c r="M15" s="70"/>
    </row>
    <row r="16" customFormat="false" ht="159.75" hidden="false" customHeight="true" outlineLevel="0" collapsed="false">
      <c r="A16" s="69" t="s">
        <v>536</v>
      </c>
      <c r="B16" s="69" t="s">
        <v>3259</v>
      </c>
      <c r="C16" s="69" t="s">
        <v>3260</v>
      </c>
      <c r="D16" s="69" t="s">
        <v>3261</v>
      </c>
      <c r="E16" s="69" t="s">
        <v>3262</v>
      </c>
      <c r="F16" s="69" t="s">
        <v>3263</v>
      </c>
      <c r="G16" s="69" t="s">
        <v>3264</v>
      </c>
      <c r="H16" s="69" t="s">
        <v>3265</v>
      </c>
      <c r="I16" s="69" t="s">
        <v>3266</v>
      </c>
      <c r="J16" s="69" t="s">
        <v>3225</v>
      </c>
      <c r="K16" s="69"/>
      <c r="L16" s="69"/>
      <c r="M16" s="69"/>
    </row>
    <row r="17" customFormat="false" ht="159.75" hidden="false" customHeight="true" outlineLevel="0" collapsed="false">
      <c r="A17" s="70" t="s">
        <v>543</v>
      </c>
      <c r="B17" s="70" t="s">
        <v>3267</v>
      </c>
      <c r="C17" s="70" t="s">
        <v>3260</v>
      </c>
      <c r="D17" s="70" t="s">
        <v>3268</v>
      </c>
      <c r="E17" s="70" t="s">
        <v>3269</v>
      </c>
      <c r="F17" s="70" t="s">
        <v>3270</v>
      </c>
      <c r="G17" s="70" t="s">
        <v>3223</v>
      </c>
      <c r="H17" s="70" t="s">
        <v>3271</v>
      </c>
      <c r="I17" s="70" t="s">
        <v>3272</v>
      </c>
      <c r="J17" s="70" t="s">
        <v>3225</v>
      </c>
      <c r="K17" s="70"/>
      <c r="L17" s="70"/>
      <c r="M17" s="70"/>
    </row>
    <row r="18" customFormat="false" ht="159.75" hidden="false" customHeight="true" outlineLevel="0" collapsed="false">
      <c r="A18" s="69"/>
      <c r="B18" s="69"/>
      <c r="C18" s="69"/>
      <c r="D18" s="69"/>
      <c r="E18" s="69"/>
      <c r="F18" s="69"/>
      <c r="G18" s="69"/>
      <c r="H18" s="69"/>
      <c r="I18" s="69"/>
      <c r="J18" s="69"/>
      <c r="K18" s="69"/>
      <c r="L18" s="69"/>
      <c r="M18" s="69"/>
    </row>
    <row r="19" customFormat="false" ht="159.75" hidden="false" customHeight="true" outlineLevel="0" collapsed="false">
      <c r="A19" s="70" t="s">
        <v>3273</v>
      </c>
      <c r="B19" s="70"/>
      <c r="C19" s="70"/>
      <c r="D19" s="70"/>
      <c r="E19" s="70"/>
      <c r="F19" s="70"/>
      <c r="G19" s="70"/>
      <c r="H19" s="70"/>
      <c r="I19" s="70"/>
      <c r="J19" s="70"/>
      <c r="K19" s="70"/>
      <c r="L19" s="70"/>
      <c r="M19" s="70"/>
    </row>
  </sheetData>
  <autoFilter ref="A5:M19"/>
  <mergeCells count="2">
    <mergeCell ref="A1:M1"/>
    <mergeCell ref="A2:M3"/>
  </mergeCells>
  <printOptions headings="false" gridLines="false" gridLinesSet="true" horizontalCentered="false" verticalCentered="false"/>
  <pageMargins left="0.3" right="0.3" top="0.4" bottom="0.4" header="0.511811023622047" footer="0.3"/>
  <pageSetup paperSize="8" scale="100" fitToWidth="1" fitToHeight="0" pageOrder="downThenOver" orientation="landscape" blackAndWhite="false" draft="false" cellComments="none" horizontalDpi="300" verticalDpi="300" copies="1"/>
  <headerFooter differentFirst="false" differentOddEven="false">
    <oddHeader/>
    <oddFooter>&amp;LHARBORLIGHT — projekt zasad, bez wdrożenia&amp;R&amp;P / &amp;N</oddFooter>
  </headerFooter>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AA9B2"/>
    <pageSetUpPr fitToPage="true"/>
  </sheetPr>
  <dimension ref="A1:C43"/>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14" width="22"/>
    <col collapsed="false" customWidth="true" hidden="false" outlineLevel="0" max="2" min="2" style="14" width="165"/>
    <col collapsed="false" customWidth="true" hidden="false" outlineLevel="0" max="3" min="3" style="14" width="75"/>
  </cols>
  <sheetData>
    <row r="1" customFormat="false" ht="33.75" hidden="false" customHeight="true" outlineLevel="0" collapsed="false">
      <c r="A1" s="44" t="s">
        <v>3274</v>
      </c>
      <c r="B1" s="44"/>
      <c r="C1" s="44"/>
    </row>
    <row r="2" customFormat="false" ht="27" hidden="false" customHeight="true" outlineLevel="0" collapsed="false">
      <c r="A2" s="45" t="s">
        <v>3275</v>
      </c>
      <c r="B2" s="45"/>
      <c r="C2" s="45"/>
    </row>
    <row r="3" customFormat="false" ht="27" hidden="false" customHeight="true" outlineLevel="0" collapsed="false">
      <c r="A3" s="45"/>
      <c r="B3" s="45"/>
      <c r="C3" s="45"/>
    </row>
    <row r="5" customFormat="false" ht="45" hidden="false" customHeight="true" outlineLevel="0" collapsed="false">
      <c r="A5" s="11" t="s">
        <v>3276</v>
      </c>
      <c r="B5" s="11" t="s">
        <v>3277</v>
      </c>
      <c r="C5" s="11" t="s">
        <v>3278</v>
      </c>
    </row>
    <row r="6" customFormat="false" ht="90" hidden="false" customHeight="true" outlineLevel="0" collapsed="false">
      <c r="A6" s="8" t="n">
        <v>1</v>
      </c>
      <c r="B6" s="8" t="s">
        <v>3279</v>
      </c>
      <c r="C6" s="8" t="s">
        <v>3280</v>
      </c>
    </row>
    <row r="7" customFormat="false" ht="90" hidden="false" customHeight="true" outlineLevel="0" collapsed="false">
      <c r="A7" s="7" t="n">
        <v>2</v>
      </c>
      <c r="B7" s="7" t="s">
        <v>3281</v>
      </c>
      <c r="C7" s="7" t="s">
        <v>3280</v>
      </c>
    </row>
    <row r="8" customFormat="false" ht="90" hidden="false" customHeight="true" outlineLevel="0" collapsed="false">
      <c r="A8" s="8" t="n">
        <v>3</v>
      </c>
      <c r="B8" s="8" t="s">
        <v>3282</v>
      </c>
      <c r="C8" s="8" t="s">
        <v>3280</v>
      </c>
    </row>
    <row r="9" customFormat="false" ht="90" hidden="false" customHeight="true" outlineLevel="0" collapsed="false">
      <c r="A9" s="7" t="n">
        <v>4</v>
      </c>
      <c r="B9" s="7" t="s">
        <v>3283</v>
      </c>
      <c r="C9" s="7" t="s">
        <v>3280</v>
      </c>
    </row>
    <row r="10" customFormat="false" ht="90" hidden="false" customHeight="true" outlineLevel="0" collapsed="false">
      <c r="A10" s="8" t="n">
        <v>5</v>
      </c>
      <c r="B10" s="8" t="s">
        <v>3284</v>
      </c>
      <c r="C10" s="8" t="s">
        <v>3280</v>
      </c>
    </row>
    <row r="11" customFormat="false" ht="90" hidden="false" customHeight="true" outlineLevel="0" collapsed="false">
      <c r="A11" s="7" t="n">
        <v>6</v>
      </c>
      <c r="B11" s="7" t="s">
        <v>3285</v>
      </c>
      <c r="C11" s="7" t="s">
        <v>3280</v>
      </c>
    </row>
    <row r="12" customFormat="false" ht="90" hidden="false" customHeight="true" outlineLevel="0" collapsed="false">
      <c r="A12" s="8" t="n">
        <v>7</v>
      </c>
      <c r="B12" s="8" t="s">
        <v>3286</v>
      </c>
      <c r="C12" s="8" t="s">
        <v>3280</v>
      </c>
    </row>
    <row r="13" customFormat="false" ht="90" hidden="false" customHeight="true" outlineLevel="0" collapsed="false">
      <c r="A13" s="7" t="n">
        <v>8</v>
      </c>
      <c r="B13" s="7" t="s">
        <v>3287</v>
      </c>
      <c r="C13" s="7" t="s">
        <v>3280</v>
      </c>
    </row>
    <row r="14" customFormat="false" ht="90" hidden="false" customHeight="true" outlineLevel="0" collapsed="false">
      <c r="A14" s="8" t="n">
        <v>9</v>
      </c>
      <c r="B14" s="8" t="s">
        <v>3288</v>
      </c>
      <c r="C14" s="8" t="s">
        <v>3280</v>
      </c>
    </row>
    <row r="15" customFormat="false" ht="90" hidden="false" customHeight="true" outlineLevel="0" collapsed="false">
      <c r="A15" s="7" t="n">
        <v>10</v>
      </c>
      <c r="B15" s="7" t="s">
        <v>3289</v>
      </c>
      <c r="C15" s="7" t="s">
        <v>3280</v>
      </c>
    </row>
    <row r="16" customFormat="false" ht="90" hidden="false" customHeight="true" outlineLevel="0" collapsed="false">
      <c r="A16" s="8" t="n">
        <v>11</v>
      </c>
      <c r="B16" s="8" t="s">
        <v>3290</v>
      </c>
      <c r="C16" s="8" t="s">
        <v>3280</v>
      </c>
    </row>
    <row r="17" customFormat="false" ht="90" hidden="false" customHeight="true" outlineLevel="0" collapsed="false">
      <c r="A17" s="7" t="n">
        <v>12</v>
      </c>
      <c r="B17" s="7" t="s">
        <v>3291</v>
      </c>
      <c r="C17" s="7" t="s">
        <v>3280</v>
      </c>
    </row>
    <row r="18" customFormat="false" ht="90" hidden="false" customHeight="true" outlineLevel="0" collapsed="false">
      <c r="A18" s="8" t="n">
        <v>13</v>
      </c>
      <c r="B18" s="8" t="s">
        <v>3292</v>
      </c>
      <c r="C18" s="8" t="s">
        <v>3280</v>
      </c>
    </row>
    <row r="19" customFormat="false" ht="90" hidden="false" customHeight="true" outlineLevel="0" collapsed="false">
      <c r="A19" s="7" t="n">
        <v>14</v>
      </c>
      <c r="B19" s="7" t="s">
        <v>3293</v>
      </c>
      <c r="C19" s="7" t="s">
        <v>3280</v>
      </c>
    </row>
    <row r="20" customFormat="false" ht="90" hidden="false" customHeight="true" outlineLevel="0" collapsed="false">
      <c r="A20" s="8" t="n">
        <v>15</v>
      </c>
      <c r="B20" s="8"/>
      <c r="C20" s="8" t="s">
        <v>3280</v>
      </c>
    </row>
    <row r="21" customFormat="false" ht="90" hidden="false" customHeight="true" outlineLevel="0" collapsed="false">
      <c r="A21" s="7" t="n">
        <v>16</v>
      </c>
      <c r="B21" s="7" t="s">
        <v>3294</v>
      </c>
      <c r="C21" s="7" t="s">
        <v>3280</v>
      </c>
    </row>
    <row r="22" customFormat="false" ht="90" hidden="false" customHeight="true" outlineLevel="0" collapsed="false">
      <c r="A22" s="8" t="n">
        <v>17</v>
      </c>
      <c r="B22" s="8" t="s">
        <v>3295</v>
      </c>
      <c r="C22" s="8" t="s">
        <v>3280</v>
      </c>
    </row>
    <row r="23" customFormat="false" ht="90" hidden="false" customHeight="true" outlineLevel="0" collapsed="false">
      <c r="A23" s="7" t="n">
        <v>18</v>
      </c>
      <c r="B23" s="7" t="s">
        <v>3296</v>
      </c>
      <c r="C23" s="7" t="s">
        <v>3280</v>
      </c>
    </row>
    <row r="24" customFormat="false" ht="90" hidden="false" customHeight="true" outlineLevel="0" collapsed="false">
      <c r="A24" s="8" t="n">
        <v>19</v>
      </c>
      <c r="B24" s="8" t="s">
        <v>3297</v>
      </c>
      <c r="C24" s="8" t="s">
        <v>3280</v>
      </c>
    </row>
    <row r="25" customFormat="false" ht="90" hidden="false" customHeight="true" outlineLevel="0" collapsed="false">
      <c r="A25" s="7" t="n">
        <v>20</v>
      </c>
      <c r="B25" s="7" t="s">
        <v>3298</v>
      </c>
      <c r="C25" s="7" t="s">
        <v>3280</v>
      </c>
    </row>
    <row r="26" customFormat="false" ht="90" hidden="false" customHeight="true" outlineLevel="0" collapsed="false">
      <c r="A26" s="8" t="n">
        <v>21</v>
      </c>
      <c r="B26" s="8" t="s">
        <v>3299</v>
      </c>
      <c r="C26" s="8" t="s">
        <v>3280</v>
      </c>
    </row>
    <row r="27" customFormat="false" ht="90" hidden="false" customHeight="true" outlineLevel="0" collapsed="false">
      <c r="A27" s="7" t="n">
        <v>22</v>
      </c>
      <c r="B27" s="7" t="s">
        <v>3300</v>
      </c>
      <c r="C27" s="7" t="s">
        <v>3280</v>
      </c>
    </row>
    <row r="28" customFormat="false" ht="90" hidden="false" customHeight="true" outlineLevel="0" collapsed="false">
      <c r="A28" s="8" t="n">
        <v>23</v>
      </c>
      <c r="B28" s="8" t="s">
        <v>3301</v>
      </c>
      <c r="C28" s="8" t="s">
        <v>3280</v>
      </c>
    </row>
    <row r="29" customFormat="false" ht="90" hidden="false" customHeight="true" outlineLevel="0" collapsed="false">
      <c r="A29" s="7" t="n">
        <v>24</v>
      </c>
      <c r="B29" s="7" t="s">
        <v>3302</v>
      </c>
      <c r="C29" s="7" t="s">
        <v>3280</v>
      </c>
    </row>
    <row r="30" customFormat="false" ht="90" hidden="false" customHeight="true" outlineLevel="0" collapsed="false">
      <c r="A30" s="8" t="n">
        <v>25</v>
      </c>
      <c r="B30" s="8" t="s">
        <v>3303</v>
      </c>
      <c r="C30" s="8" t="s">
        <v>3280</v>
      </c>
    </row>
    <row r="31" customFormat="false" ht="90" hidden="false" customHeight="true" outlineLevel="0" collapsed="false">
      <c r="A31" s="7" t="n">
        <v>26</v>
      </c>
      <c r="B31" s="7" t="s">
        <v>3304</v>
      </c>
      <c r="C31" s="7" t="s">
        <v>3280</v>
      </c>
    </row>
    <row r="32" customFormat="false" ht="90" hidden="false" customHeight="true" outlineLevel="0" collapsed="false">
      <c r="A32" s="8" t="n">
        <v>27</v>
      </c>
      <c r="B32" s="8"/>
      <c r="C32" s="8" t="s">
        <v>3280</v>
      </c>
    </row>
    <row r="33" customFormat="false" ht="90" hidden="false" customHeight="true" outlineLevel="0" collapsed="false">
      <c r="A33" s="7" t="n">
        <v>28</v>
      </c>
      <c r="B33" s="7" t="s">
        <v>3305</v>
      </c>
      <c r="C33" s="7" t="s">
        <v>3280</v>
      </c>
    </row>
    <row r="34" customFormat="false" ht="90" hidden="false" customHeight="true" outlineLevel="0" collapsed="false">
      <c r="A34" s="8" t="n">
        <v>29</v>
      </c>
      <c r="B34" s="8" t="s">
        <v>3306</v>
      </c>
      <c r="C34" s="8" t="s">
        <v>3280</v>
      </c>
    </row>
    <row r="35" customFormat="false" ht="90" hidden="false" customHeight="true" outlineLevel="0" collapsed="false">
      <c r="A35" s="7" t="n">
        <v>30</v>
      </c>
      <c r="B35" s="7" t="s">
        <v>3307</v>
      </c>
      <c r="C35" s="7" t="s">
        <v>3280</v>
      </c>
    </row>
    <row r="36" customFormat="false" ht="90" hidden="false" customHeight="true" outlineLevel="0" collapsed="false">
      <c r="A36" s="8" t="n">
        <v>31</v>
      </c>
      <c r="B36" s="8" t="s">
        <v>3308</v>
      </c>
      <c r="C36" s="8" t="s">
        <v>3280</v>
      </c>
    </row>
    <row r="37" customFormat="false" ht="90" hidden="false" customHeight="true" outlineLevel="0" collapsed="false">
      <c r="A37" s="7" t="n">
        <v>32</v>
      </c>
      <c r="B37" s="7" t="s">
        <v>3309</v>
      </c>
      <c r="C37" s="7" t="s">
        <v>3280</v>
      </c>
    </row>
    <row r="38" customFormat="false" ht="90" hidden="false" customHeight="true" outlineLevel="0" collapsed="false">
      <c r="A38" s="8" t="n">
        <v>33</v>
      </c>
      <c r="B38" s="8" t="s">
        <v>3310</v>
      </c>
      <c r="C38" s="8" t="s">
        <v>3280</v>
      </c>
    </row>
    <row r="39" customFormat="false" ht="90" hidden="false" customHeight="true" outlineLevel="0" collapsed="false">
      <c r="A39" s="7" t="n">
        <v>34</v>
      </c>
      <c r="B39" s="7" t="s">
        <v>3311</v>
      </c>
      <c r="C39" s="7" t="s">
        <v>3280</v>
      </c>
    </row>
    <row r="40" customFormat="false" ht="90" hidden="false" customHeight="true" outlineLevel="0" collapsed="false">
      <c r="A40" s="8" t="n">
        <v>35</v>
      </c>
      <c r="B40" s="8" t="s">
        <v>3312</v>
      </c>
      <c r="C40" s="8" t="s">
        <v>3280</v>
      </c>
    </row>
    <row r="41" customFormat="false" ht="90" hidden="false" customHeight="true" outlineLevel="0" collapsed="false">
      <c r="A41" s="7" t="n">
        <v>36</v>
      </c>
      <c r="B41" s="7" t="s">
        <v>3313</v>
      </c>
      <c r="C41" s="7" t="s">
        <v>3280</v>
      </c>
    </row>
    <row r="42" customFormat="false" ht="90" hidden="false" customHeight="true" outlineLevel="0" collapsed="false">
      <c r="A42" s="8" t="n">
        <v>37</v>
      </c>
      <c r="B42" s="8" t="s">
        <v>3314</v>
      </c>
      <c r="C42" s="8" t="s">
        <v>3280</v>
      </c>
    </row>
    <row r="43" customFormat="false" ht="90" hidden="false" customHeight="true" outlineLevel="0" collapsed="false">
      <c r="A43" s="7" t="n">
        <v>38</v>
      </c>
      <c r="B43" s="7" t="s">
        <v>3315</v>
      </c>
      <c r="C43" s="7" t="s">
        <v>3280</v>
      </c>
    </row>
  </sheetData>
  <autoFilter ref="A5:C43"/>
  <mergeCells count="2">
    <mergeCell ref="A1:C1"/>
    <mergeCell ref="A2:C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AA9B2"/>
    <pageSetUpPr fitToPage="true"/>
  </sheetPr>
  <dimension ref="A1:D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customHeight="false" zeroHeight="false" outlineLevelRow="0" outlineLevelCol="0"/>
  <cols>
    <col collapsed="false" customWidth="true" hidden="false" outlineLevel="0" max="1" min="1" style="14" width="33"/>
    <col collapsed="false" customWidth="true" hidden="false" outlineLevel="0" max="2" min="2" style="14" width="80"/>
    <col collapsed="false" customWidth="true" hidden="false" outlineLevel="0" max="3" min="3" style="14" width="145"/>
    <col collapsed="false" customWidth="true" hidden="false" outlineLevel="0" max="4" min="4" style="14" width="70"/>
  </cols>
  <sheetData>
    <row r="1" customFormat="false" ht="33.75" hidden="false" customHeight="true" outlineLevel="0" collapsed="false">
      <c r="A1" s="44" t="s">
        <v>3316</v>
      </c>
      <c r="B1" s="44"/>
      <c r="C1" s="44"/>
      <c r="D1" s="44"/>
    </row>
    <row r="2" customFormat="false" ht="24.75" hidden="false" customHeight="true" outlineLevel="0" collapsed="false">
      <c r="A2" s="45" t="s">
        <v>3317</v>
      </c>
      <c r="B2" s="45"/>
      <c r="C2" s="45"/>
      <c r="D2" s="45"/>
    </row>
    <row r="3" customFormat="false" ht="24.75" hidden="false" customHeight="true" outlineLevel="0" collapsed="false">
      <c r="A3" s="45"/>
      <c r="B3" s="45"/>
      <c r="C3" s="45"/>
      <c r="D3" s="45"/>
    </row>
    <row r="5" customFormat="false" ht="48" hidden="false" customHeight="true" outlineLevel="0" collapsed="false">
      <c r="A5" s="11" t="s">
        <v>842</v>
      </c>
      <c r="B5" s="11" t="s">
        <v>3044</v>
      </c>
      <c r="C5" s="11" t="s">
        <v>3318</v>
      </c>
      <c r="D5" s="11" t="s">
        <v>3319</v>
      </c>
    </row>
    <row r="6" customFormat="false" ht="129.75" hidden="false" customHeight="true" outlineLevel="0" collapsed="false">
      <c r="A6" s="8" t="s">
        <v>3320</v>
      </c>
      <c r="B6" s="8"/>
      <c r="C6" s="8" t="s">
        <v>3321</v>
      </c>
      <c r="D6" s="8" t="s">
        <v>3322</v>
      </c>
    </row>
    <row r="7" customFormat="false" ht="129.75" hidden="false" customHeight="true" outlineLevel="0" collapsed="false">
      <c r="A7" s="7" t="s">
        <v>3323</v>
      </c>
      <c r="B7" s="7"/>
      <c r="C7" s="7" t="s">
        <v>3324</v>
      </c>
      <c r="D7" s="7" t="s">
        <v>3322</v>
      </c>
    </row>
    <row r="8" customFormat="false" ht="129.75" hidden="false" customHeight="true" outlineLevel="0" collapsed="false">
      <c r="A8" s="8" t="s">
        <v>3325</v>
      </c>
      <c r="B8" s="8"/>
      <c r="C8" s="8" t="s">
        <v>3326</v>
      </c>
      <c r="D8" s="8" t="s">
        <v>3322</v>
      </c>
    </row>
    <row r="9" customFormat="false" ht="129.75" hidden="false" customHeight="true" outlineLevel="0" collapsed="false">
      <c r="A9" s="7" t="s">
        <v>3067</v>
      </c>
      <c r="B9" s="7" t="s">
        <v>3327</v>
      </c>
      <c r="C9" s="7" t="s">
        <v>3328</v>
      </c>
      <c r="D9" s="7" t="s">
        <v>3322</v>
      </c>
    </row>
    <row r="10" customFormat="false" ht="129.75" hidden="false" customHeight="true" outlineLevel="0" collapsed="false">
      <c r="A10" s="8" t="s">
        <v>3073</v>
      </c>
      <c r="B10" s="8" t="s">
        <v>3327</v>
      </c>
      <c r="C10" s="8" t="s">
        <v>3328</v>
      </c>
      <c r="D10" s="8" t="s">
        <v>3322</v>
      </c>
    </row>
    <row r="11" customFormat="false" ht="129.75" hidden="false" customHeight="true" outlineLevel="0" collapsed="false">
      <c r="A11" s="7" t="s">
        <v>3083</v>
      </c>
      <c r="B11" s="7" t="s">
        <v>3329</v>
      </c>
      <c r="C11" s="7" t="s">
        <v>3328</v>
      </c>
      <c r="D11" s="7" t="s">
        <v>3322</v>
      </c>
    </row>
    <row r="12" customFormat="false" ht="129.75" hidden="false" customHeight="true" outlineLevel="0" collapsed="false">
      <c r="A12" s="8" t="s">
        <v>3330</v>
      </c>
      <c r="B12" s="8" t="s">
        <v>3331</v>
      </c>
      <c r="C12" s="8" t="s">
        <v>504</v>
      </c>
      <c r="D12" s="8" t="s">
        <v>3322</v>
      </c>
    </row>
    <row r="13" customFormat="false" ht="129.75" hidden="false" customHeight="true" outlineLevel="0" collapsed="false">
      <c r="A13" s="7" t="s">
        <v>3086</v>
      </c>
      <c r="B13" s="7" t="s">
        <v>3329</v>
      </c>
      <c r="C13" s="7" t="s">
        <v>3328</v>
      </c>
      <c r="D13" s="7" t="s">
        <v>3322</v>
      </c>
    </row>
    <row r="14" customFormat="false" ht="129.75" hidden="false" customHeight="true" outlineLevel="0" collapsed="false">
      <c r="A14" s="8" t="s">
        <v>3332</v>
      </c>
      <c r="B14" s="8" t="s">
        <v>3333</v>
      </c>
      <c r="C14" s="8" t="s">
        <v>508</v>
      </c>
      <c r="D14" s="8" t="s">
        <v>3322</v>
      </c>
    </row>
    <row r="15" customFormat="false" ht="129.75" hidden="false" customHeight="true" outlineLevel="0" collapsed="false">
      <c r="A15" s="7" t="s">
        <v>3087</v>
      </c>
      <c r="B15" s="7" t="s">
        <v>3329</v>
      </c>
      <c r="C15" s="7" t="s">
        <v>3328</v>
      </c>
      <c r="D15" s="7" t="s">
        <v>3322</v>
      </c>
    </row>
    <row r="16" customFormat="false" ht="129.75" hidden="false" customHeight="true" outlineLevel="0" collapsed="false">
      <c r="A16" s="8" t="s">
        <v>3334</v>
      </c>
      <c r="B16" s="8" t="s">
        <v>3335</v>
      </c>
      <c r="C16" s="8" t="s">
        <v>512</v>
      </c>
      <c r="D16" s="8" t="s">
        <v>3322</v>
      </c>
    </row>
    <row r="17" customFormat="false" ht="129.75" hidden="false" customHeight="true" outlineLevel="0" collapsed="false">
      <c r="A17" s="7" t="s">
        <v>3088</v>
      </c>
      <c r="B17" s="7" t="s">
        <v>3329</v>
      </c>
      <c r="C17" s="7" t="s">
        <v>3328</v>
      </c>
      <c r="D17" s="7" t="s">
        <v>3322</v>
      </c>
    </row>
    <row r="18" customFormat="false" ht="129.75" hidden="false" customHeight="true" outlineLevel="0" collapsed="false">
      <c r="A18" s="8" t="s">
        <v>3336</v>
      </c>
      <c r="B18" s="8" t="s">
        <v>3337</v>
      </c>
      <c r="C18" s="8" t="s">
        <v>516</v>
      </c>
      <c r="D18" s="8" t="s">
        <v>3322</v>
      </c>
    </row>
    <row r="19" customFormat="false" ht="129.75" hidden="false" customHeight="true" outlineLevel="0" collapsed="false">
      <c r="A19" s="7" t="s">
        <v>3089</v>
      </c>
      <c r="B19" s="7" t="s">
        <v>3329</v>
      </c>
      <c r="C19" s="7" t="s">
        <v>3328</v>
      </c>
      <c r="D19" s="7" t="s">
        <v>3322</v>
      </c>
    </row>
    <row r="20" customFormat="false" ht="129.75" hidden="false" customHeight="true" outlineLevel="0" collapsed="false">
      <c r="A20" s="8" t="s">
        <v>3093</v>
      </c>
      <c r="B20" s="8" t="s">
        <v>3329</v>
      </c>
      <c r="C20" s="8" t="s">
        <v>3328</v>
      </c>
      <c r="D20" s="8" t="s">
        <v>3322</v>
      </c>
    </row>
    <row r="21" customFormat="false" ht="129.75" hidden="false" customHeight="true" outlineLevel="0" collapsed="false">
      <c r="A21" s="7" t="s">
        <v>3100</v>
      </c>
      <c r="B21" s="7" t="s">
        <v>3329</v>
      </c>
      <c r="C21" s="7" t="s">
        <v>3328</v>
      </c>
      <c r="D21" s="7" t="s">
        <v>3322</v>
      </c>
    </row>
    <row r="22" customFormat="false" ht="129.75" hidden="false" customHeight="true" outlineLevel="0" collapsed="false">
      <c r="A22" s="8" t="s">
        <v>3105</v>
      </c>
      <c r="B22" s="8" t="s">
        <v>3329</v>
      </c>
      <c r="C22" s="8" t="s">
        <v>3328</v>
      </c>
      <c r="D22" s="8" t="s">
        <v>3322</v>
      </c>
    </row>
    <row r="23" customFormat="false" ht="129.75" hidden="false" customHeight="true" outlineLevel="0" collapsed="false">
      <c r="A23" s="7" t="s">
        <v>3111</v>
      </c>
      <c r="B23" s="7" t="s">
        <v>3327</v>
      </c>
      <c r="C23" s="7" t="s">
        <v>3328</v>
      </c>
      <c r="D23" s="7" t="s">
        <v>3322</v>
      </c>
    </row>
    <row r="24" customFormat="false" ht="129.75" hidden="false" customHeight="true" outlineLevel="0" collapsed="false">
      <c r="A24" s="8" t="s">
        <v>3116</v>
      </c>
      <c r="B24" s="8" t="s">
        <v>3327</v>
      </c>
      <c r="C24" s="8" t="s">
        <v>3328</v>
      </c>
      <c r="D24" s="8" t="s">
        <v>3322</v>
      </c>
    </row>
    <row r="25" customFormat="false" ht="129.75" hidden="false" customHeight="true" outlineLevel="0" collapsed="false">
      <c r="A25" s="7" t="s">
        <v>3338</v>
      </c>
      <c r="B25" s="7"/>
      <c r="C25" s="7" t="s">
        <v>3339</v>
      </c>
      <c r="D25" s="7" t="s">
        <v>3322</v>
      </c>
    </row>
    <row r="26" customFormat="false" ht="129.75" hidden="false" customHeight="true" outlineLevel="0" collapsed="false">
      <c r="A26" s="8" t="s">
        <v>3340</v>
      </c>
      <c r="B26" s="8"/>
      <c r="C26" s="8" t="s">
        <v>3341</v>
      </c>
      <c r="D26" s="8" t="s">
        <v>3322</v>
      </c>
    </row>
    <row r="27" customFormat="false" ht="129.75" hidden="false" customHeight="true" outlineLevel="0" collapsed="false">
      <c r="A27" s="7" t="s">
        <v>3342</v>
      </c>
      <c r="B27" s="7"/>
      <c r="C27" s="7" t="s">
        <v>3343</v>
      </c>
      <c r="D27" s="7" t="s">
        <v>3322</v>
      </c>
    </row>
    <row r="28" customFormat="false" ht="129.75" hidden="false" customHeight="true" outlineLevel="0" collapsed="false">
      <c r="A28" s="8" t="s">
        <v>3344</v>
      </c>
      <c r="B28" s="8"/>
      <c r="C28" s="8" t="s">
        <v>3345</v>
      </c>
      <c r="D28" s="8" t="s">
        <v>3322</v>
      </c>
    </row>
    <row r="29" customFormat="false" ht="129.75" hidden="false" customHeight="true" outlineLevel="0" collapsed="false">
      <c r="A29" s="7" t="s">
        <v>3346</v>
      </c>
      <c r="B29" s="7"/>
      <c r="C29" s="7" t="s">
        <v>3347</v>
      </c>
      <c r="D29" s="7" t="s">
        <v>3322</v>
      </c>
    </row>
    <row r="30" customFormat="false" ht="129.75" hidden="false" customHeight="true" outlineLevel="0" collapsed="false">
      <c r="A30" s="8" t="s">
        <v>3348</v>
      </c>
      <c r="B30" s="8"/>
      <c r="C30" s="8" t="s">
        <v>3349</v>
      </c>
      <c r="D30" s="8" t="s">
        <v>3322</v>
      </c>
    </row>
    <row r="31" customFormat="false" ht="129.75" hidden="false" customHeight="true" outlineLevel="0" collapsed="false">
      <c r="A31" s="7" t="s">
        <v>3350</v>
      </c>
      <c r="B31" s="7"/>
      <c r="C31" s="7" t="s">
        <v>3351</v>
      </c>
      <c r="D31" s="7" t="s">
        <v>3322</v>
      </c>
    </row>
    <row r="32" customFormat="false" ht="129.75" hidden="false" customHeight="true" outlineLevel="0" collapsed="false">
      <c r="A32" s="8" t="s">
        <v>3352</v>
      </c>
      <c r="B32" s="8"/>
      <c r="C32" s="8" t="s">
        <v>3353</v>
      </c>
      <c r="D32" s="8" t="s">
        <v>3322</v>
      </c>
    </row>
    <row r="33" customFormat="false" ht="129.75" hidden="false" customHeight="true" outlineLevel="0" collapsed="false">
      <c r="A33" s="7" t="s">
        <v>3354</v>
      </c>
      <c r="B33" s="7"/>
      <c r="C33" s="7" t="s">
        <v>3355</v>
      </c>
      <c r="D33" s="7" t="s">
        <v>3322</v>
      </c>
    </row>
    <row r="34" customFormat="false" ht="129.75" hidden="false" customHeight="true" outlineLevel="0" collapsed="false">
      <c r="A34" s="8" t="s">
        <v>3356</v>
      </c>
      <c r="B34" s="8"/>
      <c r="C34" s="8" t="s">
        <v>3357</v>
      </c>
      <c r="D34" s="8" t="s">
        <v>3322</v>
      </c>
    </row>
    <row r="35" customFormat="false" ht="129.75" hidden="false" customHeight="true" outlineLevel="0" collapsed="false">
      <c r="A35" s="7" t="s">
        <v>3358</v>
      </c>
      <c r="B35" s="7"/>
      <c r="C35" s="7" t="s">
        <v>1252</v>
      </c>
      <c r="D35" s="7" t="s">
        <v>3322</v>
      </c>
    </row>
    <row r="36" customFormat="false" ht="129.75" hidden="false" customHeight="true" outlineLevel="0" collapsed="false">
      <c r="A36" s="8" t="s">
        <v>3359</v>
      </c>
      <c r="B36" s="8"/>
      <c r="C36" s="8" t="s">
        <v>3360</v>
      </c>
      <c r="D36" s="8" t="s">
        <v>3322</v>
      </c>
    </row>
    <row r="37" customFormat="false" ht="129.75" hidden="false" customHeight="true" outlineLevel="0" collapsed="false">
      <c r="A37" s="7" t="s">
        <v>3361</v>
      </c>
      <c r="B37" s="7"/>
      <c r="C37" s="7" t="s">
        <v>3362</v>
      </c>
      <c r="D37" s="7" t="s">
        <v>3322</v>
      </c>
    </row>
    <row r="38" customFormat="false" ht="129.75" hidden="false" customHeight="true" outlineLevel="0" collapsed="false">
      <c r="A38" s="8" t="s">
        <v>3363</v>
      </c>
      <c r="B38" s="8"/>
      <c r="C38" s="8" t="s">
        <v>3364</v>
      </c>
      <c r="D38" s="8" t="s">
        <v>3322</v>
      </c>
    </row>
    <row r="39" customFormat="false" ht="129.75" hidden="false" customHeight="true" outlineLevel="0" collapsed="false">
      <c r="A39" s="7" t="s">
        <v>3365</v>
      </c>
      <c r="B39" s="7"/>
      <c r="C39" s="7" t="s">
        <v>3366</v>
      </c>
      <c r="D39" s="7" t="s">
        <v>3322</v>
      </c>
    </row>
    <row r="40" customFormat="false" ht="129.75" hidden="false" customHeight="true" outlineLevel="0" collapsed="false">
      <c r="A40" s="8" t="s">
        <v>3367</v>
      </c>
      <c r="B40" s="8"/>
      <c r="C40" s="8" t="s">
        <v>3368</v>
      </c>
      <c r="D40" s="8" t="s">
        <v>3322</v>
      </c>
    </row>
    <row r="41" customFormat="false" ht="129.75" hidden="false" customHeight="true" outlineLevel="0" collapsed="false">
      <c r="A41" s="7" t="s">
        <v>3369</v>
      </c>
      <c r="B41" s="7"/>
      <c r="C41" s="7" t="s">
        <v>3370</v>
      </c>
      <c r="D41" s="7" t="s">
        <v>3322</v>
      </c>
    </row>
    <row r="42" customFormat="false" ht="129.75" hidden="false" customHeight="true" outlineLevel="0" collapsed="false">
      <c r="A42" s="8" t="s">
        <v>3371</v>
      </c>
      <c r="B42" s="8"/>
      <c r="C42" s="8" t="s">
        <v>3372</v>
      </c>
      <c r="D42" s="8" t="s">
        <v>3322</v>
      </c>
    </row>
    <row r="43" customFormat="false" ht="135" hidden="false" customHeight="true" outlineLevel="0" collapsed="false"/>
    <row r="44" customFormat="false" ht="135" hidden="false" customHeight="true" outlineLevel="0" collapsed="false"/>
    <row r="45" customFormat="false" ht="135" hidden="false" customHeight="true" outlineLevel="0" collapsed="false"/>
    <row r="46" customFormat="false" ht="135" hidden="false" customHeight="true" outlineLevel="0" collapsed="false"/>
    <row r="47" customFormat="false" ht="135" hidden="false" customHeight="true" outlineLevel="0" collapsed="false"/>
    <row r="48" customFormat="false" ht="135" hidden="false" customHeight="true" outlineLevel="0" collapsed="false"/>
    <row r="49" customFormat="false" ht="135" hidden="false" customHeight="true" outlineLevel="0" collapsed="false"/>
    <row r="50" customFormat="false" ht="135" hidden="false" customHeight="true" outlineLevel="0" collapsed="false"/>
    <row r="51" customFormat="false" ht="135" hidden="false" customHeight="true" outlineLevel="0" collapsed="false"/>
    <row r="52" customFormat="false" ht="135" hidden="false" customHeight="true" outlineLevel="0" collapsed="false"/>
    <row r="53" customFormat="false" ht="135" hidden="false" customHeight="true" outlineLevel="0" collapsed="false"/>
    <row r="54" customFormat="false" ht="135" hidden="false" customHeight="true" outlineLevel="0" collapsed="false"/>
    <row r="55" customFormat="false" ht="135" hidden="false" customHeight="true" outlineLevel="0" collapsed="false"/>
    <row r="56" customFormat="false" ht="135" hidden="false" customHeight="true" outlineLevel="0" collapsed="false"/>
    <row r="57" customFormat="false" ht="135" hidden="false" customHeight="true" outlineLevel="0" collapsed="false"/>
    <row r="58" customFormat="false" ht="135" hidden="false" customHeight="true" outlineLevel="0" collapsed="false"/>
    <row r="59" customFormat="false" ht="135" hidden="false" customHeight="true" outlineLevel="0" collapsed="false"/>
    <row r="60" customFormat="false" ht="135" hidden="false" customHeight="true" outlineLevel="0" collapsed="false"/>
    <row r="61" customFormat="false" ht="135" hidden="false" customHeight="true" outlineLevel="0" collapsed="false"/>
    <row r="62" customFormat="false" ht="135" hidden="false" customHeight="true" outlineLevel="0" collapsed="false"/>
    <row r="63" customFormat="false" ht="135" hidden="false" customHeight="true" outlineLevel="0" collapsed="false"/>
    <row r="64" customFormat="false" ht="135" hidden="false" customHeight="true" outlineLevel="0" collapsed="false"/>
    <row r="65" customFormat="false" ht="135" hidden="false" customHeight="true" outlineLevel="0" collapsed="false"/>
    <row r="66" customFormat="false" ht="135" hidden="false" customHeight="true" outlineLevel="0" collapsed="false"/>
    <row r="67" customFormat="false" ht="135" hidden="false" customHeight="true" outlineLevel="0" collapsed="false"/>
    <row r="68" customFormat="false" ht="135" hidden="false" customHeight="true" outlineLevel="0" collapsed="false"/>
    <row r="69" customFormat="false" ht="135" hidden="false" customHeight="true" outlineLevel="0" collapsed="false"/>
    <row r="70" customFormat="false" ht="135" hidden="false" customHeight="true" outlineLevel="0" collapsed="false"/>
    <row r="71" customFormat="false" ht="135" hidden="false" customHeight="true" outlineLevel="0" collapsed="false"/>
    <row r="72" customFormat="false" ht="135" hidden="false" customHeight="true" outlineLevel="0" collapsed="false"/>
    <row r="73" customFormat="false" ht="135" hidden="false" customHeight="true" outlineLevel="0" collapsed="false"/>
    <row r="74" customFormat="false" ht="135" hidden="false" customHeight="true" outlineLevel="0" collapsed="false"/>
    <row r="75" customFormat="false" ht="135" hidden="false" customHeight="true" outlineLevel="0" collapsed="false"/>
    <row r="76" customFormat="false" ht="135" hidden="false" customHeight="true" outlineLevel="0" collapsed="false"/>
    <row r="77" customFormat="false" ht="135" hidden="false" customHeight="true" outlineLevel="0" collapsed="false"/>
    <row r="78" customFormat="false" ht="135" hidden="false" customHeight="true" outlineLevel="0" collapsed="false"/>
    <row r="79" customFormat="false" ht="135" hidden="false" customHeight="true" outlineLevel="0" collapsed="false"/>
    <row r="80" customFormat="false" ht="135" hidden="false" customHeight="true" outlineLevel="0" collapsed="false"/>
  </sheetData>
  <autoFilter ref="A5:D42"/>
  <mergeCells count="2">
    <mergeCell ref="A1:D1"/>
    <mergeCell ref="A2:D3"/>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AA9B2"/>
    <pageSetUpPr fitToPage="true"/>
  </sheetPr>
  <dimension ref="A1:D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4" width="29"/>
    <col collapsed="false" customWidth="true" hidden="false" outlineLevel="0" max="3" min="2" style="14" width="76"/>
    <col collapsed="false" customWidth="true" hidden="false" outlineLevel="0" max="4" min="4" style="14" width="47"/>
  </cols>
  <sheetData>
    <row r="1" customFormat="false" ht="36" hidden="false" customHeight="true" outlineLevel="0" collapsed="false">
      <c r="A1" s="15" t="s">
        <v>3373</v>
      </c>
      <c r="B1" s="15"/>
      <c r="C1" s="15"/>
      <c r="D1" s="15"/>
    </row>
    <row r="2" customFormat="false" ht="69.75" hidden="false" customHeight="true" outlineLevel="0" collapsed="false">
      <c r="A2" s="16" t="s">
        <v>3374</v>
      </c>
      <c r="B2" s="16"/>
      <c r="C2" s="16"/>
      <c r="D2" s="16"/>
    </row>
    <row r="5" customFormat="false" ht="34.5" hidden="false" customHeight="true" outlineLevel="0" collapsed="false">
      <c r="A5" s="17" t="s">
        <v>3375</v>
      </c>
      <c r="B5" s="17" t="s">
        <v>3376</v>
      </c>
      <c r="C5" s="17" t="s">
        <v>3377</v>
      </c>
      <c r="D5" s="17" t="s">
        <v>3378</v>
      </c>
    </row>
    <row r="6" customFormat="false" ht="150" hidden="false" customHeight="true" outlineLevel="0" collapsed="false">
      <c r="A6" s="8" t="s">
        <v>3379</v>
      </c>
      <c r="B6" s="8"/>
      <c r="C6" s="8" t="s">
        <v>20</v>
      </c>
      <c r="D6" s="8" t="s">
        <v>3380</v>
      </c>
    </row>
    <row r="7" customFormat="false" ht="150" hidden="false" customHeight="true" outlineLevel="0" collapsed="false">
      <c r="A7" s="7" t="s">
        <v>3381</v>
      </c>
      <c r="B7" s="7" t="s">
        <v>3382</v>
      </c>
      <c r="C7" s="7" t="s">
        <v>3383</v>
      </c>
      <c r="D7" s="7" t="s">
        <v>3380</v>
      </c>
    </row>
    <row r="8" customFormat="false" ht="150" hidden="false" customHeight="true" outlineLevel="0" collapsed="false">
      <c r="A8" s="8" t="s">
        <v>3384</v>
      </c>
      <c r="B8" s="8" t="s">
        <v>3385</v>
      </c>
      <c r="C8" s="8" t="s">
        <v>3386</v>
      </c>
      <c r="D8" s="8" t="s">
        <v>3380</v>
      </c>
    </row>
    <row r="9" customFormat="false" ht="150" hidden="false" customHeight="true" outlineLevel="0" collapsed="false">
      <c r="A9" s="7" t="s">
        <v>3387</v>
      </c>
      <c r="B9" s="7"/>
      <c r="C9" s="7" t="s">
        <v>39</v>
      </c>
      <c r="D9" s="7" t="s">
        <v>3380</v>
      </c>
    </row>
    <row r="10" customFormat="false" ht="150" hidden="false" customHeight="true" outlineLevel="0" collapsed="false">
      <c r="A10" s="8" t="s">
        <v>3388</v>
      </c>
      <c r="B10" s="8"/>
      <c r="C10" s="8" t="s">
        <v>43</v>
      </c>
      <c r="D10" s="8" t="s">
        <v>3380</v>
      </c>
    </row>
    <row r="11" customFormat="false" ht="150" hidden="false" customHeight="true" outlineLevel="0" collapsed="false">
      <c r="A11" s="7" t="s">
        <v>3389</v>
      </c>
      <c r="B11" s="7" t="s">
        <v>3390</v>
      </c>
      <c r="C11" s="7" t="s">
        <v>3391</v>
      </c>
      <c r="D11" s="7" t="s">
        <v>3380</v>
      </c>
    </row>
    <row r="12" customFormat="false" ht="150" hidden="false" customHeight="true" outlineLevel="0" collapsed="false">
      <c r="A12" s="8" t="s">
        <v>3067</v>
      </c>
      <c r="B12" s="8" t="s">
        <v>3392</v>
      </c>
      <c r="C12" s="8" t="s">
        <v>3393</v>
      </c>
      <c r="D12" s="8" t="s">
        <v>3380</v>
      </c>
    </row>
    <row r="13" customFormat="false" ht="150" hidden="false" customHeight="true" outlineLevel="0" collapsed="false">
      <c r="A13" s="7" t="s">
        <v>3074</v>
      </c>
      <c r="B13" s="7" t="s">
        <v>3076</v>
      </c>
      <c r="C13" s="7" t="s">
        <v>492</v>
      </c>
      <c r="D13" s="7" t="s">
        <v>3380</v>
      </c>
    </row>
    <row r="14" customFormat="false" ht="150" hidden="false" customHeight="true" outlineLevel="0" collapsed="false">
      <c r="A14" s="8" t="s">
        <v>3394</v>
      </c>
      <c r="B14" s="8" t="s">
        <v>3395</v>
      </c>
      <c r="C14" s="8" t="s">
        <v>3396</v>
      </c>
      <c r="D14" s="8" t="s">
        <v>3380</v>
      </c>
    </row>
    <row r="15" customFormat="false" ht="150" hidden="false" customHeight="true" outlineLevel="0" collapsed="false">
      <c r="A15" s="7" t="s">
        <v>3397</v>
      </c>
      <c r="B15" s="7" t="s">
        <v>3398</v>
      </c>
      <c r="C15" s="7" t="s">
        <v>3399</v>
      </c>
      <c r="D15" s="7" t="s">
        <v>3380</v>
      </c>
    </row>
    <row r="16" customFormat="false" ht="150" hidden="false" customHeight="true" outlineLevel="0" collapsed="false">
      <c r="A16" s="8" t="s">
        <v>3400</v>
      </c>
      <c r="B16" s="8" t="s">
        <v>3401</v>
      </c>
      <c r="C16" s="8" t="s">
        <v>3402</v>
      </c>
      <c r="D16" s="8" t="s">
        <v>3380</v>
      </c>
    </row>
    <row r="17" customFormat="false" ht="150" hidden="false" customHeight="true" outlineLevel="0" collapsed="false">
      <c r="A17" s="7" t="s">
        <v>3403</v>
      </c>
      <c r="B17" s="7" t="s">
        <v>3404</v>
      </c>
      <c r="C17" s="7" t="s">
        <v>3405</v>
      </c>
      <c r="D17" s="7" t="s">
        <v>3380</v>
      </c>
    </row>
    <row r="18" customFormat="false" ht="150" hidden="false" customHeight="true" outlineLevel="0" collapsed="false">
      <c r="A18" s="8" t="s">
        <v>3406</v>
      </c>
      <c r="B18" s="8" t="s">
        <v>3407</v>
      </c>
      <c r="C18" s="8" t="s">
        <v>3408</v>
      </c>
      <c r="D18" s="8" t="s">
        <v>3380</v>
      </c>
    </row>
    <row r="19" customFormat="false" ht="150" hidden="false" customHeight="true" outlineLevel="0" collapsed="false">
      <c r="A19" s="7" t="s">
        <v>3409</v>
      </c>
      <c r="B19" s="7" t="s">
        <v>3410</v>
      </c>
      <c r="C19" s="7" t="s">
        <v>3411</v>
      </c>
      <c r="D19" s="7" t="s">
        <v>3380</v>
      </c>
    </row>
    <row r="20" customFormat="false" ht="150" hidden="false" customHeight="true" outlineLevel="0" collapsed="false">
      <c r="A20" s="8" t="s">
        <v>3412</v>
      </c>
      <c r="B20" s="8"/>
      <c r="C20" s="8" t="s">
        <v>1192</v>
      </c>
      <c r="D20" s="8" t="s">
        <v>3380</v>
      </c>
    </row>
    <row r="21" customFormat="false" ht="150" hidden="false" customHeight="true" outlineLevel="0" collapsed="false">
      <c r="A21" s="7" t="s">
        <v>3413</v>
      </c>
      <c r="B21" s="7"/>
      <c r="C21" s="7" t="s">
        <v>1197</v>
      </c>
      <c r="D21" s="7" t="s">
        <v>3380</v>
      </c>
    </row>
    <row r="22" customFormat="false" ht="150" hidden="false" customHeight="true" outlineLevel="0" collapsed="false">
      <c r="A22" s="8" t="s">
        <v>3414</v>
      </c>
      <c r="B22" s="8"/>
      <c r="C22" s="8" t="s">
        <v>1202</v>
      </c>
      <c r="D22" s="8" t="s">
        <v>3380</v>
      </c>
    </row>
    <row r="23" customFormat="false" ht="150" hidden="false" customHeight="true" outlineLevel="0" collapsed="false">
      <c r="A23" s="7" t="s">
        <v>3415</v>
      </c>
      <c r="B23" s="7" t="s">
        <v>3416</v>
      </c>
      <c r="C23" s="7" t="s">
        <v>1203</v>
      </c>
      <c r="D23" s="7" t="s">
        <v>3380</v>
      </c>
    </row>
    <row r="24" customFormat="false" ht="150" hidden="false" customHeight="true" outlineLevel="0" collapsed="false">
      <c r="A24" s="8" t="s">
        <v>3417</v>
      </c>
      <c r="B24" s="8" t="s">
        <v>3418</v>
      </c>
      <c r="C24" s="8" t="s">
        <v>1207</v>
      </c>
      <c r="D24" s="8" t="s">
        <v>3380</v>
      </c>
    </row>
    <row r="25" customFormat="false" ht="150" hidden="false" customHeight="true" outlineLevel="0" collapsed="false">
      <c r="A25" s="7" t="s">
        <v>3419</v>
      </c>
      <c r="B25" s="7"/>
      <c r="C25" s="7" t="s">
        <v>1211</v>
      </c>
      <c r="D25" s="7" t="s">
        <v>3380</v>
      </c>
    </row>
    <row r="26" customFormat="false" ht="150" hidden="false" customHeight="true" outlineLevel="0" collapsed="false">
      <c r="A26" s="8" t="s">
        <v>3420</v>
      </c>
      <c r="B26" s="8" t="s">
        <v>3421</v>
      </c>
      <c r="C26" s="8" t="s">
        <v>1212</v>
      </c>
      <c r="D26" s="8" t="s">
        <v>3380</v>
      </c>
    </row>
    <row r="27" customFormat="false" ht="150" hidden="false" customHeight="true" outlineLevel="0" collapsed="false">
      <c r="A27" s="7" t="s">
        <v>3422</v>
      </c>
      <c r="B27" s="7"/>
      <c r="C27" s="7" t="s">
        <v>1217</v>
      </c>
      <c r="D27" s="7" t="s">
        <v>3380</v>
      </c>
    </row>
    <row r="28" customFormat="false" ht="150" hidden="false" customHeight="true" outlineLevel="0" collapsed="false">
      <c r="A28" s="8" t="s">
        <v>3423</v>
      </c>
      <c r="B28" s="8" t="s">
        <v>3424</v>
      </c>
      <c r="C28" s="8" t="s">
        <v>1218</v>
      </c>
      <c r="D28" s="8" t="s">
        <v>3380</v>
      </c>
    </row>
    <row r="29" customFormat="false" ht="150" hidden="false" customHeight="true" outlineLevel="0" collapsed="false">
      <c r="A29" s="7" t="s">
        <v>3425</v>
      </c>
      <c r="B29" s="7"/>
      <c r="C29" s="7" t="s">
        <v>1220</v>
      </c>
      <c r="D29" s="7" t="s">
        <v>3380</v>
      </c>
    </row>
    <row r="30" customFormat="false" ht="150" hidden="false" customHeight="true" outlineLevel="0" collapsed="false">
      <c r="A30" s="8" t="s">
        <v>3426</v>
      </c>
      <c r="B30" s="8" t="s">
        <v>3427</v>
      </c>
      <c r="C30" s="8" t="s">
        <v>1221</v>
      </c>
      <c r="D30" s="8" t="s">
        <v>3380</v>
      </c>
    </row>
    <row r="31" customFormat="false" ht="150" hidden="false" customHeight="true" outlineLevel="0" collapsed="false">
      <c r="A31" s="7" t="s">
        <v>3428</v>
      </c>
      <c r="B31" s="7"/>
      <c r="C31" s="7" t="s">
        <v>1225</v>
      </c>
      <c r="D31" s="7" t="s">
        <v>3380</v>
      </c>
    </row>
    <row r="32" customFormat="false" ht="150" hidden="false" customHeight="true" outlineLevel="0" collapsed="false">
      <c r="A32" s="8" t="s">
        <v>3429</v>
      </c>
      <c r="B32" s="8"/>
      <c r="C32" s="8" t="s">
        <v>1234</v>
      </c>
      <c r="D32" s="8" t="s">
        <v>3380</v>
      </c>
    </row>
    <row r="33" customFormat="false" ht="150" hidden="false" customHeight="true" outlineLevel="0" collapsed="false">
      <c r="A33" s="7" t="s">
        <v>3430</v>
      </c>
      <c r="B33" s="7"/>
      <c r="C33" s="7" t="s">
        <v>1252</v>
      </c>
      <c r="D33" s="7" t="s">
        <v>3380</v>
      </c>
    </row>
    <row r="34" customFormat="false" ht="150" hidden="false" customHeight="true" outlineLevel="0" collapsed="false">
      <c r="A34" s="8" t="s">
        <v>3431</v>
      </c>
      <c r="B34" s="8" t="s">
        <v>3432</v>
      </c>
      <c r="C34" s="8" t="s">
        <v>3433</v>
      </c>
      <c r="D34" s="8" t="s">
        <v>3380</v>
      </c>
    </row>
    <row r="35" customFormat="false" ht="150" hidden="false" customHeight="true" outlineLevel="0" collapsed="false">
      <c r="A35" s="7" t="s">
        <v>3434</v>
      </c>
      <c r="B35" s="7" t="s">
        <v>3404</v>
      </c>
      <c r="C35" s="7" t="s">
        <v>3435</v>
      </c>
      <c r="D35" s="7" t="s">
        <v>3380</v>
      </c>
    </row>
    <row r="36" customFormat="false" ht="150" hidden="false" customHeight="true" outlineLevel="0" collapsed="false">
      <c r="A36" s="8" t="s">
        <v>3436</v>
      </c>
      <c r="B36" s="8" t="s">
        <v>3437</v>
      </c>
      <c r="C36" s="8" t="s">
        <v>3438</v>
      </c>
      <c r="D36" s="8" t="s">
        <v>3380</v>
      </c>
    </row>
    <row r="37" customFormat="false" ht="150" hidden="false" customHeight="true" outlineLevel="0" collapsed="false">
      <c r="A37" s="7" t="s">
        <v>3439</v>
      </c>
      <c r="B37" s="7" t="s">
        <v>3440</v>
      </c>
      <c r="C37" s="7" t="s">
        <v>3441</v>
      </c>
      <c r="D37" s="7" t="s">
        <v>3380</v>
      </c>
    </row>
    <row r="38" customFormat="false" ht="150" hidden="false" customHeight="true" outlineLevel="0" collapsed="false">
      <c r="A38" s="8" t="s">
        <v>3442</v>
      </c>
      <c r="B38" s="8"/>
      <c r="C38" s="8" t="s">
        <v>1270</v>
      </c>
      <c r="D38" s="8" t="s">
        <v>3380</v>
      </c>
    </row>
    <row r="39" customFormat="false" ht="150" hidden="false" customHeight="true" outlineLevel="0" collapsed="false">
      <c r="A39" s="7" t="s">
        <v>3443</v>
      </c>
      <c r="B39" s="7"/>
      <c r="C39" s="7" t="s">
        <v>1280</v>
      </c>
      <c r="D39" s="7" t="s">
        <v>3380</v>
      </c>
    </row>
    <row r="40" customFormat="false" ht="150" hidden="false" customHeight="true" outlineLevel="0" collapsed="false">
      <c r="A40" s="8" t="s">
        <v>3444</v>
      </c>
      <c r="B40" s="8"/>
      <c r="C40" s="8" t="s">
        <v>1330</v>
      </c>
      <c r="D40" s="8" t="s">
        <v>3380</v>
      </c>
    </row>
    <row r="41" customFormat="false" ht="150" hidden="false" customHeight="true" outlineLevel="0" collapsed="false">
      <c r="A41" s="7" t="s">
        <v>3445</v>
      </c>
      <c r="B41" s="7"/>
      <c r="C41" s="7" t="s">
        <v>1447</v>
      </c>
      <c r="D41" s="7" t="s">
        <v>3380</v>
      </c>
    </row>
    <row r="42" customFormat="false" ht="150" hidden="false" customHeight="true" outlineLevel="0" collapsed="false">
      <c r="A42" s="8" t="s">
        <v>3446</v>
      </c>
      <c r="B42" s="8"/>
      <c r="C42" s="8" t="s">
        <v>1463</v>
      </c>
      <c r="D42" s="8" t="s">
        <v>3380</v>
      </c>
    </row>
    <row r="43" customFormat="false" ht="150" hidden="false" customHeight="true" outlineLevel="0" collapsed="false">
      <c r="A43" s="7" t="s">
        <v>3447</v>
      </c>
      <c r="B43" s="7"/>
      <c r="C43" s="7" t="s">
        <v>1467</v>
      </c>
      <c r="D43" s="7" t="s">
        <v>3380</v>
      </c>
    </row>
    <row r="44" customFormat="false" ht="150" hidden="false" customHeight="true" outlineLevel="0" collapsed="false">
      <c r="A44" s="8" t="s">
        <v>3448</v>
      </c>
      <c r="B44" s="8"/>
      <c r="C44" s="8" t="s">
        <v>1486</v>
      </c>
      <c r="D44" s="8" t="s">
        <v>3380</v>
      </c>
    </row>
    <row r="45" customFormat="false" ht="150" hidden="false" customHeight="true" outlineLevel="0" collapsed="false">
      <c r="A45" s="7" t="s">
        <v>3449</v>
      </c>
      <c r="B45" s="7"/>
      <c r="C45" s="7" t="s">
        <v>1491</v>
      </c>
      <c r="D45" s="7" t="s">
        <v>3380</v>
      </c>
    </row>
    <row r="46" customFormat="false" ht="150" hidden="false" customHeight="true" outlineLevel="0" collapsed="false">
      <c r="A46" s="8" t="s">
        <v>3450</v>
      </c>
      <c r="B46" s="8"/>
      <c r="C46" s="8" t="s">
        <v>1504</v>
      </c>
      <c r="D46" s="8" t="s">
        <v>3380</v>
      </c>
    </row>
    <row r="47" customFormat="false" ht="150" hidden="false" customHeight="true" outlineLevel="0" collapsed="false">
      <c r="A47" s="7" t="s">
        <v>3451</v>
      </c>
      <c r="B47" s="7"/>
      <c r="C47" s="7" t="s">
        <v>1508</v>
      </c>
      <c r="D47" s="7" t="s">
        <v>3380</v>
      </c>
    </row>
    <row r="48" customFormat="false" ht="150" hidden="false" customHeight="true" outlineLevel="0" collapsed="false">
      <c r="A48" s="8" t="s">
        <v>3452</v>
      </c>
      <c r="B48" s="8"/>
      <c r="C48" s="8" t="s">
        <v>1516</v>
      </c>
      <c r="D48" s="8" t="s">
        <v>3380</v>
      </c>
    </row>
    <row r="49" customFormat="false" ht="150" hidden="false" customHeight="true" outlineLevel="0" collapsed="false">
      <c r="A49" s="7" t="s">
        <v>3453</v>
      </c>
      <c r="B49" s="7"/>
      <c r="C49" s="7" t="s">
        <v>1522</v>
      </c>
      <c r="D49" s="7" t="s">
        <v>3380</v>
      </c>
    </row>
    <row r="50" customFormat="false" ht="150" hidden="false" customHeight="true" outlineLevel="0" collapsed="false">
      <c r="A50" s="8" t="s">
        <v>3454</v>
      </c>
      <c r="B50" s="8"/>
      <c r="C50" s="8" t="s">
        <v>1592</v>
      </c>
      <c r="D50" s="8" t="s">
        <v>3380</v>
      </c>
    </row>
    <row r="51" customFormat="false" ht="150" hidden="false" customHeight="true" outlineLevel="0" collapsed="false">
      <c r="A51" s="7" t="s">
        <v>3455</v>
      </c>
      <c r="B51" s="7" t="s">
        <v>3456</v>
      </c>
      <c r="C51" s="7" t="s">
        <v>3457</v>
      </c>
      <c r="D51" s="7" t="s">
        <v>3380</v>
      </c>
    </row>
    <row r="52" customFormat="false" ht="150" hidden="false" customHeight="true" outlineLevel="0" collapsed="false">
      <c r="A52" s="8" t="s">
        <v>3458</v>
      </c>
      <c r="B52" s="8"/>
      <c r="C52" s="8" t="s">
        <v>2134</v>
      </c>
      <c r="D52" s="8" t="s">
        <v>3380</v>
      </c>
    </row>
    <row r="53" customFormat="false" ht="150" hidden="false" customHeight="true" outlineLevel="0" collapsed="false">
      <c r="A53" s="7" t="s">
        <v>3459</v>
      </c>
      <c r="B53" s="7"/>
      <c r="C53" s="7" t="s">
        <v>2138</v>
      </c>
      <c r="D53" s="7" t="s">
        <v>3380</v>
      </c>
    </row>
    <row r="54" customFormat="false" ht="150" hidden="false" customHeight="true" outlineLevel="0" collapsed="false">
      <c r="A54" s="8" t="s">
        <v>3460</v>
      </c>
      <c r="B54" s="8"/>
      <c r="C54" s="8" t="s">
        <v>2142</v>
      </c>
      <c r="D54" s="8" t="s">
        <v>3380</v>
      </c>
    </row>
    <row r="55" customFormat="false" ht="150" hidden="false" customHeight="true" outlineLevel="0" collapsed="false">
      <c r="A55" s="7" t="s">
        <v>3461</v>
      </c>
      <c r="B55" s="7"/>
      <c r="C55" s="7" t="s">
        <v>2147</v>
      </c>
      <c r="D55" s="7" t="s">
        <v>3380</v>
      </c>
    </row>
    <row r="56" customFormat="false" ht="150" hidden="false" customHeight="true" outlineLevel="0" collapsed="false">
      <c r="A56" s="8" t="s">
        <v>3462</v>
      </c>
      <c r="B56" s="8"/>
      <c r="C56" s="8" t="s">
        <v>2151</v>
      </c>
      <c r="D56" s="8" t="s">
        <v>3380</v>
      </c>
    </row>
    <row r="57" customFormat="false" ht="150" hidden="false" customHeight="true" outlineLevel="0" collapsed="false">
      <c r="A57" s="7" t="s">
        <v>3463</v>
      </c>
      <c r="B57" s="7"/>
      <c r="C57" s="7" t="s">
        <v>2159</v>
      </c>
      <c r="D57" s="7" t="s">
        <v>3380</v>
      </c>
    </row>
    <row r="58" customFormat="false" ht="150" hidden="false" customHeight="true" outlineLevel="0" collapsed="false">
      <c r="A58" s="8" t="s">
        <v>3464</v>
      </c>
      <c r="B58" s="8"/>
      <c r="C58" s="8" t="s">
        <v>2163</v>
      </c>
      <c r="D58" s="8" t="s">
        <v>3380</v>
      </c>
    </row>
    <row r="59" customFormat="false" ht="150" hidden="false" customHeight="true" outlineLevel="0" collapsed="false">
      <c r="A59" s="7" t="s">
        <v>3465</v>
      </c>
      <c r="B59" s="7"/>
      <c r="C59" s="7" t="s">
        <v>2163</v>
      </c>
      <c r="D59" s="7" t="s">
        <v>3380</v>
      </c>
    </row>
    <row r="60" customFormat="false" ht="150" hidden="false" customHeight="true" outlineLevel="0" collapsed="false">
      <c r="A60" s="8" t="s">
        <v>3466</v>
      </c>
      <c r="B60" s="8"/>
      <c r="C60" s="8" t="s">
        <v>2174</v>
      </c>
      <c r="D60" s="8" t="s">
        <v>3380</v>
      </c>
    </row>
    <row r="61" customFormat="false" ht="150" hidden="false" customHeight="true" outlineLevel="0" collapsed="false">
      <c r="A61" s="7" t="s">
        <v>3467</v>
      </c>
      <c r="B61" s="7"/>
      <c r="C61" s="7" t="s">
        <v>2184</v>
      </c>
      <c r="D61" s="7" t="s">
        <v>3380</v>
      </c>
    </row>
    <row r="62" customFormat="false" ht="150" hidden="false" customHeight="true" outlineLevel="0" collapsed="false">
      <c r="A62" s="8" t="s">
        <v>3468</v>
      </c>
      <c r="B62" s="8"/>
      <c r="C62" s="8" t="s">
        <v>2184</v>
      </c>
      <c r="D62" s="8" t="s">
        <v>3380</v>
      </c>
    </row>
    <row r="63" customFormat="false" ht="150" hidden="false" customHeight="true" outlineLevel="0" collapsed="false">
      <c r="A63" s="7" t="s">
        <v>3469</v>
      </c>
      <c r="B63" s="7"/>
      <c r="C63" s="7" t="s">
        <v>2184</v>
      </c>
      <c r="D63" s="7" t="s">
        <v>3380</v>
      </c>
    </row>
    <row r="64" customFormat="false" ht="150" hidden="false" customHeight="true" outlineLevel="0" collapsed="false">
      <c r="A64" s="8" t="s">
        <v>3470</v>
      </c>
      <c r="B64" s="8"/>
      <c r="C64" s="8" t="s">
        <v>2194</v>
      </c>
      <c r="D64" s="8" t="s">
        <v>3380</v>
      </c>
    </row>
    <row r="65" customFormat="false" ht="150" hidden="false" customHeight="true" outlineLevel="0" collapsed="false">
      <c r="A65" s="7" t="s">
        <v>3471</v>
      </c>
      <c r="B65" s="7"/>
      <c r="C65" s="7" t="s">
        <v>2198</v>
      </c>
      <c r="D65" s="7" t="s">
        <v>3380</v>
      </c>
    </row>
    <row r="66" customFormat="false" ht="150" hidden="false" customHeight="true" outlineLevel="0" collapsed="false">
      <c r="A66" s="8" t="s">
        <v>3472</v>
      </c>
      <c r="B66" s="8"/>
      <c r="C66" s="8" t="s">
        <v>2203</v>
      </c>
      <c r="D66" s="8" t="s">
        <v>3380</v>
      </c>
    </row>
    <row r="67" customFormat="false" ht="150" hidden="false" customHeight="true" outlineLevel="0" collapsed="false">
      <c r="A67" s="7" t="s">
        <v>3473</v>
      </c>
      <c r="B67" s="7"/>
      <c r="C67" s="7" t="s">
        <v>2142</v>
      </c>
      <c r="D67" s="7" t="s">
        <v>3380</v>
      </c>
    </row>
    <row r="68" customFormat="false" ht="150" hidden="false" customHeight="true" outlineLevel="0" collapsed="false">
      <c r="A68" s="8" t="s">
        <v>3474</v>
      </c>
      <c r="B68" s="8"/>
      <c r="C68" s="8" t="s">
        <v>2211</v>
      </c>
      <c r="D68" s="8" t="s">
        <v>3380</v>
      </c>
    </row>
    <row r="69" customFormat="false" ht="150" hidden="false" customHeight="true" outlineLevel="0" collapsed="false">
      <c r="A69" s="7" t="s">
        <v>3475</v>
      </c>
      <c r="B69" s="7"/>
      <c r="C69" s="7" t="s">
        <v>2219</v>
      </c>
      <c r="D69" s="7" t="s">
        <v>3380</v>
      </c>
    </row>
    <row r="70" customFormat="false" ht="150" hidden="false" customHeight="true" outlineLevel="0" collapsed="false">
      <c r="A70" s="8" t="s">
        <v>3476</v>
      </c>
      <c r="B70" s="8"/>
      <c r="C70" s="8" t="s">
        <v>2223</v>
      </c>
      <c r="D70" s="8" t="s">
        <v>3380</v>
      </c>
    </row>
    <row r="71" customFormat="false" ht="150" hidden="false" customHeight="true" outlineLevel="0" collapsed="false">
      <c r="A71" s="7" t="s">
        <v>3477</v>
      </c>
      <c r="B71" s="7"/>
      <c r="C71" s="7" t="s">
        <v>2227</v>
      </c>
      <c r="D71" s="7" t="s">
        <v>3380</v>
      </c>
    </row>
    <row r="72" customFormat="false" ht="150" hidden="false" customHeight="true" outlineLevel="0" collapsed="false">
      <c r="A72" s="8" t="s">
        <v>3478</v>
      </c>
      <c r="B72" s="8"/>
      <c r="C72" s="8" t="s">
        <v>2231</v>
      </c>
      <c r="D72" s="8" t="s">
        <v>3380</v>
      </c>
    </row>
    <row r="73" customFormat="false" ht="150" hidden="false" customHeight="true" outlineLevel="0" collapsed="false">
      <c r="A73" s="7" t="s">
        <v>3479</v>
      </c>
      <c r="B73" s="7"/>
      <c r="C73" s="7" t="s">
        <v>2235</v>
      </c>
      <c r="D73" s="7" t="s">
        <v>3380</v>
      </c>
    </row>
    <row r="74" customFormat="false" ht="150" hidden="false" customHeight="true" outlineLevel="0" collapsed="false">
      <c r="A74" s="8" t="s">
        <v>3480</v>
      </c>
      <c r="B74" s="8"/>
      <c r="C74" s="8" t="s">
        <v>2239</v>
      </c>
      <c r="D74" s="8" t="s">
        <v>3380</v>
      </c>
    </row>
    <row r="75" customFormat="false" ht="150" hidden="false" customHeight="true" outlineLevel="0" collapsed="false">
      <c r="A75" s="7" t="s">
        <v>3481</v>
      </c>
      <c r="B75" s="7" t="s">
        <v>3482</v>
      </c>
      <c r="C75" s="7" t="s">
        <v>3483</v>
      </c>
      <c r="D75" s="7" t="s">
        <v>3380</v>
      </c>
    </row>
    <row r="76" customFormat="false" ht="150" hidden="false" customHeight="true" outlineLevel="0" collapsed="false">
      <c r="A76" s="8" t="s">
        <v>3484</v>
      </c>
      <c r="B76" s="8" t="s">
        <v>3485</v>
      </c>
      <c r="C76" s="8" t="s">
        <v>3486</v>
      </c>
      <c r="D76" s="8" t="s">
        <v>3380</v>
      </c>
    </row>
    <row r="77" customFormat="false" ht="150" hidden="false" customHeight="true" outlineLevel="0" collapsed="false">
      <c r="A77" s="7" t="s">
        <v>3487</v>
      </c>
      <c r="B77" s="7" t="s">
        <v>3488</v>
      </c>
      <c r="C77" s="7" t="s">
        <v>3489</v>
      </c>
      <c r="D77" s="7" t="s">
        <v>3380</v>
      </c>
    </row>
    <row r="78" customFormat="false" ht="150" hidden="false" customHeight="true" outlineLevel="0" collapsed="false">
      <c r="A78" s="8" t="s">
        <v>3490</v>
      </c>
      <c r="B78" s="8"/>
      <c r="C78" s="8" t="s">
        <v>2227</v>
      </c>
      <c r="D78" s="8" t="s">
        <v>3380</v>
      </c>
    </row>
    <row r="79" customFormat="false" ht="150" hidden="false" customHeight="true" outlineLevel="0" collapsed="false">
      <c r="A79" s="7" t="s">
        <v>3491</v>
      </c>
      <c r="B79" s="7"/>
      <c r="C79" s="7" t="s">
        <v>2247</v>
      </c>
      <c r="D79" s="7" t="s">
        <v>3380</v>
      </c>
    </row>
    <row r="80" customFormat="false" ht="150" hidden="false" customHeight="true" outlineLevel="0" collapsed="false">
      <c r="A80" s="8" t="s">
        <v>3492</v>
      </c>
      <c r="B80" s="8"/>
      <c r="C80" s="8" t="s">
        <v>2252</v>
      </c>
      <c r="D80" s="8" t="s">
        <v>3380</v>
      </c>
    </row>
    <row r="81" customFormat="false" ht="150" hidden="false" customHeight="true" outlineLevel="0" collapsed="false">
      <c r="A81" s="7" t="s">
        <v>3493</v>
      </c>
      <c r="B81" s="7"/>
      <c r="C81" s="7" t="s">
        <v>2256</v>
      </c>
      <c r="D81" s="7" t="s">
        <v>3380</v>
      </c>
    </row>
    <row r="82" customFormat="false" ht="150" hidden="false" customHeight="true" outlineLevel="0" collapsed="false">
      <c r="A82" s="8" t="s">
        <v>3494</v>
      </c>
      <c r="B82" s="8" t="s">
        <v>3495</v>
      </c>
      <c r="C82" s="8" t="s">
        <v>2866</v>
      </c>
      <c r="D82" s="8" t="s">
        <v>3380</v>
      </c>
    </row>
    <row r="83" customFormat="false" ht="150" hidden="false" customHeight="true" outlineLevel="0" collapsed="false">
      <c r="A83" s="7" t="s">
        <v>3496</v>
      </c>
      <c r="B83" s="7" t="s">
        <v>3497</v>
      </c>
      <c r="C83" s="7" t="s">
        <v>3498</v>
      </c>
      <c r="D83" s="7" t="s">
        <v>3380</v>
      </c>
    </row>
    <row r="84" customFormat="false" ht="150" hidden="false" customHeight="true" outlineLevel="0" collapsed="false">
      <c r="A84" s="8" t="s">
        <v>3499</v>
      </c>
      <c r="B84" s="8" t="s">
        <v>3500</v>
      </c>
      <c r="C84" s="8" t="s">
        <v>3501</v>
      </c>
      <c r="D84" s="8" t="s">
        <v>3380</v>
      </c>
    </row>
    <row r="85" customFormat="false" ht="150" hidden="false" customHeight="true" outlineLevel="0" collapsed="false">
      <c r="A85" s="7" t="s">
        <v>3502</v>
      </c>
      <c r="B85" s="7" t="s">
        <v>3503</v>
      </c>
      <c r="C85" s="7" t="s">
        <v>3504</v>
      </c>
      <c r="D85" s="7" t="s">
        <v>3380</v>
      </c>
    </row>
    <row r="86" customFormat="false" ht="150" hidden="false" customHeight="true" outlineLevel="0" collapsed="false">
      <c r="A86" s="8" t="s">
        <v>3505</v>
      </c>
      <c r="B86" s="8" t="s">
        <v>3404</v>
      </c>
      <c r="C86" s="8" t="s">
        <v>3506</v>
      </c>
      <c r="D86" s="8" t="s">
        <v>3380</v>
      </c>
    </row>
    <row r="87" customFormat="false" ht="150" hidden="false" customHeight="true" outlineLevel="0" collapsed="false">
      <c r="A87" s="7" t="s">
        <v>3507</v>
      </c>
      <c r="B87" s="7" t="s">
        <v>3508</v>
      </c>
      <c r="C87" s="7" t="s">
        <v>3509</v>
      </c>
      <c r="D87" s="7" t="s">
        <v>3380</v>
      </c>
    </row>
    <row r="88" customFormat="false" ht="150" hidden="false" customHeight="true" outlineLevel="0" collapsed="false">
      <c r="A88" s="8" t="s">
        <v>3510</v>
      </c>
      <c r="B88" s="8" t="s">
        <v>3511</v>
      </c>
      <c r="C88" s="8" t="s">
        <v>3512</v>
      </c>
      <c r="D88" s="8" t="s">
        <v>3380</v>
      </c>
    </row>
    <row r="89" customFormat="false" ht="150" hidden="false" customHeight="true" outlineLevel="0" collapsed="false">
      <c r="A89" s="7" t="s">
        <v>3513</v>
      </c>
      <c r="B89" s="7" t="s">
        <v>3407</v>
      </c>
      <c r="C89" s="7" t="s">
        <v>3514</v>
      </c>
      <c r="D89" s="7" t="s">
        <v>3380</v>
      </c>
    </row>
    <row r="90" customFormat="false" ht="150" hidden="false" customHeight="true" outlineLevel="0" collapsed="false">
      <c r="A90" s="8" t="s">
        <v>3515</v>
      </c>
      <c r="B90" s="8" t="s">
        <v>3516</v>
      </c>
      <c r="C90" s="8" t="s">
        <v>3027</v>
      </c>
      <c r="D90" s="8" t="s">
        <v>3380</v>
      </c>
    </row>
  </sheetData>
  <autoFilter ref="A5:D90"/>
  <mergeCells count="2">
    <mergeCell ref="A1:D1"/>
    <mergeCell ref="A2:D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AA9B2"/>
    <pageSetUpPr fitToPage="true"/>
  </sheetPr>
  <dimension ref="A1:F2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71484375" defaultRowHeight="15" customHeight="false" zeroHeight="false" outlineLevelRow="0" outlineLevelCol="0"/>
  <cols>
    <col collapsed="false" customWidth="true" hidden="false" outlineLevel="0" max="1" min="1" style="14" width="13"/>
    <col collapsed="false" customWidth="true" hidden="false" outlineLevel="0" max="2" min="2" style="14" width="29"/>
    <col collapsed="false" customWidth="true" hidden="false" outlineLevel="0" max="3" min="3" style="14" width="53"/>
    <col collapsed="false" customWidth="true" hidden="false" outlineLevel="0" max="4" min="4" style="14" width="48"/>
    <col collapsed="false" customWidth="true" hidden="false" outlineLevel="0" max="6" min="5" style="14" width="115"/>
  </cols>
  <sheetData>
    <row r="1" customFormat="false" ht="33.75" hidden="false" customHeight="true" outlineLevel="0" collapsed="false">
      <c r="A1" s="44" t="s">
        <v>3517</v>
      </c>
      <c r="B1" s="44"/>
      <c r="C1" s="44"/>
      <c r="D1" s="44"/>
      <c r="E1" s="44"/>
      <c r="F1" s="44"/>
    </row>
    <row r="2" customFormat="false" ht="24.75" hidden="false" customHeight="true" outlineLevel="0" collapsed="false">
      <c r="A2" s="45" t="s">
        <v>3518</v>
      </c>
      <c r="B2" s="45"/>
      <c r="C2" s="45"/>
      <c r="D2" s="45"/>
      <c r="E2" s="45"/>
      <c r="F2" s="45"/>
    </row>
    <row r="3" customFormat="false" ht="24.75" hidden="false" customHeight="true" outlineLevel="0" collapsed="false">
      <c r="A3" s="45"/>
      <c r="B3" s="45"/>
      <c r="C3" s="45"/>
      <c r="D3" s="45"/>
      <c r="E3" s="45"/>
      <c r="F3" s="45"/>
    </row>
    <row r="5" customFormat="false" ht="48" hidden="false" customHeight="true" outlineLevel="0" collapsed="false">
      <c r="A5" s="11" t="s">
        <v>97</v>
      </c>
      <c r="B5" s="11" t="s">
        <v>2</v>
      </c>
      <c r="C5" s="11" t="s">
        <v>2263</v>
      </c>
      <c r="D5" s="11" t="s">
        <v>322</v>
      </c>
      <c r="E5" s="11" t="s">
        <v>567</v>
      </c>
      <c r="F5" s="11" t="s">
        <v>100</v>
      </c>
    </row>
    <row r="6" customFormat="false" ht="99.75" hidden="false" customHeight="true" outlineLevel="0" collapsed="false">
      <c r="A6" s="8" t="s">
        <v>2264</v>
      </c>
      <c r="B6" s="8" t="s">
        <v>107</v>
      </c>
      <c r="C6" s="8" t="s">
        <v>103</v>
      </c>
      <c r="D6" s="8" t="s">
        <v>1822</v>
      </c>
      <c r="E6" s="8" t="s">
        <v>2265</v>
      </c>
      <c r="F6" s="8" t="s">
        <v>2266</v>
      </c>
    </row>
    <row r="7" customFormat="false" ht="99.75" hidden="false" customHeight="true" outlineLevel="0" collapsed="false">
      <c r="A7" s="7" t="s">
        <v>2267</v>
      </c>
      <c r="B7" s="7" t="s">
        <v>107</v>
      </c>
      <c r="C7" s="7" t="s">
        <v>2268</v>
      </c>
      <c r="D7" s="7" t="s">
        <v>2269</v>
      </c>
      <c r="E7" s="7" t="s">
        <v>2270</v>
      </c>
      <c r="F7" s="7" t="s">
        <v>2271</v>
      </c>
    </row>
    <row r="8" customFormat="false" ht="99.75" hidden="false" customHeight="true" outlineLevel="0" collapsed="false">
      <c r="A8" s="8" t="s">
        <v>2272</v>
      </c>
      <c r="B8" s="8" t="s">
        <v>107</v>
      </c>
      <c r="C8" s="8" t="s">
        <v>103</v>
      </c>
      <c r="D8" s="8" t="s">
        <v>1822</v>
      </c>
      <c r="E8" s="8" t="s">
        <v>2273</v>
      </c>
      <c r="F8" s="8" t="s">
        <v>2274</v>
      </c>
    </row>
    <row r="9" customFormat="false" ht="99.75" hidden="false" customHeight="true" outlineLevel="0" collapsed="false">
      <c r="A9" s="7" t="s">
        <v>2275</v>
      </c>
      <c r="B9" s="7" t="s">
        <v>2276</v>
      </c>
      <c r="C9" s="7" t="s">
        <v>475</v>
      </c>
      <c r="D9" s="7" t="s">
        <v>1822</v>
      </c>
      <c r="E9" s="7" t="s">
        <v>2277</v>
      </c>
      <c r="F9" s="7" t="s">
        <v>2278</v>
      </c>
    </row>
    <row r="10" customFormat="false" ht="99.75" hidden="false" customHeight="true" outlineLevel="0" collapsed="false">
      <c r="A10" s="8" t="s">
        <v>2279</v>
      </c>
      <c r="B10" s="8" t="s">
        <v>2276</v>
      </c>
      <c r="C10" s="8" t="s">
        <v>103</v>
      </c>
      <c r="D10" s="8" t="s">
        <v>1822</v>
      </c>
      <c r="E10" s="8" t="s">
        <v>2280</v>
      </c>
      <c r="F10" s="8" t="s">
        <v>2281</v>
      </c>
    </row>
    <row r="11" customFormat="false" ht="99.75" hidden="false" customHeight="true" outlineLevel="0" collapsed="false">
      <c r="A11" s="7" t="s">
        <v>2282</v>
      </c>
      <c r="B11" s="7" t="s">
        <v>2283</v>
      </c>
      <c r="C11" s="7" t="s">
        <v>475</v>
      </c>
      <c r="D11" s="7" t="s">
        <v>1822</v>
      </c>
      <c r="E11" s="7" t="s">
        <v>2284</v>
      </c>
      <c r="F11" s="7" t="s">
        <v>2285</v>
      </c>
    </row>
    <row r="12" customFormat="false" ht="99.75" hidden="false" customHeight="true" outlineLevel="0" collapsed="false">
      <c r="A12" s="8" t="s">
        <v>2286</v>
      </c>
      <c r="B12" s="8" t="s">
        <v>2287</v>
      </c>
      <c r="C12" s="8" t="s">
        <v>486</v>
      </c>
      <c r="D12" s="8" t="s">
        <v>1822</v>
      </c>
      <c r="E12" s="8" t="s">
        <v>2288</v>
      </c>
      <c r="F12" s="8" t="s">
        <v>2289</v>
      </c>
    </row>
    <row r="13" customFormat="false" ht="99.75" hidden="false" customHeight="true" outlineLevel="0" collapsed="false">
      <c r="A13" s="7" t="s">
        <v>2290</v>
      </c>
      <c r="B13" s="7" t="s">
        <v>2287</v>
      </c>
      <c r="C13" s="7" t="s">
        <v>2291</v>
      </c>
      <c r="D13" s="7" t="s">
        <v>1822</v>
      </c>
      <c r="E13" s="7" t="s">
        <v>2292</v>
      </c>
      <c r="F13" s="7" t="s">
        <v>2293</v>
      </c>
    </row>
    <row r="14" customFormat="false" ht="99.75" hidden="false" customHeight="true" outlineLevel="0" collapsed="false">
      <c r="A14" s="8" t="s">
        <v>2294</v>
      </c>
      <c r="B14" s="8" t="s">
        <v>2287</v>
      </c>
      <c r="C14" s="8" t="s">
        <v>2291</v>
      </c>
      <c r="D14" s="8" t="s">
        <v>1822</v>
      </c>
      <c r="E14" s="8" t="s">
        <v>2295</v>
      </c>
      <c r="F14" s="8" t="s">
        <v>2296</v>
      </c>
    </row>
    <row r="15" customFormat="false" ht="99.75" hidden="false" customHeight="true" outlineLevel="0" collapsed="false">
      <c r="A15" s="7" t="s">
        <v>2297</v>
      </c>
      <c r="B15" s="7" t="s">
        <v>2298</v>
      </c>
      <c r="C15" s="7" t="s">
        <v>2299</v>
      </c>
      <c r="D15" s="7" t="s">
        <v>2300</v>
      </c>
      <c r="E15" s="7" t="s">
        <v>2301</v>
      </c>
      <c r="F15" s="7" t="s">
        <v>2302</v>
      </c>
    </row>
    <row r="16" customFormat="false" ht="99.75" hidden="false" customHeight="true" outlineLevel="0" collapsed="false">
      <c r="A16" s="8" t="s">
        <v>2303</v>
      </c>
      <c r="B16" s="8" t="s">
        <v>2298</v>
      </c>
      <c r="C16" s="8" t="s">
        <v>2299</v>
      </c>
      <c r="D16" s="8" t="s">
        <v>2304</v>
      </c>
      <c r="E16" s="8" t="s">
        <v>2305</v>
      </c>
      <c r="F16" s="8" t="s">
        <v>2306</v>
      </c>
    </row>
    <row r="17" customFormat="false" ht="99.75" hidden="false" customHeight="true" outlineLevel="0" collapsed="false">
      <c r="A17" s="7" t="s">
        <v>2307</v>
      </c>
      <c r="B17" s="7" t="s">
        <v>2308</v>
      </c>
      <c r="C17" s="7" t="s">
        <v>2268</v>
      </c>
      <c r="D17" s="7" t="s">
        <v>1822</v>
      </c>
      <c r="E17" s="7" t="s">
        <v>2309</v>
      </c>
      <c r="F17" s="7" t="s">
        <v>2310</v>
      </c>
    </row>
    <row r="18" customFormat="false" ht="99.75" hidden="false" customHeight="true" outlineLevel="0" collapsed="false">
      <c r="A18" s="8" t="s">
        <v>2311</v>
      </c>
      <c r="B18" s="8" t="s">
        <v>2312</v>
      </c>
      <c r="C18" s="8" t="s">
        <v>2268</v>
      </c>
      <c r="D18" s="8" t="s">
        <v>1822</v>
      </c>
      <c r="E18" s="8" t="s">
        <v>2313</v>
      </c>
      <c r="F18" s="8" t="s">
        <v>2314</v>
      </c>
    </row>
    <row r="19" customFormat="false" ht="99.75" hidden="false" customHeight="true" outlineLevel="0" collapsed="false">
      <c r="A19" s="7" t="s">
        <v>2315</v>
      </c>
      <c r="B19" s="7" t="s">
        <v>2316</v>
      </c>
      <c r="C19" s="7" t="s">
        <v>2268</v>
      </c>
      <c r="D19" s="7" t="s">
        <v>2300</v>
      </c>
      <c r="E19" s="7" t="s">
        <v>2317</v>
      </c>
      <c r="F19" s="7" t="s">
        <v>2318</v>
      </c>
    </row>
    <row r="20" customFormat="false" ht="99.75" hidden="false" customHeight="true" outlineLevel="0" collapsed="false">
      <c r="A20" s="8" t="s">
        <v>2319</v>
      </c>
      <c r="B20" s="8" t="s">
        <v>2320</v>
      </c>
      <c r="C20" s="8" t="s">
        <v>2268</v>
      </c>
      <c r="D20" s="8" t="s">
        <v>2304</v>
      </c>
      <c r="E20" s="8" t="s">
        <v>2321</v>
      </c>
      <c r="F20" s="8" t="s">
        <v>2322</v>
      </c>
    </row>
    <row r="21" customFormat="false" ht="99.75" hidden="false" customHeight="true" outlineLevel="0" collapsed="false">
      <c r="A21" s="7" t="s">
        <v>2323</v>
      </c>
      <c r="B21" s="7" t="s">
        <v>120</v>
      </c>
      <c r="C21" s="7" t="s">
        <v>2324</v>
      </c>
      <c r="D21" s="7" t="s">
        <v>1800</v>
      </c>
      <c r="E21" s="7" t="s">
        <v>2325</v>
      </c>
      <c r="F21" s="7" t="s">
        <v>2326</v>
      </c>
    </row>
    <row r="22" customFormat="false" ht="99.75" hidden="false" customHeight="true" outlineLevel="0" collapsed="false">
      <c r="A22" s="8" t="s">
        <v>2327</v>
      </c>
      <c r="B22" s="8" t="s">
        <v>120</v>
      </c>
      <c r="C22" s="8" t="s">
        <v>2328</v>
      </c>
      <c r="D22" s="8" t="s">
        <v>1822</v>
      </c>
      <c r="E22" s="8" t="s">
        <v>2329</v>
      </c>
      <c r="F22" s="8" t="s">
        <v>2330</v>
      </c>
    </row>
    <row r="23" customFormat="false" ht="99.75" hidden="false" customHeight="true" outlineLevel="0" collapsed="false">
      <c r="A23" s="7" t="s">
        <v>2331</v>
      </c>
      <c r="B23" s="7" t="s">
        <v>2332</v>
      </c>
      <c r="C23" s="7" t="s">
        <v>494</v>
      </c>
      <c r="D23" s="7" t="s">
        <v>1822</v>
      </c>
      <c r="E23" s="7" t="s">
        <v>2333</v>
      </c>
      <c r="F23" s="7" t="s">
        <v>2334</v>
      </c>
    </row>
    <row r="24" customFormat="false" ht="99.75" hidden="false" customHeight="true" outlineLevel="0" collapsed="false">
      <c r="A24" s="8" t="s">
        <v>2335</v>
      </c>
      <c r="B24" s="8" t="s">
        <v>605</v>
      </c>
      <c r="C24" s="8" t="s">
        <v>502</v>
      </c>
      <c r="D24" s="8" t="s">
        <v>1822</v>
      </c>
      <c r="E24" s="8" t="s">
        <v>2336</v>
      </c>
      <c r="F24" s="8" t="s">
        <v>2337</v>
      </c>
    </row>
    <row r="25" customFormat="false" ht="99.75" hidden="false" customHeight="true" outlineLevel="0" collapsed="false">
      <c r="A25" s="7" t="s">
        <v>2338</v>
      </c>
      <c r="B25" s="7" t="s">
        <v>605</v>
      </c>
      <c r="C25" s="7" t="s">
        <v>510</v>
      </c>
      <c r="D25" s="7" t="s">
        <v>1822</v>
      </c>
      <c r="E25" s="7" t="s">
        <v>2339</v>
      </c>
      <c r="F25" s="7" t="s">
        <v>2337</v>
      </c>
    </row>
    <row r="26" customFormat="false" ht="99.75" hidden="false" customHeight="true" outlineLevel="0" collapsed="false">
      <c r="A26" s="8" t="s">
        <v>2340</v>
      </c>
      <c r="B26" s="8" t="s">
        <v>2332</v>
      </c>
      <c r="C26" s="8" t="s">
        <v>2341</v>
      </c>
      <c r="D26" s="8" t="s">
        <v>1822</v>
      </c>
      <c r="E26" s="8" t="s">
        <v>2342</v>
      </c>
      <c r="F26" s="8" t="s">
        <v>2343</v>
      </c>
    </row>
    <row r="27" customFormat="false" ht="99.75" hidden="false" customHeight="true" outlineLevel="0" collapsed="false">
      <c r="A27" s="7" t="s">
        <v>2344</v>
      </c>
      <c r="B27" s="7" t="s">
        <v>2345</v>
      </c>
      <c r="C27" s="7" t="s">
        <v>2324</v>
      </c>
      <c r="D27" s="7" t="s">
        <v>1822</v>
      </c>
      <c r="E27" s="7" t="s">
        <v>3519</v>
      </c>
      <c r="F27" s="7" t="s">
        <v>2347</v>
      </c>
    </row>
    <row r="28" customFormat="false" ht="99.75" hidden="false" customHeight="true" outlineLevel="0" collapsed="false">
      <c r="A28" s="8" t="s">
        <v>2348</v>
      </c>
      <c r="B28" s="8" t="s">
        <v>2349</v>
      </c>
      <c r="C28" s="8" t="s">
        <v>2350</v>
      </c>
      <c r="D28" s="8" t="s">
        <v>1822</v>
      </c>
      <c r="E28" s="8" t="s">
        <v>2351</v>
      </c>
      <c r="F28" s="8" t="s">
        <v>2352</v>
      </c>
    </row>
    <row r="29" customFormat="false" ht="99.75" hidden="false" customHeight="true" outlineLevel="0" collapsed="false">
      <c r="A29" s="7" t="s">
        <v>2353</v>
      </c>
      <c r="B29" s="7" t="s">
        <v>2349</v>
      </c>
      <c r="C29" s="7" t="s">
        <v>2350</v>
      </c>
      <c r="D29" s="7" t="s">
        <v>609</v>
      </c>
      <c r="E29" s="7" t="s">
        <v>3520</v>
      </c>
      <c r="F29" s="7" t="s">
        <v>3521</v>
      </c>
    </row>
    <row r="30" customFormat="false" ht="99.75" hidden="false" customHeight="true" outlineLevel="0" collapsed="false">
      <c r="A30" s="8" t="s">
        <v>2356</v>
      </c>
      <c r="B30" s="8" t="s">
        <v>468</v>
      </c>
      <c r="C30" s="8" t="s">
        <v>2357</v>
      </c>
      <c r="D30" s="8" t="s">
        <v>2358</v>
      </c>
      <c r="E30" s="8" t="s">
        <v>2359</v>
      </c>
      <c r="F30" s="8" t="s">
        <v>2360</v>
      </c>
    </row>
    <row r="31" customFormat="false" ht="99.75" hidden="false" customHeight="true" outlineLevel="0" collapsed="false">
      <c r="A31" s="7" t="s">
        <v>2361</v>
      </c>
      <c r="B31" s="7" t="s">
        <v>518</v>
      </c>
      <c r="C31" s="7" t="s">
        <v>518</v>
      </c>
      <c r="D31" s="7" t="s">
        <v>1822</v>
      </c>
      <c r="E31" s="7" t="s">
        <v>2362</v>
      </c>
      <c r="F31" s="7" t="s">
        <v>2363</v>
      </c>
    </row>
    <row r="32" customFormat="false" ht="99.75" hidden="false" customHeight="true" outlineLevel="0" collapsed="false">
      <c r="A32" s="8" t="s">
        <v>2364</v>
      </c>
      <c r="B32" s="8" t="s">
        <v>518</v>
      </c>
      <c r="C32" s="8" t="s">
        <v>518</v>
      </c>
      <c r="D32" s="8" t="s">
        <v>1822</v>
      </c>
      <c r="E32" s="8" t="s">
        <v>2365</v>
      </c>
      <c r="F32" s="8" t="s">
        <v>2366</v>
      </c>
    </row>
    <row r="33" customFormat="false" ht="99.75" hidden="false" customHeight="true" outlineLevel="0" collapsed="false">
      <c r="A33" s="7" t="s">
        <v>2367</v>
      </c>
      <c r="B33" s="7" t="s">
        <v>24</v>
      </c>
      <c r="C33" s="7" t="s">
        <v>518</v>
      </c>
      <c r="D33" s="7" t="s">
        <v>2300</v>
      </c>
      <c r="E33" s="7" t="s">
        <v>2368</v>
      </c>
      <c r="F33" s="7" t="s">
        <v>2369</v>
      </c>
    </row>
    <row r="34" customFormat="false" ht="99.75" hidden="false" customHeight="true" outlineLevel="0" collapsed="false">
      <c r="A34" s="8" t="s">
        <v>2370</v>
      </c>
      <c r="B34" s="8" t="s">
        <v>24</v>
      </c>
      <c r="C34" s="8" t="s">
        <v>518</v>
      </c>
      <c r="D34" s="8" t="s">
        <v>2371</v>
      </c>
      <c r="E34" s="8" t="s">
        <v>2372</v>
      </c>
      <c r="F34" s="8" t="s">
        <v>2373</v>
      </c>
    </row>
    <row r="35" customFormat="false" ht="99.75" hidden="false" customHeight="true" outlineLevel="0" collapsed="false">
      <c r="A35" s="7" t="s">
        <v>2374</v>
      </c>
      <c r="B35" s="7" t="s">
        <v>24</v>
      </c>
      <c r="C35" s="7" t="s">
        <v>2375</v>
      </c>
      <c r="D35" s="7" t="s">
        <v>2300</v>
      </c>
      <c r="E35" s="7" t="s">
        <v>2376</v>
      </c>
      <c r="F35" s="7" t="s">
        <v>2377</v>
      </c>
    </row>
    <row r="36" customFormat="false" ht="99.75" hidden="false" customHeight="true" outlineLevel="0" collapsed="false">
      <c r="A36" s="8" t="s">
        <v>2378</v>
      </c>
      <c r="B36" s="8" t="s">
        <v>585</v>
      </c>
      <c r="C36" s="8" t="s">
        <v>2379</v>
      </c>
      <c r="D36" s="8" t="s">
        <v>1822</v>
      </c>
      <c r="E36" s="8" t="s">
        <v>2380</v>
      </c>
      <c r="F36" s="8" t="s">
        <v>2381</v>
      </c>
    </row>
    <row r="37" customFormat="false" ht="99.75" hidden="false" customHeight="true" outlineLevel="0" collapsed="false">
      <c r="A37" s="7" t="s">
        <v>2382</v>
      </c>
      <c r="B37" s="7" t="s">
        <v>2383</v>
      </c>
      <c r="C37" s="7" t="s">
        <v>2384</v>
      </c>
      <c r="D37" s="7" t="s">
        <v>2300</v>
      </c>
      <c r="E37" s="7" t="s">
        <v>2385</v>
      </c>
      <c r="F37" s="7" t="s">
        <v>2386</v>
      </c>
    </row>
    <row r="38" customFormat="false" ht="99.75" hidden="false" customHeight="true" outlineLevel="0" collapsed="false">
      <c r="A38" s="8" t="s">
        <v>2387</v>
      </c>
      <c r="B38" s="8" t="s">
        <v>2383</v>
      </c>
      <c r="C38" s="8" t="s">
        <v>2388</v>
      </c>
      <c r="D38" s="8" t="s">
        <v>2389</v>
      </c>
      <c r="E38" s="8" t="s">
        <v>2390</v>
      </c>
      <c r="F38" s="8" t="s">
        <v>2391</v>
      </c>
    </row>
    <row r="39" customFormat="false" ht="99.75" hidden="false" customHeight="true" outlineLevel="0" collapsed="false">
      <c r="A39" s="7" t="s">
        <v>2392</v>
      </c>
      <c r="B39" s="7" t="s">
        <v>250</v>
      </c>
      <c r="C39" s="7" t="s">
        <v>2268</v>
      </c>
      <c r="D39" s="7" t="s">
        <v>1822</v>
      </c>
      <c r="E39" s="7" t="s">
        <v>2393</v>
      </c>
      <c r="F39" s="7" t="s">
        <v>2394</v>
      </c>
    </row>
    <row r="40" customFormat="false" ht="99.75" hidden="false" customHeight="true" outlineLevel="0" collapsed="false">
      <c r="A40" s="8" t="s">
        <v>2395</v>
      </c>
      <c r="B40" s="8" t="s">
        <v>250</v>
      </c>
      <c r="C40" s="8" t="s">
        <v>2268</v>
      </c>
      <c r="D40" s="8" t="s">
        <v>3522</v>
      </c>
      <c r="E40" s="8" t="s">
        <v>3523</v>
      </c>
      <c r="F40" s="8" t="s">
        <v>3524</v>
      </c>
    </row>
    <row r="41" customFormat="false" ht="99.75" hidden="false" customHeight="true" outlineLevel="0" collapsed="false">
      <c r="A41" s="7" t="s">
        <v>2397</v>
      </c>
      <c r="B41" s="7" t="s">
        <v>250</v>
      </c>
      <c r="C41" s="7" t="s">
        <v>2268</v>
      </c>
      <c r="D41" s="7" t="s">
        <v>1822</v>
      </c>
      <c r="E41" s="7" t="s">
        <v>2398</v>
      </c>
      <c r="F41" s="7" t="s">
        <v>2399</v>
      </c>
    </row>
    <row r="42" customFormat="false" ht="99.75" hidden="false" customHeight="true" outlineLevel="0" collapsed="false">
      <c r="A42" s="8" t="s">
        <v>2400</v>
      </c>
      <c r="B42" s="8" t="s">
        <v>250</v>
      </c>
      <c r="C42" s="8" t="s">
        <v>2268</v>
      </c>
      <c r="D42" s="8" t="s">
        <v>1822</v>
      </c>
      <c r="E42" s="8" t="s">
        <v>2401</v>
      </c>
      <c r="F42" s="8" t="s">
        <v>2402</v>
      </c>
    </row>
    <row r="43" customFormat="false" ht="99.75" hidden="false" customHeight="true" outlineLevel="0" collapsed="false">
      <c r="A43" s="7" t="s">
        <v>2403</v>
      </c>
      <c r="B43" s="7" t="s">
        <v>250</v>
      </c>
      <c r="C43" s="7" t="s">
        <v>2268</v>
      </c>
      <c r="D43" s="7" t="s">
        <v>1822</v>
      </c>
      <c r="E43" s="7" t="s">
        <v>2404</v>
      </c>
      <c r="F43" s="7" t="s">
        <v>2405</v>
      </c>
    </row>
    <row r="44" customFormat="false" ht="99.75" hidden="false" customHeight="true" outlineLevel="0" collapsed="false">
      <c r="A44" s="8" t="s">
        <v>2406</v>
      </c>
      <c r="B44" s="8" t="s">
        <v>250</v>
      </c>
      <c r="C44" s="8" t="s">
        <v>2268</v>
      </c>
      <c r="D44" s="8" t="s">
        <v>1822</v>
      </c>
      <c r="E44" s="8" t="s">
        <v>2407</v>
      </c>
      <c r="F44" s="8" t="s">
        <v>2408</v>
      </c>
    </row>
    <row r="45" customFormat="false" ht="99.75" hidden="false" customHeight="true" outlineLevel="0" collapsed="false">
      <c r="A45" s="7" t="s">
        <v>2409</v>
      </c>
      <c r="B45" s="7" t="s">
        <v>644</v>
      </c>
      <c r="C45" s="7" t="s">
        <v>2268</v>
      </c>
      <c r="D45" s="7" t="s">
        <v>1822</v>
      </c>
      <c r="E45" s="7" t="s">
        <v>3525</v>
      </c>
      <c r="F45" s="7" t="s">
        <v>3526</v>
      </c>
    </row>
    <row r="46" customFormat="false" ht="99.75" hidden="false" customHeight="true" outlineLevel="0" collapsed="false">
      <c r="A46" s="8" t="s">
        <v>2411</v>
      </c>
      <c r="B46" s="8" t="s">
        <v>2107</v>
      </c>
      <c r="C46" s="8" t="s">
        <v>2412</v>
      </c>
      <c r="D46" s="8" t="s">
        <v>1822</v>
      </c>
      <c r="E46" s="8" t="s">
        <v>3527</v>
      </c>
      <c r="F46" s="8" t="s">
        <v>3528</v>
      </c>
    </row>
    <row r="47" customFormat="false" ht="99.75" hidden="false" customHeight="true" outlineLevel="0" collapsed="false">
      <c r="A47" s="7" t="s">
        <v>2414</v>
      </c>
      <c r="B47" s="7" t="s">
        <v>146</v>
      </c>
      <c r="C47" s="7" t="s">
        <v>2415</v>
      </c>
      <c r="D47" s="7" t="s">
        <v>618</v>
      </c>
      <c r="E47" s="7" t="s">
        <v>3529</v>
      </c>
      <c r="F47" s="7" t="s">
        <v>3530</v>
      </c>
    </row>
    <row r="48" customFormat="false" ht="99.75" hidden="false" customHeight="true" outlineLevel="0" collapsed="false">
      <c r="A48" s="8" t="s">
        <v>2417</v>
      </c>
      <c r="B48" s="8" t="s">
        <v>146</v>
      </c>
      <c r="C48" s="8" t="s">
        <v>2418</v>
      </c>
      <c r="D48" s="8" t="s">
        <v>1822</v>
      </c>
      <c r="E48" s="8" t="s">
        <v>2419</v>
      </c>
      <c r="F48" s="8" t="s">
        <v>2420</v>
      </c>
    </row>
    <row r="49" customFormat="false" ht="99.75" hidden="false" customHeight="true" outlineLevel="0" collapsed="false">
      <c r="A49" s="7" t="s">
        <v>2421</v>
      </c>
      <c r="B49" s="7" t="s">
        <v>2422</v>
      </c>
      <c r="C49" s="7" t="s">
        <v>2268</v>
      </c>
      <c r="D49" s="7" t="s">
        <v>1822</v>
      </c>
      <c r="E49" s="7" t="s">
        <v>2423</v>
      </c>
      <c r="F49" s="7" t="s">
        <v>2424</v>
      </c>
    </row>
    <row r="50" customFormat="false" ht="99.75" hidden="false" customHeight="true" outlineLevel="0" collapsed="false">
      <c r="A50" s="8" t="s">
        <v>2425</v>
      </c>
      <c r="B50" s="8" t="s">
        <v>2426</v>
      </c>
      <c r="C50" s="8" t="s">
        <v>2415</v>
      </c>
      <c r="D50" s="8" t="s">
        <v>1822</v>
      </c>
      <c r="E50" s="8" t="s">
        <v>2427</v>
      </c>
      <c r="F50" s="8" t="s">
        <v>2428</v>
      </c>
    </row>
    <row r="51" customFormat="false" ht="99.75" hidden="false" customHeight="true" outlineLevel="0" collapsed="false">
      <c r="A51" s="7" t="s">
        <v>2429</v>
      </c>
      <c r="B51" s="7" t="s">
        <v>2426</v>
      </c>
      <c r="C51" s="7" t="s">
        <v>2268</v>
      </c>
      <c r="D51" s="7" t="s">
        <v>1822</v>
      </c>
      <c r="E51" s="7" t="s">
        <v>2430</v>
      </c>
      <c r="F51" s="7" t="s">
        <v>2431</v>
      </c>
    </row>
    <row r="52" customFormat="false" ht="99.75" hidden="false" customHeight="true" outlineLevel="0" collapsed="false">
      <c r="A52" s="8" t="s">
        <v>2432</v>
      </c>
      <c r="B52" s="8" t="s">
        <v>2426</v>
      </c>
      <c r="C52" s="8" t="s">
        <v>2268</v>
      </c>
      <c r="D52" s="8" t="s">
        <v>1822</v>
      </c>
      <c r="E52" s="8" t="s">
        <v>2433</v>
      </c>
      <c r="F52" s="8" t="s">
        <v>2434</v>
      </c>
    </row>
    <row r="53" customFormat="false" ht="99.75" hidden="false" customHeight="true" outlineLevel="0" collapsed="false">
      <c r="A53" s="7" t="s">
        <v>2435</v>
      </c>
      <c r="B53" s="7" t="s">
        <v>2426</v>
      </c>
      <c r="C53" s="7" t="s">
        <v>2415</v>
      </c>
      <c r="D53" s="7" t="s">
        <v>1822</v>
      </c>
      <c r="E53" s="7" t="s">
        <v>2436</v>
      </c>
      <c r="F53" s="7" t="s">
        <v>2437</v>
      </c>
    </row>
    <row r="54" customFormat="false" ht="99.75" hidden="false" customHeight="true" outlineLevel="0" collapsed="false">
      <c r="A54" s="8" t="s">
        <v>2438</v>
      </c>
      <c r="B54" s="8" t="s">
        <v>731</v>
      </c>
      <c r="C54" s="8" t="s">
        <v>103</v>
      </c>
      <c r="D54" s="8" t="s">
        <v>1800</v>
      </c>
      <c r="E54" s="8" t="s">
        <v>3531</v>
      </c>
      <c r="F54" s="8" t="s">
        <v>3532</v>
      </c>
    </row>
    <row r="55" customFormat="false" ht="99.75" hidden="false" customHeight="true" outlineLevel="0" collapsed="false">
      <c r="A55" s="7" t="s">
        <v>2440</v>
      </c>
      <c r="B55" s="7" t="s">
        <v>525</v>
      </c>
      <c r="C55" s="7" t="s">
        <v>525</v>
      </c>
      <c r="D55" s="7" t="s">
        <v>1822</v>
      </c>
      <c r="E55" s="7" t="s">
        <v>2441</v>
      </c>
      <c r="F55" s="7" t="s">
        <v>2442</v>
      </c>
    </row>
    <row r="56" customFormat="false" ht="99.75" hidden="false" customHeight="true" outlineLevel="0" collapsed="false">
      <c r="A56" s="8" t="s">
        <v>2443</v>
      </c>
      <c r="B56" s="8" t="s">
        <v>525</v>
      </c>
      <c r="C56" s="8" t="s">
        <v>525</v>
      </c>
      <c r="D56" s="8" t="s">
        <v>1822</v>
      </c>
      <c r="E56" s="8" t="s">
        <v>2444</v>
      </c>
      <c r="F56" s="8" t="s">
        <v>2445</v>
      </c>
    </row>
    <row r="57" customFormat="false" ht="99.75" hidden="false" customHeight="true" outlineLevel="0" collapsed="false">
      <c r="A57" s="7" t="s">
        <v>2446</v>
      </c>
      <c r="B57" s="7" t="s">
        <v>525</v>
      </c>
      <c r="C57" s="7" t="s">
        <v>525</v>
      </c>
      <c r="D57" s="7" t="s">
        <v>1822</v>
      </c>
      <c r="E57" s="7" t="s">
        <v>2447</v>
      </c>
      <c r="F57" s="7" t="s">
        <v>2448</v>
      </c>
    </row>
    <row r="58" customFormat="false" ht="99.75" hidden="false" customHeight="true" outlineLevel="0" collapsed="false">
      <c r="A58" s="8" t="s">
        <v>2449</v>
      </c>
      <c r="B58" s="8" t="s">
        <v>525</v>
      </c>
      <c r="C58" s="8" t="s">
        <v>525</v>
      </c>
      <c r="D58" s="8" t="s">
        <v>1822</v>
      </c>
      <c r="E58" s="8" t="s">
        <v>2450</v>
      </c>
      <c r="F58" s="8" t="s">
        <v>2451</v>
      </c>
    </row>
    <row r="59" customFormat="false" ht="99.75" hidden="false" customHeight="true" outlineLevel="0" collapsed="false">
      <c r="A59" s="7" t="s">
        <v>2452</v>
      </c>
      <c r="B59" s="7" t="s">
        <v>525</v>
      </c>
      <c r="C59" s="7" t="s">
        <v>2453</v>
      </c>
      <c r="D59" s="7" t="s">
        <v>2300</v>
      </c>
      <c r="E59" s="7" t="s">
        <v>2454</v>
      </c>
      <c r="F59" s="7" t="s">
        <v>2455</v>
      </c>
    </row>
    <row r="60" customFormat="false" ht="99.75" hidden="false" customHeight="true" outlineLevel="0" collapsed="false">
      <c r="A60" s="8" t="s">
        <v>2456</v>
      </c>
      <c r="B60" s="8" t="s">
        <v>525</v>
      </c>
      <c r="C60" s="8" t="s">
        <v>2453</v>
      </c>
      <c r="D60" s="8" t="s">
        <v>2300</v>
      </c>
      <c r="E60" s="8" t="s">
        <v>2457</v>
      </c>
      <c r="F60" s="8" t="s">
        <v>2458</v>
      </c>
    </row>
    <row r="61" customFormat="false" ht="99.75" hidden="false" customHeight="true" outlineLevel="0" collapsed="false">
      <c r="A61" s="7" t="s">
        <v>2459</v>
      </c>
      <c r="B61" s="7" t="s">
        <v>536</v>
      </c>
      <c r="C61" s="7" t="s">
        <v>536</v>
      </c>
      <c r="D61" s="7" t="s">
        <v>1822</v>
      </c>
      <c r="E61" s="7" t="s">
        <v>2460</v>
      </c>
      <c r="F61" s="7" t="s">
        <v>2461</v>
      </c>
    </row>
    <row r="62" customFormat="false" ht="99.75" hidden="false" customHeight="true" outlineLevel="0" collapsed="false">
      <c r="A62" s="8" t="s">
        <v>2462</v>
      </c>
      <c r="B62" s="8" t="s">
        <v>2463</v>
      </c>
      <c r="C62" s="8" t="s">
        <v>2464</v>
      </c>
      <c r="D62" s="8" t="s">
        <v>3533</v>
      </c>
      <c r="E62" s="8" t="s">
        <v>3534</v>
      </c>
      <c r="F62" s="8" t="s">
        <v>3535</v>
      </c>
    </row>
    <row r="63" customFormat="false" ht="99.75" hidden="false" customHeight="true" outlineLevel="0" collapsed="false">
      <c r="A63" s="7" t="s">
        <v>2466</v>
      </c>
      <c r="B63" s="7" t="s">
        <v>2463</v>
      </c>
      <c r="C63" s="7" t="s">
        <v>2467</v>
      </c>
      <c r="D63" s="7" t="s">
        <v>1258</v>
      </c>
      <c r="E63" s="7" t="s">
        <v>2468</v>
      </c>
      <c r="F63" s="7" t="s">
        <v>2469</v>
      </c>
    </row>
    <row r="64" customFormat="false" ht="99.75" hidden="false" customHeight="true" outlineLevel="0" collapsed="false">
      <c r="A64" s="8" t="s">
        <v>2470</v>
      </c>
      <c r="B64" s="8" t="s">
        <v>2471</v>
      </c>
      <c r="C64" s="8" t="s">
        <v>2467</v>
      </c>
      <c r="D64" s="8" t="s">
        <v>1258</v>
      </c>
      <c r="E64" s="8" t="s">
        <v>2472</v>
      </c>
      <c r="F64" s="8" t="s">
        <v>2473</v>
      </c>
    </row>
    <row r="65" customFormat="false" ht="99.75" hidden="false" customHeight="true" outlineLevel="0" collapsed="false">
      <c r="A65" s="7" t="s">
        <v>2474</v>
      </c>
      <c r="B65" s="7" t="s">
        <v>2475</v>
      </c>
      <c r="C65" s="7" t="s">
        <v>2299</v>
      </c>
      <c r="D65" s="7" t="s">
        <v>2476</v>
      </c>
      <c r="E65" s="7" t="s">
        <v>2477</v>
      </c>
      <c r="F65" s="7" t="s">
        <v>2478</v>
      </c>
    </row>
    <row r="66" customFormat="false" ht="99.75" hidden="false" customHeight="true" outlineLevel="0" collapsed="false">
      <c r="A66" s="8" t="s">
        <v>2479</v>
      </c>
      <c r="B66" s="8" t="s">
        <v>2480</v>
      </c>
      <c r="C66" s="8" t="s">
        <v>2324</v>
      </c>
      <c r="D66" s="8" t="s">
        <v>2481</v>
      </c>
      <c r="E66" s="8" t="s">
        <v>2482</v>
      </c>
      <c r="F66" s="8" t="s">
        <v>2483</v>
      </c>
    </row>
    <row r="67" customFormat="false" ht="99.75" hidden="false" customHeight="true" outlineLevel="0" collapsed="false">
      <c r="A67" s="7" t="s">
        <v>2484</v>
      </c>
      <c r="B67" s="7" t="s">
        <v>2480</v>
      </c>
      <c r="C67" s="7" t="s">
        <v>2341</v>
      </c>
      <c r="D67" s="7" t="s">
        <v>2481</v>
      </c>
      <c r="E67" s="7" t="s">
        <v>2485</v>
      </c>
      <c r="F67" s="7" t="s">
        <v>2486</v>
      </c>
    </row>
    <row r="68" customFormat="false" ht="99.75" hidden="false" customHeight="true" outlineLevel="0" collapsed="false">
      <c r="A68" s="8" t="s">
        <v>2487</v>
      </c>
      <c r="B68" s="8" t="s">
        <v>21</v>
      </c>
      <c r="C68" s="8" t="s">
        <v>2488</v>
      </c>
      <c r="D68" s="8" t="s">
        <v>2300</v>
      </c>
      <c r="E68" s="8" t="s">
        <v>2489</v>
      </c>
      <c r="F68" s="8" t="s">
        <v>2490</v>
      </c>
    </row>
    <row r="69" customFormat="false" ht="99.75" hidden="false" customHeight="true" outlineLevel="0" collapsed="false">
      <c r="A69" s="7" t="s">
        <v>2491</v>
      </c>
      <c r="B69" s="7" t="s">
        <v>21</v>
      </c>
      <c r="C69" s="7" t="s">
        <v>536</v>
      </c>
      <c r="D69" s="7" t="s">
        <v>3536</v>
      </c>
      <c r="E69" s="7" t="s">
        <v>3537</v>
      </c>
      <c r="F69" s="7" t="s">
        <v>3538</v>
      </c>
    </row>
    <row r="70" customFormat="false" ht="99.75" hidden="false" customHeight="true" outlineLevel="0" collapsed="false">
      <c r="A70" s="8" t="s">
        <v>2492</v>
      </c>
      <c r="B70" s="8" t="s">
        <v>21</v>
      </c>
      <c r="C70" s="8" t="s">
        <v>543</v>
      </c>
      <c r="D70" s="8" t="s">
        <v>1822</v>
      </c>
      <c r="E70" s="8" t="s">
        <v>2493</v>
      </c>
      <c r="F70" s="8" t="s">
        <v>2494</v>
      </c>
    </row>
    <row r="71" customFormat="false" ht="99.75" hidden="false" customHeight="true" outlineLevel="0" collapsed="false">
      <c r="A71" s="7" t="s">
        <v>2495</v>
      </c>
      <c r="B71" s="7" t="s">
        <v>2496</v>
      </c>
      <c r="C71" s="7" t="s">
        <v>103</v>
      </c>
      <c r="D71" s="7" t="s">
        <v>1822</v>
      </c>
      <c r="E71" s="7" t="s">
        <v>2497</v>
      </c>
      <c r="F71" s="7" t="s">
        <v>2498</v>
      </c>
    </row>
    <row r="72" customFormat="false" ht="99.75" hidden="false" customHeight="true" outlineLevel="0" collapsed="false">
      <c r="A72" s="8" t="s">
        <v>2499</v>
      </c>
      <c r="B72" s="8" t="s">
        <v>2500</v>
      </c>
      <c r="C72" s="8" t="s">
        <v>103</v>
      </c>
      <c r="D72" s="8" t="s">
        <v>1822</v>
      </c>
      <c r="E72" s="8" t="s">
        <v>2501</v>
      </c>
      <c r="F72" s="8" t="s">
        <v>2502</v>
      </c>
    </row>
    <row r="73" customFormat="false" ht="99.75" hidden="false" customHeight="true" outlineLevel="0" collapsed="false">
      <c r="A73" s="7" t="s">
        <v>2503</v>
      </c>
      <c r="B73" s="7" t="s">
        <v>2504</v>
      </c>
      <c r="C73" s="7" t="s">
        <v>103</v>
      </c>
      <c r="D73" s="7" t="s">
        <v>2269</v>
      </c>
      <c r="E73" s="7" t="s">
        <v>2505</v>
      </c>
      <c r="F73" s="7" t="s">
        <v>2506</v>
      </c>
    </row>
    <row r="74" customFormat="false" ht="99.75" hidden="false" customHeight="true" outlineLevel="0" collapsed="false">
      <c r="A74" s="8" t="s">
        <v>2507</v>
      </c>
      <c r="B74" s="8" t="s">
        <v>2504</v>
      </c>
      <c r="C74" s="8" t="s">
        <v>2508</v>
      </c>
      <c r="D74" s="8" t="s">
        <v>2300</v>
      </c>
      <c r="E74" s="8" t="s">
        <v>2509</v>
      </c>
      <c r="F74" s="8" t="s">
        <v>2510</v>
      </c>
    </row>
    <row r="75" customFormat="false" ht="99.75" hidden="false" customHeight="true" outlineLevel="0" collapsed="false">
      <c r="A75" s="7" t="s">
        <v>2511</v>
      </c>
      <c r="B75" s="7" t="s">
        <v>2504</v>
      </c>
      <c r="C75" s="7" t="s">
        <v>2357</v>
      </c>
      <c r="D75" s="7" t="s">
        <v>1822</v>
      </c>
      <c r="E75" s="7" t="s">
        <v>2512</v>
      </c>
      <c r="F75" s="7" t="s">
        <v>2513</v>
      </c>
    </row>
    <row r="76" customFormat="false" ht="99.75" hidden="false" customHeight="true" outlineLevel="0" collapsed="false">
      <c r="A76" s="8" t="s">
        <v>2514</v>
      </c>
      <c r="B76" s="8" t="s">
        <v>2504</v>
      </c>
      <c r="C76" s="8" t="s">
        <v>536</v>
      </c>
      <c r="D76" s="8" t="s">
        <v>1800</v>
      </c>
      <c r="E76" s="8" t="s">
        <v>2515</v>
      </c>
      <c r="F76" s="8" t="s">
        <v>2516</v>
      </c>
    </row>
    <row r="77" customFormat="false" ht="99.75" hidden="false" customHeight="true" outlineLevel="0" collapsed="false">
      <c r="A77" s="7" t="s">
        <v>2517</v>
      </c>
      <c r="B77" s="7" t="s">
        <v>2504</v>
      </c>
      <c r="C77" s="7" t="s">
        <v>543</v>
      </c>
      <c r="D77" s="7" t="s">
        <v>1800</v>
      </c>
      <c r="E77" s="7" t="s">
        <v>2518</v>
      </c>
      <c r="F77" s="7" t="s">
        <v>2519</v>
      </c>
    </row>
    <row r="78" customFormat="false" ht="99.75" hidden="false" customHeight="true" outlineLevel="0" collapsed="false">
      <c r="A78" s="8" t="s">
        <v>2520</v>
      </c>
      <c r="B78" s="8" t="s">
        <v>2521</v>
      </c>
      <c r="C78" s="8" t="s">
        <v>103</v>
      </c>
      <c r="D78" s="8" t="s">
        <v>1822</v>
      </c>
      <c r="E78" s="8" t="s">
        <v>2522</v>
      </c>
      <c r="F78" s="8" t="s">
        <v>2523</v>
      </c>
    </row>
    <row r="79" customFormat="false" ht="99.75" hidden="false" customHeight="true" outlineLevel="0" collapsed="false">
      <c r="A79" s="7" t="s">
        <v>2524</v>
      </c>
      <c r="B79" s="7" t="s">
        <v>11</v>
      </c>
      <c r="C79" s="7" t="s">
        <v>2525</v>
      </c>
      <c r="D79" s="7" t="s">
        <v>1822</v>
      </c>
      <c r="E79" s="7" t="s">
        <v>2526</v>
      </c>
      <c r="F79" s="7" t="s">
        <v>2527</v>
      </c>
    </row>
    <row r="80" customFormat="false" ht="99.75" hidden="false" customHeight="true" outlineLevel="0" collapsed="false">
      <c r="A80" s="8" t="s">
        <v>2528</v>
      </c>
      <c r="B80" s="8" t="s">
        <v>11</v>
      </c>
      <c r="C80" s="8" t="s">
        <v>103</v>
      </c>
      <c r="D80" s="8" t="s">
        <v>1822</v>
      </c>
      <c r="E80" s="8" t="s">
        <v>2529</v>
      </c>
      <c r="F80" s="8" t="s">
        <v>2530</v>
      </c>
    </row>
    <row r="81" customFormat="false" ht="99.75" hidden="false" customHeight="true" outlineLevel="0" collapsed="false">
      <c r="A81" s="7" t="s">
        <v>2531</v>
      </c>
      <c r="B81" s="7" t="s">
        <v>2532</v>
      </c>
      <c r="C81" s="7" t="s">
        <v>103</v>
      </c>
      <c r="D81" s="7" t="s">
        <v>3539</v>
      </c>
      <c r="E81" s="7" t="s">
        <v>3540</v>
      </c>
      <c r="F81" s="7" t="s">
        <v>3541</v>
      </c>
    </row>
    <row r="82" customFormat="false" ht="99.75" hidden="false" customHeight="true" outlineLevel="0" collapsed="false">
      <c r="A82" s="8" t="s">
        <v>2533</v>
      </c>
      <c r="B82" s="8" t="s">
        <v>2532</v>
      </c>
      <c r="C82" s="8" t="s">
        <v>103</v>
      </c>
      <c r="D82" s="8" t="s">
        <v>3542</v>
      </c>
      <c r="E82" s="8" t="s">
        <v>3543</v>
      </c>
      <c r="F82" s="8" t="s">
        <v>3544</v>
      </c>
    </row>
    <row r="83" customFormat="false" ht="99.75" hidden="false" customHeight="true" outlineLevel="0" collapsed="false">
      <c r="A83" s="7" t="s">
        <v>2534</v>
      </c>
      <c r="B83" s="7" t="s">
        <v>2532</v>
      </c>
      <c r="C83" s="7" t="s">
        <v>103</v>
      </c>
      <c r="D83" s="7" t="s">
        <v>3545</v>
      </c>
      <c r="E83" s="7" t="s">
        <v>3546</v>
      </c>
      <c r="F83" s="7" t="s">
        <v>3547</v>
      </c>
    </row>
    <row r="84" customFormat="false" ht="99.75" hidden="false" customHeight="true" outlineLevel="0" collapsed="false">
      <c r="A84" s="8" t="s">
        <v>2536</v>
      </c>
      <c r="B84" s="8" t="s">
        <v>543</v>
      </c>
      <c r="C84" s="8" t="s">
        <v>2537</v>
      </c>
      <c r="D84" s="8" t="s">
        <v>2300</v>
      </c>
      <c r="E84" s="8" t="s">
        <v>3548</v>
      </c>
      <c r="F84" s="8" t="s">
        <v>3549</v>
      </c>
    </row>
    <row r="85" customFormat="false" ht="99.75" hidden="false" customHeight="true" outlineLevel="0" collapsed="false">
      <c r="A85" s="7" t="s">
        <v>2539</v>
      </c>
      <c r="B85" s="7" t="s">
        <v>543</v>
      </c>
      <c r="C85" s="7" t="s">
        <v>543</v>
      </c>
      <c r="D85" s="7" t="s">
        <v>1822</v>
      </c>
      <c r="E85" s="7" t="s">
        <v>3550</v>
      </c>
      <c r="F85" s="7" t="s">
        <v>3551</v>
      </c>
    </row>
    <row r="86" customFormat="false" ht="99.75" hidden="false" customHeight="true" outlineLevel="0" collapsed="false">
      <c r="A86" s="8" t="s">
        <v>2541</v>
      </c>
      <c r="B86" s="8" t="s">
        <v>530</v>
      </c>
      <c r="C86" s="8" t="s">
        <v>530</v>
      </c>
      <c r="D86" s="8" t="s">
        <v>1771</v>
      </c>
      <c r="E86" s="8" t="s">
        <v>2542</v>
      </c>
      <c r="F86" s="8" t="s">
        <v>2543</v>
      </c>
    </row>
    <row r="87" customFormat="false" ht="99.75" hidden="false" customHeight="true" outlineLevel="0" collapsed="false">
      <c r="A87" s="7" t="s">
        <v>2544</v>
      </c>
      <c r="B87" s="7" t="s">
        <v>530</v>
      </c>
      <c r="C87" s="7" t="s">
        <v>530</v>
      </c>
      <c r="D87" s="7" t="s">
        <v>2545</v>
      </c>
      <c r="E87" s="7" t="s">
        <v>2546</v>
      </c>
      <c r="F87" s="7" t="s">
        <v>2547</v>
      </c>
    </row>
    <row r="88" customFormat="false" ht="99.75" hidden="false" customHeight="true" outlineLevel="0" collapsed="false">
      <c r="A88" s="8" t="s">
        <v>2548</v>
      </c>
      <c r="B88" s="8" t="s">
        <v>530</v>
      </c>
      <c r="C88" s="8" t="s">
        <v>530</v>
      </c>
      <c r="D88" s="8" t="s">
        <v>1933</v>
      </c>
      <c r="E88" s="8" t="s">
        <v>2549</v>
      </c>
      <c r="F88" s="8" t="s">
        <v>2550</v>
      </c>
    </row>
    <row r="89" customFormat="false" ht="99.75" hidden="false" customHeight="true" outlineLevel="0" collapsed="false">
      <c r="A89" s="7" t="s">
        <v>2551</v>
      </c>
      <c r="B89" s="7" t="s">
        <v>530</v>
      </c>
      <c r="C89" s="7" t="s">
        <v>530</v>
      </c>
      <c r="D89" s="7" t="s">
        <v>2481</v>
      </c>
      <c r="E89" s="7" t="s">
        <v>3552</v>
      </c>
      <c r="F89" s="7" t="s">
        <v>3553</v>
      </c>
    </row>
    <row r="90" customFormat="false" ht="99.75" hidden="false" customHeight="true" outlineLevel="0" collapsed="false">
      <c r="A90" s="8" t="s">
        <v>2553</v>
      </c>
      <c r="B90" s="8" t="s">
        <v>530</v>
      </c>
      <c r="C90" s="8" t="s">
        <v>530</v>
      </c>
      <c r="D90" s="8" t="s">
        <v>1771</v>
      </c>
      <c r="E90" s="8" t="s">
        <v>2554</v>
      </c>
      <c r="F90" s="8" t="s">
        <v>2555</v>
      </c>
    </row>
    <row r="91" customFormat="false" ht="99.75" hidden="false" customHeight="true" outlineLevel="0" collapsed="false">
      <c r="A91" s="7" t="s">
        <v>2556</v>
      </c>
      <c r="B91" s="7" t="s">
        <v>530</v>
      </c>
      <c r="C91" s="7" t="s">
        <v>530</v>
      </c>
      <c r="D91" s="7" t="s">
        <v>2304</v>
      </c>
      <c r="E91" s="7" t="s">
        <v>2557</v>
      </c>
      <c r="F91" s="7" t="s">
        <v>2558</v>
      </c>
    </row>
    <row r="92" customFormat="false" ht="99.75" hidden="false" customHeight="true" outlineLevel="0" collapsed="false">
      <c r="A92" s="8" t="s">
        <v>2559</v>
      </c>
      <c r="B92" s="8" t="s">
        <v>530</v>
      </c>
      <c r="C92" s="8" t="s">
        <v>530</v>
      </c>
      <c r="D92" s="8" t="s">
        <v>2560</v>
      </c>
      <c r="E92" s="8" t="s">
        <v>2561</v>
      </c>
      <c r="F92" s="8" t="s">
        <v>2562</v>
      </c>
    </row>
    <row r="93" customFormat="false" ht="99.75" hidden="false" customHeight="true" outlineLevel="0" collapsed="false">
      <c r="A93" s="7" t="s">
        <v>2563</v>
      </c>
      <c r="B93" s="7" t="s">
        <v>290</v>
      </c>
      <c r="C93" s="7" t="s">
        <v>103</v>
      </c>
      <c r="D93" s="7" t="s">
        <v>2564</v>
      </c>
      <c r="E93" s="7" t="s">
        <v>2565</v>
      </c>
      <c r="F93" s="7" t="s">
        <v>2566</v>
      </c>
    </row>
    <row r="94" customFormat="false" ht="99.75" hidden="false" customHeight="true" outlineLevel="0" collapsed="false">
      <c r="A94" s="8" t="s">
        <v>2567</v>
      </c>
      <c r="B94" s="8" t="s">
        <v>290</v>
      </c>
      <c r="C94" s="8" t="s">
        <v>2291</v>
      </c>
      <c r="D94" s="8" t="s">
        <v>1771</v>
      </c>
      <c r="E94" s="8" t="s">
        <v>2568</v>
      </c>
      <c r="F94" s="8" t="s">
        <v>2569</v>
      </c>
    </row>
    <row r="95" customFormat="false" ht="99.75" hidden="false" customHeight="true" outlineLevel="0" collapsed="false">
      <c r="A95" s="7" t="s">
        <v>2570</v>
      </c>
      <c r="B95" s="7" t="s">
        <v>2571</v>
      </c>
      <c r="C95" s="7" t="s">
        <v>2572</v>
      </c>
      <c r="D95" s="7" t="s">
        <v>2573</v>
      </c>
      <c r="E95" s="7" t="s">
        <v>2574</v>
      </c>
      <c r="F95" s="7" t="s">
        <v>2575</v>
      </c>
    </row>
    <row r="96" customFormat="false" ht="99.75" hidden="false" customHeight="true" outlineLevel="0" collapsed="false">
      <c r="A96" s="8" t="s">
        <v>2576</v>
      </c>
      <c r="B96" s="8" t="s">
        <v>2577</v>
      </c>
      <c r="C96" s="8" t="s">
        <v>2324</v>
      </c>
      <c r="D96" s="8" t="s">
        <v>2578</v>
      </c>
      <c r="E96" s="8" t="s">
        <v>2579</v>
      </c>
      <c r="F96" s="8" t="s">
        <v>3554</v>
      </c>
    </row>
    <row r="97" customFormat="false" ht="99.75" hidden="false" customHeight="true" outlineLevel="0" collapsed="false">
      <c r="A97" s="7" t="s">
        <v>2581</v>
      </c>
      <c r="B97" s="7" t="s">
        <v>2577</v>
      </c>
      <c r="C97" s="7" t="s">
        <v>103</v>
      </c>
      <c r="D97" s="7" t="s">
        <v>2582</v>
      </c>
      <c r="E97" s="7" t="s">
        <v>2583</v>
      </c>
      <c r="F97" s="7" t="s">
        <v>2584</v>
      </c>
    </row>
    <row r="98" customFormat="false" ht="114.75" hidden="false" customHeight="true" outlineLevel="0" collapsed="false">
      <c r="A98" s="8" t="s">
        <v>2585</v>
      </c>
      <c r="B98" s="8" t="s">
        <v>842</v>
      </c>
      <c r="C98" s="8" t="s">
        <v>103</v>
      </c>
      <c r="D98" s="8" t="s">
        <v>2586</v>
      </c>
      <c r="E98" s="8" t="s">
        <v>2587</v>
      </c>
      <c r="F98" s="8" t="s">
        <v>2588</v>
      </c>
    </row>
    <row r="99" customFormat="false" ht="114.75" hidden="false" customHeight="true" outlineLevel="0" collapsed="false">
      <c r="A99" s="7" t="s">
        <v>2589</v>
      </c>
      <c r="B99" s="7" t="s">
        <v>2590</v>
      </c>
      <c r="C99" s="7" t="s">
        <v>2591</v>
      </c>
      <c r="D99" s="7" t="s">
        <v>584</v>
      </c>
      <c r="E99" s="7" t="s">
        <v>2592</v>
      </c>
      <c r="F99" s="7" t="s">
        <v>2593</v>
      </c>
    </row>
    <row r="100" customFormat="false" ht="114.75" hidden="false" customHeight="true" outlineLevel="0" collapsed="false">
      <c r="A100" s="8" t="s">
        <v>2594</v>
      </c>
      <c r="B100" s="8" t="s">
        <v>486</v>
      </c>
      <c r="C100" s="8" t="s">
        <v>2291</v>
      </c>
      <c r="D100" s="8" t="s">
        <v>1771</v>
      </c>
      <c r="E100" s="8" t="s">
        <v>3555</v>
      </c>
      <c r="F100" s="8" t="s">
        <v>3556</v>
      </c>
    </row>
    <row r="101" customFormat="false" ht="114.75" hidden="false" customHeight="true" outlineLevel="0" collapsed="false">
      <c r="A101" s="7" t="s">
        <v>2596</v>
      </c>
      <c r="B101" s="7" t="s">
        <v>120</v>
      </c>
      <c r="C101" s="7" t="s">
        <v>2324</v>
      </c>
      <c r="D101" s="7" t="s">
        <v>599</v>
      </c>
      <c r="E101" s="7" t="s">
        <v>2597</v>
      </c>
      <c r="F101" s="7" t="s">
        <v>2598</v>
      </c>
    </row>
    <row r="102" customFormat="false" ht="114.75" hidden="false" customHeight="true" outlineLevel="0" collapsed="false">
      <c r="A102" s="8" t="s">
        <v>2599</v>
      </c>
      <c r="B102" s="8" t="s">
        <v>867</v>
      </c>
      <c r="C102" s="8" t="s">
        <v>2600</v>
      </c>
      <c r="D102" s="8" t="s">
        <v>609</v>
      </c>
      <c r="E102" s="8" t="s">
        <v>3557</v>
      </c>
      <c r="F102" s="8" t="s">
        <v>3558</v>
      </c>
    </row>
    <row r="103" customFormat="false" ht="114.75" hidden="false" customHeight="true" outlineLevel="0" collapsed="false">
      <c r="A103" s="7" t="s">
        <v>2601</v>
      </c>
      <c r="B103" s="7" t="s">
        <v>2602</v>
      </c>
      <c r="C103" s="7" t="s">
        <v>2268</v>
      </c>
      <c r="D103" s="7" t="s">
        <v>609</v>
      </c>
      <c r="E103" s="7" t="s">
        <v>2603</v>
      </c>
      <c r="F103" s="7" t="s">
        <v>2604</v>
      </c>
    </row>
    <row r="104" customFormat="false" ht="114.75" hidden="false" customHeight="true" outlineLevel="0" collapsed="false">
      <c r="A104" s="8" t="s">
        <v>2605</v>
      </c>
      <c r="B104" s="8" t="s">
        <v>24</v>
      </c>
      <c r="C104" s="8" t="s">
        <v>2606</v>
      </c>
      <c r="D104" s="8" t="s">
        <v>599</v>
      </c>
      <c r="E104" s="8" t="s">
        <v>2607</v>
      </c>
      <c r="F104" s="8" t="s">
        <v>2608</v>
      </c>
    </row>
    <row r="105" customFormat="false" ht="114.75" hidden="false" customHeight="true" outlineLevel="0" collapsed="false">
      <c r="A105" s="7" t="s">
        <v>2609</v>
      </c>
      <c r="B105" s="7" t="s">
        <v>2610</v>
      </c>
      <c r="C105" s="7" t="s">
        <v>2606</v>
      </c>
      <c r="D105" s="7" t="s">
        <v>2611</v>
      </c>
      <c r="E105" s="7" t="s">
        <v>2612</v>
      </c>
      <c r="F105" s="7" t="s">
        <v>2613</v>
      </c>
    </row>
    <row r="106" customFormat="false" ht="114.75" hidden="false" customHeight="true" outlineLevel="0" collapsed="false">
      <c r="A106" s="8" t="s">
        <v>2614</v>
      </c>
      <c r="B106" s="8" t="s">
        <v>174</v>
      </c>
      <c r="C106" s="8" t="s">
        <v>518</v>
      </c>
      <c r="D106" s="8" t="s">
        <v>1771</v>
      </c>
      <c r="E106" s="8" t="s">
        <v>3559</v>
      </c>
      <c r="F106" s="8" t="s">
        <v>2616</v>
      </c>
    </row>
    <row r="107" customFormat="false" ht="114.75" hidden="false" customHeight="true" outlineLevel="0" collapsed="false">
      <c r="A107" s="7" t="s">
        <v>2617</v>
      </c>
      <c r="B107" s="7" t="s">
        <v>2618</v>
      </c>
      <c r="C107" s="7" t="s">
        <v>518</v>
      </c>
      <c r="D107" s="7" t="s">
        <v>594</v>
      </c>
      <c r="E107" s="7" t="s">
        <v>2619</v>
      </c>
      <c r="F107" s="7" t="s">
        <v>2620</v>
      </c>
    </row>
    <row r="108" customFormat="false" ht="114.75" hidden="false" customHeight="true" outlineLevel="0" collapsed="false">
      <c r="A108" s="8" t="s">
        <v>2621</v>
      </c>
      <c r="B108" s="8" t="s">
        <v>2383</v>
      </c>
      <c r="C108" s="8" t="s">
        <v>2622</v>
      </c>
      <c r="D108" s="8" t="s">
        <v>2623</v>
      </c>
      <c r="E108" s="8" t="s">
        <v>2624</v>
      </c>
      <c r="F108" s="8" t="s">
        <v>2625</v>
      </c>
    </row>
    <row r="109" customFormat="false" ht="114.75" hidden="false" customHeight="true" outlineLevel="0" collapsed="false">
      <c r="A109" s="7" t="s">
        <v>2626</v>
      </c>
      <c r="B109" s="7" t="s">
        <v>2627</v>
      </c>
      <c r="C109" s="7" t="s">
        <v>518</v>
      </c>
      <c r="D109" s="7" t="s">
        <v>2623</v>
      </c>
      <c r="E109" s="7" t="s">
        <v>2628</v>
      </c>
      <c r="F109" s="7" t="s">
        <v>2629</v>
      </c>
    </row>
    <row r="110" customFormat="false" ht="114.75" hidden="false" customHeight="true" outlineLevel="0" collapsed="false">
      <c r="A110" s="8" t="s">
        <v>2630</v>
      </c>
      <c r="B110" s="8" t="s">
        <v>2627</v>
      </c>
      <c r="C110" s="8" t="s">
        <v>525</v>
      </c>
      <c r="D110" s="8" t="s">
        <v>2623</v>
      </c>
      <c r="E110" s="8" t="s">
        <v>2631</v>
      </c>
      <c r="F110" s="8" t="s">
        <v>2632</v>
      </c>
    </row>
    <row r="111" customFormat="false" ht="114.75" hidden="false" customHeight="true" outlineLevel="0" collapsed="false">
      <c r="A111" s="7" t="s">
        <v>2633</v>
      </c>
      <c r="B111" s="7" t="s">
        <v>2627</v>
      </c>
      <c r="C111" s="7" t="s">
        <v>530</v>
      </c>
      <c r="D111" s="7" t="s">
        <v>2623</v>
      </c>
      <c r="E111" s="7" t="s">
        <v>2634</v>
      </c>
      <c r="F111" s="7" t="s">
        <v>2635</v>
      </c>
    </row>
    <row r="112" customFormat="false" ht="114.75" hidden="false" customHeight="true" outlineLevel="0" collapsed="false">
      <c r="A112" s="8" t="s">
        <v>2636</v>
      </c>
      <c r="B112" s="8" t="s">
        <v>11</v>
      </c>
      <c r="C112" s="8" t="s">
        <v>2525</v>
      </c>
      <c r="D112" s="8" t="s">
        <v>1771</v>
      </c>
      <c r="E112" s="8" t="s">
        <v>2637</v>
      </c>
      <c r="F112" s="8" t="s">
        <v>2638</v>
      </c>
    </row>
    <row r="113" customFormat="false" ht="114.75" hidden="false" customHeight="true" outlineLevel="0" collapsed="false">
      <c r="A113" s="7" t="s">
        <v>2639</v>
      </c>
      <c r="B113" s="7" t="s">
        <v>2640</v>
      </c>
      <c r="C113" s="7" t="s">
        <v>475</v>
      </c>
      <c r="D113" s="7" t="s">
        <v>1187</v>
      </c>
      <c r="E113" s="7" t="s">
        <v>3560</v>
      </c>
      <c r="F113" s="7" t="s">
        <v>3561</v>
      </c>
    </row>
    <row r="114" customFormat="false" ht="114.75" hidden="false" customHeight="true" outlineLevel="0" collapsed="false">
      <c r="A114" s="8" t="s">
        <v>2642</v>
      </c>
      <c r="B114" s="8" t="s">
        <v>2643</v>
      </c>
      <c r="C114" s="8" t="s">
        <v>103</v>
      </c>
      <c r="D114" s="8" t="s">
        <v>1771</v>
      </c>
      <c r="E114" s="8" t="s">
        <v>3562</v>
      </c>
      <c r="F114" s="8" t="s">
        <v>2645</v>
      </c>
    </row>
    <row r="115" customFormat="false" ht="114.75" hidden="false" customHeight="true" outlineLevel="0" collapsed="false">
      <c r="A115" s="7" t="s">
        <v>2646</v>
      </c>
      <c r="B115" s="7" t="s">
        <v>731</v>
      </c>
      <c r="C115" s="7" t="s">
        <v>2508</v>
      </c>
      <c r="D115" s="7" t="s">
        <v>2623</v>
      </c>
      <c r="E115" s="7" t="s">
        <v>2647</v>
      </c>
      <c r="F115" s="7" t="s">
        <v>2648</v>
      </c>
    </row>
    <row r="116" customFormat="false" ht="114.75" hidden="false" customHeight="true" outlineLevel="0" collapsed="false">
      <c r="A116" s="8" t="s">
        <v>2649</v>
      </c>
      <c r="B116" s="8" t="s">
        <v>731</v>
      </c>
      <c r="C116" s="8" t="s">
        <v>536</v>
      </c>
      <c r="D116" s="8" t="s">
        <v>599</v>
      </c>
      <c r="E116" s="8" t="s">
        <v>2650</v>
      </c>
      <c r="F116" s="8" t="s">
        <v>2651</v>
      </c>
    </row>
    <row r="117" customFormat="false" ht="114.75" hidden="false" customHeight="true" outlineLevel="0" collapsed="false">
      <c r="A117" s="7" t="s">
        <v>2652</v>
      </c>
      <c r="B117" s="7" t="s">
        <v>731</v>
      </c>
      <c r="C117" s="7" t="s">
        <v>543</v>
      </c>
      <c r="D117" s="7" t="s">
        <v>599</v>
      </c>
      <c r="E117" s="7" t="s">
        <v>2653</v>
      </c>
      <c r="F117" s="7" t="s">
        <v>2654</v>
      </c>
    </row>
    <row r="118" customFormat="false" ht="114.75" hidden="false" customHeight="true" outlineLevel="0" collapsed="false">
      <c r="A118" s="8" t="s">
        <v>2655</v>
      </c>
      <c r="B118" s="8" t="s">
        <v>702</v>
      </c>
      <c r="C118" s="8" t="s">
        <v>103</v>
      </c>
      <c r="D118" s="8" t="s">
        <v>599</v>
      </c>
      <c r="E118" s="8" t="s">
        <v>2656</v>
      </c>
      <c r="F118" s="8" t="s">
        <v>2657</v>
      </c>
    </row>
    <row r="119" customFormat="false" ht="114.75" hidden="false" customHeight="true" outlineLevel="0" collapsed="false">
      <c r="A119" s="7" t="s">
        <v>2658</v>
      </c>
      <c r="B119" s="7" t="s">
        <v>2140</v>
      </c>
      <c r="C119" s="7" t="s">
        <v>103</v>
      </c>
      <c r="D119" s="7" t="s">
        <v>3563</v>
      </c>
      <c r="E119" s="7" t="s">
        <v>3564</v>
      </c>
      <c r="F119" s="7" t="s">
        <v>3565</v>
      </c>
    </row>
    <row r="120" customFormat="false" ht="114.75" hidden="false" customHeight="true" outlineLevel="0" collapsed="false">
      <c r="A120" s="8" t="s">
        <v>2660</v>
      </c>
      <c r="B120" s="8" t="s">
        <v>525</v>
      </c>
      <c r="C120" s="8" t="s">
        <v>2453</v>
      </c>
      <c r="D120" s="8" t="s">
        <v>2623</v>
      </c>
      <c r="E120" s="8" t="s">
        <v>2661</v>
      </c>
      <c r="F120" s="8" t="s">
        <v>2662</v>
      </c>
    </row>
    <row r="121" customFormat="false" ht="114.75" hidden="false" customHeight="true" outlineLevel="0" collapsed="false">
      <c r="A121" s="7" t="s">
        <v>2663</v>
      </c>
      <c r="B121" s="7" t="s">
        <v>2664</v>
      </c>
      <c r="C121" s="7" t="s">
        <v>525</v>
      </c>
      <c r="D121" s="7" t="s">
        <v>1771</v>
      </c>
      <c r="E121" s="7" t="s">
        <v>3566</v>
      </c>
      <c r="F121" s="7" t="s">
        <v>3567</v>
      </c>
    </row>
    <row r="122" customFormat="false" ht="114.75" hidden="false" customHeight="true" outlineLevel="0" collapsed="false">
      <c r="A122" s="8" t="s">
        <v>2666</v>
      </c>
      <c r="B122" s="8" t="s">
        <v>2667</v>
      </c>
      <c r="C122" s="8" t="s">
        <v>525</v>
      </c>
      <c r="D122" s="8" t="s">
        <v>2668</v>
      </c>
      <c r="E122" s="8" t="s">
        <v>2669</v>
      </c>
      <c r="F122" s="8" t="s">
        <v>2670</v>
      </c>
    </row>
    <row r="123" customFormat="false" ht="114.75" hidden="false" customHeight="true" outlineLevel="0" collapsed="false">
      <c r="A123" s="7" t="s">
        <v>2671</v>
      </c>
      <c r="B123" s="7" t="s">
        <v>2672</v>
      </c>
      <c r="C123" s="7" t="s">
        <v>530</v>
      </c>
      <c r="D123" s="7" t="s">
        <v>2481</v>
      </c>
      <c r="E123" s="7" t="s">
        <v>3568</v>
      </c>
      <c r="F123" s="7" t="s">
        <v>3569</v>
      </c>
    </row>
    <row r="124" customFormat="false" ht="114.75" hidden="false" customHeight="true" outlineLevel="0" collapsed="false">
      <c r="A124" s="8" t="s">
        <v>2674</v>
      </c>
      <c r="B124" s="8" t="s">
        <v>2675</v>
      </c>
      <c r="C124" s="8" t="s">
        <v>530</v>
      </c>
      <c r="D124" s="8" t="s">
        <v>1771</v>
      </c>
      <c r="E124" s="8" t="s">
        <v>2676</v>
      </c>
      <c r="F124" s="8" t="s">
        <v>2677</v>
      </c>
    </row>
    <row r="125" customFormat="false" ht="114.75" hidden="false" customHeight="true" outlineLevel="0" collapsed="false">
      <c r="A125" s="7" t="s">
        <v>2678</v>
      </c>
      <c r="B125" s="7" t="s">
        <v>2679</v>
      </c>
      <c r="C125" s="7" t="s">
        <v>530</v>
      </c>
      <c r="D125" s="7" t="s">
        <v>2680</v>
      </c>
      <c r="E125" s="7" t="s">
        <v>2681</v>
      </c>
      <c r="F125" s="7" t="s">
        <v>2682</v>
      </c>
    </row>
    <row r="126" customFormat="false" ht="114.75" hidden="false" customHeight="true" outlineLevel="0" collapsed="false">
      <c r="A126" s="8" t="s">
        <v>2683</v>
      </c>
      <c r="B126" s="8" t="s">
        <v>2684</v>
      </c>
      <c r="C126" s="8" t="s">
        <v>530</v>
      </c>
      <c r="D126" s="8" t="s">
        <v>3570</v>
      </c>
      <c r="E126" s="8" t="s">
        <v>3571</v>
      </c>
      <c r="F126" s="8" t="s">
        <v>3572</v>
      </c>
    </row>
    <row r="127" customFormat="false" ht="114.75" hidden="false" customHeight="true" outlineLevel="0" collapsed="false">
      <c r="A127" s="7" t="s">
        <v>2685</v>
      </c>
      <c r="B127" s="7" t="s">
        <v>2686</v>
      </c>
      <c r="C127" s="7" t="s">
        <v>530</v>
      </c>
      <c r="D127" s="7" t="s">
        <v>2623</v>
      </c>
      <c r="E127" s="7" t="s">
        <v>2687</v>
      </c>
      <c r="F127" s="7" t="s">
        <v>2688</v>
      </c>
    </row>
    <row r="128" customFormat="false" ht="114.75" hidden="false" customHeight="true" outlineLevel="0" collapsed="false">
      <c r="A128" s="8" t="s">
        <v>2689</v>
      </c>
      <c r="B128" s="8" t="s">
        <v>2690</v>
      </c>
      <c r="C128" s="8" t="s">
        <v>2467</v>
      </c>
      <c r="D128" s="8" t="s">
        <v>2691</v>
      </c>
      <c r="E128" s="8" t="s">
        <v>2692</v>
      </c>
      <c r="F128" s="8" t="s">
        <v>2693</v>
      </c>
    </row>
    <row r="129" customFormat="false" ht="114.75" hidden="false" customHeight="true" outlineLevel="0" collapsed="false">
      <c r="A129" s="7" t="s">
        <v>2694</v>
      </c>
      <c r="B129" s="7" t="s">
        <v>2695</v>
      </c>
      <c r="C129" s="7" t="s">
        <v>2537</v>
      </c>
      <c r="D129" s="7" t="s">
        <v>609</v>
      </c>
      <c r="E129" s="7" t="s">
        <v>3573</v>
      </c>
      <c r="F129" s="7" t="s">
        <v>3574</v>
      </c>
    </row>
    <row r="130" customFormat="false" ht="114.75" hidden="false" customHeight="true" outlineLevel="0" collapsed="false">
      <c r="A130" s="8" t="s">
        <v>2697</v>
      </c>
      <c r="B130" s="8" t="s">
        <v>707</v>
      </c>
      <c r="C130" s="8" t="s">
        <v>2525</v>
      </c>
      <c r="D130" s="8" t="s">
        <v>609</v>
      </c>
      <c r="E130" s="8" t="s">
        <v>2698</v>
      </c>
      <c r="F130" s="8" t="s">
        <v>2699</v>
      </c>
    </row>
    <row r="131" customFormat="false" ht="114.75" hidden="false" customHeight="true" outlineLevel="0" collapsed="false">
      <c r="A131" s="7" t="s">
        <v>2700</v>
      </c>
      <c r="B131" s="7" t="s">
        <v>2701</v>
      </c>
      <c r="C131" s="7" t="s">
        <v>2291</v>
      </c>
      <c r="D131" s="7" t="s">
        <v>1771</v>
      </c>
      <c r="E131" s="7" t="s">
        <v>2702</v>
      </c>
      <c r="F131" s="7" t="s">
        <v>2703</v>
      </c>
    </row>
    <row r="132" customFormat="false" ht="114.75" hidden="false" customHeight="true" outlineLevel="0" collapsed="false">
      <c r="A132" s="8" t="s">
        <v>2704</v>
      </c>
      <c r="B132" s="8" t="s">
        <v>2132</v>
      </c>
      <c r="C132" s="8" t="s">
        <v>2268</v>
      </c>
      <c r="D132" s="8" t="s">
        <v>2691</v>
      </c>
      <c r="E132" s="8" t="s">
        <v>2705</v>
      </c>
      <c r="F132" s="8" t="s">
        <v>2706</v>
      </c>
    </row>
    <row r="133" customFormat="false" ht="114.75" hidden="false" customHeight="true" outlineLevel="0" collapsed="false">
      <c r="A133" s="7" t="s">
        <v>2707</v>
      </c>
      <c r="B133" s="7" t="s">
        <v>2708</v>
      </c>
      <c r="C133" s="7" t="s">
        <v>2709</v>
      </c>
      <c r="D133" s="7" t="s">
        <v>2481</v>
      </c>
      <c r="E133" s="7" t="s">
        <v>3575</v>
      </c>
      <c r="F133" s="7" t="s">
        <v>3576</v>
      </c>
    </row>
    <row r="134" customFormat="false" ht="114.75" hidden="false" customHeight="true" outlineLevel="0" collapsed="false">
      <c r="A134" s="8" t="s">
        <v>2710</v>
      </c>
      <c r="B134" s="8" t="s">
        <v>36</v>
      </c>
      <c r="C134" s="8" t="s">
        <v>103</v>
      </c>
      <c r="D134" s="8" t="s">
        <v>3577</v>
      </c>
      <c r="E134" s="8" t="s">
        <v>3578</v>
      </c>
      <c r="F134" s="8" t="s">
        <v>3579</v>
      </c>
    </row>
    <row r="135" customFormat="false" ht="114.75" hidden="false" customHeight="true" outlineLevel="0" collapsed="false">
      <c r="A135" s="7" t="s">
        <v>2711</v>
      </c>
      <c r="B135" s="7" t="s">
        <v>2712</v>
      </c>
      <c r="C135" s="7" t="s">
        <v>2713</v>
      </c>
      <c r="D135" s="7" t="s">
        <v>3580</v>
      </c>
      <c r="E135" s="7" t="s">
        <v>3581</v>
      </c>
      <c r="F135" s="7" t="s">
        <v>3582</v>
      </c>
    </row>
    <row r="136" customFormat="false" ht="114.75" hidden="false" customHeight="true" outlineLevel="0" collapsed="false">
      <c r="A136" s="8" t="s">
        <v>2715</v>
      </c>
      <c r="B136" s="8" t="s">
        <v>36</v>
      </c>
      <c r="C136" s="8" t="s">
        <v>2716</v>
      </c>
      <c r="D136" s="8" t="s">
        <v>1187</v>
      </c>
      <c r="E136" s="8" t="s">
        <v>3583</v>
      </c>
      <c r="F136" s="8" t="s">
        <v>3584</v>
      </c>
    </row>
    <row r="137" customFormat="false" ht="114.75" hidden="false" customHeight="true" outlineLevel="0" collapsed="false">
      <c r="A137" s="7" t="s">
        <v>2718</v>
      </c>
      <c r="B137" s="7" t="s">
        <v>36</v>
      </c>
      <c r="C137" s="7" t="s">
        <v>2716</v>
      </c>
      <c r="D137" s="7" t="s">
        <v>3585</v>
      </c>
      <c r="E137" s="7" t="s">
        <v>3586</v>
      </c>
      <c r="F137" s="7" t="s">
        <v>3587</v>
      </c>
    </row>
    <row r="138" customFormat="false" ht="114.75" hidden="false" customHeight="true" outlineLevel="0" collapsed="false">
      <c r="A138" s="8" t="s">
        <v>2720</v>
      </c>
      <c r="B138" s="8" t="s">
        <v>36</v>
      </c>
      <c r="C138" s="8" t="s">
        <v>2716</v>
      </c>
      <c r="D138" s="8" t="s">
        <v>3588</v>
      </c>
      <c r="E138" s="8" t="s">
        <v>3589</v>
      </c>
      <c r="F138" s="8" t="s">
        <v>3590</v>
      </c>
    </row>
    <row r="139" customFormat="false" ht="114.75" hidden="false" customHeight="true" outlineLevel="0" collapsed="false">
      <c r="A139" s="7" t="s">
        <v>2721</v>
      </c>
      <c r="B139" s="7" t="s">
        <v>36</v>
      </c>
      <c r="C139" s="7" t="s">
        <v>2716</v>
      </c>
      <c r="D139" s="7" t="s">
        <v>3591</v>
      </c>
      <c r="E139" s="7" t="s">
        <v>3592</v>
      </c>
      <c r="F139" s="7" t="s">
        <v>3593</v>
      </c>
    </row>
    <row r="140" customFormat="false" ht="114.75" hidden="false" customHeight="true" outlineLevel="0" collapsed="false">
      <c r="A140" s="8" t="s">
        <v>2722</v>
      </c>
      <c r="B140" s="8" t="s">
        <v>36</v>
      </c>
      <c r="C140" s="8" t="s">
        <v>2716</v>
      </c>
      <c r="D140" s="8" t="s">
        <v>3591</v>
      </c>
      <c r="E140" s="8" t="s">
        <v>3594</v>
      </c>
      <c r="F140" s="8" t="s">
        <v>3595</v>
      </c>
    </row>
    <row r="141" customFormat="false" ht="114.75" hidden="false" customHeight="true" outlineLevel="0" collapsed="false">
      <c r="A141" s="7" t="s">
        <v>2723</v>
      </c>
      <c r="B141" s="7" t="s">
        <v>36</v>
      </c>
      <c r="C141" s="7" t="s">
        <v>2716</v>
      </c>
      <c r="D141" s="7" t="s">
        <v>3585</v>
      </c>
      <c r="E141" s="7" t="s">
        <v>3596</v>
      </c>
      <c r="F141" s="7" t="s">
        <v>3597</v>
      </c>
    </row>
    <row r="142" customFormat="false" ht="114.75" hidden="false" customHeight="true" outlineLevel="0" collapsed="false">
      <c r="A142" s="8" t="s">
        <v>2724</v>
      </c>
      <c r="B142" s="8" t="s">
        <v>36</v>
      </c>
      <c r="C142" s="8" t="s">
        <v>2716</v>
      </c>
      <c r="D142" s="8" t="s">
        <v>1187</v>
      </c>
      <c r="E142" s="8" t="s">
        <v>2725</v>
      </c>
      <c r="F142" s="8" t="s">
        <v>2726</v>
      </c>
    </row>
    <row r="143" customFormat="false" ht="114.75" hidden="false" customHeight="true" outlineLevel="0" collapsed="false">
      <c r="A143" s="7" t="s">
        <v>2727</v>
      </c>
      <c r="B143" s="7" t="s">
        <v>36</v>
      </c>
      <c r="C143" s="7" t="s">
        <v>2716</v>
      </c>
      <c r="D143" s="7" t="s">
        <v>3598</v>
      </c>
      <c r="E143" s="7" t="s">
        <v>3599</v>
      </c>
      <c r="F143" s="7" t="s">
        <v>3600</v>
      </c>
    </row>
    <row r="144" customFormat="false" ht="114.75" hidden="false" customHeight="true" outlineLevel="0" collapsed="false">
      <c r="A144" s="8" t="s">
        <v>2729</v>
      </c>
      <c r="B144" s="8" t="s">
        <v>36</v>
      </c>
      <c r="C144" s="8" t="s">
        <v>2716</v>
      </c>
      <c r="D144" s="8" t="s">
        <v>1216</v>
      </c>
      <c r="E144" s="8" t="s">
        <v>3601</v>
      </c>
      <c r="F144" s="8" t="s">
        <v>3602</v>
      </c>
    </row>
    <row r="145" customFormat="false" ht="114.75" hidden="false" customHeight="true" outlineLevel="0" collapsed="false">
      <c r="A145" s="7" t="s">
        <v>2731</v>
      </c>
      <c r="B145" s="7" t="s">
        <v>36</v>
      </c>
      <c r="C145" s="7" t="s">
        <v>2716</v>
      </c>
      <c r="D145" s="7" t="s">
        <v>3603</v>
      </c>
      <c r="E145" s="7" t="s">
        <v>3601</v>
      </c>
      <c r="F145" s="7" t="s">
        <v>3604</v>
      </c>
    </row>
    <row r="146" customFormat="false" ht="114.75" hidden="false" customHeight="true" outlineLevel="0" collapsed="false">
      <c r="A146" s="8" t="s">
        <v>2733</v>
      </c>
      <c r="B146" s="8" t="s">
        <v>36</v>
      </c>
      <c r="C146" s="8" t="s">
        <v>2716</v>
      </c>
      <c r="D146" s="8" t="s">
        <v>3605</v>
      </c>
      <c r="E146" s="8" t="s">
        <v>3606</v>
      </c>
      <c r="F146" s="8" t="s">
        <v>3607</v>
      </c>
    </row>
    <row r="147" customFormat="false" ht="114.75" hidden="false" customHeight="true" outlineLevel="0" collapsed="false">
      <c r="A147" s="7" t="s">
        <v>2734</v>
      </c>
      <c r="B147" s="7" t="s">
        <v>36</v>
      </c>
      <c r="C147" s="7" t="s">
        <v>2716</v>
      </c>
      <c r="D147" s="7" t="s">
        <v>1187</v>
      </c>
      <c r="E147" s="7" t="s">
        <v>3608</v>
      </c>
      <c r="F147" s="7" t="s">
        <v>2178</v>
      </c>
    </row>
    <row r="148" customFormat="false" ht="114.75" hidden="false" customHeight="true" outlineLevel="0" collapsed="false">
      <c r="A148" s="8" t="s">
        <v>2736</v>
      </c>
      <c r="B148" s="8" t="s">
        <v>36</v>
      </c>
      <c r="C148" s="8" t="s">
        <v>2716</v>
      </c>
      <c r="D148" s="8" t="s">
        <v>3609</v>
      </c>
      <c r="E148" s="8" t="s">
        <v>3610</v>
      </c>
      <c r="F148" s="8" t="s">
        <v>3611</v>
      </c>
    </row>
    <row r="149" customFormat="false" ht="114.75" hidden="false" customHeight="true" outlineLevel="0" collapsed="false">
      <c r="A149" s="7" t="s">
        <v>2737</v>
      </c>
      <c r="B149" s="7" t="s">
        <v>36</v>
      </c>
      <c r="C149" s="7" t="s">
        <v>2716</v>
      </c>
      <c r="D149" s="7" t="s">
        <v>1258</v>
      </c>
      <c r="E149" s="7" t="s">
        <v>2738</v>
      </c>
      <c r="F149" s="7" t="s">
        <v>2739</v>
      </c>
    </row>
    <row r="150" customFormat="false" ht="114.75" hidden="false" customHeight="true" outlineLevel="0" collapsed="false">
      <c r="A150" s="8" t="s">
        <v>2740</v>
      </c>
      <c r="B150" s="8" t="s">
        <v>2741</v>
      </c>
      <c r="C150" s="8" t="s">
        <v>2742</v>
      </c>
      <c r="D150" s="8" t="s">
        <v>2743</v>
      </c>
      <c r="E150" s="8" t="s">
        <v>2744</v>
      </c>
      <c r="F150" s="8" t="s">
        <v>2745</v>
      </c>
    </row>
    <row r="151" customFormat="false" ht="114.75" hidden="false" customHeight="true" outlineLevel="0" collapsed="false">
      <c r="A151" s="7" t="s">
        <v>2746</v>
      </c>
      <c r="B151" s="7" t="s">
        <v>2741</v>
      </c>
      <c r="C151" s="7" t="s">
        <v>2742</v>
      </c>
      <c r="D151" s="7" t="s">
        <v>2743</v>
      </c>
      <c r="E151" s="7" t="s">
        <v>2747</v>
      </c>
      <c r="F151" s="7" t="s">
        <v>2748</v>
      </c>
    </row>
    <row r="152" customFormat="false" ht="114.75" hidden="false" customHeight="true" outlineLevel="0" collapsed="false">
      <c r="A152" s="8" t="s">
        <v>2749</v>
      </c>
      <c r="B152" s="8" t="s">
        <v>2741</v>
      </c>
      <c r="C152" s="8" t="s">
        <v>2742</v>
      </c>
      <c r="D152" s="8" t="s">
        <v>2743</v>
      </c>
      <c r="E152" s="8" t="s">
        <v>2750</v>
      </c>
      <c r="F152" s="8" t="s">
        <v>2751</v>
      </c>
    </row>
    <row r="153" customFormat="false" ht="114.75" hidden="false" customHeight="true" outlineLevel="0" collapsed="false">
      <c r="A153" s="7" t="s">
        <v>2752</v>
      </c>
      <c r="B153" s="7" t="s">
        <v>2741</v>
      </c>
      <c r="C153" s="7" t="s">
        <v>2742</v>
      </c>
      <c r="D153" s="7" t="s">
        <v>2743</v>
      </c>
      <c r="E153" s="7" t="s">
        <v>2753</v>
      </c>
      <c r="F153" s="7" t="s">
        <v>2754</v>
      </c>
    </row>
    <row r="154" customFormat="false" ht="114.75" hidden="false" customHeight="true" outlineLevel="0" collapsed="false">
      <c r="A154" s="8" t="s">
        <v>2755</v>
      </c>
      <c r="B154" s="8" t="s">
        <v>2741</v>
      </c>
      <c r="C154" s="8" t="s">
        <v>2742</v>
      </c>
      <c r="D154" s="8" t="s">
        <v>2743</v>
      </c>
      <c r="E154" s="8" t="s">
        <v>2756</v>
      </c>
      <c r="F154" s="8" t="s">
        <v>2757</v>
      </c>
    </row>
    <row r="155" customFormat="false" ht="114.75" hidden="false" customHeight="true" outlineLevel="0" collapsed="false">
      <c r="A155" s="7" t="s">
        <v>2758</v>
      </c>
      <c r="B155" s="7" t="s">
        <v>53</v>
      </c>
      <c r="C155" s="7" t="s">
        <v>543</v>
      </c>
      <c r="D155" s="7" t="s">
        <v>623</v>
      </c>
      <c r="E155" s="7" t="s">
        <v>3612</v>
      </c>
      <c r="F155" s="7" t="s">
        <v>3613</v>
      </c>
    </row>
    <row r="156" customFormat="false" ht="114.75" hidden="false" customHeight="true" outlineLevel="0" collapsed="false">
      <c r="A156" s="8" t="s">
        <v>2759</v>
      </c>
      <c r="B156" s="8" t="s">
        <v>53</v>
      </c>
      <c r="C156" s="8" t="s">
        <v>543</v>
      </c>
      <c r="D156" s="8" t="s">
        <v>623</v>
      </c>
      <c r="E156" s="8" t="s">
        <v>2760</v>
      </c>
      <c r="F156" s="8" t="s">
        <v>2761</v>
      </c>
    </row>
    <row r="157" customFormat="false" ht="114.75" hidden="false" customHeight="true" outlineLevel="0" collapsed="false">
      <c r="A157" s="7" t="s">
        <v>2762</v>
      </c>
      <c r="B157" s="7" t="s">
        <v>53</v>
      </c>
      <c r="C157" s="7" t="s">
        <v>543</v>
      </c>
      <c r="D157" s="7" t="s">
        <v>3614</v>
      </c>
      <c r="E157" s="7" t="s">
        <v>3615</v>
      </c>
      <c r="F157" s="7" t="s">
        <v>3616</v>
      </c>
    </row>
    <row r="158" customFormat="false" ht="114.75" hidden="false" customHeight="true" outlineLevel="0" collapsed="false">
      <c r="A158" s="8" t="s">
        <v>2764</v>
      </c>
      <c r="B158" s="8" t="s">
        <v>53</v>
      </c>
      <c r="C158" s="8" t="s">
        <v>543</v>
      </c>
      <c r="D158" s="8" t="s">
        <v>623</v>
      </c>
      <c r="E158" s="8" t="s">
        <v>2765</v>
      </c>
      <c r="F158" s="8" t="s">
        <v>2766</v>
      </c>
    </row>
    <row r="159" customFormat="false" ht="114.75" hidden="false" customHeight="true" outlineLevel="0" collapsed="false">
      <c r="A159" s="7" t="s">
        <v>2767</v>
      </c>
      <c r="B159" s="7" t="s">
        <v>53</v>
      </c>
      <c r="C159" s="7" t="s">
        <v>543</v>
      </c>
      <c r="D159" s="7" t="s">
        <v>623</v>
      </c>
      <c r="E159" s="7" t="s">
        <v>3617</v>
      </c>
      <c r="F159" s="7" t="s">
        <v>3618</v>
      </c>
    </row>
    <row r="160" customFormat="false" ht="114.75" hidden="false" customHeight="true" outlineLevel="0" collapsed="false">
      <c r="A160" s="8" t="s">
        <v>2769</v>
      </c>
      <c r="B160" s="8" t="s">
        <v>53</v>
      </c>
      <c r="C160" s="8" t="s">
        <v>543</v>
      </c>
      <c r="D160" s="8" t="s">
        <v>623</v>
      </c>
      <c r="E160" s="8" t="s">
        <v>3619</v>
      </c>
      <c r="F160" s="8" t="s">
        <v>3620</v>
      </c>
    </row>
    <row r="161" customFormat="false" ht="114.75" hidden="false" customHeight="true" outlineLevel="0" collapsed="false">
      <c r="A161" s="7" t="s">
        <v>2771</v>
      </c>
      <c r="B161" s="7" t="s">
        <v>53</v>
      </c>
      <c r="C161" s="7" t="s">
        <v>543</v>
      </c>
      <c r="D161" s="7" t="s">
        <v>3621</v>
      </c>
      <c r="E161" s="7" t="s">
        <v>3622</v>
      </c>
      <c r="F161" s="7" t="s">
        <v>3623</v>
      </c>
    </row>
    <row r="162" customFormat="false" ht="114.75" hidden="false" customHeight="true" outlineLevel="0" collapsed="false">
      <c r="A162" s="8" t="s">
        <v>2773</v>
      </c>
      <c r="B162" s="8" t="s">
        <v>53</v>
      </c>
      <c r="C162" s="8" t="s">
        <v>543</v>
      </c>
      <c r="D162" s="8" t="s">
        <v>3624</v>
      </c>
      <c r="E162" s="8" t="s">
        <v>3625</v>
      </c>
      <c r="F162" s="8" t="s">
        <v>3626</v>
      </c>
    </row>
    <row r="163" customFormat="false" ht="114.75" hidden="false" customHeight="true" outlineLevel="0" collapsed="false">
      <c r="A163" s="7" t="s">
        <v>2774</v>
      </c>
      <c r="B163" s="7" t="s">
        <v>53</v>
      </c>
      <c r="C163" s="7" t="s">
        <v>543</v>
      </c>
      <c r="D163" s="7" t="s">
        <v>3627</v>
      </c>
      <c r="E163" s="7" t="s">
        <v>3628</v>
      </c>
      <c r="F163" s="7" t="s">
        <v>3629</v>
      </c>
    </row>
    <row r="164" customFormat="false" ht="114.75" hidden="false" customHeight="true" outlineLevel="0" collapsed="false">
      <c r="A164" s="8" t="s">
        <v>2775</v>
      </c>
      <c r="B164" s="8" t="s">
        <v>53</v>
      </c>
      <c r="C164" s="8" t="s">
        <v>543</v>
      </c>
      <c r="D164" s="8" t="s">
        <v>623</v>
      </c>
      <c r="E164" s="8" t="s">
        <v>2776</v>
      </c>
      <c r="F164" s="8" t="s">
        <v>2777</v>
      </c>
    </row>
    <row r="165" customFormat="false" ht="114.75" hidden="false" customHeight="true" outlineLevel="0" collapsed="false">
      <c r="A165" s="7" t="s">
        <v>2778</v>
      </c>
      <c r="B165" s="7" t="s">
        <v>53</v>
      </c>
      <c r="C165" s="7" t="s">
        <v>543</v>
      </c>
      <c r="D165" s="7" t="s">
        <v>1187</v>
      </c>
      <c r="E165" s="7" t="s">
        <v>3630</v>
      </c>
      <c r="F165" s="7" t="s">
        <v>3631</v>
      </c>
    </row>
    <row r="166" customFormat="false" ht="114.75" hidden="false" customHeight="true" outlineLevel="0" collapsed="false">
      <c r="A166" s="8" t="s">
        <v>2780</v>
      </c>
      <c r="B166" s="8" t="s">
        <v>53</v>
      </c>
      <c r="C166" s="8" t="s">
        <v>543</v>
      </c>
      <c r="D166" s="8" t="s">
        <v>623</v>
      </c>
      <c r="E166" s="8" t="s">
        <v>3632</v>
      </c>
      <c r="F166" s="8" t="s">
        <v>3633</v>
      </c>
    </row>
    <row r="167" customFormat="false" ht="114.75" hidden="false" customHeight="true" outlineLevel="0" collapsed="false">
      <c r="A167" s="7" t="s">
        <v>2781</v>
      </c>
      <c r="B167" s="7" t="s">
        <v>53</v>
      </c>
      <c r="C167" s="7" t="s">
        <v>543</v>
      </c>
      <c r="D167" s="7" t="s">
        <v>3634</v>
      </c>
      <c r="E167" s="7" t="s">
        <v>3635</v>
      </c>
      <c r="F167" s="7" t="s">
        <v>3636</v>
      </c>
    </row>
    <row r="168" customFormat="false" ht="114.75" hidden="false" customHeight="true" outlineLevel="0" collapsed="false">
      <c r="A168" s="8" t="s">
        <v>2783</v>
      </c>
      <c r="B168" s="8" t="s">
        <v>53</v>
      </c>
      <c r="C168" s="8" t="s">
        <v>543</v>
      </c>
      <c r="D168" s="8" t="s">
        <v>3637</v>
      </c>
      <c r="E168" s="8" t="s">
        <v>3638</v>
      </c>
      <c r="F168" s="8" t="s">
        <v>3639</v>
      </c>
    </row>
    <row r="169" customFormat="false" ht="114.75" hidden="false" customHeight="true" outlineLevel="0" collapsed="false">
      <c r="A169" s="7" t="s">
        <v>2785</v>
      </c>
      <c r="B169" s="7" t="s">
        <v>53</v>
      </c>
      <c r="C169" s="7" t="s">
        <v>543</v>
      </c>
      <c r="D169" s="7" t="s">
        <v>623</v>
      </c>
      <c r="E169" s="7" t="s">
        <v>2786</v>
      </c>
      <c r="F169" s="7" t="s">
        <v>2787</v>
      </c>
    </row>
    <row r="170" customFormat="false" ht="114.75" hidden="false" customHeight="true" outlineLevel="0" collapsed="false">
      <c r="A170" s="8" t="s">
        <v>2788</v>
      </c>
      <c r="B170" s="8" t="s">
        <v>53</v>
      </c>
      <c r="C170" s="8" t="s">
        <v>543</v>
      </c>
      <c r="D170" s="8" t="s">
        <v>623</v>
      </c>
      <c r="E170" s="8" t="s">
        <v>2789</v>
      </c>
      <c r="F170" s="8" t="s">
        <v>2790</v>
      </c>
    </row>
    <row r="171" customFormat="false" ht="114.75" hidden="false" customHeight="true" outlineLevel="0" collapsed="false">
      <c r="A171" s="7" t="s">
        <v>2791</v>
      </c>
      <c r="B171" s="7" t="s">
        <v>53</v>
      </c>
      <c r="C171" s="7" t="s">
        <v>543</v>
      </c>
      <c r="D171" s="7" t="s">
        <v>3637</v>
      </c>
      <c r="E171" s="7" t="s">
        <v>3640</v>
      </c>
      <c r="F171" s="7" t="s">
        <v>3641</v>
      </c>
    </row>
    <row r="172" customFormat="false" ht="114.75" hidden="false" customHeight="true" outlineLevel="0" collapsed="false">
      <c r="A172" s="8" t="s">
        <v>2792</v>
      </c>
      <c r="B172" s="8" t="s">
        <v>53</v>
      </c>
      <c r="C172" s="8" t="s">
        <v>543</v>
      </c>
      <c r="D172" s="8" t="s">
        <v>3637</v>
      </c>
      <c r="E172" s="8" t="s">
        <v>3642</v>
      </c>
      <c r="F172" s="8" t="s">
        <v>3643</v>
      </c>
    </row>
    <row r="173" customFormat="false" ht="114.75" hidden="false" customHeight="true" outlineLevel="0" collapsed="false">
      <c r="A173" s="7" t="s">
        <v>2793</v>
      </c>
      <c r="B173" s="7" t="s">
        <v>53</v>
      </c>
      <c r="C173" s="7" t="s">
        <v>543</v>
      </c>
      <c r="D173" s="7" t="s">
        <v>2794</v>
      </c>
      <c r="E173" s="7" t="s">
        <v>2795</v>
      </c>
      <c r="F173" s="7" t="s">
        <v>2796</v>
      </c>
    </row>
    <row r="174" customFormat="false" ht="114.75" hidden="false" customHeight="true" outlineLevel="0" collapsed="false">
      <c r="A174" s="8" t="s">
        <v>2797</v>
      </c>
      <c r="B174" s="8" t="s">
        <v>53</v>
      </c>
      <c r="C174" s="8" t="s">
        <v>543</v>
      </c>
      <c r="D174" s="8" t="s">
        <v>2799</v>
      </c>
      <c r="E174" s="8" t="s">
        <v>3644</v>
      </c>
      <c r="F174" s="8" t="s">
        <v>3645</v>
      </c>
    </row>
    <row r="175" customFormat="false" ht="114.75" hidden="false" customHeight="true" outlineLevel="0" collapsed="false">
      <c r="A175" s="7" t="s">
        <v>2798</v>
      </c>
      <c r="B175" s="7" t="s">
        <v>53</v>
      </c>
      <c r="C175" s="7" t="s">
        <v>543</v>
      </c>
      <c r="D175" s="7" t="s">
        <v>2799</v>
      </c>
      <c r="E175" s="7" t="s">
        <v>2800</v>
      </c>
      <c r="F175" s="7" t="s">
        <v>2801</v>
      </c>
    </row>
    <row r="176" customFormat="false" ht="114.75" hidden="false" customHeight="true" outlineLevel="0" collapsed="false">
      <c r="A176" s="8" t="s">
        <v>2802</v>
      </c>
      <c r="B176" s="8" t="s">
        <v>56</v>
      </c>
      <c r="C176" s="8" t="s">
        <v>2803</v>
      </c>
      <c r="D176" s="8" t="s">
        <v>1633</v>
      </c>
      <c r="E176" s="8" t="s">
        <v>1631</v>
      </c>
      <c r="F176" s="8" t="s">
        <v>2804</v>
      </c>
    </row>
    <row r="177" customFormat="false" ht="114.75" hidden="false" customHeight="true" outlineLevel="0" collapsed="false">
      <c r="A177" s="7" t="s">
        <v>2805</v>
      </c>
      <c r="B177" s="7" t="s">
        <v>56</v>
      </c>
      <c r="C177" s="7" t="s">
        <v>2803</v>
      </c>
      <c r="D177" s="7" t="s">
        <v>1637</v>
      </c>
      <c r="E177" s="7" t="s">
        <v>1635</v>
      </c>
      <c r="F177" s="7" t="s">
        <v>2806</v>
      </c>
    </row>
    <row r="178" customFormat="false" ht="114.75" hidden="false" customHeight="true" outlineLevel="0" collapsed="false">
      <c r="A178" s="8" t="s">
        <v>2807</v>
      </c>
      <c r="B178" s="8" t="s">
        <v>56</v>
      </c>
      <c r="C178" s="8" t="s">
        <v>2803</v>
      </c>
      <c r="D178" s="8" t="s">
        <v>1187</v>
      </c>
      <c r="E178" s="8" t="s">
        <v>1638</v>
      </c>
      <c r="F178" s="8" t="s">
        <v>3646</v>
      </c>
    </row>
    <row r="179" customFormat="false" ht="114.75" hidden="false" customHeight="true" outlineLevel="0" collapsed="false">
      <c r="A179" s="7" t="s">
        <v>2809</v>
      </c>
      <c r="B179" s="7" t="s">
        <v>56</v>
      </c>
      <c r="C179" s="7" t="s">
        <v>2803</v>
      </c>
      <c r="D179" s="7" t="s">
        <v>1187</v>
      </c>
      <c r="E179" s="7" t="s">
        <v>1641</v>
      </c>
      <c r="F179" s="7" t="s">
        <v>2810</v>
      </c>
    </row>
    <row r="180" customFormat="false" ht="114.75" hidden="false" customHeight="true" outlineLevel="0" collapsed="false">
      <c r="A180" s="8" t="s">
        <v>2811</v>
      </c>
      <c r="B180" s="8" t="s">
        <v>56</v>
      </c>
      <c r="C180" s="8" t="s">
        <v>2803</v>
      </c>
      <c r="D180" s="8" t="s">
        <v>1187</v>
      </c>
      <c r="E180" s="8" t="s">
        <v>1644</v>
      </c>
      <c r="F180" s="8" t="s">
        <v>2812</v>
      </c>
    </row>
    <row r="181" customFormat="false" ht="114.75" hidden="false" customHeight="true" outlineLevel="0" collapsed="false">
      <c r="A181" s="7" t="s">
        <v>2813</v>
      </c>
      <c r="B181" s="7" t="s">
        <v>56</v>
      </c>
      <c r="C181" s="7" t="s">
        <v>2803</v>
      </c>
      <c r="D181" s="7" t="s">
        <v>1649</v>
      </c>
      <c r="E181" s="7" t="s">
        <v>1647</v>
      </c>
      <c r="F181" s="7" t="s">
        <v>2814</v>
      </c>
    </row>
    <row r="182" customFormat="false" ht="114.75" hidden="false" customHeight="true" outlineLevel="0" collapsed="false">
      <c r="A182" s="8" t="s">
        <v>2815</v>
      </c>
      <c r="B182" s="8" t="s">
        <v>56</v>
      </c>
      <c r="C182" s="8" t="s">
        <v>2803</v>
      </c>
      <c r="D182" s="8" t="s">
        <v>1653</v>
      </c>
      <c r="E182" s="8" t="s">
        <v>1651</v>
      </c>
      <c r="F182" s="8" t="s">
        <v>2816</v>
      </c>
    </row>
    <row r="183" customFormat="false" ht="114.75" hidden="false" customHeight="true" outlineLevel="0" collapsed="false">
      <c r="A183" s="7" t="s">
        <v>2817</v>
      </c>
      <c r="B183" s="7" t="s">
        <v>56</v>
      </c>
      <c r="C183" s="7" t="s">
        <v>2803</v>
      </c>
      <c r="D183" s="7" t="s">
        <v>1657</v>
      </c>
      <c r="E183" s="7" t="s">
        <v>1655</v>
      </c>
      <c r="F183" s="7" t="s">
        <v>2818</v>
      </c>
    </row>
    <row r="184" customFormat="false" ht="114.75" hidden="false" customHeight="true" outlineLevel="0" collapsed="false">
      <c r="A184" s="8" t="s">
        <v>2819</v>
      </c>
      <c r="B184" s="8" t="s">
        <v>56</v>
      </c>
      <c r="C184" s="8" t="s">
        <v>2803</v>
      </c>
      <c r="D184" s="8" t="s">
        <v>1661</v>
      </c>
      <c r="E184" s="8" t="s">
        <v>1659</v>
      </c>
      <c r="F184" s="8" t="s">
        <v>2820</v>
      </c>
    </row>
    <row r="185" customFormat="false" ht="114.75" hidden="false" customHeight="true" outlineLevel="0" collapsed="false">
      <c r="A185" s="7" t="s">
        <v>2821</v>
      </c>
      <c r="B185" s="7" t="s">
        <v>56</v>
      </c>
      <c r="C185" s="7" t="s">
        <v>2803</v>
      </c>
      <c r="D185" s="7" t="s">
        <v>1187</v>
      </c>
      <c r="E185" s="7" t="s">
        <v>1663</v>
      </c>
      <c r="F185" s="7" t="s">
        <v>2822</v>
      </c>
    </row>
    <row r="186" customFormat="false" ht="114.75" hidden="false" customHeight="true" outlineLevel="0" collapsed="false">
      <c r="A186" s="8" t="s">
        <v>2823</v>
      </c>
      <c r="B186" s="8" t="s">
        <v>56</v>
      </c>
      <c r="C186" s="8" t="s">
        <v>2803</v>
      </c>
      <c r="D186" s="8" t="s">
        <v>1668</v>
      </c>
      <c r="E186" s="8" t="s">
        <v>1666</v>
      </c>
      <c r="F186" s="8" t="s">
        <v>2824</v>
      </c>
    </row>
    <row r="187" customFormat="false" ht="114.75" hidden="false" customHeight="true" outlineLevel="0" collapsed="false">
      <c r="A187" s="7" t="s">
        <v>2825</v>
      </c>
      <c r="B187" s="7" t="s">
        <v>56</v>
      </c>
      <c r="C187" s="7" t="s">
        <v>2803</v>
      </c>
      <c r="D187" s="7" t="s">
        <v>1672</v>
      </c>
      <c r="E187" s="7" t="s">
        <v>1670</v>
      </c>
      <c r="F187" s="7" t="s">
        <v>2826</v>
      </c>
    </row>
    <row r="188" customFormat="false" ht="120" hidden="false" customHeight="true" outlineLevel="0" collapsed="false">
      <c r="A188" s="8" t="s">
        <v>2827</v>
      </c>
      <c r="B188" s="8" t="s">
        <v>2828</v>
      </c>
      <c r="C188" s="8" t="s">
        <v>2829</v>
      </c>
      <c r="D188" s="8" t="s">
        <v>2830</v>
      </c>
      <c r="E188" s="8" t="s">
        <v>2831</v>
      </c>
      <c r="F188" s="8" t="s">
        <v>2832</v>
      </c>
    </row>
    <row r="189" customFormat="false" ht="120" hidden="false" customHeight="true" outlineLevel="0" collapsed="false">
      <c r="A189" s="7" t="s">
        <v>2833</v>
      </c>
      <c r="B189" s="7" t="s">
        <v>36</v>
      </c>
      <c r="C189" s="7" t="s">
        <v>2829</v>
      </c>
      <c r="D189" s="7" t="s">
        <v>2834</v>
      </c>
      <c r="E189" s="7" t="s">
        <v>2835</v>
      </c>
      <c r="F189" s="7" t="s">
        <v>2836</v>
      </c>
    </row>
    <row r="190" customFormat="false" ht="120" hidden="false" customHeight="true" outlineLevel="0" collapsed="false">
      <c r="A190" s="8" t="s">
        <v>2837</v>
      </c>
      <c r="B190" s="8" t="s">
        <v>2838</v>
      </c>
      <c r="C190" s="8" t="s">
        <v>2829</v>
      </c>
      <c r="D190" s="8" t="s">
        <v>2839</v>
      </c>
      <c r="E190" s="8" t="s">
        <v>2840</v>
      </c>
      <c r="F190" s="8" t="s">
        <v>2841</v>
      </c>
    </row>
    <row r="191" customFormat="false" ht="120" hidden="false" customHeight="true" outlineLevel="0" collapsed="false">
      <c r="A191" s="7" t="s">
        <v>2842</v>
      </c>
      <c r="B191" s="7" t="s">
        <v>2843</v>
      </c>
      <c r="C191" s="7" t="s">
        <v>2829</v>
      </c>
      <c r="D191" s="7" t="s">
        <v>2106</v>
      </c>
      <c r="E191" s="7" t="s">
        <v>2844</v>
      </c>
      <c r="F191" s="7" t="s">
        <v>2845</v>
      </c>
    </row>
    <row r="192" customFormat="false" ht="120" hidden="false" customHeight="true" outlineLevel="0" collapsed="false">
      <c r="A192" s="8" t="s">
        <v>2846</v>
      </c>
      <c r="B192" s="8" t="s">
        <v>2847</v>
      </c>
      <c r="C192" s="8" t="s">
        <v>2829</v>
      </c>
      <c r="D192" s="8" t="s">
        <v>2106</v>
      </c>
      <c r="E192" s="8" t="s">
        <v>3647</v>
      </c>
      <c r="F192" s="8" t="s">
        <v>3648</v>
      </c>
    </row>
    <row r="193" customFormat="false" ht="120" hidden="false" customHeight="true" outlineLevel="0" collapsed="false">
      <c r="A193" s="7" t="s">
        <v>2848</v>
      </c>
      <c r="B193" s="7" t="s">
        <v>2849</v>
      </c>
      <c r="C193" s="7" t="s">
        <v>2829</v>
      </c>
      <c r="D193" s="7" t="s">
        <v>2106</v>
      </c>
      <c r="E193" s="7" t="s">
        <v>2850</v>
      </c>
      <c r="F193" s="7" t="s">
        <v>2851</v>
      </c>
    </row>
    <row r="194" customFormat="false" ht="120" hidden="false" customHeight="true" outlineLevel="0" collapsed="false">
      <c r="A194" s="8" t="s">
        <v>2852</v>
      </c>
      <c r="B194" s="8" t="s">
        <v>2853</v>
      </c>
      <c r="C194" s="8" t="s">
        <v>2829</v>
      </c>
      <c r="D194" s="8" t="s">
        <v>2839</v>
      </c>
      <c r="E194" s="8" t="s">
        <v>3649</v>
      </c>
      <c r="F194" s="8" t="s">
        <v>3650</v>
      </c>
    </row>
    <row r="195" customFormat="false" ht="120" hidden="false" customHeight="true" outlineLevel="0" collapsed="false">
      <c r="A195" s="7" t="s">
        <v>2854</v>
      </c>
      <c r="B195" s="7" t="s">
        <v>2855</v>
      </c>
      <c r="C195" s="7" t="s">
        <v>2829</v>
      </c>
      <c r="D195" s="7" t="s">
        <v>2866</v>
      </c>
      <c r="E195" s="7" t="s">
        <v>3651</v>
      </c>
      <c r="F195" s="7" t="s">
        <v>3652</v>
      </c>
    </row>
    <row r="196" customFormat="false" ht="120" hidden="false" customHeight="true" outlineLevel="0" collapsed="false">
      <c r="A196" s="8" t="s">
        <v>2856</v>
      </c>
      <c r="B196" s="8" t="s">
        <v>2857</v>
      </c>
      <c r="C196" s="8" t="s">
        <v>2829</v>
      </c>
      <c r="D196" s="8" t="s">
        <v>3653</v>
      </c>
      <c r="E196" s="8" t="s">
        <v>3654</v>
      </c>
      <c r="F196" s="8" t="s">
        <v>3655</v>
      </c>
    </row>
    <row r="197" customFormat="false" ht="120" hidden="false" customHeight="true" outlineLevel="0" collapsed="false">
      <c r="A197" s="7" t="s">
        <v>2858</v>
      </c>
      <c r="B197" s="7" t="s">
        <v>2859</v>
      </c>
      <c r="C197" s="7" t="s">
        <v>2829</v>
      </c>
      <c r="D197" s="7" t="s">
        <v>2866</v>
      </c>
      <c r="E197" s="7" t="s">
        <v>3656</v>
      </c>
      <c r="F197" s="7" t="s">
        <v>3657</v>
      </c>
    </row>
    <row r="198" customFormat="false" ht="120" hidden="false" customHeight="true" outlineLevel="0" collapsed="false">
      <c r="A198" s="8" t="s">
        <v>2861</v>
      </c>
      <c r="B198" s="8" t="s">
        <v>1778</v>
      </c>
      <c r="C198" s="8" t="s">
        <v>2829</v>
      </c>
      <c r="D198" s="8" t="s">
        <v>1187</v>
      </c>
      <c r="E198" s="8" t="s">
        <v>2862</v>
      </c>
      <c r="F198" s="8" t="s">
        <v>2863</v>
      </c>
    </row>
    <row r="199" customFormat="false" ht="120" hidden="false" customHeight="true" outlineLevel="0" collapsed="false">
      <c r="A199" s="7" t="s">
        <v>2864</v>
      </c>
      <c r="B199" s="7" t="s">
        <v>2865</v>
      </c>
      <c r="C199" s="7" t="s">
        <v>2829</v>
      </c>
      <c r="D199" s="7" t="s">
        <v>2866</v>
      </c>
      <c r="E199" s="7" t="s">
        <v>2867</v>
      </c>
      <c r="F199" s="7" t="s">
        <v>2868</v>
      </c>
    </row>
    <row r="200" customFormat="false" ht="120" hidden="false" customHeight="true" outlineLevel="0" collapsed="false">
      <c r="A200" s="8" t="s">
        <v>2869</v>
      </c>
      <c r="B200" s="8" t="s">
        <v>2870</v>
      </c>
      <c r="C200" s="8" t="s">
        <v>2829</v>
      </c>
      <c r="D200" s="8" t="s">
        <v>3658</v>
      </c>
      <c r="E200" s="8" t="s">
        <v>3659</v>
      </c>
      <c r="F200" s="8" t="s">
        <v>3660</v>
      </c>
    </row>
    <row r="201" customFormat="false" ht="120" hidden="false" customHeight="true" outlineLevel="0" collapsed="false">
      <c r="A201" s="7" t="s">
        <v>2872</v>
      </c>
      <c r="B201" s="7" t="s">
        <v>2873</v>
      </c>
      <c r="C201" s="7" t="s">
        <v>2829</v>
      </c>
      <c r="D201" s="7" t="s">
        <v>2866</v>
      </c>
      <c r="E201" s="7" t="s">
        <v>3661</v>
      </c>
      <c r="F201" s="7" t="s">
        <v>3662</v>
      </c>
    </row>
    <row r="202" customFormat="false" ht="120" hidden="false" customHeight="true" outlineLevel="0" collapsed="false">
      <c r="A202" s="8" t="s">
        <v>2874</v>
      </c>
      <c r="B202" s="8" t="s">
        <v>2875</v>
      </c>
      <c r="C202" s="8" t="s">
        <v>2829</v>
      </c>
      <c r="D202" s="8" t="s">
        <v>2106</v>
      </c>
      <c r="E202" s="8" t="s">
        <v>3663</v>
      </c>
      <c r="F202" s="8" t="s">
        <v>3664</v>
      </c>
    </row>
    <row r="203" customFormat="false" ht="120" hidden="false" customHeight="true" outlineLevel="0" collapsed="false">
      <c r="A203" s="7" t="s">
        <v>2877</v>
      </c>
      <c r="B203" s="7" t="s">
        <v>2878</v>
      </c>
      <c r="C203" s="7" t="s">
        <v>2829</v>
      </c>
      <c r="D203" s="7" t="s">
        <v>2866</v>
      </c>
      <c r="E203" s="7" t="s">
        <v>3498</v>
      </c>
      <c r="F203" s="7" t="s">
        <v>3501</v>
      </c>
    </row>
    <row r="204" customFormat="false" ht="120" hidden="false" customHeight="true" outlineLevel="0" collapsed="false">
      <c r="A204" s="8" t="s">
        <v>2879</v>
      </c>
      <c r="B204" s="8" t="s">
        <v>2880</v>
      </c>
      <c r="C204" s="8" t="s">
        <v>2829</v>
      </c>
      <c r="D204" s="8" t="s">
        <v>3504</v>
      </c>
      <c r="E204" s="8" t="s">
        <v>3506</v>
      </c>
      <c r="F204" s="8" t="s">
        <v>3509</v>
      </c>
    </row>
    <row r="205" customFormat="false" ht="120" hidden="false" customHeight="true" outlineLevel="0" collapsed="false">
      <c r="A205" s="7" t="s">
        <v>2881</v>
      </c>
      <c r="B205" s="7" t="s">
        <v>707</v>
      </c>
      <c r="C205" s="7" t="s">
        <v>2829</v>
      </c>
      <c r="D205" s="7" t="s">
        <v>2866</v>
      </c>
      <c r="E205" s="7" t="s">
        <v>2882</v>
      </c>
      <c r="F205" s="7" t="s">
        <v>2883</v>
      </c>
    </row>
  </sheetData>
  <autoFilter ref="A5:F205"/>
  <mergeCells count="2">
    <mergeCell ref="A1:F1"/>
    <mergeCell ref="A2:F3"/>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8D3B"/>
    <pageSetUpPr fitToPage="tru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4" width="28"/>
    <col collapsed="false" customWidth="true" hidden="false" outlineLevel="0" max="2" min="2" style="14" width="70"/>
    <col collapsed="false" customWidth="true" hidden="false" outlineLevel="0" max="3" min="3" style="14" width="90"/>
    <col collapsed="false" customWidth="true" hidden="false" outlineLevel="0" max="4" min="4" style="14" width="52"/>
  </cols>
  <sheetData>
    <row r="1" customFormat="false" ht="36" hidden="false" customHeight="true" outlineLevel="0" collapsed="false">
      <c r="A1" s="15" t="s">
        <v>3665</v>
      </c>
      <c r="B1" s="15"/>
      <c r="C1" s="15"/>
      <c r="D1" s="15"/>
    </row>
    <row r="2" customFormat="false" ht="69.75" hidden="false" customHeight="true" outlineLevel="0" collapsed="false">
      <c r="A2" s="16" t="s">
        <v>3666</v>
      </c>
      <c r="B2" s="16"/>
      <c r="C2" s="16"/>
      <c r="D2" s="16"/>
    </row>
    <row r="5" customFormat="false" ht="34.5" hidden="false" customHeight="true" outlineLevel="0" collapsed="false">
      <c r="A5" s="17" t="s">
        <v>2</v>
      </c>
      <c r="B5" s="17" t="s">
        <v>3667</v>
      </c>
      <c r="C5" s="17" t="s">
        <v>3668</v>
      </c>
      <c r="D5" s="17" t="s">
        <v>3669</v>
      </c>
    </row>
    <row r="6" customFormat="false" ht="105" hidden="false" customHeight="true" outlineLevel="0" collapsed="false">
      <c r="A6" s="8" t="s">
        <v>3670</v>
      </c>
      <c r="B6" s="8" t="s">
        <v>3671</v>
      </c>
      <c r="C6" s="8" t="s">
        <v>3672</v>
      </c>
      <c r="D6" s="8" t="s">
        <v>3673</v>
      </c>
    </row>
    <row r="7" customFormat="false" ht="105" hidden="false" customHeight="true" outlineLevel="0" collapsed="false">
      <c r="A7" s="7" t="s">
        <v>3674</v>
      </c>
      <c r="B7" s="7" t="s">
        <v>3675</v>
      </c>
      <c r="C7" s="7" t="s">
        <v>3676</v>
      </c>
      <c r="D7" s="7" t="s">
        <v>3677</v>
      </c>
    </row>
    <row r="8" customFormat="false" ht="105" hidden="false" customHeight="true" outlineLevel="0" collapsed="false">
      <c r="A8" s="8" t="s">
        <v>3678</v>
      </c>
      <c r="B8" s="8" t="s">
        <v>3679</v>
      </c>
      <c r="C8" s="8" t="s">
        <v>3680</v>
      </c>
      <c r="D8" s="8" t="s">
        <v>3681</v>
      </c>
    </row>
    <row r="9" customFormat="false" ht="105" hidden="false" customHeight="true" outlineLevel="0" collapsed="false">
      <c r="A9" s="7" t="s">
        <v>3682</v>
      </c>
      <c r="B9" s="7" t="s">
        <v>3683</v>
      </c>
      <c r="C9" s="7" t="s">
        <v>3684</v>
      </c>
      <c r="D9" s="7" t="s">
        <v>3685</v>
      </c>
    </row>
    <row r="10" customFormat="false" ht="105" hidden="false" customHeight="true" outlineLevel="0" collapsed="false">
      <c r="A10" s="8" t="s">
        <v>3686</v>
      </c>
      <c r="B10" s="8" t="s">
        <v>3687</v>
      </c>
      <c r="C10" s="8" t="s">
        <v>3688</v>
      </c>
      <c r="D10" s="8" t="s">
        <v>3689</v>
      </c>
    </row>
    <row r="11" customFormat="false" ht="105" hidden="false" customHeight="true" outlineLevel="0" collapsed="false">
      <c r="A11" s="7" t="s">
        <v>3690</v>
      </c>
      <c r="B11" s="7" t="s">
        <v>3691</v>
      </c>
      <c r="C11" s="7" t="s">
        <v>3692</v>
      </c>
      <c r="D11" s="7" t="s">
        <v>3693</v>
      </c>
    </row>
    <row r="12" customFormat="false" ht="105" hidden="false" customHeight="true" outlineLevel="0" collapsed="false">
      <c r="A12" s="8" t="s">
        <v>2475</v>
      </c>
      <c r="B12" s="8" t="s">
        <v>3694</v>
      </c>
      <c r="C12" s="8" t="s">
        <v>3695</v>
      </c>
      <c r="D12" s="8" t="s">
        <v>3696</v>
      </c>
    </row>
  </sheetData>
  <autoFilter ref="A5:D12"/>
  <mergeCells count="2">
    <mergeCell ref="A1:D1"/>
    <mergeCell ref="A2:D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6D75"/>
    <pageSetUpPr fitToPage="true"/>
  </sheetPr>
  <dimension ref="A1:I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4" width="22"/>
    <col collapsed="false" customWidth="true" hidden="false" outlineLevel="0" max="2" min="2" style="14" width="18"/>
    <col collapsed="false" customWidth="true" hidden="false" outlineLevel="0" max="3" min="3" style="14" width="24"/>
    <col collapsed="false" customWidth="true" hidden="false" outlineLevel="0" max="5" min="4" style="14" width="21"/>
    <col collapsed="false" customWidth="true" hidden="false" outlineLevel="0" max="6" min="6" style="14" width="24"/>
    <col collapsed="false" customWidth="true" hidden="false" outlineLevel="0" max="7" min="7" style="14" width="27"/>
    <col collapsed="false" customWidth="true" hidden="false" outlineLevel="0" max="8" min="8" style="14" width="25"/>
    <col collapsed="false" customWidth="true" hidden="false" outlineLevel="0" max="9" min="9" style="14" width="80"/>
  </cols>
  <sheetData>
    <row r="1" customFormat="false" ht="36" hidden="false" customHeight="true" outlineLevel="0" collapsed="false">
      <c r="A1" s="15" t="s">
        <v>3697</v>
      </c>
      <c r="B1" s="15"/>
      <c r="C1" s="15"/>
      <c r="D1" s="15"/>
      <c r="E1" s="15"/>
      <c r="F1" s="15"/>
      <c r="G1" s="15"/>
      <c r="H1" s="15"/>
      <c r="I1" s="15"/>
    </row>
    <row r="2" customFormat="false" ht="69.75" hidden="false" customHeight="true" outlineLevel="0" collapsed="false">
      <c r="A2" s="16" t="s">
        <v>3698</v>
      </c>
      <c r="B2" s="16"/>
      <c r="C2" s="16"/>
      <c r="D2" s="16"/>
      <c r="E2" s="16"/>
      <c r="F2" s="16"/>
      <c r="G2" s="16"/>
      <c r="H2" s="16"/>
      <c r="I2" s="16"/>
    </row>
    <row r="5" customFormat="false" ht="34.5" hidden="false" customHeight="true" outlineLevel="0" collapsed="false">
      <c r="A5" s="17" t="s">
        <v>3699</v>
      </c>
      <c r="B5" s="17" t="s">
        <v>3700</v>
      </c>
      <c r="C5" s="17" t="s">
        <v>3701</v>
      </c>
      <c r="D5" s="17" t="s">
        <v>3702</v>
      </c>
      <c r="E5" s="17" t="s">
        <v>3703</v>
      </c>
      <c r="F5" s="17" t="s">
        <v>3704</v>
      </c>
      <c r="G5" s="17" t="s">
        <v>3705</v>
      </c>
      <c r="H5" s="17" t="s">
        <v>3706</v>
      </c>
      <c r="I5" s="17" t="s">
        <v>809</v>
      </c>
    </row>
    <row r="6" customFormat="false" ht="84.75" hidden="false" customHeight="true" outlineLevel="0" collapsed="false">
      <c r="A6" s="8" t="s">
        <v>1312</v>
      </c>
      <c r="B6" s="8" t="n">
        <v>300</v>
      </c>
      <c r="C6" s="8" t="n">
        <f aca="false">ROUNDUP(B6*Parametry!$C$15,0)</f>
        <v>330</v>
      </c>
      <c r="D6" s="8" t="n">
        <v>200</v>
      </c>
      <c r="E6" s="8" t="n">
        <f aca="false">MAX(0,C6-D6)</f>
        <v>130</v>
      </c>
      <c r="F6" s="8" t="n">
        <v>50</v>
      </c>
      <c r="G6" s="8" t="n">
        <f aca="false">E6*F6/100*Parametry!$C$55</f>
        <v>16.25</v>
      </c>
      <c r="H6" s="8" t="n">
        <f aca="false">ROUNDUP(G6,0)</f>
        <v>17</v>
      </c>
      <c r="I6" s="8" t="s">
        <v>3707</v>
      </c>
    </row>
    <row r="7" customFormat="false" ht="84.75" hidden="false" customHeight="true" outlineLevel="0" collapsed="false">
      <c r="A7" s="7" t="s">
        <v>1311</v>
      </c>
      <c r="B7" s="7" t="n">
        <v>300</v>
      </c>
      <c r="C7" s="7" t="n">
        <f aca="false">ROUNDUP(B7*Parametry!$C$15,0)</f>
        <v>330</v>
      </c>
      <c r="D7" s="7" t="n">
        <v>200</v>
      </c>
      <c r="E7" s="7" t="n">
        <f aca="false">MAX(0,C7-D7)</f>
        <v>130</v>
      </c>
      <c r="F7" s="7" t="n">
        <v>50</v>
      </c>
      <c r="G7" s="7" t="n">
        <f aca="false">E7*F7/100*Parametry!$C$55</f>
        <v>16.25</v>
      </c>
      <c r="H7" s="7" t="n">
        <f aca="false">ROUNDUP(G7,0)</f>
        <v>17</v>
      </c>
      <c r="I7" s="7" t="s">
        <v>3707</v>
      </c>
    </row>
    <row r="8" customFormat="false" ht="84.75" hidden="false" customHeight="true" outlineLevel="0" collapsed="false">
      <c r="A8" s="8" t="s">
        <v>1315</v>
      </c>
      <c r="B8" s="8" t="n">
        <v>300</v>
      </c>
      <c r="C8" s="8" t="n">
        <f aca="false">ROUNDUP(B8*Parametry!$C$15,0)</f>
        <v>330</v>
      </c>
      <c r="D8" s="8" t="n">
        <v>200</v>
      </c>
      <c r="E8" s="8" t="n">
        <f aca="false">MAX(0,C8-D8)</f>
        <v>130</v>
      </c>
      <c r="F8" s="8" t="n">
        <v>150</v>
      </c>
      <c r="G8" s="8" t="n">
        <f aca="false">E8*F8/100*Parametry!$C$55</f>
        <v>48.75</v>
      </c>
      <c r="H8" s="8" t="n">
        <f aca="false">ROUNDUP(G8,0)</f>
        <v>49</v>
      </c>
      <c r="I8" s="8" t="s">
        <v>3707</v>
      </c>
    </row>
    <row r="9" customFormat="false" ht="84.75" hidden="false" customHeight="true" outlineLevel="0" collapsed="false">
      <c r="A9" s="7" t="s">
        <v>3708</v>
      </c>
      <c r="B9" s="7" t="n">
        <v>300</v>
      </c>
      <c r="C9" s="7" t="n">
        <f aca="false">ROUNDUP(B9*Parametry!$C$15,0)</f>
        <v>330</v>
      </c>
      <c r="D9" s="7" t="n">
        <v>200</v>
      </c>
      <c r="E9" s="7" t="n">
        <f aca="false">MAX(0,C9-D9)</f>
        <v>130</v>
      </c>
      <c r="F9" s="7" t="n">
        <v>150</v>
      </c>
      <c r="G9" s="7" t="n">
        <f aca="false">E9*F9/100*Parametry!$C$55</f>
        <v>48.75</v>
      </c>
      <c r="H9" s="7" t="n">
        <f aca="false">ROUNDUP(G9,0)</f>
        <v>49</v>
      </c>
      <c r="I9" s="7" t="s">
        <v>3707</v>
      </c>
    </row>
    <row r="10" customFormat="false" ht="84.75" hidden="false" customHeight="true" outlineLevel="0" collapsed="false">
      <c r="A10" s="8" t="s">
        <v>1312</v>
      </c>
      <c r="B10" s="8" t="n">
        <v>300</v>
      </c>
      <c r="C10" s="8" t="n">
        <f aca="false">ROUNDUP(B10*Parametry!$C$15,0)</f>
        <v>330</v>
      </c>
      <c r="D10" s="8" t="n">
        <v>330</v>
      </c>
      <c r="E10" s="8" t="n">
        <f aca="false">MAX(0,C10-D10)</f>
        <v>0</v>
      </c>
      <c r="F10" s="8" t="n">
        <v>50</v>
      </c>
      <c r="G10" s="8" t="n">
        <f aca="false">E10*F10/100*Parametry!$C$55</f>
        <v>0</v>
      </c>
      <c r="H10" s="8" t="n">
        <f aca="false">ROUNDUP(G10,0)</f>
        <v>0</v>
      </c>
      <c r="I10" s="8" t="s">
        <v>3707</v>
      </c>
    </row>
  </sheetData>
  <autoFilter ref="A5:I10"/>
  <mergeCells count="2">
    <mergeCell ref="A1:I1"/>
    <mergeCell ref="A2:I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4" width="12"/>
    <col collapsed="false" customWidth="true" hidden="false" outlineLevel="0" max="2" min="2" style="14" width="90"/>
    <col collapsed="false" customWidth="true" hidden="false" outlineLevel="0" max="3" min="3" style="14" width="65"/>
  </cols>
  <sheetData>
    <row r="1" customFormat="false" ht="36" hidden="false" customHeight="true" outlineLevel="0" collapsed="false">
      <c r="A1" s="15" t="s">
        <v>3709</v>
      </c>
      <c r="B1" s="15"/>
      <c r="C1" s="15"/>
    </row>
    <row r="2" customFormat="false" ht="69.75" hidden="false" customHeight="true" outlineLevel="0" collapsed="false">
      <c r="A2" s="16" t="s">
        <v>3710</v>
      </c>
      <c r="B2" s="16"/>
      <c r="C2" s="16"/>
    </row>
    <row r="5" customFormat="false" ht="34.5" hidden="false" customHeight="true" outlineLevel="0" collapsed="false">
      <c r="A5" s="17" t="s">
        <v>97</v>
      </c>
      <c r="B5" s="17" t="s">
        <v>3711</v>
      </c>
      <c r="C5" s="17" t="s">
        <v>282</v>
      </c>
    </row>
    <row r="6" customFormat="false" ht="42" hidden="false" customHeight="true" outlineLevel="0" collapsed="false">
      <c r="A6" s="8" t="s">
        <v>3712</v>
      </c>
      <c r="B6" s="8" t="s">
        <v>3713</v>
      </c>
      <c r="C6" s="8" t="s">
        <v>3714</v>
      </c>
    </row>
    <row r="7" customFormat="false" ht="42" hidden="false" customHeight="true" outlineLevel="0" collapsed="false">
      <c r="A7" s="7" t="s">
        <v>3715</v>
      </c>
      <c r="B7" s="7" t="s">
        <v>3716</v>
      </c>
      <c r="C7" s="7" t="s">
        <v>3714</v>
      </c>
    </row>
    <row r="8" customFormat="false" ht="42" hidden="false" customHeight="true" outlineLevel="0" collapsed="false">
      <c r="A8" s="8" t="s">
        <v>3717</v>
      </c>
      <c r="B8" s="8" t="s">
        <v>3718</v>
      </c>
      <c r="C8" s="8" t="s">
        <v>3714</v>
      </c>
    </row>
    <row r="9" customFormat="false" ht="42" hidden="false" customHeight="true" outlineLevel="0" collapsed="false">
      <c r="A9" s="7" t="s">
        <v>3719</v>
      </c>
      <c r="B9" s="7" t="s">
        <v>3720</v>
      </c>
      <c r="C9" s="7" t="s">
        <v>3714</v>
      </c>
    </row>
    <row r="10" customFormat="false" ht="42" hidden="false" customHeight="true" outlineLevel="0" collapsed="false">
      <c r="A10" s="8" t="s">
        <v>3721</v>
      </c>
      <c r="B10" s="8" t="s">
        <v>3722</v>
      </c>
      <c r="C10" s="8" t="s">
        <v>3714</v>
      </c>
    </row>
    <row r="11" customFormat="false" ht="42" hidden="false" customHeight="true" outlineLevel="0" collapsed="false">
      <c r="A11" s="7" t="s">
        <v>3723</v>
      </c>
      <c r="B11" s="7" t="s">
        <v>3724</v>
      </c>
      <c r="C11" s="7" t="s">
        <v>3714</v>
      </c>
    </row>
    <row r="12" customFormat="false" ht="42" hidden="false" customHeight="true" outlineLevel="0" collapsed="false">
      <c r="A12" s="8" t="s">
        <v>3725</v>
      </c>
      <c r="B12" s="8" t="s">
        <v>3726</v>
      </c>
      <c r="C12" s="8" t="s">
        <v>3714</v>
      </c>
    </row>
    <row r="13" customFormat="false" ht="42" hidden="false" customHeight="true" outlineLevel="0" collapsed="false">
      <c r="A13" s="7" t="s">
        <v>3727</v>
      </c>
      <c r="B13" s="7" t="s">
        <v>3728</v>
      </c>
      <c r="C13" s="7" t="s">
        <v>3714</v>
      </c>
    </row>
    <row r="14" customFormat="false" ht="42" hidden="false" customHeight="true" outlineLevel="0" collapsed="false">
      <c r="A14" s="8" t="s">
        <v>3729</v>
      </c>
      <c r="B14" s="8" t="s">
        <v>3730</v>
      </c>
      <c r="C14" s="8" t="s">
        <v>3714</v>
      </c>
    </row>
    <row r="15" customFormat="false" ht="42" hidden="false" customHeight="true" outlineLevel="0" collapsed="false">
      <c r="A15" s="7" t="s">
        <v>3731</v>
      </c>
      <c r="B15" s="7" t="s">
        <v>3732</v>
      </c>
      <c r="C15" s="7" t="s">
        <v>3714</v>
      </c>
    </row>
    <row r="16" customFormat="false" ht="42" hidden="false" customHeight="true" outlineLevel="0" collapsed="false">
      <c r="A16" s="8" t="s">
        <v>3733</v>
      </c>
      <c r="B16" s="8" t="s">
        <v>3734</v>
      </c>
      <c r="C16" s="8" t="s">
        <v>3714</v>
      </c>
    </row>
    <row r="17" customFormat="false" ht="42" hidden="false" customHeight="true" outlineLevel="0" collapsed="false">
      <c r="A17" s="7" t="s">
        <v>3735</v>
      </c>
      <c r="B17" s="7" t="s">
        <v>3736</v>
      </c>
      <c r="C17" s="7" t="s">
        <v>3714</v>
      </c>
    </row>
    <row r="18" customFormat="false" ht="42" hidden="false" customHeight="true" outlineLevel="0" collapsed="false">
      <c r="A18" s="8" t="s">
        <v>3737</v>
      </c>
      <c r="B18" s="8" t="s">
        <v>3738</v>
      </c>
      <c r="C18" s="8" t="s">
        <v>3714</v>
      </c>
    </row>
    <row r="19" customFormat="false" ht="42" hidden="false" customHeight="true" outlineLevel="0" collapsed="false">
      <c r="A19" s="7" t="s">
        <v>3739</v>
      </c>
      <c r="B19" s="7" t="s">
        <v>3740</v>
      </c>
      <c r="C19" s="7" t="s">
        <v>3714</v>
      </c>
    </row>
    <row r="20" customFormat="false" ht="42" hidden="false" customHeight="true" outlineLevel="0" collapsed="false">
      <c r="A20" s="8" t="s">
        <v>3741</v>
      </c>
      <c r="B20" s="8" t="s">
        <v>3742</v>
      </c>
      <c r="C20" s="8" t="s">
        <v>3714</v>
      </c>
    </row>
    <row r="21" customFormat="false" ht="42" hidden="false" customHeight="true" outlineLevel="0" collapsed="false">
      <c r="A21" s="7" t="s">
        <v>3743</v>
      </c>
      <c r="B21" s="7" t="s">
        <v>3744</v>
      </c>
      <c r="C21" s="7" t="s">
        <v>3714</v>
      </c>
    </row>
    <row r="22" customFormat="false" ht="42" hidden="false" customHeight="true" outlineLevel="0" collapsed="false">
      <c r="A22" s="8" t="s">
        <v>3745</v>
      </c>
      <c r="B22" s="8" t="s">
        <v>3746</v>
      </c>
      <c r="C22" s="8" t="s">
        <v>3714</v>
      </c>
    </row>
    <row r="23" customFormat="false" ht="42" hidden="false" customHeight="true" outlineLevel="0" collapsed="false">
      <c r="A23" s="7" t="s">
        <v>3747</v>
      </c>
      <c r="B23" s="7" t="s">
        <v>3748</v>
      </c>
      <c r="C23" s="7" t="s">
        <v>3714</v>
      </c>
    </row>
    <row r="24" customFormat="false" ht="42" hidden="false" customHeight="true" outlineLevel="0" collapsed="false">
      <c r="A24" s="8" t="s">
        <v>3749</v>
      </c>
      <c r="B24" s="8" t="s">
        <v>3750</v>
      </c>
      <c r="C24" s="8" t="s">
        <v>3714</v>
      </c>
    </row>
    <row r="25" customFormat="false" ht="42" hidden="false" customHeight="true" outlineLevel="0" collapsed="false">
      <c r="A25" s="7" t="s">
        <v>3751</v>
      </c>
      <c r="B25" s="7" t="s">
        <v>3752</v>
      </c>
      <c r="C25" s="7" t="s">
        <v>3714</v>
      </c>
    </row>
    <row r="26" customFormat="false" ht="42" hidden="false" customHeight="true" outlineLevel="0" collapsed="false">
      <c r="A26" s="8" t="s">
        <v>3753</v>
      </c>
      <c r="B26" s="8" t="s">
        <v>3754</v>
      </c>
      <c r="C26" s="8" t="s">
        <v>3714</v>
      </c>
    </row>
    <row r="27" customFormat="false" ht="42" hidden="false" customHeight="true" outlineLevel="0" collapsed="false">
      <c r="A27" s="7" t="s">
        <v>3755</v>
      </c>
      <c r="B27" s="7" t="s">
        <v>3756</v>
      </c>
      <c r="C27" s="7" t="s">
        <v>3714</v>
      </c>
    </row>
    <row r="28" customFormat="false" ht="42" hidden="false" customHeight="true" outlineLevel="0" collapsed="false">
      <c r="A28" s="8" t="s">
        <v>3757</v>
      </c>
      <c r="B28" s="8" t="s">
        <v>3758</v>
      </c>
      <c r="C28" s="8" t="s">
        <v>3714</v>
      </c>
    </row>
    <row r="29" customFormat="false" ht="42" hidden="false" customHeight="true" outlineLevel="0" collapsed="false">
      <c r="A29" s="7" t="s">
        <v>3759</v>
      </c>
      <c r="B29" s="7" t="s">
        <v>3760</v>
      </c>
      <c r="C29" s="7" t="s">
        <v>3714</v>
      </c>
    </row>
    <row r="30" customFormat="false" ht="42" hidden="false" customHeight="true" outlineLevel="0" collapsed="false">
      <c r="A30" s="8" t="s">
        <v>3761</v>
      </c>
      <c r="B30" s="8" t="s">
        <v>3762</v>
      </c>
      <c r="C30" s="8" t="s">
        <v>3714</v>
      </c>
    </row>
    <row r="31" customFormat="false" ht="42" hidden="false" customHeight="true" outlineLevel="0" collapsed="false">
      <c r="A31" s="7" t="s">
        <v>3763</v>
      </c>
      <c r="B31" s="7" t="s">
        <v>3764</v>
      </c>
      <c r="C31" s="7" t="s">
        <v>3714</v>
      </c>
    </row>
    <row r="32" customFormat="false" ht="42" hidden="false" customHeight="true" outlineLevel="0" collapsed="false">
      <c r="A32" s="8" t="s">
        <v>3765</v>
      </c>
      <c r="B32" s="8" t="s">
        <v>3766</v>
      </c>
      <c r="C32" s="8" t="s">
        <v>3714</v>
      </c>
    </row>
    <row r="33" customFormat="false" ht="42" hidden="false" customHeight="true" outlineLevel="0" collapsed="false">
      <c r="A33" s="7" t="s">
        <v>3767</v>
      </c>
      <c r="B33" s="7" t="s">
        <v>3768</v>
      </c>
      <c r="C33" s="7" t="s">
        <v>3714</v>
      </c>
    </row>
    <row r="34" customFormat="false" ht="42" hidden="false" customHeight="true" outlineLevel="0" collapsed="false">
      <c r="A34" s="8" t="s">
        <v>3769</v>
      </c>
      <c r="B34" s="8" t="s">
        <v>3770</v>
      </c>
      <c r="C34" s="8" t="s">
        <v>3714</v>
      </c>
    </row>
    <row r="35" customFormat="false" ht="42" hidden="false" customHeight="true" outlineLevel="0" collapsed="false">
      <c r="A35" s="7" t="s">
        <v>3771</v>
      </c>
      <c r="B35" s="7" t="s">
        <v>3772</v>
      </c>
      <c r="C35" s="7" t="s">
        <v>3714</v>
      </c>
    </row>
    <row r="36" customFormat="false" ht="42" hidden="false" customHeight="true" outlineLevel="0" collapsed="false">
      <c r="A36" s="8" t="s">
        <v>3773</v>
      </c>
      <c r="B36" s="8" t="s">
        <v>3774</v>
      </c>
      <c r="C36" s="8" t="s">
        <v>3714</v>
      </c>
    </row>
    <row r="37" customFormat="false" ht="42" hidden="false" customHeight="true" outlineLevel="0" collapsed="false">
      <c r="A37" s="7" t="s">
        <v>3775</v>
      </c>
      <c r="B37" s="7" t="s">
        <v>3776</v>
      </c>
      <c r="C37" s="7" t="s">
        <v>3714</v>
      </c>
    </row>
    <row r="38" customFormat="false" ht="42" hidden="false" customHeight="true" outlineLevel="0" collapsed="false">
      <c r="A38" s="8" t="s">
        <v>3777</v>
      </c>
      <c r="B38" s="8" t="s">
        <v>3778</v>
      </c>
      <c r="C38" s="8" t="s">
        <v>3714</v>
      </c>
    </row>
    <row r="39" customFormat="false" ht="42" hidden="false" customHeight="true" outlineLevel="0" collapsed="false">
      <c r="A39" s="7" t="s">
        <v>3779</v>
      </c>
      <c r="B39" s="7" t="s">
        <v>3780</v>
      </c>
      <c r="C39" s="7" t="s">
        <v>3714</v>
      </c>
    </row>
    <row r="40" customFormat="false" ht="42" hidden="false" customHeight="true" outlineLevel="0" collapsed="false">
      <c r="A40" s="8" t="s">
        <v>3781</v>
      </c>
      <c r="B40" s="8" t="s">
        <v>3782</v>
      </c>
      <c r="C40" s="8" t="s">
        <v>3714</v>
      </c>
    </row>
    <row r="41" customFormat="false" ht="42" hidden="false" customHeight="true" outlineLevel="0" collapsed="false">
      <c r="A41" s="7" t="s">
        <v>3783</v>
      </c>
      <c r="B41" s="7" t="s">
        <v>3784</v>
      </c>
      <c r="C41" s="7" t="s">
        <v>3714</v>
      </c>
    </row>
    <row r="42" customFormat="false" ht="42" hidden="false" customHeight="true" outlineLevel="0" collapsed="false">
      <c r="A42" s="8" t="s">
        <v>3785</v>
      </c>
      <c r="B42" s="8" t="s">
        <v>3786</v>
      </c>
      <c r="C42" s="8" t="s">
        <v>3714</v>
      </c>
    </row>
    <row r="43" customFormat="false" ht="42" hidden="false" customHeight="true" outlineLevel="0" collapsed="false">
      <c r="A43" s="7" t="s">
        <v>3787</v>
      </c>
      <c r="B43" s="7" t="s">
        <v>3788</v>
      </c>
      <c r="C43" s="7" t="s">
        <v>3714</v>
      </c>
    </row>
    <row r="44" customFormat="false" ht="42" hidden="false" customHeight="true" outlineLevel="0" collapsed="false">
      <c r="A44" s="8" t="s">
        <v>3789</v>
      </c>
      <c r="B44" s="8" t="s">
        <v>3790</v>
      </c>
      <c r="C44" s="8" t="s">
        <v>3714</v>
      </c>
    </row>
    <row r="45" customFormat="false" ht="42" hidden="false" customHeight="true" outlineLevel="0" collapsed="false">
      <c r="A45" s="7" t="s">
        <v>3791</v>
      </c>
      <c r="B45" s="7" t="s">
        <v>3792</v>
      </c>
      <c r="C45" s="7" t="s">
        <v>3714</v>
      </c>
    </row>
    <row r="46" customFormat="false" ht="42" hidden="false" customHeight="true" outlineLevel="0" collapsed="false">
      <c r="A46" s="8" t="s">
        <v>3793</v>
      </c>
      <c r="B46" s="8" t="s">
        <v>3794</v>
      </c>
      <c r="C46" s="8" t="s">
        <v>3714</v>
      </c>
    </row>
    <row r="47" customFormat="false" ht="42" hidden="false" customHeight="true" outlineLevel="0" collapsed="false">
      <c r="A47" s="7" t="s">
        <v>3795</v>
      </c>
      <c r="B47" s="7" t="s">
        <v>3796</v>
      </c>
      <c r="C47" s="7" t="s">
        <v>3714</v>
      </c>
    </row>
    <row r="48" customFormat="false" ht="42" hidden="false" customHeight="true" outlineLevel="0" collapsed="false">
      <c r="A48" s="8" t="s">
        <v>3797</v>
      </c>
      <c r="B48" s="8" t="s">
        <v>3798</v>
      </c>
      <c r="C48" s="8" t="s">
        <v>3714</v>
      </c>
    </row>
    <row r="49" customFormat="false" ht="42" hidden="false" customHeight="true" outlineLevel="0" collapsed="false">
      <c r="A49" s="7" t="s">
        <v>3799</v>
      </c>
      <c r="B49" s="7" t="s">
        <v>3800</v>
      </c>
      <c r="C49" s="7" t="s">
        <v>3714</v>
      </c>
    </row>
    <row r="50" customFormat="false" ht="42" hidden="false" customHeight="true" outlineLevel="0" collapsed="false">
      <c r="A50" s="8" t="s">
        <v>3801</v>
      </c>
      <c r="B50" s="8" t="s">
        <v>3802</v>
      </c>
      <c r="C50" s="8" t="s">
        <v>3714</v>
      </c>
    </row>
    <row r="51" customFormat="false" ht="42" hidden="false" customHeight="true" outlineLevel="0" collapsed="false">
      <c r="A51" s="7" t="s">
        <v>3803</v>
      </c>
      <c r="B51" s="7" t="s">
        <v>3804</v>
      </c>
      <c r="C51" s="7" t="s">
        <v>3714</v>
      </c>
    </row>
    <row r="52" customFormat="false" ht="42" hidden="false" customHeight="true" outlineLevel="0" collapsed="false">
      <c r="A52" s="8" t="s">
        <v>3805</v>
      </c>
      <c r="B52" s="8" t="s">
        <v>3806</v>
      </c>
      <c r="C52" s="8" t="s">
        <v>3714</v>
      </c>
    </row>
    <row r="53" customFormat="false" ht="42" hidden="false" customHeight="true" outlineLevel="0" collapsed="false">
      <c r="A53" s="7" t="s">
        <v>3807</v>
      </c>
      <c r="B53" s="7" t="s">
        <v>3808</v>
      </c>
      <c r="C53" s="7" t="s">
        <v>3714</v>
      </c>
    </row>
    <row r="54" customFormat="false" ht="42" hidden="false" customHeight="true" outlineLevel="0" collapsed="false">
      <c r="A54" s="8" t="s">
        <v>3809</v>
      </c>
      <c r="B54" s="8" t="s">
        <v>3810</v>
      </c>
      <c r="C54" s="8" t="s">
        <v>3714</v>
      </c>
    </row>
    <row r="55" customFormat="false" ht="42" hidden="false" customHeight="true" outlineLevel="0" collapsed="false">
      <c r="A55" s="7" t="s">
        <v>3811</v>
      </c>
      <c r="B55" s="7" t="s">
        <v>3812</v>
      </c>
      <c r="C55" s="7" t="s">
        <v>3714</v>
      </c>
    </row>
    <row r="56" customFormat="false" ht="42" hidden="false" customHeight="true" outlineLevel="0" collapsed="false">
      <c r="A56" s="8" t="s">
        <v>3813</v>
      </c>
      <c r="B56" s="8" t="s">
        <v>3814</v>
      </c>
      <c r="C56" s="8" t="s">
        <v>3714</v>
      </c>
    </row>
    <row r="57" customFormat="false" ht="42" hidden="false" customHeight="true" outlineLevel="0" collapsed="false">
      <c r="A57" s="7" t="s">
        <v>3815</v>
      </c>
      <c r="B57" s="7" t="s">
        <v>3816</v>
      </c>
      <c r="C57" s="7" t="s">
        <v>3714</v>
      </c>
    </row>
    <row r="58" customFormat="false" ht="42" hidden="false" customHeight="true" outlineLevel="0" collapsed="false">
      <c r="A58" s="8" t="s">
        <v>3817</v>
      </c>
      <c r="B58" s="8" t="s">
        <v>3818</v>
      </c>
      <c r="C58" s="8" t="s">
        <v>3714</v>
      </c>
    </row>
    <row r="59" customFormat="false" ht="42" hidden="false" customHeight="true" outlineLevel="0" collapsed="false">
      <c r="A59" s="7" t="s">
        <v>3819</v>
      </c>
      <c r="B59" s="7" t="s">
        <v>3820</v>
      </c>
      <c r="C59" s="7" t="s">
        <v>3714</v>
      </c>
    </row>
    <row r="60" customFormat="false" ht="42" hidden="false" customHeight="true" outlineLevel="0" collapsed="false">
      <c r="A60" s="8" t="s">
        <v>3821</v>
      </c>
      <c r="B60" s="8" t="s">
        <v>3822</v>
      </c>
      <c r="C60" s="8" t="s">
        <v>3714</v>
      </c>
    </row>
    <row r="61" customFormat="false" ht="42" hidden="false" customHeight="true" outlineLevel="0" collapsed="false">
      <c r="A61" s="7" t="s">
        <v>3823</v>
      </c>
      <c r="B61" s="7" t="s">
        <v>3824</v>
      </c>
      <c r="C61" s="7" t="s">
        <v>3714</v>
      </c>
    </row>
    <row r="62" customFormat="false" ht="42" hidden="false" customHeight="true" outlineLevel="0" collapsed="false">
      <c r="A62" s="8" t="s">
        <v>3825</v>
      </c>
      <c r="B62" s="8" t="s">
        <v>3826</v>
      </c>
      <c r="C62" s="8" t="s">
        <v>3714</v>
      </c>
    </row>
    <row r="63" customFormat="false" ht="42" hidden="false" customHeight="true" outlineLevel="0" collapsed="false">
      <c r="A63" s="7" t="s">
        <v>3827</v>
      </c>
      <c r="B63" s="7" t="s">
        <v>3828</v>
      </c>
      <c r="C63" s="7" t="s">
        <v>3714</v>
      </c>
    </row>
    <row r="64" customFormat="false" ht="42" hidden="false" customHeight="true" outlineLevel="0" collapsed="false">
      <c r="A64" s="8" t="s">
        <v>3829</v>
      </c>
      <c r="B64" s="8" t="s">
        <v>3830</v>
      </c>
      <c r="C64" s="8" t="s">
        <v>3714</v>
      </c>
    </row>
    <row r="65" customFormat="false" ht="42" hidden="false" customHeight="true" outlineLevel="0" collapsed="false">
      <c r="A65" s="7" t="s">
        <v>3831</v>
      </c>
      <c r="B65" s="7" t="s">
        <v>3832</v>
      </c>
      <c r="C65" s="7" t="s">
        <v>3714</v>
      </c>
    </row>
    <row r="66" customFormat="false" ht="42" hidden="false" customHeight="true" outlineLevel="0" collapsed="false">
      <c r="A66" s="8" t="s">
        <v>3833</v>
      </c>
      <c r="B66" s="8" t="s">
        <v>3834</v>
      </c>
      <c r="C66" s="8" t="s">
        <v>3714</v>
      </c>
    </row>
    <row r="67" customFormat="false" ht="42" hidden="false" customHeight="true" outlineLevel="0" collapsed="false">
      <c r="A67" s="7" t="s">
        <v>3835</v>
      </c>
      <c r="B67" s="7" t="s">
        <v>3836</v>
      </c>
      <c r="C67" s="7" t="s">
        <v>3714</v>
      </c>
    </row>
    <row r="68" customFormat="false" ht="42" hidden="false" customHeight="true" outlineLevel="0" collapsed="false">
      <c r="A68" s="8" t="s">
        <v>3837</v>
      </c>
      <c r="B68" s="8" t="s">
        <v>3838</v>
      </c>
      <c r="C68" s="8" t="s">
        <v>3714</v>
      </c>
    </row>
    <row r="69" customFormat="false" ht="42" hidden="false" customHeight="true" outlineLevel="0" collapsed="false">
      <c r="A69" s="7" t="s">
        <v>3839</v>
      </c>
      <c r="B69" s="7" t="s">
        <v>3840</v>
      </c>
      <c r="C69" s="7" t="s">
        <v>3714</v>
      </c>
    </row>
    <row r="70" customFormat="false" ht="42" hidden="false" customHeight="true" outlineLevel="0" collapsed="false">
      <c r="A70" s="8" t="s">
        <v>3841</v>
      </c>
      <c r="B70" s="8" t="s">
        <v>3842</v>
      </c>
      <c r="C70" s="8" t="s">
        <v>3714</v>
      </c>
    </row>
    <row r="71" customFormat="false" ht="42" hidden="false" customHeight="true" outlineLevel="0" collapsed="false">
      <c r="A71" s="7" t="s">
        <v>3843</v>
      </c>
      <c r="B71" s="7" t="s">
        <v>3844</v>
      </c>
      <c r="C71" s="7" t="s">
        <v>3714</v>
      </c>
    </row>
    <row r="72" customFormat="false" ht="42" hidden="false" customHeight="true" outlineLevel="0" collapsed="false">
      <c r="A72" s="8" t="s">
        <v>3845</v>
      </c>
      <c r="B72" s="8" t="s">
        <v>3846</v>
      </c>
      <c r="C72" s="8" t="s">
        <v>3714</v>
      </c>
    </row>
    <row r="73" customFormat="false" ht="42" hidden="false" customHeight="true" outlineLevel="0" collapsed="false">
      <c r="A73" s="7" t="s">
        <v>3847</v>
      </c>
      <c r="B73" s="7" t="s">
        <v>3848</v>
      </c>
      <c r="C73" s="7" t="s">
        <v>3714</v>
      </c>
    </row>
    <row r="74" customFormat="false" ht="42" hidden="false" customHeight="true" outlineLevel="0" collapsed="false">
      <c r="A74" s="8" t="s">
        <v>3849</v>
      </c>
      <c r="B74" s="8" t="s">
        <v>3850</v>
      </c>
      <c r="C74" s="8" t="s">
        <v>3714</v>
      </c>
    </row>
    <row r="75" customFormat="false" ht="42" hidden="false" customHeight="true" outlineLevel="0" collapsed="false">
      <c r="A75" s="7" t="s">
        <v>3851</v>
      </c>
      <c r="B75" s="7" t="s">
        <v>3852</v>
      </c>
      <c r="C75" s="7" t="s">
        <v>3714</v>
      </c>
    </row>
    <row r="76" customFormat="false" ht="42" hidden="false" customHeight="true" outlineLevel="0" collapsed="false">
      <c r="A76" s="8" t="s">
        <v>3853</v>
      </c>
      <c r="B76" s="8" t="s">
        <v>3854</v>
      </c>
      <c r="C76" s="8" t="s">
        <v>3714</v>
      </c>
    </row>
    <row r="77" customFormat="false" ht="42" hidden="false" customHeight="true" outlineLevel="0" collapsed="false">
      <c r="A77" s="7" t="s">
        <v>3855</v>
      </c>
      <c r="B77" s="7" t="s">
        <v>3856</v>
      </c>
      <c r="C77" s="7" t="s">
        <v>3714</v>
      </c>
    </row>
    <row r="78" customFormat="false" ht="42" hidden="false" customHeight="true" outlineLevel="0" collapsed="false">
      <c r="A78" s="8" t="s">
        <v>3857</v>
      </c>
      <c r="B78" s="8" t="s">
        <v>3858</v>
      </c>
      <c r="C78" s="8" t="s">
        <v>3714</v>
      </c>
    </row>
    <row r="79" customFormat="false" ht="42" hidden="false" customHeight="true" outlineLevel="0" collapsed="false">
      <c r="A79" s="7" t="s">
        <v>3859</v>
      </c>
      <c r="B79" s="7" t="s">
        <v>3860</v>
      </c>
      <c r="C79" s="7" t="s">
        <v>3714</v>
      </c>
    </row>
    <row r="80" customFormat="false" ht="42" hidden="false" customHeight="true" outlineLevel="0" collapsed="false">
      <c r="A80" s="8" t="s">
        <v>3861</v>
      </c>
      <c r="B80" s="8" t="s">
        <v>3862</v>
      </c>
      <c r="C80" s="8" t="s">
        <v>3714</v>
      </c>
    </row>
    <row r="81" customFormat="false" ht="42" hidden="false" customHeight="true" outlineLevel="0" collapsed="false">
      <c r="A81" s="7" t="s">
        <v>3863</v>
      </c>
      <c r="B81" s="7" t="s">
        <v>3864</v>
      </c>
      <c r="C81" s="7" t="s">
        <v>3714</v>
      </c>
    </row>
    <row r="82" customFormat="false" ht="42" hidden="false" customHeight="true" outlineLevel="0" collapsed="false">
      <c r="A82" s="8" t="s">
        <v>3865</v>
      </c>
      <c r="B82" s="8" t="s">
        <v>3866</v>
      </c>
      <c r="C82" s="8" t="s">
        <v>3714</v>
      </c>
    </row>
    <row r="83" customFormat="false" ht="42" hidden="false" customHeight="true" outlineLevel="0" collapsed="false">
      <c r="A83" s="7" t="s">
        <v>3867</v>
      </c>
      <c r="B83" s="7" t="s">
        <v>3868</v>
      </c>
      <c r="C83" s="7" t="s">
        <v>3714</v>
      </c>
    </row>
    <row r="84" customFormat="false" ht="42" hidden="false" customHeight="true" outlineLevel="0" collapsed="false">
      <c r="A84" s="8" t="s">
        <v>3869</v>
      </c>
      <c r="B84" s="8" t="s">
        <v>3870</v>
      </c>
      <c r="C84" s="8" t="s">
        <v>3714</v>
      </c>
    </row>
    <row r="85" customFormat="false" ht="42" hidden="false" customHeight="true" outlineLevel="0" collapsed="false">
      <c r="A85" s="7" t="s">
        <v>3871</v>
      </c>
      <c r="B85" s="7" t="s">
        <v>3872</v>
      </c>
      <c r="C85" s="7" t="s">
        <v>3714</v>
      </c>
    </row>
    <row r="86" customFormat="false" ht="42" hidden="false" customHeight="true" outlineLevel="0" collapsed="false">
      <c r="A86" s="8" t="s">
        <v>3873</v>
      </c>
      <c r="B86" s="8" t="s">
        <v>3874</v>
      </c>
      <c r="C86" s="8" t="s">
        <v>3714</v>
      </c>
    </row>
    <row r="87" customFormat="false" ht="42" hidden="false" customHeight="true" outlineLevel="0" collapsed="false">
      <c r="A87" s="7" t="s">
        <v>3875</v>
      </c>
      <c r="B87" s="7" t="s">
        <v>3876</v>
      </c>
      <c r="C87" s="7" t="s">
        <v>3714</v>
      </c>
    </row>
    <row r="88" customFormat="false" ht="42" hidden="false" customHeight="true" outlineLevel="0" collapsed="false">
      <c r="A88" s="8" t="s">
        <v>3877</v>
      </c>
      <c r="B88" s="8" t="s">
        <v>3878</v>
      </c>
      <c r="C88" s="8" t="s">
        <v>3714</v>
      </c>
    </row>
    <row r="89" customFormat="false" ht="42" hidden="false" customHeight="true" outlineLevel="0" collapsed="false">
      <c r="A89" s="7" t="s">
        <v>3879</v>
      </c>
      <c r="B89" s="7" t="s">
        <v>3880</v>
      </c>
      <c r="C89" s="7" t="s">
        <v>3714</v>
      </c>
    </row>
    <row r="90" customFormat="false" ht="42" hidden="false" customHeight="true" outlineLevel="0" collapsed="false">
      <c r="A90" s="8" t="s">
        <v>3881</v>
      </c>
      <c r="B90" s="8" t="s">
        <v>3882</v>
      </c>
      <c r="C90" s="8" t="s">
        <v>3714</v>
      </c>
    </row>
    <row r="91" customFormat="false" ht="42" hidden="false" customHeight="true" outlineLevel="0" collapsed="false">
      <c r="A91" s="7" t="s">
        <v>3883</v>
      </c>
      <c r="B91" s="7" t="s">
        <v>3884</v>
      </c>
      <c r="C91" s="7" t="s">
        <v>3714</v>
      </c>
    </row>
    <row r="92" customFormat="false" ht="42" hidden="false" customHeight="true" outlineLevel="0" collapsed="false">
      <c r="A92" s="8" t="s">
        <v>3885</v>
      </c>
      <c r="B92" s="8" t="s">
        <v>3886</v>
      </c>
      <c r="C92" s="8" t="s">
        <v>3714</v>
      </c>
    </row>
    <row r="93" customFormat="false" ht="42" hidden="false" customHeight="true" outlineLevel="0" collapsed="false">
      <c r="A93" s="7" t="s">
        <v>3887</v>
      </c>
      <c r="B93" s="7" t="s">
        <v>3888</v>
      </c>
      <c r="C93" s="7" t="s">
        <v>3714</v>
      </c>
    </row>
    <row r="94" customFormat="false" ht="42" hidden="false" customHeight="true" outlineLevel="0" collapsed="false">
      <c r="A94" s="8" t="s">
        <v>3889</v>
      </c>
      <c r="B94" s="8" t="s">
        <v>3890</v>
      </c>
      <c r="C94" s="8" t="s">
        <v>3714</v>
      </c>
    </row>
    <row r="95" customFormat="false" ht="42" hidden="false" customHeight="true" outlineLevel="0" collapsed="false">
      <c r="A95" s="7" t="s">
        <v>3891</v>
      </c>
      <c r="B95" s="7" t="s">
        <v>3892</v>
      </c>
      <c r="C95" s="7" t="s">
        <v>3714</v>
      </c>
    </row>
    <row r="96" customFormat="false" ht="42" hidden="false" customHeight="true" outlineLevel="0" collapsed="false">
      <c r="A96" s="8" t="s">
        <v>3893</v>
      </c>
      <c r="B96" s="8" t="s">
        <v>3894</v>
      </c>
      <c r="C96" s="8" t="s">
        <v>3714</v>
      </c>
    </row>
    <row r="97" customFormat="false" ht="42" hidden="false" customHeight="true" outlineLevel="0" collapsed="false">
      <c r="A97" s="7" t="s">
        <v>3895</v>
      </c>
      <c r="B97" s="7" t="s">
        <v>3896</v>
      </c>
      <c r="C97" s="7" t="s">
        <v>3714</v>
      </c>
    </row>
    <row r="98" customFormat="false" ht="42" hidden="false" customHeight="true" outlineLevel="0" collapsed="false">
      <c r="A98" s="8" t="s">
        <v>3897</v>
      </c>
      <c r="B98" s="8" t="s">
        <v>3898</v>
      </c>
      <c r="C98" s="8" t="s">
        <v>3714</v>
      </c>
    </row>
    <row r="99" customFormat="false" ht="42" hidden="false" customHeight="true" outlineLevel="0" collapsed="false">
      <c r="A99" s="7" t="s">
        <v>3899</v>
      </c>
      <c r="B99" s="7" t="s">
        <v>3900</v>
      </c>
      <c r="C99" s="7" t="s">
        <v>3714</v>
      </c>
    </row>
    <row r="100" customFormat="false" ht="42" hidden="false" customHeight="true" outlineLevel="0" collapsed="false">
      <c r="A100" s="8" t="s">
        <v>3901</v>
      </c>
      <c r="B100" s="8" t="s">
        <v>3902</v>
      </c>
      <c r="C100" s="8" t="s">
        <v>3714</v>
      </c>
    </row>
    <row r="101" customFormat="false" ht="42" hidden="false" customHeight="true" outlineLevel="0" collapsed="false">
      <c r="A101" s="7" t="s">
        <v>3903</v>
      </c>
      <c r="B101" s="7" t="s">
        <v>3904</v>
      </c>
      <c r="C101" s="7" t="s">
        <v>3714</v>
      </c>
    </row>
    <row r="102" customFormat="false" ht="42" hidden="false" customHeight="true" outlineLevel="0" collapsed="false">
      <c r="A102" s="8" t="s">
        <v>3905</v>
      </c>
      <c r="B102" s="8" t="s">
        <v>3906</v>
      </c>
      <c r="C102" s="8" t="s">
        <v>3714</v>
      </c>
    </row>
    <row r="103" customFormat="false" ht="42" hidden="false" customHeight="true" outlineLevel="0" collapsed="false">
      <c r="A103" s="7" t="s">
        <v>3907</v>
      </c>
      <c r="B103" s="7" t="s">
        <v>3908</v>
      </c>
      <c r="C103" s="7" t="s">
        <v>3714</v>
      </c>
    </row>
    <row r="104" customFormat="false" ht="42" hidden="false" customHeight="true" outlineLevel="0" collapsed="false">
      <c r="A104" s="8" t="s">
        <v>3909</v>
      </c>
      <c r="B104" s="8" t="s">
        <v>3910</v>
      </c>
      <c r="C104" s="8" t="s">
        <v>3714</v>
      </c>
    </row>
    <row r="105" customFormat="false" ht="42" hidden="false" customHeight="true" outlineLevel="0" collapsed="false">
      <c r="A105" s="7" t="s">
        <v>3911</v>
      </c>
      <c r="B105" s="7" t="s">
        <v>3912</v>
      </c>
      <c r="C105" s="7" t="s">
        <v>3714</v>
      </c>
    </row>
  </sheetData>
  <autoFilter ref="A5:C105"/>
  <mergeCells count="2">
    <mergeCell ref="A1:C1"/>
    <mergeCell ref="A2:C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4A3A8"/>
    <pageSetUpPr fitToPage="true"/>
  </sheetPr>
  <dimension ref="A1:F2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customHeight="false" zeroHeight="false" outlineLevelRow="0" outlineLevelCol="0"/>
  <cols>
    <col collapsed="false" customWidth="true" hidden="false" outlineLevel="0" max="1" min="1" style="14" width="13"/>
    <col collapsed="false" customWidth="true" hidden="false" outlineLevel="0" max="2" min="2" style="14" width="29"/>
    <col collapsed="false" customWidth="true" hidden="false" outlineLevel="0" max="3" min="3" style="14" width="53"/>
    <col collapsed="false" customWidth="true" hidden="false" outlineLevel="0" max="4" min="4" style="14" width="48"/>
    <col collapsed="false" customWidth="true" hidden="false" outlineLevel="0" max="6" min="5" style="14" width="115"/>
  </cols>
  <sheetData>
    <row r="1" customFormat="false" ht="33.75" hidden="false" customHeight="true" outlineLevel="0" collapsed="false">
      <c r="A1" s="44" t="s">
        <v>3913</v>
      </c>
      <c r="B1" s="44"/>
      <c r="C1" s="44"/>
      <c r="D1" s="44"/>
      <c r="E1" s="44"/>
      <c r="F1" s="44"/>
    </row>
    <row r="2" customFormat="false" ht="24.75" hidden="false" customHeight="true" outlineLevel="0" collapsed="false">
      <c r="A2" s="45" t="s">
        <v>3914</v>
      </c>
      <c r="B2" s="45"/>
      <c r="C2" s="45"/>
      <c r="D2" s="45"/>
      <c r="E2" s="45"/>
      <c r="F2" s="45"/>
    </row>
    <row r="3" customFormat="false" ht="24.75" hidden="false" customHeight="true" outlineLevel="0" collapsed="false">
      <c r="A3" s="45"/>
      <c r="B3" s="45"/>
      <c r="C3" s="45"/>
      <c r="D3" s="45"/>
      <c r="E3" s="45"/>
      <c r="F3" s="45"/>
    </row>
    <row r="5" customFormat="false" ht="48" hidden="false" customHeight="true" outlineLevel="0" collapsed="false">
      <c r="A5" s="11" t="s">
        <v>97</v>
      </c>
      <c r="B5" s="11" t="s">
        <v>2</v>
      </c>
      <c r="C5" s="11" t="s">
        <v>2263</v>
      </c>
      <c r="D5" s="11" t="s">
        <v>322</v>
      </c>
      <c r="E5" s="11" t="s">
        <v>567</v>
      </c>
      <c r="F5" s="11" t="s">
        <v>100</v>
      </c>
    </row>
    <row r="6" customFormat="false" ht="99.75" hidden="false" customHeight="true" outlineLevel="0" collapsed="false">
      <c r="A6" s="8" t="s">
        <v>2264</v>
      </c>
      <c r="B6" s="8" t="s">
        <v>107</v>
      </c>
      <c r="C6" s="8" t="s">
        <v>103</v>
      </c>
      <c r="D6" s="8" t="s">
        <v>1822</v>
      </c>
      <c r="E6" s="8" t="s">
        <v>2265</v>
      </c>
      <c r="F6" s="8" t="s">
        <v>2266</v>
      </c>
    </row>
    <row r="7" customFormat="false" ht="99.75" hidden="false" customHeight="true" outlineLevel="0" collapsed="false">
      <c r="A7" s="7" t="s">
        <v>2267</v>
      </c>
      <c r="B7" s="7" t="s">
        <v>107</v>
      </c>
      <c r="C7" s="7" t="s">
        <v>2268</v>
      </c>
      <c r="D7" s="7" t="s">
        <v>2269</v>
      </c>
      <c r="E7" s="7" t="s">
        <v>2270</v>
      </c>
      <c r="F7" s="7" t="s">
        <v>2271</v>
      </c>
    </row>
    <row r="8" customFormat="false" ht="99.75" hidden="false" customHeight="true" outlineLevel="0" collapsed="false">
      <c r="A8" s="8" t="s">
        <v>2272</v>
      </c>
      <c r="B8" s="8" t="s">
        <v>107</v>
      </c>
      <c r="C8" s="8" t="s">
        <v>103</v>
      </c>
      <c r="D8" s="8" t="s">
        <v>1822</v>
      </c>
      <c r="E8" s="8" t="s">
        <v>2273</v>
      </c>
      <c r="F8" s="8" t="s">
        <v>2274</v>
      </c>
    </row>
    <row r="9" customFormat="false" ht="99.75" hidden="false" customHeight="true" outlineLevel="0" collapsed="false">
      <c r="A9" s="7" t="s">
        <v>2275</v>
      </c>
      <c r="B9" s="7" t="s">
        <v>2276</v>
      </c>
      <c r="C9" s="7" t="s">
        <v>475</v>
      </c>
      <c r="D9" s="7" t="s">
        <v>1822</v>
      </c>
      <c r="E9" s="7" t="s">
        <v>2277</v>
      </c>
      <c r="F9" s="7" t="s">
        <v>2278</v>
      </c>
    </row>
    <row r="10" customFormat="false" ht="99.75" hidden="false" customHeight="true" outlineLevel="0" collapsed="false">
      <c r="A10" s="8" t="s">
        <v>2279</v>
      </c>
      <c r="B10" s="8" t="s">
        <v>2276</v>
      </c>
      <c r="C10" s="8" t="s">
        <v>103</v>
      </c>
      <c r="D10" s="8" t="s">
        <v>1822</v>
      </c>
      <c r="E10" s="8" t="s">
        <v>2280</v>
      </c>
      <c r="F10" s="8" t="s">
        <v>2281</v>
      </c>
    </row>
    <row r="11" customFormat="false" ht="99.75" hidden="false" customHeight="true" outlineLevel="0" collapsed="false">
      <c r="A11" s="7" t="s">
        <v>2282</v>
      </c>
      <c r="B11" s="7" t="s">
        <v>2283</v>
      </c>
      <c r="C11" s="7" t="s">
        <v>475</v>
      </c>
      <c r="D11" s="7" t="s">
        <v>1822</v>
      </c>
      <c r="E11" s="7" t="s">
        <v>2284</v>
      </c>
      <c r="F11" s="7" t="s">
        <v>2285</v>
      </c>
    </row>
    <row r="12" customFormat="false" ht="99.75" hidden="false" customHeight="true" outlineLevel="0" collapsed="false">
      <c r="A12" s="8" t="s">
        <v>2286</v>
      </c>
      <c r="B12" s="8" t="s">
        <v>2287</v>
      </c>
      <c r="C12" s="8" t="s">
        <v>486</v>
      </c>
      <c r="D12" s="8" t="s">
        <v>1822</v>
      </c>
      <c r="E12" s="8" t="s">
        <v>2288</v>
      </c>
      <c r="F12" s="8" t="s">
        <v>2289</v>
      </c>
    </row>
    <row r="13" customFormat="false" ht="99.75" hidden="false" customHeight="true" outlineLevel="0" collapsed="false">
      <c r="A13" s="7" t="s">
        <v>2290</v>
      </c>
      <c r="B13" s="7" t="s">
        <v>2287</v>
      </c>
      <c r="C13" s="7" t="s">
        <v>2291</v>
      </c>
      <c r="D13" s="7" t="s">
        <v>1822</v>
      </c>
      <c r="E13" s="7" t="s">
        <v>2292</v>
      </c>
      <c r="F13" s="7" t="s">
        <v>2293</v>
      </c>
    </row>
    <row r="14" customFormat="false" ht="99.75" hidden="false" customHeight="true" outlineLevel="0" collapsed="false">
      <c r="A14" s="8" t="s">
        <v>2294</v>
      </c>
      <c r="B14" s="8" t="s">
        <v>2287</v>
      </c>
      <c r="C14" s="8" t="s">
        <v>2291</v>
      </c>
      <c r="D14" s="8" t="s">
        <v>1822</v>
      </c>
      <c r="E14" s="8" t="s">
        <v>2295</v>
      </c>
      <c r="F14" s="8" t="s">
        <v>2296</v>
      </c>
    </row>
    <row r="15" customFormat="false" ht="99.75" hidden="false" customHeight="true" outlineLevel="0" collapsed="false">
      <c r="A15" s="7" t="s">
        <v>2297</v>
      </c>
      <c r="B15" s="7" t="s">
        <v>2298</v>
      </c>
      <c r="C15" s="7" t="s">
        <v>2299</v>
      </c>
      <c r="D15" s="7" t="s">
        <v>2300</v>
      </c>
      <c r="E15" s="7" t="s">
        <v>2301</v>
      </c>
      <c r="F15" s="7" t="s">
        <v>2302</v>
      </c>
    </row>
    <row r="16" customFormat="false" ht="99.75" hidden="false" customHeight="true" outlineLevel="0" collapsed="false">
      <c r="A16" s="8" t="s">
        <v>2303</v>
      </c>
      <c r="B16" s="8" t="s">
        <v>2298</v>
      </c>
      <c r="C16" s="8" t="s">
        <v>2299</v>
      </c>
      <c r="D16" s="8" t="s">
        <v>2304</v>
      </c>
      <c r="E16" s="8" t="s">
        <v>2305</v>
      </c>
      <c r="F16" s="8" t="s">
        <v>2306</v>
      </c>
    </row>
    <row r="17" customFormat="false" ht="99.75" hidden="false" customHeight="true" outlineLevel="0" collapsed="false">
      <c r="A17" s="7" t="s">
        <v>2307</v>
      </c>
      <c r="B17" s="7" t="s">
        <v>2308</v>
      </c>
      <c r="C17" s="7" t="s">
        <v>2268</v>
      </c>
      <c r="D17" s="7" t="s">
        <v>1822</v>
      </c>
      <c r="E17" s="7" t="s">
        <v>2309</v>
      </c>
      <c r="F17" s="7" t="s">
        <v>2310</v>
      </c>
    </row>
    <row r="18" customFormat="false" ht="99.75" hidden="false" customHeight="true" outlineLevel="0" collapsed="false">
      <c r="A18" s="8" t="s">
        <v>2311</v>
      </c>
      <c r="B18" s="8" t="s">
        <v>2312</v>
      </c>
      <c r="C18" s="8" t="s">
        <v>2268</v>
      </c>
      <c r="D18" s="8" t="s">
        <v>1822</v>
      </c>
      <c r="E18" s="8" t="s">
        <v>2313</v>
      </c>
      <c r="F18" s="8" t="s">
        <v>2314</v>
      </c>
    </row>
    <row r="19" customFormat="false" ht="99.75" hidden="false" customHeight="true" outlineLevel="0" collapsed="false">
      <c r="A19" s="7" t="s">
        <v>2315</v>
      </c>
      <c r="B19" s="7" t="s">
        <v>2316</v>
      </c>
      <c r="C19" s="7" t="s">
        <v>2268</v>
      </c>
      <c r="D19" s="7" t="s">
        <v>2300</v>
      </c>
      <c r="E19" s="7" t="s">
        <v>2317</v>
      </c>
      <c r="F19" s="7" t="s">
        <v>2318</v>
      </c>
    </row>
    <row r="20" customFormat="false" ht="99.75" hidden="false" customHeight="true" outlineLevel="0" collapsed="false">
      <c r="A20" s="8" t="s">
        <v>2319</v>
      </c>
      <c r="B20" s="8" t="s">
        <v>2320</v>
      </c>
      <c r="C20" s="8" t="s">
        <v>2268</v>
      </c>
      <c r="D20" s="8" t="s">
        <v>2304</v>
      </c>
      <c r="E20" s="8" t="s">
        <v>2321</v>
      </c>
      <c r="F20" s="8" t="s">
        <v>2322</v>
      </c>
    </row>
    <row r="21" customFormat="false" ht="99.75" hidden="false" customHeight="true" outlineLevel="0" collapsed="false">
      <c r="A21" s="7" t="s">
        <v>2323</v>
      </c>
      <c r="B21" s="7" t="s">
        <v>120</v>
      </c>
      <c r="C21" s="7" t="s">
        <v>2324</v>
      </c>
      <c r="D21" s="7" t="s">
        <v>1800</v>
      </c>
      <c r="E21" s="7" t="s">
        <v>2325</v>
      </c>
      <c r="F21" s="7" t="s">
        <v>2326</v>
      </c>
    </row>
    <row r="22" customFormat="false" ht="99.75" hidden="false" customHeight="true" outlineLevel="0" collapsed="false">
      <c r="A22" s="8" t="s">
        <v>2327</v>
      </c>
      <c r="B22" s="8" t="s">
        <v>120</v>
      </c>
      <c r="C22" s="8" t="s">
        <v>2328</v>
      </c>
      <c r="D22" s="8" t="s">
        <v>1822</v>
      </c>
      <c r="E22" s="8" t="s">
        <v>2329</v>
      </c>
      <c r="F22" s="8" t="s">
        <v>2330</v>
      </c>
    </row>
    <row r="23" customFormat="false" ht="99.75" hidden="false" customHeight="true" outlineLevel="0" collapsed="false">
      <c r="A23" s="7" t="s">
        <v>2331</v>
      </c>
      <c r="B23" s="7" t="s">
        <v>2332</v>
      </c>
      <c r="C23" s="7" t="s">
        <v>494</v>
      </c>
      <c r="D23" s="7" t="s">
        <v>1822</v>
      </c>
      <c r="E23" s="7" t="s">
        <v>2333</v>
      </c>
      <c r="F23" s="7" t="s">
        <v>2334</v>
      </c>
    </row>
    <row r="24" customFormat="false" ht="99.75" hidden="false" customHeight="true" outlineLevel="0" collapsed="false">
      <c r="A24" s="8" t="s">
        <v>2335</v>
      </c>
      <c r="B24" s="8" t="s">
        <v>605</v>
      </c>
      <c r="C24" s="8" t="s">
        <v>502</v>
      </c>
      <c r="D24" s="8" t="s">
        <v>1822</v>
      </c>
      <c r="E24" s="8" t="s">
        <v>2336</v>
      </c>
      <c r="F24" s="8" t="s">
        <v>2337</v>
      </c>
    </row>
    <row r="25" customFormat="false" ht="99.75" hidden="false" customHeight="true" outlineLevel="0" collapsed="false">
      <c r="A25" s="7" t="s">
        <v>2338</v>
      </c>
      <c r="B25" s="7" t="s">
        <v>605</v>
      </c>
      <c r="C25" s="7" t="s">
        <v>510</v>
      </c>
      <c r="D25" s="7" t="s">
        <v>1822</v>
      </c>
      <c r="E25" s="7" t="s">
        <v>2339</v>
      </c>
      <c r="F25" s="7" t="s">
        <v>2337</v>
      </c>
    </row>
    <row r="26" customFormat="false" ht="99.75" hidden="false" customHeight="true" outlineLevel="0" collapsed="false">
      <c r="A26" s="8" t="s">
        <v>2340</v>
      </c>
      <c r="B26" s="8" t="s">
        <v>2332</v>
      </c>
      <c r="C26" s="8" t="s">
        <v>2341</v>
      </c>
      <c r="D26" s="8" t="s">
        <v>1822</v>
      </c>
      <c r="E26" s="8" t="s">
        <v>2342</v>
      </c>
      <c r="F26" s="8" t="s">
        <v>2343</v>
      </c>
    </row>
    <row r="27" customFormat="false" ht="99.75" hidden="false" customHeight="true" outlineLevel="0" collapsed="false">
      <c r="A27" s="7" t="s">
        <v>2344</v>
      </c>
      <c r="B27" s="7" t="s">
        <v>2345</v>
      </c>
      <c r="C27" s="7" t="s">
        <v>2324</v>
      </c>
      <c r="D27" s="7" t="s">
        <v>1822</v>
      </c>
      <c r="E27" s="7" t="s">
        <v>3519</v>
      </c>
      <c r="F27" s="7" t="s">
        <v>2347</v>
      </c>
    </row>
    <row r="28" customFormat="false" ht="99.75" hidden="false" customHeight="true" outlineLevel="0" collapsed="false">
      <c r="A28" s="8" t="s">
        <v>2348</v>
      </c>
      <c r="B28" s="8" t="s">
        <v>2349</v>
      </c>
      <c r="C28" s="8" t="s">
        <v>2350</v>
      </c>
      <c r="D28" s="8" t="s">
        <v>1822</v>
      </c>
      <c r="E28" s="8" t="s">
        <v>2351</v>
      </c>
      <c r="F28" s="8" t="s">
        <v>2352</v>
      </c>
    </row>
    <row r="29" customFormat="false" ht="99.75" hidden="false" customHeight="true" outlineLevel="0" collapsed="false">
      <c r="A29" s="7" t="s">
        <v>2353</v>
      </c>
      <c r="B29" s="7" t="s">
        <v>2349</v>
      </c>
      <c r="C29" s="7" t="s">
        <v>2350</v>
      </c>
      <c r="D29" s="7" t="s">
        <v>2354</v>
      </c>
      <c r="E29" s="7" t="s">
        <v>447</v>
      </c>
      <c r="F29" s="7" t="s">
        <v>2355</v>
      </c>
    </row>
    <row r="30" customFormat="false" ht="99.75" hidden="false" customHeight="true" outlineLevel="0" collapsed="false">
      <c r="A30" s="8" t="s">
        <v>2356</v>
      </c>
      <c r="B30" s="8" t="s">
        <v>468</v>
      </c>
      <c r="C30" s="8" t="s">
        <v>2357</v>
      </c>
      <c r="D30" s="8" t="s">
        <v>2358</v>
      </c>
      <c r="E30" s="8" t="s">
        <v>2359</v>
      </c>
      <c r="F30" s="8" t="s">
        <v>2360</v>
      </c>
    </row>
    <row r="31" customFormat="false" ht="99.75" hidden="false" customHeight="true" outlineLevel="0" collapsed="false">
      <c r="A31" s="7" t="s">
        <v>2361</v>
      </c>
      <c r="B31" s="7" t="s">
        <v>518</v>
      </c>
      <c r="C31" s="7" t="s">
        <v>518</v>
      </c>
      <c r="D31" s="7" t="s">
        <v>1822</v>
      </c>
      <c r="E31" s="7" t="s">
        <v>2362</v>
      </c>
      <c r="F31" s="7" t="s">
        <v>2363</v>
      </c>
    </row>
    <row r="32" customFormat="false" ht="99.75" hidden="false" customHeight="true" outlineLevel="0" collapsed="false">
      <c r="A32" s="8" t="s">
        <v>2364</v>
      </c>
      <c r="B32" s="8" t="s">
        <v>518</v>
      </c>
      <c r="C32" s="8" t="s">
        <v>518</v>
      </c>
      <c r="D32" s="8" t="s">
        <v>1822</v>
      </c>
      <c r="E32" s="8" t="s">
        <v>2365</v>
      </c>
      <c r="F32" s="8" t="s">
        <v>2366</v>
      </c>
    </row>
    <row r="33" customFormat="false" ht="99.75" hidden="false" customHeight="true" outlineLevel="0" collapsed="false">
      <c r="A33" s="7" t="s">
        <v>2367</v>
      </c>
      <c r="B33" s="7" t="s">
        <v>24</v>
      </c>
      <c r="C33" s="7" t="s">
        <v>518</v>
      </c>
      <c r="D33" s="7" t="s">
        <v>2300</v>
      </c>
      <c r="E33" s="7" t="s">
        <v>2368</v>
      </c>
      <c r="F33" s="7" t="s">
        <v>2369</v>
      </c>
    </row>
    <row r="34" customFormat="false" ht="99.75" hidden="false" customHeight="true" outlineLevel="0" collapsed="false">
      <c r="A34" s="8" t="s">
        <v>2370</v>
      </c>
      <c r="B34" s="8" t="s">
        <v>24</v>
      </c>
      <c r="C34" s="8" t="s">
        <v>518</v>
      </c>
      <c r="D34" s="8" t="s">
        <v>2371</v>
      </c>
      <c r="E34" s="8" t="s">
        <v>2372</v>
      </c>
      <c r="F34" s="8" t="s">
        <v>2373</v>
      </c>
    </row>
    <row r="35" customFormat="false" ht="99.75" hidden="false" customHeight="true" outlineLevel="0" collapsed="false">
      <c r="A35" s="7" t="s">
        <v>2374</v>
      </c>
      <c r="B35" s="7" t="s">
        <v>24</v>
      </c>
      <c r="C35" s="7" t="s">
        <v>2375</v>
      </c>
      <c r="D35" s="7" t="s">
        <v>2300</v>
      </c>
      <c r="E35" s="7" t="s">
        <v>2376</v>
      </c>
      <c r="F35" s="7" t="s">
        <v>2377</v>
      </c>
    </row>
    <row r="36" customFormat="false" ht="99.75" hidden="false" customHeight="true" outlineLevel="0" collapsed="false">
      <c r="A36" s="8" t="s">
        <v>2378</v>
      </c>
      <c r="B36" s="8" t="s">
        <v>585</v>
      </c>
      <c r="C36" s="8" t="s">
        <v>2379</v>
      </c>
      <c r="D36" s="8" t="s">
        <v>1822</v>
      </c>
      <c r="E36" s="8" t="s">
        <v>2380</v>
      </c>
      <c r="F36" s="8" t="s">
        <v>2381</v>
      </c>
    </row>
    <row r="37" customFormat="false" ht="99.75" hidden="false" customHeight="true" outlineLevel="0" collapsed="false">
      <c r="A37" s="7" t="s">
        <v>2382</v>
      </c>
      <c r="B37" s="7" t="s">
        <v>2383</v>
      </c>
      <c r="C37" s="7" t="s">
        <v>2384</v>
      </c>
      <c r="D37" s="7" t="s">
        <v>2300</v>
      </c>
      <c r="E37" s="7" t="s">
        <v>2385</v>
      </c>
      <c r="F37" s="7" t="s">
        <v>2386</v>
      </c>
    </row>
    <row r="38" customFormat="false" ht="99.75" hidden="false" customHeight="true" outlineLevel="0" collapsed="false">
      <c r="A38" s="8" t="s">
        <v>2387</v>
      </c>
      <c r="B38" s="8" t="s">
        <v>2383</v>
      </c>
      <c r="C38" s="8" t="s">
        <v>2388</v>
      </c>
      <c r="D38" s="8" t="s">
        <v>2389</v>
      </c>
      <c r="E38" s="8" t="s">
        <v>2390</v>
      </c>
      <c r="F38" s="8" t="s">
        <v>2391</v>
      </c>
    </row>
    <row r="39" customFormat="false" ht="99.75" hidden="false" customHeight="true" outlineLevel="0" collapsed="false">
      <c r="A39" s="7" t="s">
        <v>2392</v>
      </c>
      <c r="B39" s="7" t="s">
        <v>250</v>
      </c>
      <c r="C39" s="7" t="s">
        <v>2268</v>
      </c>
      <c r="D39" s="7" t="s">
        <v>1822</v>
      </c>
      <c r="E39" s="7" t="s">
        <v>2393</v>
      </c>
      <c r="F39" s="7" t="s">
        <v>2394</v>
      </c>
    </row>
    <row r="40" customFormat="false" ht="99.75" hidden="false" customHeight="true" outlineLevel="0" collapsed="false">
      <c r="A40" s="8" t="s">
        <v>2395</v>
      </c>
      <c r="B40" s="8" t="s">
        <v>250</v>
      </c>
      <c r="C40" s="8" t="s">
        <v>2268</v>
      </c>
      <c r="D40" s="8" t="s">
        <v>2354</v>
      </c>
      <c r="E40" s="8" t="s">
        <v>2396</v>
      </c>
      <c r="F40" s="8" t="s">
        <v>2355</v>
      </c>
    </row>
    <row r="41" customFormat="false" ht="99.75" hidden="false" customHeight="true" outlineLevel="0" collapsed="false">
      <c r="A41" s="7" t="s">
        <v>2397</v>
      </c>
      <c r="B41" s="7" t="s">
        <v>250</v>
      </c>
      <c r="C41" s="7" t="s">
        <v>2268</v>
      </c>
      <c r="D41" s="7" t="s">
        <v>1822</v>
      </c>
      <c r="E41" s="7" t="s">
        <v>2398</v>
      </c>
      <c r="F41" s="7" t="s">
        <v>2399</v>
      </c>
    </row>
    <row r="42" customFormat="false" ht="99.75" hidden="false" customHeight="true" outlineLevel="0" collapsed="false">
      <c r="A42" s="8" t="s">
        <v>2400</v>
      </c>
      <c r="B42" s="8" t="s">
        <v>250</v>
      </c>
      <c r="C42" s="8" t="s">
        <v>2268</v>
      </c>
      <c r="D42" s="8" t="s">
        <v>1822</v>
      </c>
      <c r="E42" s="8" t="s">
        <v>2401</v>
      </c>
      <c r="F42" s="8" t="s">
        <v>2402</v>
      </c>
    </row>
    <row r="43" customFormat="false" ht="99.75" hidden="false" customHeight="true" outlineLevel="0" collapsed="false">
      <c r="A43" s="7" t="s">
        <v>2403</v>
      </c>
      <c r="B43" s="7" t="s">
        <v>250</v>
      </c>
      <c r="C43" s="7" t="s">
        <v>2268</v>
      </c>
      <c r="D43" s="7" t="s">
        <v>1822</v>
      </c>
      <c r="E43" s="7" t="s">
        <v>2404</v>
      </c>
      <c r="F43" s="7" t="s">
        <v>2405</v>
      </c>
    </row>
    <row r="44" customFormat="false" ht="99.75" hidden="false" customHeight="true" outlineLevel="0" collapsed="false">
      <c r="A44" s="8" t="s">
        <v>2406</v>
      </c>
      <c r="B44" s="8" t="s">
        <v>250</v>
      </c>
      <c r="C44" s="8" t="s">
        <v>2268</v>
      </c>
      <c r="D44" s="8" t="s">
        <v>1822</v>
      </c>
      <c r="E44" s="8" t="s">
        <v>2407</v>
      </c>
      <c r="F44" s="8" t="s">
        <v>2408</v>
      </c>
    </row>
    <row r="45" customFormat="false" ht="99.75" hidden="false" customHeight="true" outlineLevel="0" collapsed="false">
      <c r="A45" s="7" t="s">
        <v>2409</v>
      </c>
      <c r="B45" s="7" t="s">
        <v>644</v>
      </c>
      <c r="C45" s="7" t="s">
        <v>2268</v>
      </c>
      <c r="D45" s="7" t="s">
        <v>2354</v>
      </c>
      <c r="E45" s="7" t="s">
        <v>2410</v>
      </c>
      <c r="F45" s="7" t="s">
        <v>2355</v>
      </c>
    </row>
    <row r="46" customFormat="false" ht="99.75" hidden="false" customHeight="true" outlineLevel="0" collapsed="false">
      <c r="A46" s="8" t="s">
        <v>2411</v>
      </c>
      <c r="B46" s="8" t="s">
        <v>2107</v>
      </c>
      <c r="C46" s="8" t="s">
        <v>2412</v>
      </c>
      <c r="D46" s="8" t="s">
        <v>2354</v>
      </c>
      <c r="E46" s="8" t="s">
        <v>2413</v>
      </c>
      <c r="F46" s="8" t="s">
        <v>2355</v>
      </c>
    </row>
    <row r="47" customFormat="false" ht="99.75" hidden="false" customHeight="true" outlineLevel="0" collapsed="false">
      <c r="A47" s="7" t="s">
        <v>2414</v>
      </c>
      <c r="B47" s="7" t="s">
        <v>146</v>
      </c>
      <c r="C47" s="7" t="s">
        <v>2415</v>
      </c>
      <c r="D47" s="7" t="s">
        <v>2354</v>
      </c>
      <c r="E47" s="7" t="s">
        <v>2416</v>
      </c>
      <c r="F47" s="7" t="s">
        <v>2355</v>
      </c>
    </row>
    <row r="48" customFormat="false" ht="99.75" hidden="false" customHeight="true" outlineLevel="0" collapsed="false">
      <c r="A48" s="8" t="s">
        <v>2417</v>
      </c>
      <c r="B48" s="8" t="s">
        <v>146</v>
      </c>
      <c r="C48" s="8" t="s">
        <v>2418</v>
      </c>
      <c r="D48" s="8" t="s">
        <v>1822</v>
      </c>
      <c r="E48" s="8" t="s">
        <v>2419</v>
      </c>
      <c r="F48" s="8" t="s">
        <v>2420</v>
      </c>
    </row>
    <row r="49" customFormat="false" ht="99.75" hidden="false" customHeight="true" outlineLevel="0" collapsed="false">
      <c r="A49" s="7" t="s">
        <v>2421</v>
      </c>
      <c r="B49" s="7" t="s">
        <v>2422</v>
      </c>
      <c r="C49" s="7" t="s">
        <v>2268</v>
      </c>
      <c r="D49" s="7" t="s">
        <v>1822</v>
      </c>
      <c r="E49" s="7" t="s">
        <v>2423</v>
      </c>
      <c r="F49" s="7" t="s">
        <v>2424</v>
      </c>
    </row>
    <row r="50" customFormat="false" ht="99.75" hidden="false" customHeight="true" outlineLevel="0" collapsed="false">
      <c r="A50" s="8" t="s">
        <v>2425</v>
      </c>
      <c r="B50" s="8" t="s">
        <v>2426</v>
      </c>
      <c r="C50" s="8" t="s">
        <v>2415</v>
      </c>
      <c r="D50" s="8" t="s">
        <v>1822</v>
      </c>
      <c r="E50" s="8" t="s">
        <v>2427</v>
      </c>
      <c r="F50" s="8" t="s">
        <v>2428</v>
      </c>
    </row>
    <row r="51" customFormat="false" ht="99.75" hidden="false" customHeight="true" outlineLevel="0" collapsed="false">
      <c r="A51" s="7" t="s">
        <v>2429</v>
      </c>
      <c r="B51" s="7" t="s">
        <v>2426</v>
      </c>
      <c r="C51" s="7" t="s">
        <v>2268</v>
      </c>
      <c r="D51" s="7" t="s">
        <v>1822</v>
      </c>
      <c r="E51" s="7" t="s">
        <v>2430</v>
      </c>
      <c r="F51" s="7" t="s">
        <v>2431</v>
      </c>
    </row>
    <row r="52" customFormat="false" ht="99.75" hidden="false" customHeight="true" outlineLevel="0" collapsed="false">
      <c r="A52" s="8" t="s">
        <v>2432</v>
      </c>
      <c r="B52" s="8" t="s">
        <v>2426</v>
      </c>
      <c r="C52" s="8" t="s">
        <v>2268</v>
      </c>
      <c r="D52" s="8" t="s">
        <v>1822</v>
      </c>
      <c r="E52" s="8" t="s">
        <v>2433</v>
      </c>
      <c r="F52" s="8" t="s">
        <v>2434</v>
      </c>
    </row>
    <row r="53" customFormat="false" ht="99.75" hidden="false" customHeight="true" outlineLevel="0" collapsed="false">
      <c r="A53" s="7" t="s">
        <v>2435</v>
      </c>
      <c r="B53" s="7" t="s">
        <v>2426</v>
      </c>
      <c r="C53" s="7" t="s">
        <v>2415</v>
      </c>
      <c r="D53" s="7" t="s">
        <v>1822</v>
      </c>
      <c r="E53" s="7" t="s">
        <v>2436</v>
      </c>
      <c r="F53" s="7" t="s">
        <v>2437</v>
      </c>
    </row>
    <row r="54" customFormat="false" ht="99.75" hidden="false" customHeight="true" outlineLevel="0" collapsed="false">
      <c r="A54" s="8" t="s">
        <v>2438</v>
      </c>
      <c r="B54" s="8" t="s">
        <v>731</v>
      </c>
      <c r="C54" s="8" t="s">
        <v>103</v>
      </c>
      <c r="D54" s="8" t="s">
        <v>2354</v>
      </c>
      <c r="E54" s="8" t="s">
        <v>2439</v>
      </c>
      <c r="F54" s="8" t="s">
        <v>2355</v>
      </c>
    </row>
    <row r="55" customFormat="false" ht="99.75" hidden="false" customHeight="true" outlineLevel="0" collapsed="false">
      <c r="A55" s="7" t="s">
        <v>2440</v>
      </c>
      <c r="B55" s="7" t="s">
        <v>525</v>
      </c>
      <c r="C55" s="7" t="s">
        <v>525</v>
      </c>
      <c r="D55" s="7" t="s">
        <v>1822</v>
      </c>
      <c r="E55" s="7" t="s">
        <v>2441</v>
      </c>
      <c r="F55" s="7" t="s">
        <v>2442</v>
      </c>
    </row>
    <row r="56" customFormat="false" ht="99.75" hidden="false" customHeight="true" outlineLevel="0" collapsed="false">
      <c r="A56" s="8" t="s">
        <v>2443</v>
      </c>
      <c r="B56" s="8" t="s">
        <v>525</v>
      </c>
      <c r="C56" s="8" t="s">
        <v>525</v>
      </c>
      <c r="D56" s="8" t="s">
        <v>1822</v>
      </c>
      <c r="E56" s="8" t="s">
        <v>2444</v>
      </c>
      <c r="F56" s="8" t="s">
        <v>2445</v>
      </c>
    </row>
    <row r="57" customFormat="false" ht="99.75" hidden="false" customHeight="true" outlineLevel="0" collapsed="false">
      <c r="A57" s="7" t="s">
        <v>2446</v>
      </c>
      <c r="B57" s="7" t="s">
        <v>525</v>
      </c>
      <c r="C57" s="7" t="s">
        <v>525</v>
      </c>
      <c r="D57" s="7" t="s">
        <v>1822</v>
      </c>
      <c r="E57" s="7" t="s">
        <v>2447</v>
      </c>
      <c r="F57" s="7" t="s">
        <v>2448</v>
      </c>
    </row>
    <row r="58" customFormat="false" ht="99.75" hidden="false" customHeight="true" outlineLevel="0" collapsed="false">
      <c r="A58" s="8" t="s">
        <v>2449</v>
      </c>
      <c r="B58" s="8" t="s">
        <v>525</v>
      </c>
      <c r="C58" s="8" t="s">
        <v>525</v>
      </c>
      <c r="D58" s="8" t="s">
        <v>1822</v>
      </c>
      <c r="E58" s="8" t="s">
        <v>2450</v>
      </c>
      <c r="F58" s="8" t="s">
        <v>2451</v>
      </c>
    </row>
    <row r="59" customFormat="false" ht="99.75" hidden="false" customHeight="true" outlineLevel="0" collapsed="false">
      <c r="A59" s="7" t="s">
        <v>2452</v>
      </c>
      <c r="B59" s="7" t="s">
        <v>525</v>
      </c>
      <c r="C59" s="7" t="s">
        <v>2453</v>
      </c>
      <c r="D59" s="7" t="s">
        <v>2300</v>
      </c>
      <c r="E59" s="7" t="s">
        <v>2454</v>
      </c>
      <c r="F59" s="7" t="s">
        <v>2455</v>
      </c>
    </row>
    <row r="60" customFormat="false" ht="99.75" hidden="false" customHeight="true" outlineLevel="0" collapsed="false">
      <c r="A60" s="8" t="s">
        <v>2456</v>
      </c>
      <c r="B60" s="8" t="s">
        <v>525</v>
      </c>
      <c r="C60" s="8" t="s">
        <v>2453</v>
      </c>
      <c r="D60" s="8" t="s">
        <v>2300</v>
      </c>
      <c r="E60" s="8" t="s">
        <v>2457</v>
      </c>
      <c r="F60" s="8" t="s">
        <v>2458</v>
      </c>
    </row>
    <row r="61" customFormat="false" ht="99.75" hidden="false" customHeight="true" outlineLevel="0" collapsed="false">
      <c r="A61" s="7" t="s">
        <v>2459</v>
      </c>
      <c r="B61" s="7" t="s">
        <v>536</v>
      </c>
      <c r="C61" s="7" t="s">
        <v>536</v>
      </c>
      <c r="D61" s="7" t="s">
        <v>1822</v>
      </c>
      <c r="E61" s="7" t="s">
        <v>2460</v>
      </c>
      <c r="F61" s="7" t="s">
        <v>2461</v>
      </c>
    </row>
    <row r="62" customFormat="false" ht="99.75" hidden="false" customHeight="true" outlineLevel="0" collapsed="false">
      <c r="A62" s="8" t="s">
        <v>2462</v>
      </c>
      <c r="B62" s="8" t="s">
        <v>2463</v>
      </c>
      <c r="C62" s="8" t="s">
        <v>2464</v>
      </c>
      <c r="D62" s="8" t="s">
        <v>2354</v>
      </c>
      <c r="E62" s="8" t="s">
        <v>2465</v>
      </c>
      <c r="F62" s="8" t="s">
        <v>2355</v>
      </c>
    </row>
    <row r="63" customFormat="false" ht="99.75" hidden="false" customHeight="true" outlineLevel="0" collapsed="false">
      <c r="A63" s="7" t="s">
        <v>2466</v>
      </c>
      <c r="B63" s="7" t="s">
        <v>2463</v>
      </c>
      <c r="C63" s="7" t="s">
        <v>2467</v>
      </c>
      <c r="D63" s="7" t="s">
        <v>1258</v>
      </c>
      <c r="E63" s="7" t="s">
        <v>2468</v>
      </c>
      <c r="F63" s="7" t="s">
        <v>2469</v>
      </c>
    </row>
    <row r="64" customFormat="false" ht="99.75" hidden="false" customHeight="true" outlineLevel="0" collapsed="false">
      <c r="A64" s="8" t="s">
        <v>2470</v>
      </c>
      <c r="B64" s="8" t="s">
        <v>2471</v>
      </c>
      <c r="C64" s="8" t="s">
        <v>2467</v>
      </c>
      <c r="D64" s="8" t="s">
        <v>1258</v>
      </c>
      <c r="E64" s="8" t="s">
        <v>2472</v>
      </c>
      <c r="F64" s="8" t="s">
        <v>2473</v>
      </c>
    </row>
    <row r="65" customFormat="false" ht="99.75" hidden="false" customHeight="true" outlineLevel="0" collapsed="false">
      <c r="A65" s="7" t="s">
        <v>2474</v>
      </c>
      <c r="B65" s="7" t="s">
        <v>2475</v>
      </c>
      <c r="C65" s="7" t="s">
        <v>2299</v>
      </c>
      <c r="D65" s="7" t="s">
        <v>2476</v>
      </c>
      <c r="E65" s="7" t="s">
        <v>2477</v>
      </c>
      <c r="F65" s="7" t="s">
        <v>2478</v>
      </c>
    </row>
    <row r="66" customFormat="false" ht="99.75" hidden="false" customHeight="true" outlineLevel="0" collapsed="false">
      <c r="A66" s="8" t="s">
        <v>2479</v>
      </c>
      <c r="B66" s="8" t="s">
        <v>2480</v>
      </c>
      <c r="C66" s="8" t="s">
        <v>2324</v>
      </c>
      <c r="D66" s="8" t="s">
        <v>2481</v>
      </c>
      <c r="E66" s="8" t="s">
        <v>2482</v>
      </c>
      <c r="F66" s="8" t="s">
        <v>2483</v>
      </c>
    </row>
    <row r="67" customFormat="false" ht="99.75" hidden="false" customHeight="true" outlineLevel="0" collapsed="false">
      <c r="A67" s="7" t="s">
        <v>2484</v>
      </c>
      <c r="B67" s="7" t="s">
        <v>2480</v>
      </c>
      <c r="C67" s="7" t="s">
        <v>2341</v>
      </c>
      <c r="D67" s="7" t="s">
        <v>2481</v>
      </c>
      <c r="E67" s="7" t="s">
        <v>2485</v>
      </c>
      <c r="F67" s="7" t="s">
        <v>2486</v>
      </c>
    </row>
    <row r="68" customFormat="false" ht="99.75" hidden="false" customHeight="true" outlineLevel="0" collapsed="false">
      <c r="A68" s="8" t="s">
        <v>2487</v>
      </c>
      <c r="B68" s="8" t="s">
        <v>21</v>
      </c>
      <c r="C68" s="8" t="s">
        <v>2488</v>
      </c>
      <c r="D68" s="8" t="s">
        <v>2300</v>
      </c>
      <c r="E68" s="8" t="s">
        <v>2489</v>
      </c>
      <c r="F68" s="8" t="s">
        <v>2490</v>
      </c>
    </row>
    <row r="69" customFormat="false" ht="99.75" hidden="false" customHeight="true" outlineLevel="0" collapsed="false">
      <c r="A69" s="7" t="s">
        <v>2491</v>
      </c>
      <c r="B69" s="7" t="s">
        <v>21</v>
      </c>
      <c r="C69" s="7" t="s">
        <v>536</v>
      </c>
      <c r="D69" s="7" t="s">
        <v>2354</v>
      </c>
      <c r="E69" s="7" t="s">
        <v>459</v>
      </c>
      <c r="F69" s="7" t="s">
        <v>2355</v>
      </c>
    </row>
    <row r="70" customFormat="false" ht="99.75" hidden="false" customHeight="true" outlineLevel="0" collapsed="false">
      <c r="A70" s="8" t="s">
        <v>2492</v>
      </c>
      <c r="B70" s="8" t="s">
        <v>21</v>
      </c>
      <c r="C70" s="8" t="s">
        <v>543</v>
      </c>
      <c r="D70" s="8" t="s">
        <v>1822</v>
      </c>
      <c r="E70" s="8" t="s">
        <v>2493</v>
      </c>
      <c r="F70" s="8" t="s">
        <v>2494</v>
      </c>
    </row>
    <row r="71" customFormat="false" ht="99.75" hidden="false" customHeight="true" outlineLevel="0" collapsed="false">
      <c r="A71" s="7" t="s">
        <v>2495</v>
      </c>
      <c r="B71" s="7" t="s">
        <v>2496</v>
      </c>
      <c r="C71" s="7" t="s">
        <v>103</v>
      </c>
      <c r="D71" s="7" t="s">
        <v>1822</v>
      </c>
      <c r="E71" s="7" t="s">
        <v>2497</v>
      </c>
      <c r="F71" s="7" t="s">
        <v>2498</v>
      </c>
    </row>
    <row r="72" customFormat="false" ht="99.75" hidden="false" customHeight="true" outlineLevel="0" collapsed="false">
      <c r="A72" s="8" t="s">
        <v>2499</v>
      </c>
      <c r="B72" s="8" t="s">
        <v>2500</v>
      </c>
      <c r="C72" s="8" t="s">
        <v>103</v>
      </c>
      <c r="D72" s="8" t="s">
        <v>1822</v>
      </c>
      <c r="E72" s="8" t="s">
        <v>2501</v>
      </c>
      <c r="F72" s="8" t="s">
        <v>2502</v>
      </c>
    </row>
    <row r="73" customFormat="false" ht="99.75" hidden="false" customHeight="true" outlineLevel="0" collapsed="false">
      <c r="A73" s="7" t="s">
        <v>2503</v>
      </c>
      <c r="B73" s="7" t="s">
        <v>2504</v>
      </c>
      <c r="C73" s="7" t="s">
        <v>103</v>
      </c>
      <c r="D73" s="7" t="s">
        <v>2269</v>
      </c>
      <c r="E73" s="7" t="s">
        <v>2505</v>
      </c>
      <c r="F73" s="7" t="s">
        <v>2506</v>
      </c>
    </row>
    <row r="74" customFormat="false" ht="99.75" hidden="false" customHeight="true" outlineLevel="0" collapsed="false">
      <c r="A74" s="8" t="s">
        <v>2507</v>
      </c>
      <c r="B74" s="8" t="s">
        <v>2504</v>
      </c>
      <c r="C74" s="8" t="s">
        <v>2508</v>
      </c>
      <c r="D74" s="8" t="s">
        <v>2300</v>
      </c>
      <c r="E74" s="8" t="s">
        <v>2509</v>
      </c>
      <c r="F74" s="8" t="s">
        <v>2510</v>
      </c>
    </row>
    <row r="75" customFormat="false" ht="99.75" hidden="false" customHeight="true" outlineLevel="0" collapsed="false">
      <c r="A75" s="7" t="s">
        <v>2511</v>
      </c>
      <c r="B75" s="7" t="s">
        <v>2504</v>
      </c>
      <c r="C75" s="7" t="s">
        <v>2357</v>
      </c>
      <c r="D75" s="7" t="s">
        <v>1822</v>
      </c>
      <c r="E75" s="7" t="s">
        <v>2512</v>
      </c>
      <c r="F75" s="7" t="s">
        <v>2513</v>
      </c>
    </row>
    <row r="76" customFormat="false" ht="99.75" hidden="false" customHeight="true" outlineLevel="0" collapsed="false">
      <c r="A76" s="8" t="s">
        <v>2514</v>
      </c>
      <c r="B76" s="8" t="s">
        <v>2504</v>
      </c>
      <c r="C76" s="8" t="s">
        <v>536</v>
      </c>
      <c r="D76" s="8" t="s">
        <v>1800</v>
      </c>
      <c r="E76" s="8" t="s">
        <v>2515</v>
      </c>
      <c r="F76" s="8" t="s">
        <v>2516</v>
      </c>
    </row>
    <row r="77" customFormat="false" ht="99.75" hidden="false" customHeight="true" outlineLevel="0" collapsed="false">
      <c r="A77" s="7" t="s">
        <v>2517</v>
      </c>
      <c r="B77" s="7" t="s">
        <v>2504</v>
      </c>
      <c r="C77" s="7" t="s">
        <v>543</v>
      </c>
      <c r="D77" s="7" t="s">
        <v>1800</v>
      </c>
      <c r="E77" s="7" t="s">
        <v>2518</v>
      </c>
      <c r="F77" s="7" t="s">
        <v>2519</v>
      </c>
    </row>
    <row r="78" customFormat="false" ht="99.75" hidden="false" customHeight="true" outlineLevel="0" collapsed="false">
      <c r="A78" s="8" t="s">
        <v>2520</v>
      </c>
      <c r="B78" s="8" t="s">
        <v>2521</v>
      </c>
      <c r="C78" s="8" t="s">
        <v>103</v>
      </c>
      <c r="D78" s="8" t="s">
        <v>1822</v>
      </c>
      <c r="E78" s="8" t="s">
        <v>2522</v>
      </c>
      <c r="F78" s="8" t="s">
        <v>2523</v>
      </c>
    </row>
    <row r="79" customFormat="false" ht="99.75" hidden="false" customHeight="true" outlineLevel="0" collapsed="false">
      <c r="A79" s="7" t="s">
        <v>2524</v>
      </c>
      <c r="B79" s="7" t="s">
        <v>11</v>
      </c>
      <c r="C79" s="7" t="s">
        <v>2525</v>
      </c>
      <c r="D79" s="7" t="s">
        <v>1822</v>
      </c>
      <c r="E79" s="7" t="s">
        <v>2526</v>
      </c>
      <c r="F79" s="7" t="s">
        <v>2527</v>
      </c>
    </row>
    <row r="80" customFormat="false" ht="99.75" hidden="false" customHeight="true" outlineLevel="0" collapsed="false">
      <c r="A80" s="8" t="s">
        <v>2528</v>
      </c>
      <c r="B80" s="8" t="s">
        <v>11</v>
      </c>
      <c r="C80" s="8" t="s">
        <v>103</v>
      </c>
      <c r="D80" s="8" t="s">
        <v>1822</v>
      </c>
      <c r="E80" s="8" t="s">
        <v>2529</v>
      </c>
      <c r="F80" s="8" t="s">
        <v>2530</v>
      </c>
    </row>
    <row r="81" customFormat="false" ht="99.75" hidden="false" customHeight="true" outlineLevel="0" collapsed="false">
      <c r="A81" s="7" t="s">
        <v>2531</v>
      </c>
      <c r="B81" s="7" t="s">
        <v>2532</v>
      </c>
      <c r="C81" s="7" t="s">
        <v>103</v>
      </c>
      <c r="D81" s="7" t="s">
        <v>2354</v>
      </c>
      <c r="E81" s="7" t="s">
        <v>427</v>
      </c>
      <c r="F81" s="7" t="s">
        <v>2355</v>
      </c>
    </row>
    <row r="82" customFormat="false" ht="99.75" hidden="false" customHeight="true" outlineLevel="0" collapsed="false">
      <c r="A82" s="8" t="s">
        <v>2533</v>
      </c>
      <c r="B82" s="8" t="s">
        <v>2532</v>
      </c>
      <c r="C82" s="8" t="s">
        <v>103</v>
      </c>
      <c r="D82" s="8" t="s">
        <v>2354</v>
      </c>
      <c r="E82" s="8" t="s">
        <v>431</v>
      </c>
      <c r="F82" s="8" t="s">
        <v>2355</v>
      </c>
    </row>
    <row r="83" customFormat="false" ht="99.75" hidden="false" customHeight="true" outlineLevel="0" collapsed="false">
      <c r="A83" s="7" t="s">
        <v>2534</v>
      </c>
      <c r="B83" s="7" t="s">
        <v>2532</v>
      </c>
      <c r="C83" s="7" t="s">
        <v>103</v>
      </c>
      <c r="D83" s="7" t="s">
        <v>2354</v>
      </c>
      <c r="E83" s="7" t="s">
        <v>2535</v>
      </c>
      <c r="F83" s="7" t="s">
        <v>2355</v>
      </c>
    </row>
    <row r="84" customFormat="false" ht="99.75" hidden="false" customHeight="true" outlineLevel="0" collapsed="false">
      <c r="A84" s="8" t="s">
        <v>2536</v>
      </c>
      <c r="B84" s="8" t="s">
        <v>543</v>
      </c>
      <c r="C84" s="8" t="s">
        <v>2537</v>
      </c>
      <c r="D84" s="8" t="s">
        <v>2354</v>
      </c>
      <c r="E84" s="8" t="s">
        <v>2538</v>
      </c>
      <c r="F84" s="8" t="s">
        <v>2355</v>
      </c>
    </row>
    <row r="85" customFormat="false" ht="99.75" hidden="false" customHeight="true" outlineLevel="0" collapsed="false">
      <c r="A85" s="7" t="s">
        <v>2539</v>
      </c>
      <c r="B85" s="7" t="s">
        <v>543</v>
      </c>
      <c r="C85" s="7" t="s">
        <v>543</v>
      </c>
      <c r="D85" s="7" t="s">
        <v>2354</v>
      </c>
      <c r="E85" s="7" t="s">
        <v>2540</v>
      </c>
      <c r="F85" s="7" t="s">
        <v>2355</v>
      </c>
    </row>
    <row r="86" customFormat="false" ht="99.75" hidden="false" customHeight="true" outlineLevel="0" collapsed="false">
      <c r="A86" s="8" t="s">
        <v>2541</v>
      </c>
      <c r="B86" s="8" t="s">
        <v>530</v>
      </c>
      <c r="C86" s="8" t="s">
        <v>530</v>
      </c>
      <c r="D86" s="8" t="s">
        <v>1771</v>
      </c>
      <c r="E86" s="8" t="s">
        <v>2542</v>
      </c>
      <c r="F86" s="8" t="s">
        <v>2543</v>
      </c>
    </row>
    <row r="87" customFormat="false" ht="99.75" hidden="false" customHeight="true" outlineLevel="0" collapsed="false">
      <c r="A87" s="7" t="s">
        <v>2544</v>
      </c>
      <c r="B87" s="7" t="s">
        <v>530</v>
      </c>
      <c r="C87" s="7" t="s">
        <v>530</v>
      </c>
      <c r="D87" s="7" t="s">
        <v>2545</v>
      </c>
      <c r="E87" s="7" t="s">
        <v>2546</v>
      </c>
      <c r="F87" s="7" t="s">
        <v>2547</v>
      </c>
    </row>
    <row r="88" customFormat="false" ht="99.75" hidden="false" customHeight="true" outlineLevel="0" collapsed="false">
      <c r="A88" s="8" t="s">
        <v>2548</v>
      </c>
      <c r="B88" s="8" t="s">
        <v>530</v>
      </c>
      <c r="C88" s="8" t="s">
        <v>530</v>
      </c>
      <c r="D88" s="8" t="s">
        <v>1933</v>
      </c>
      <c r="E88" s="8" t="s">
        <v>2549</v>
      </c>
      <c r="F88" s="8" t="s">
        <v>2550</v>
      </c>
    </row>
    <row r="89" customFormat="false" ht="99.75" hidden="false" customHeight="true" outlineLevel="0" collapsed="false">
      <c r="A89" s="7" t="s">
        <v>2551</v>
      </c>
      <c r="B89" s="7" t="s">
        <v>530</v>
      </c>
      <c r="C89" s="7" t="s">
        <v>530</v>
      </c>
      <c r="D89" s="7" t="s">
        <v>2354</v>
      </c>
      <c r="E89" s="7" t="s">
        <v>2552</v>
      </c>
      <c r="F89" s="7" t="s">
        <v>2355</v>
      </c>
    </row>
    <row r="90" customFormat="false" ht="99.75" hidden="false" customHeight="true" outlineLevel="0" collapsed="false">
      <c r="A90" s="8" t="s">
        <v>2553</v>
      </c>
      <c r="B90" s="8" t="s">
        <v>530</v>
      </c>
      <c r="C90" s="8" t="s">
        <v>530</v>
      </c>
      <c r="D90" s="8" t="s">
        <v>1771</v>
      </c>
      <c r="E90" s="8" t="s">
        <v>2554</v>
      </c>
      <c r="F90" s="8" t="s">
        <v>2555</v>
      </c>
    </row>
    <row r="91" customFormat="false" ht="99.75" hidden="false" customHeight="true" outlineLevel="0" collapsed="false">
      <c r="A91" s="7" t="s">
        <v>2556</v>
      </c>
      <c r="B91" s="7" t="s">
        <v>530</v>
      </c>
      <c r="C91" s="7" t="s">
        <v>530</v>
      </c>
      <c r="D91" s="7" t="s">
        <v>2304</v>
      </c>
      <c r="E91" s="7" t="s">
        <v>2557</v>
      </c>
      <c r="F91" s="7" t="s">
        <v>2558</v>
      </c>
    </row>
    <row r="92" customFormat="false" ht="99.75" hidden="false" customHeight="true" outlineLevel="0" collapsed="false">
      <c r="A92" s="8" t="s">
        <v>2559</v>
      </c>
      <c r="B92" s="8" t="s">
        <v>530</v>
      </c>
      <c r="C92" s="8" t="s">
        <v>530</v>
      </c>
      <c r="D92" s="8" t="s">
        <v>2560</v>
      </c>
      <c r="E92" s="8" t="s">
        <v>2561</v>
      </c>
      <c r="F92" s="8" t="s">
        <v>2562</v>
      </c>
    </row>
    <row r="93" customFormat="false" ht="99.75" hidden="false" customHeight="true" outlineLevel="0" collapsed="false">
      <c r="A93" s="7" t="s">
        <v>2563</v>
      </c>
      <c r="B93" s="7" t="s">
        <v>290</v>
      </c>
      <c r="C93" s="7" t="s">
        <v>103</v>
      </c>
      <c r="D93" s="7" t="s">
        <v>2564</v>
      </c>
      <c r="E93" s="7" t="s">
        <v>2565</v>
      </c>
      <c r="F93" s="7" t="s">
        <v>2566</v>
      </c>
    </row>
    <row r="94" customFormat="false" ht="99.75" hidden="false" customHeight="true" outlineLevel="0" collapsed="false">
      <c r="A94" s="8" t="s">
        <v>2567</v>
      </c>
      <c r="B94" s="8" t="s">
        <v>290</v>
      </c>
      <c r="C94" s="8" t="s">
        <v>2291</v>
      </c>
      <c r="D94" s="8" t="s">
        <v>1771</v>
      </c>
      <c r="E94" s="8" t="s">
        <v>2568</v>
      </c>
      <c r="F94" s="8" t="s">
        <v>2569</v>
      </c>
    </row>
    <row r="95" customFormat="false" ht="99.75" hidden="false" customHeight="true" outlineLevel="0" collapsed="false">
      <c r="A95" s="7" t="s">
        <v>2570</v>
      </c>
      <c r="B95" s="7" t="s">
        <v>2571</v>
      </c>
      <c r="C95" s="7" t="s">
        <v>2572</v>
      </c>
      <c r="D95" s="7" t="s">
        <v>2573</v>
      </c>
      <c r="E95" s="7" t="s">
        <v>2574</v>
      </c>
      <c r="F95" s="7" t="s">
        <v>2575</v>
      </c>
    </row>
    <row r="96" customFormat="false" ht="99.75" hidden="false" customHeight="true" outlineLevel="0" collapsed="false">
      <c r="A96" s="8" t="s">
        <v>2576</v>
      </c>
      <c r="B96" s="8" t="s">
        <v>2577</v>
      </c>
      <c r="C96" s="8" t="s">
        <v>2324</v>
      </c>
      <c r="D96" s="8" t="s">
        <v>2578</v>
      </c>
      <c r="E96" s="8" t="s">
        <v>2579</v>
      </c>
      <c r="F96" s="8" t="s">
        <v>3554</v>
      </c>
    </row>
    <row r="97" customFormat="false" ht="99.75" hidden="false" customHeight="true" outlineLevel="0" collapsed="false">
      <c r="A97" s="7" t="s">
        <v>2581</v>
      </c>
      <c r="B97" s="7" t="s">
        <v>2577</v>
      </c>
      <c r="C97" s="7" t="s">
        <v>103</v>
      </c>
      <c r="D97" s="7" t="s">
        <v>2582</v>
      </c>
      <c r="E97" s="7" t="s">
        <v>2583</v>
      </c>
      <c r="F97" s="7" t="s">
        <v>2584</v>
      </c>
    </row>
    <row r="98" customFormat="false" ht="114.75" hidden="false" customHeight="true" outlineLevel="0" collapsed="false">
      <c r="A98" s="8" t="s">
        <v>2585</v>
      </c>
      <c r="B98" s="8" t="s">
        <v>842</v>
      </c>
      <c r="C98" s="8" t="s">
        <v>103</v>
      </c>
      <c r="D98" s="8" t="s">
        <v>2586</v>
      </c>
      <c r="E98" s="8" t="s">
        <v>2587</v>
      </c>
      <c r="F98" s="8" t="s">
        <v>2588</v>
      </c>
    </row>
    <row r="99" customFormat="false" ht="114.75" hidden="false" customHeight="true" outlineLevel="0" collapsed="false">
      <c r="A99" s="7" t="s">
        <v>2589</v>
      </c>
      <c r="B99" s="7" t="s">
        <v>2590</v>
      </c>
      <c r="C99" s="7" t="s">
        <v>2591</v>
      </c>
      <c r="D99" s="7" t="s">
        <v>584</v>
      </c>
      <c r="E99" s="7" t="s">
        <v>2592</v>
      </c>
      <c r="F99" s="7" t="s">
        <v>2593</v>
      </c>
    </row>
    <row r="100" customFormat="false" ht="114.75" hidden="false" customHeight="true" outlineLevel="0" collapsed="false">
      <c r="A100" s="8" t="s">
        <v>2594</v>
      </c>
      <c r="B100" s="8" t="s">
        <v>486</v>
      </c>
      <c r="C100" s="8" t="s">
        <v>2291</v>
      </c>
      <c r="D100" s="8" t="s">
        <v>2354</v>
      </c>
      <c r="E100" s="8" t="s">
        <v>2595</v>
      </c>
      <c r="F100" s="8" t="s">
        <v>2355</v>
      </c>
    </row>
    <row r="101" customFormat="false" ht="114.75" hidden="false" customHeight="true" outlineLevel="0" collapsed="false">
      <c r="A101" s="7" t="s">
        <v>2596</v>
      </c>
      <c r="B101" s="7" t="s">
        <v>120</v>
      </c>
      <c r="C101" s="7" t="s">
        <v>2324</v>
      </c>
      <c r="D101" s="7" t="s">
        <v>599</v>
      </c>
      <c r="E101" s="7" t="s">
        <v>2597</v>
      </c>
      <c r="F101" s="7" t="s">
        <v>2598</v>
      </c>
    </row>
    <row r="102" customFormat="false" ht="114.75" hidden="false" customHeight="true" outlineLevel="0" collapsed="false">
      <c r="A102" s="8" t="s">
        <v>2599</v>
      </c>
      <c r="B102" s="8" t="s">
        <v>867</v>
      </c>
      <c r="C102" s="8" t="s">
        <v>2600</v>
      </c>
      <c r="D102" s="8" t="s">
        <v>2354</v>
      </c>
      <c r="E102" s="8" t="s">
        <v>447</v>
      </c>
      <c r="F102" s="8" t="s">
        <v>2355</v>
      </c>
    </row>
    <row r="103" customFormat="false" ht="114.75" hidden="false" customHeight="true" outlineLevel="0" collapsed="false">
      <c r="A103" s="7" t="s">
        <v>2601</v>
      </c>
      <c r="B103" s="7" t="s">
        <v>2602</v>
      </c>
      <c r="C103" s="7" t="s">
        <v>2268</v>
      </c>
      <c r="D103" s="7" t="s">
        <v>609</v>
      </c>
      <c r="E103" s="7" t="s">
        <v>2603</v>
      </c>
      <c r="F103" s="7" t="s">
        <v>2604</v>
      </c>
    </row>
    <row r="104" customFormat="false" ht="114.75" hidden="false" customHeight="true" outlineLevel="0" collapsed="false">
      <c r="A104" s="8" t="s">
        <v>2605</v>
      </c>
      <c r="B104" s="8" t="s">
        <v>24</v>
      </c>
      <c r="C104" s="8" t="s">
        <v>2606</v>
      </c>
      <c r="D104" s="8" t="s">
        <v>599</v>
      </c>
      <c r="E104" s="8" t="s">
        <v>2607</v>
      </c>
      <c r="F104" s="8" t="s">
        <v>2608</v>
      </c>
    </row>
    <row r="105" customFormat="false" ht="114.75" hidden="false" customHeight="true" outlineLevel="0" collapsed="false">
      <c r="A105" s="7" t="s">
        <v>2609</v>
      </c>
      <c r="B105" s="7" t="s">
        <v>2610</v>
      </c>
      <c r="C105" s="7" t="s">
        <v>2606</v>
      </c>
      <c r="D105" s="7" t="s">
        <v>2611</v>
      </c>
      <c r="E105" s="7" t="s">
        <v>2612</v>
      </c>
      <c r="F105" s="7" t="s">
        <v>2613</v>
      </c>
    </row>
    <row r="106" customFormat="false" ht="114.75" hidden="false" customHeight="true" outlineLevel="0" collapsed="false">
      <c r="A106" s="8" t="s">
        <v>2614</v>
      </c>
      <c r="B106" s="8" t="s">
        <v>174</v>
      </c>
      <c r="C106" s="8" t="s">
        <v>518</v>
      </c>
      <c r="D106" s="8" t="s">
        <v>1771</v>
      </c>
      <c r="E106" s="8" t="s">
        <v>3559</v>
      </c>
      <c r="F106" s="8" t="s">
        <v>2616</v>
      </c>
    </row>
    <row r="107" customFormat="false" ht="114.75" hidden="false" customHeight="true" outlineLevel="0" collapsed="false">
      <c r="A107" s="7" t="s">
        <v>2617</v>
      </c>
      <c r="B107" s="7" t="s">
        <v>2618</v>
      </c>
      <c r="C107" s="7" t="s">
        <v>518</v>
      </c>
      <c r="D107" s="7" t="s">
        <v>594</v>
      </c>
      <c r="E107" s="7" t="s">
        <v>2619</v>
      </c>
      <c r="F107" s="7" t="s">
        <v>2620</v>
      </c>
    </row>
    <row r="108" customFormat="false" ht="114.75" hidden="false" customHeight="true" outlineLevel="0" collapsed="false">
      <c r="A108" s="8" t="s">
        <v>2621</v>
      </c>
      <c r="B108" s="8" t="s">
        <v>2383</v>
      </c>
      <c r="C108" s="8" t="s">
        <v>2622</v>
      </c>
      <c r="D108" s="8" t="s">
        <v>2623</v>
      </c>
      <c r="E108" s="8" t="s">
        <v>2624</v>
      </c>
      <c r="F108" s="8" t="s">
        <v>2625</v>
      </c>
    </row>
    <row r="109" customFormat="false" ht="114.75" hidden="false" customHeight="true" outlineLevel="0" collapsed="false">
      <c r="A109" s="7" t="s">
        <v>2626</v>
      </c>
      <c r="B109" s="7" t="s">
        <v>2627</v>
      </c>
      <c r="C109" s="7" t="s">
        <v>518</v>
      </c>
      <c r="D109" s="7" t="s">
        <v>2623</v>
      </c>
      <c r="E109" s="7" t="s">
        <v>2628</v>
      </c>
      <c r="F109" s="7" t="s">
        <v>2629</v>
      </c>
    </row>
    <row r="110" customFormat="false" ht="114.75" hidden="false" customHeight="true" outlineLevel="0" collapsed="false">
      <c r="A110" s="8" t="s">
        <v>2630</v>
      </c>
      <c r="B110" s="8" t="s">
        <v>2627</v>
      </c>
      <c r="C110" s="8" t="s">
        <v>525</v>
      </c>
      <c r="D110" s="8" t="s">
        <v>2623</v>
      </c>
      <c r="E110" s="8" t="s">
        <v>2631</v>
      </c>
      <c r="F110" s="8" t="s">
        <v>2632</v>
      </c>
    </row>
    <row r="111" customFormat="false" ht="114.75" hidden="false" customHeight="true" outlineLevel="0" collapsed="false">
      <c r="A111" s="7" t="s">
        <v>2633</v>
      </c>
      <c r="B111" s="7" t="s">
        <v>2627</v>
      </c>
      <c r="C111" s="7" t="s">
        <v>530</v>
      </c>
      <c r="D111" s="7" t="s">
        <v>2623</v>
      </c>
      <c r="E111" s="7" t="s">
        <v>2634</v>
      </c>
      <c r="F111" s="7" t="s">
        <v>2635</v>
      </c>
    </row>
    <row r="112" customFormat="false" ht="114.75" hidden="false" customHeight="true" outlineLevel="0" collapsed="false">
      <c r="A112" s="8" t="s">
        <v>2636</v>
      </c>
      <c r="B112" s="8" t="s">
        <v>11</v>
      </c>
      <c r="C112" s="8" t="s">
        <v>2525</v>
      </c>
      <c r="D112" s="8" t="s">
        <v>1771</v>
      </c>
      <c r="E112" s="8" t="s">
        <v>2637</v>
      </c>
      <c r="F112" s="8" t="s">
        <v>2638</v>
      </c>
    </row>
    <row r="113" customFormat="false" ht="114.75" hidden="false" customHeight="true" outlineLevel="0" collapsed="false">
      <c r="A113" s="7" t="s">
        <v>2639</v>
      </c>
      <c r="B113" s="7" t="s">
        <v>2640</v>
      </c>
      <c r="C113" s="7" t="s">
        <v>475</v>
      </c>
      <c r="D113" s="7" t="s">
        <v>2354</v>
      </c>
      <c r="E113" s="7" t="s">
        <v>2641</v>
      </c>
      <c r="F113" s="7" t="s">
        <v>2355</v>
      </c>
    </row>
    <row r="114" customFormat="false" ht="114.75" hidden="false" customHeight="true" outlineLevel="0" collapsed="false">
      <c r="A114" s="8" t="s">
        <v>2642</v>
      </c>
      <c r="B114" s="8" t="s">
        <v>2643</v>
      </c>
      <c r="C114" s="8" t="s">
        <v>103</v>
      </c>
      <c r="D114" s="8" t="s">
        <v>1771</v>
      </c>
      <c r="E114" s="8" t="s">
        <v>3562</v>
      </c>
      <c r="F114" s="8" t="s">
        <v>2645</v>
      </c>
    </row>
    <row r="115" customFormat="false" ht="114.75" hidden="false" customHeight="true" outlineLevel="0" collapsed="false">
      <c r="A115" s="7" t="s">
        <v>2646</v>
      </c>
      <c r="B115" s="7" t="s">
        <v>731</v>
      </c>
      <c r="C115" s="7" t="s">
        <v>2508</v>
      </c>
      <c r="D115" s="7" t="s">
        <v>2623</v>
      </c>
      <c r="E115" s="7" t="s">
        <v>2647</v>
      </c>
      <c r="F115" s="7" t="s">
        <v>2648</v>
      </c>
    </row>
    <row r="116" customFormat="false" ht="114.75" hidden="false" customHeight="true" outlineLevel="0" collapsed="false">
      <c r="A116" s="8" t="s">
        <v>2649</v>
      </c>
      <c r="B116" s="8" t="s">
        <v>731</v>
      </c>
      <c r="C116" s="8" t="s">
        <v>536</v>
      </c>
      <c r="D116" s="8" t="s">
        <v>599</v>
      </c>
      <c r="E116" s="8" t="s">
        <v>2650</v>
      </c>
      <c r="F116" s="8" t="s">
        <v>2651</v>
      </c>
    </row>
    <row r="117" customFormat="false" ht="114.75" hidden="false" customHeight="true" outlineLevel="0" collapsed="false">
      <c r="A117" s="7" t="s">
        <v>2652</v>
      </c>
      <c r="B117" s="7" t="s">
        <v>731</v>
      </c>
      <c r="C117" s="7" t="s">
        <v>543</v>
      </c>
      <c r="D117" s="7" t="s">
        <v>599</v>
      </c>
      <c r="E117" s="7" t="s">
        <v>2653</v>
      </c>
      <c r="F117" s="7" t="s">
        <v>2654</v>
      </c>
    </row>
    <row r="118" customFormat="false" ht="114.75" hidden="false" customHeight="true" outlineLevel="0" collapsed="false">
      <c r="A118" s="8" t="s">
        <v>2655</v>
      </c>
      <c r="B118" s="8" t="s">
        <v>702</v>
      </c>
      <c r="C118" s="8" t="s">
        <v>103</v>
      </c>
      <c r="D118" s="8" t="s">
        <v>599</v>
      </c>
      <c r="E118" s="8" t="s">
        <v>2656</v>
      </c>
      <c r="F118" s="8" t="s">
        <v>2657</v>
      </c>
    </row>
    <row r="119" customFormat="false" ht="114.75" hidden="false" customHeight="true" outlineLevel="0" collapsed="false">
      <c r="A119" s="7" t="s">
        <v>2658</v>
      </c>
      <c r="B119" s="7" t="s">
        <v>2140</v>
      </c>
      <c r="C119" s="7" t="s">
        <v>103</v>
      </c>
      <c r="D119" s="7" t="s">
        <v>2354</v>
      </c>
      <c r="E119" s="7" t="s">
        <v>2659</v>
      </c>
      <c r="F119" s="7" t="s">
        <v>2355</v>
      </c>
    </row>
    <row r="120" customFormat="false" ht="114.75" hidden="false" customHeight="true" outlineLevel="0" collapsed="false">
      <c r="A120" s="8" t="s">
        <v>2660</v>
      </c>
      <c r="B120" s="8" t="s">
        <v>525</v>
      </c>
      <c r="C120" s="8" t="s">
        <v>2453</v>
      </c>
      <c r="D120" s="8" t="s">
        <v>2623</v>
      </c>
      <c r="E120" s="8" t="s">
        <v>2661</v>
      </c>
      <c r="F120" s="8" t="s">
        <v>2662</v>
      </c>
    </row>
    <row r="121" customFormat="false" ht="114.75" hidden="false" customHeight="true" outlineLevel="0" collapsed="false">
      <c r="A121" s="7" t="s">
        <v>2663</v>
      </c>
      <c r="B121" s="7" t="s">
        <v>2664</v>
      </c>
      <c r="C121" s="7" t="s">
        <v>525</v>
      </c>
      <c r="D121" s="7" t="s">
        <v>2354</v>
      </c>
      <c r="E121" s="7" t="s">
        <v>2665</v>
      </c>
      <c r="F121" s="7" t="s">
        <v>2355</v>
      </c>
    </row>
    <row r="122" customFormat="false" ht="114.75" hidden="false" customHeight="true" outlineLevel="0" collapsed="false">
      <c r="A122" s="8" t="s">
        <v>2666</v>
      </c>
      <c r="B122" s="8" t="s">
        <v>2667</v>
      </c>
      <c r="C122" s="8" t="s">
        <v>525</v>
      </c>
      <c r="D122" s="8" t="s">
        <v>2668</v>
      </c>
      <c r="E122" s="8" t="s">
        <v>2669</v>
      </c>
      <c r="F122" s="8" t="s">
        <v>2670</v>
      </c>
    </row>
    <row r="123" customFormat="false" ht="114.75" hidden="false" customHeight="true" outlineLevel="0" collapsed="false">
      <c r="A123" s="7" t="s">
        <v>2671</v>
      </c>
      <c r="B123" s="7" t="s">
        <v>2672</v>
      </c>
      <c r="C123" s="7" t="s">
        <v>530</v>
      </c>
      <c r="D123" s="7" t="s">
        <v>2354</v>
      </c>
      <c r="E123" s="7" t="s">
        <v>2673</v>
      </c>
      <c r="F123" s="7" t="s">
        <v>2355</v>
      </c>
    </row>
    <row r="124" customFormat="false" ht="114.75" hidden="false" customHeight="true" outlineLevel="0" collapsed="false">
      <c r="A124" s="8" t="s">
        <v>2674</v>
      </c>
      <c r="B124" s="8" t="s">
        <v>2675</v>
      </c>
      <c r="C124" s="8" t="s">
        <v>530</v>
      </c>
      <c r="D124" s="8" t="s">
        <v>1771</v>
      </c>
      <c r="E124" s="8" t="s">
        <v>2676</v>
      </c>
      <c r="F124" s="8" t="s">
        <v>2677</v>
      </c>
    </row>
    <row r="125" customFormat="false" ht="114.75" hidden="false" customHeight="true" outlineLevel="0" collapsed="false">
      <c r="A125" s="7" t="s">
        <v>2678</v>
      </c>
      <c r="B125" s="7" t="s">
        <v>2679</v>
      </c>
      <c r="C125" s="7" t="s">
        <v>530</v>
      </c>
      <c r="D125" s="7" t="s">
        <v>2680</v>
      </c>
      <c r="E125" s="7" t="s">
        <v>2681</v>
      </c>
      <c r="F125" s="7" t="s">
        <v>2682</v>
      </c>
    </row>
    <row r="126" customFormat="false" ht="114.75" hidden="false" customHeight="true" outlineLevel="0" collapsed="false">
      <c r="A126" s="8" t="s">
        <v>2683</v>
      </c>
      <c r="B126" s="8" t="s">
        <v>2684</v>
      </c>
      <c r="C126" s="8" t="s">
        <v>530</v>
      </c>
      <c r="D126" s="8" t="s">
        <v>2354</v>
      </c>
      <c r="E126" s="8" t="s">
        <v>455</v>
      </c>
      <c r="F126" s="8" t="s">
        <v>2355</v>
      </c>
    </row>
    <row r="127" customFormat="false" ht="114.75" hidden="false" customHeight="true" outlineLevel="0" collapsed="false">
      <c r="A127" s="7" t="s">
        <v>2685</v>
      </c>
      <c r="B127" s="7" t="s">
        <v>2686</v>
      </c>
      <c r="C127" s="7" t="s">
        <v>530</v>
      </c>
      <c r="D127" s="7" t="s">
        <v>2623</v>
      </c>
      <c r="E127" s="7" t="s">
        <v>2687</v>
      </c>
      <c r="F127" s="7" t="s">
        <v>2688</v>
      </c>
    </row>
    <row r="128" customFormat="false" ht="114.75" hidden="false" customHeight="true" outlineLevel="0" collapsed="false">
      <c r="A128" s="8" t="s">
        <v>2689</v>
      </c>
      <c r="B128" s="8" t="s">
        <v>2690</v>
      </c>
      <c r="C128" s="8" t="s">
        <v>2467</v>
      </c>
      <c r="D128" s="8" t="s">
        <v>2691</v>
      </c>
      <c r="E128" s="8" t="s">
        <v>2692</v>
      </c>
      <c r="F128" s="8" t="s">
        <v>2693</v>
      </c>
    </row>
    <row r="129" customFormat="false" ht="114.75" hidden="false" customHeight="true" outlineLevel="0" collapsed="false">
      <c r="A129" s="7" t="s">
        <v>2694</v>
      </c>
      <c r="B129" s="7" t="s">
        <v>2695</v>
      </c>
      <c r="C129" s="7" t="s">
        <v>2537</v>
      </c>
      <c r="D129" s="7" t="s">
        <v>2354</v>
      </c>
      <c r="E129" s="7" t="s">
        <v>2696</v>
      </c>
      <c r="F129" s="7" t="s">
        <v>2355</v>
      </c>
    </row>
    <row r="130" customFormat="false" ht="114.75" hidden="false" customHeight="true" outlineLevel="0" collapsed="false">
      <c r="A130" s="8" t="s">
        <v>2697</v>
      </c>
      <c r="B130" s="8" t="s">
        <v>707</v>
      </c>
      <c r="C130" s="8" t="s">
        <v>2525</v>
      </c>
      <c r="D130" s="8" t="s">
        <v>609</v>
      </c>
      <c r="E130" s="8" t="s">
        <v>2698</v>
      </c>
      <c r="F130" s="8" t="s">
        <v>2699</v>
      </c>
    </row>
    <row r="131" customFormat="false" ht="114.75" hidden="false" customHeight="true" outlineLevel="0" collapsed="false">
      <c r="A131" s="7" t="s">
        <v>2700</v>
      </c>
      <c r="B131" s="7" t="s">
        <v>2701</v>
      </c>
      <c r="C131" s="7" t="s">
        <v>2291</v>
      </c>
      <c r="D131" s="7" t="s">
        <v>1771</v>
      </c>
      <c r="E131" s="7" t="s">
        <v>2702</v>
      </c>
      <c r="F131" s="7" t="s">
        <v>2703</v>
      </c>
    </row>
    <row r="132" customFormat="false" ht="114.75" hidden="false" customHeight="true" outlineLevel="0" collapsed="false">
      <c r="A132" s="8" t="s">
        <v>2704</v>
      </c>
      <c r="B132" s="8" t="s">
        <v>2132</v>
      </c>
      <c r="C132" s="8" t="s">
        <v>2268</v>
      </c>
      <c r="D132" s="8" t="s">
        <v>2691</v>
      </c>
      <c r="E132" s="8" t="s">
        <v>2705</v>
      </c>
      <c r="F132" s="8" t="s">
        <v>2706</v>
      </c>
    </row>
    <row r="133" customFormat="false" ht="114.75" hidden="false" customHeight="true" outlineLevel="0" collapsed="false">
      <c r="A133" s="7" t="s">
        <v>2707</v>
      </c>
      <c r="B133" s="7" t="s">
        <v>2708</v>
      </c>
      <c r="C133" s="7" t="s">
        <v>2709</v>
      </c>
      <c r="D133" s="7" t="s">
        <v>2354</v>
      </c>
      <c r="E133" s="7" t="s">
        <v>700</v>
      </c>
      <c r="F133" s="7" t="s">
        <v>2355</v>
      </c>
    </row>
    <row r="134" customFormat="false" ht="114.75" hidden="false" customHeight="true" outlineLevel="0" collapsed="false">
      <c r="A134" s="8" t="s">
        <v>2710</v>
      </c>
      <c r="B134" s="8" t="s">
        <v>36</v>
      </c>
      <c r="C134" s="8" t="s">
        <v>103</v>
      </c>
      <c r="D134" s="8" t="s">
        <v>2354</v>
      </c>
      <c r="E134" s="8" t="s">
        <v>37</v>
      </c>
      <c r="F134" s="8" t="s">
        <v>2355</v>
      </c>
    </row>
    <row r="135" customFormat="false" ht="114.75" hidden="false" customHeight="true" outlineLevel="0" collapsed="false">
      <c r="A135" s="7" t="s">
        <v>2711</v>
      </c>
      <c r="B135" s="7" t="s">
        <v>2712</v>
      </c>
      <c r="C135" s="7" t="s">
        <v>2713</v>
      </c>
      <c r="D135" s="7" t="s">
        <v>2354</v>
      </c>
      <c r="E135" s="7" t="s">
        <v>2714</v>
      </c>
      <c r="F135" s="7" t="s">
        <v>2355</v>
      </c>
    </row>
    <row r="136" customFormat="false" ht="114.75" hidden="false" customHeight="true" outlineLevel="0" collapsed="false">
      <c r="A136" s="8" t="s">
        <v>2715</v>
      </c>
      <c r="B136" s="8" t="s">
        <v>36</v>
      </c>
      <c r="C136" s="8" t="s">
        <v>2716</v>
      </c>
      <c r="D136" s="8" t="s">
        <v>2354</v>
      </c>
      <c r="E136" s="8" t="s">
        <v>2717</v>
      </c>
      <c r="F136" s="8" t="s">
        <v>2355</v>
      </c>
    </row>
    <row r="137" customFormat="false" ht="114.75" hidden="false" customHeight="true" outlineLevel="0" collapsed="false">
      <c r="A137" s="7" t="s">
        <v>2718</v>
      </c>
      <c r="B137" s="7" t="s">
        <v>36</v>
      </c>
      <c r="C137" s="7" t="s">
        <v>2716</v>
      </c>
      <c r="D137" s="7" t="s">
        <v>2354</v>
      </c>
      <c r="E137" s="7" t="s">
        <v>2719</v>
      </c>
      <c r="F137" s="7" t="s">
        <v>2355</v>
      </c>
    </row>
    <row r="138" customFormat="false" ht="114.75" hidden="false" customHeight="true" outlineLevel="0" collapsed="false">
      <c r="A138" s="8" t="s">
        <v>2720</v>
      </c>
      <c r="B138" s="8" t="s">
        <v>36</v>
      </c>
      <c r="C138" s="8" t="s">
        <v>2716</v>
      </c>
      <c r="D138" s="8" t="s">
        <v>2354</v>
      </c>
      <c r="E138" s="8" t="s">
        <v>439</v>
      </c>
      <c r="F138" s="8" t="s">
        <v>2355</v>
      </c>
    </row>
    <row r="139" customFormat="false" ht="114.75" hidden="false" customHeight="true" outlineLevel="0" collapsed="false">
      <c r="A139" s="7" t="s">
        <v>2721</v>
      </c>
      <c r="B139" s="7" t="s">
        <v>36</v>
      </c>
      <c r="C139" s="7" t="s">
        <v>2716</v>
      </c>
      <c r="D139" s="7" t="s">
        <v>2354</v>
      </c>
      <c r="E139" s="7" t="s">
        <v>439</v>
      </c>
      <c r="F139" s="7" t="s">
        <v>2355</v>
      </c>
    </row>
    <row r="140" customFormat="false" ht="114.75" hidden="false" customHeight="true" outlineLevel="0" collapsed="false">
      <c r="A140" s="8" t="s">
        <v>2722</v>
      </c>
      <c r="B140" s="8" t="s">
        <v>36</v>
      </c>
      <c r="C140" s="8" t="s">
        <v>2716</v>
      </c>
      <c r="D140" s="8" t="s">
        <v>2354</v>
      </c>
      <c r="E140" s="8" t="s">
        <v>439</v>
      </c>
      <c r="F140" s="8" t="s">
        <v>2355</v>
      </c>
    </row>
    <row r="141" customFormat="false" ht="114.75" hidden="false" customHeight="true" outlineLevel="0" collapsed="false">
      <c r="A141" s="7" t="s">
        <v>2723</v>
      </c>
      <c r="B141" s="7" t="s">
        <v>36</v>
      </c>
      <c r="C141" s="7" t="s">
        <v>2716</v>
      </c>
      <c r="D141" s="7" t="s">
        <v>2354</v>
      </c>
      <c r="E141" s="7" t="s">
        <v>439</v>
      </c>
      <c r="F141" s="7" t="s">
        <v>2355</v>
      </c>
    </row>
    <row r="142" customFormat="false" ht="114.75" hidden="false" customHeight="true" outlineLevel="0" collapsed="false">
      <c r="A142" s="8" t="s">
        <v>2724</v>
      </c>
      <c r="B142" s="8" t="s">
        <v>36</v>
      </c>
      <c r="C142" s="8" t="s">
        <v>2716</v>
      </c>
      <c r="D142" s="8" t="s">
        <v>1187</v>
      </c>
      <c r="E142" s="8" t="s">
        <v>2725</v>
      </c>
      <c r="F142" s="8" t="s">
        <v>2726</v>
      </c>
    </row>
    <row r="143" customFormat="false" ht="114.75" hidden="false" customHeight="true" outlineLevel="0" collapsed="false">
      <c r="A143" s="7" t="s">
        <v>2727</v>
      </c>
      <c r="B143" s="7" t="s">
        <v>36</v>
      </c>
      <c r="C143" s="7" t="s">
        <v>2716</v>
      </c>
      <c r="D143" s="7" t="s">
        <v>2354</v>
      </c>
      <c r="E143" s="7" t="s">
        <v>2728</v>
      </c>
      <c r="F143" s="7" t="s">
        <v>2355</v>
      </c>
    </row>
    <row r="144" customFormat="false" ht="114.75" hidden="false" customHeight="true" outlineLevel="0" collapsed="false">
      <c r="A144" s="8" t="s">
        <v>2729</v>
      </c>
      <c r="B144" s="8" t="s">
        <v>36</v>
      </c>
      <c r="C144" s="8" t="s">
        <v>2716</v>
      </c>
      <c r="D144" s="8" t="s">
        <v>2354</v>
      </c>
      <c r="E144" s="8" t="s">
        <v>2730</v>
      </c>
      <c r="F144" s="8" t="s">
        <v>2355</v>
      </c>
    </row>
    <row r="145" customFormat="false" ht="114.75" hidden="false" customHeight="true" outlineLevel="0" collapsed="false">
      <c r="A145" s="7" t="s">
        <v>2731</v>
      </c>
      <c r="B145" s="7" t="s">
        <v>36</v>
      </c>
      <c r="C145" s="7" t="s">
        <v>2716</v>
      </c>
      <c r="D145" s="7" t="s">
        <v>2354</v>
      </c>
      <c r="E145" s="7" t="s">
        <v>2732</v>
      </c>
      <c r="F145" s="7" t="s">
        <v>2355</v>
      </c>
    </row>
    <row r="146" customFormat="false" ht="114.75" hidden="false" customHeight="true" outlineLevel="0" collapsed="false">
      <c r="A146" s="8" t="s">
        <v>2733</v>
      </c>
      <c r="B146" s="8" t="s">
        <v>36</v>
      </c>
      <c r="C146" s="8" t="s">
        <v>2716</v>
      </c>
      <c r="D146" s="8" t="s">
        <v>2354</v>
      </c>
      <c r="E146" s="8" t="s">
        <v>435</v>
      </c>
      <c r="F146" s="8" t="s">
        <v>2355</v>
      </c>
    </row>
    <row r="147" customFormat="false" ht="114.75" hidden="false" customHeight="true" outlineLevel="0" collapsed="false">
      <c r="A147" s="7" t="s">
        <v>2734</v>
      </c>
      <c r="B147" s="7" t="s">
        <v>36</v>
      </c>
      <c r="C147" s="7" t="s">
        <v>2716</v>
      </c>
      <c r="D147" s="7" t="s">
        <v>2354</v>
      </c>
      <c r="E147" s="7" t="s">
        <v>2735</v>
      </c>
      <c r="F147" s="7" t="s">
        <v>2355</v>
      </c>
    </row>
    <row r="148" customFormat="false" ht="114.75" hidden="false" customHeight="true" outlineLevel="0" collapsed="false">
      <c r="A148" s="8" t="s">
        <v>2736</v>
      </c>
      <c r="B148" s="8" t="s">
        <v>36</v>
      </c>
      <c r="C148" s="8" t="s">
        <v>2716</v>
      </c>
      <c r="D148" s="8" t="s">
        <v>2354</v>
      </c>
      <c r="E148" s="8" t="s">
        <v>427</v>
      </c>
      <c r="F148" s="8" t="s">
        <v>2355</v>
      </c>
    </row>
    <row r="149" customFormat="false" ht="114.75" hidden="false" customHeight="true" outlineLevel="0" collapsed="false">
      <c r="A149" s="7" t="s">
        <v>2737</v>
      </c>
      <c r="B149" s="7" t="s">
        <v>36</v>
      </c>
      <c r="C149" s="7" t="s">
        <v>2716</v>
      </c>
      <c r="D149" s="7" t="s">
        <v>1258</v>
      </c>
      <c r="E149" s="7" t="s">
        <v>2738</v>
      </c>
      <c r="F149" s="7" t="s">
        <v>2739</v>
      </c>
    </row>
    <row r="150" customFormat="false" ht="114.75" hidden="false" customHeight="true" outlineLevel="0" collapsed="false">
      <c r="A150" s="8" t="s">
        <v>2740</v>
      </c>
      <c r="B150" s="8" t="s">
        <v>2741</v>
      </c>
      <c r="C150" s="8" t="s">
        <v>2742</v>
      </c>
      <c r="D150" s="8" t="s">
        <v>2743</v>
      </c>
      <c r="E150" s="8" t="s">
        <v>2744</v>
      </c>
      <c r="F150" s="8" t="s">
        <v>2745</v>
      </c>
    </row>
    <row r="151" customFormat="false" ht="114.75" hidden="false" customHeight="true" outlineLevel="0" collapsed="false">
      <c r="A151" s="7" t="s">
        <v>2746</v>
      </c>
      <c r="B151" s="7" t="s">
        <v>2741</v>
      </c>
      <c r="C151" s="7" t="s">
        <v>2742</v>
      </c>
      <c r="D151" s="7" t="s">
        <v>2743</v>
      </c>
      <c r="E151" s="7" t="s">
        <v>2747</v>
      </c>
      <c r="F151" s="7" t="s">
        <v>2748</v>
      </c>
    </row>
    <row r="152" customFormat="false" ht="114.75" hidden="false" customHeight="true" outlineLevel="0" collapsed="false">
      <c r="A152" s="8" t="s">
        <v>2749</v>
      </c>
      <c r="B152" s="8" t="s">
        <v>2741</v>
      </c>
      <c r="C152" s="8" t="s">
        <v>2742</v>
      </c>
      <c r="D152" s="8" t="s">
        <v>2743</v>
      </c>
      <c r="E152" s="8" t="s">
        <v>2750</v>
      </c>
      <c r="F152" s="8" t="s">
        <v>2751</v>
      </c>
    </row>
    <row r="153" customFormat="false" ht="114.75" hidden="false" customHeight="true" outlineLevel="0" collapsed="false">
      <c r="A153" s="7" t="s">
        <v>2752</v>
      </c>
      <c r="B153" s="7" t="s">
        <v>2741</v>
      </c>
      <c r="C153" s="7" t="s">
        <v>2742</v>
      </c>
      <c r="D153" s="7" t="s">
        <v>2743</v>
      </c>
      <c r="E153" s="7" t="s">
        <v>2753</v>
      </c>
      <c r="F153" s="7" t="s">
        <v>2754</v>
      </c>
    </row>
    <row r="154" customFormat="false" ht="114.75" hidden="false" customHeight="true" outlineLevel="0" collapsed="false">
      <c r="A154" s="8" t="s">
        <v>2755</v>
      </c>
      <c r="B154" s="8" t="s">
        <v>2741</v>
      </c>
      <c r="C154" s="8" t="s">
        <v>2742</v>
      </c>
      <c r="D154" s="8" t="s">
        <v>2743</v>
      </c>
      <c r="E154" s="8" t="s">
        <v>2756</v>
      </c>
      <c r="F154" s="8" t="s">
        <v>2757</v>
      </c>
    </row>
    <row r="155" customFormat="false" ht="114.75" hidden="false" customHeight="true" outlineLevel="0" collapsed="false">
      <c r="A155" s="7" t="s">
        <v>2758</v>
      </c>
      <c r="B155" s="7" t="s">
        <v>53</v>
      </c>
      <c r="C155" s="7" t="s">
        <v>543</v>
      </c>
      <c r="D155" s="7" t="s">
        <v>2354</v>
      </c>
      <c r="E155" s="7" t="s">
        <v>411</v>
      </c>
      <c r="F155" s="7" t="s">
        <v>2355</v>
      </c>
    </row>
    <row r="156" customFormat="false" ht="114.75" hidden="false" customHeight="true" outlineLevel="0" collapsed="false">
      <c r="A156" s="8" t="s">
        <v>2759</v>
      </c>
      <c r="B156" s="8" t="s">
        <v>53</v>
      </c>
      <c r="C156" s="8" t="s">
        <v>543</v>
      </c>
      <c r="D156" s="8" t="s">
        <v>623</v>
      </c>
      <c r="E156" s="8" t="s">
        <v>2760</v>
      </c>
      <c r="F156" s="8" t="s">
        <v>2761</v>
      </c>
    </row>
    <row r="157" customFormat="false" ht="114.75" hidden="false" customHeight="true" outlineLevel="0" collapsed="false">
      <c r="A157" s="7" t="s">
        <v>2762</v>
      </c>
      <c r="B157" s="7" t="s">
        <v>53</v>
      </c>
      <c r="C157" s="7" t="s">
        <v>543</v>
      </c>
      <c r="D157" s="7" t="s">
        <v>2354</v>
      </c>
      <c r="E157" s="7" t="s">
        <v>2763</v>
      </c>
      <c r="F157" s="7" t="s">
        <v>2355</v>
      </c>
    </row>
    <row r="158" customFormat="false" ht="114.75" hidden="false" customHeight="true" outlineLevel="0" collapsed="false">
      <c r="A158" s="8" t="s">
        <v>2764</v>
      </c>
      <c r="B158" s="8" t="s">
        <v>53</v>
      </c>
      <c r="C158" s="8" t="s">
        <v>543</v>
      </c>
      <c r="D158" s="8" t="s">
        <v>623</v>
      </c>
      <c r="E158" s="8" t="s">
        <v>2765</v>
      </c>
      <c r="F158" s="8" t="s">
        <v>2766</v>
      </c>
    </row>
    <row r="159" customFormat="false" ht="114.75" hidden="false" customHeight="true" outlineLevel="0" collapsed="false">
      <c r="A159" s="7" t="s">
        <v>2767</v>
      </c>
      <c r="B159" s="7" t="s">
        <v>53</v>
      </c>
      <c r="C159" s="7" t="s">
        <v>543</v>
      </c>
      <c r="D159" s="7" t="s">
        <v>2354</v>
      </c>
      <c r="E159" s="7" t="s">
        <v>2768</v>
      </c>
      <c r="F159" s="7" t="s">
        <v>2355</v>
      </c>
    </row>
    <row r="160" customFormat="false" ht="114.75" hidden="false" customHeight="true" outlineLevel="0" collapsed="false">
      <c r="A160" s="8" t="s">
        <v>2769</v>
      </c>
      <c r="B160" s="8" t="s">
        <v>53</v>
      </c>
      <c r="C160" s="8" t="s">
        <v>543</v>
      </c>
      <c r="D160" s="8" t="s">
        <v>2354</v>
      </c>
      <c r="E160" s="8" t="s">
        <v>2770</v>
      </c>
      <c r="F160" s="8" t="s">
        <v>2355</v>
      </c>
    </row>
    <row r="161" customFormat="false" ht="114.75" hidden="false" customHeight="true" outlineLevel="0" collapsed="false">
      <c r="A161" s="7" t="s">
        <v>2771</v>
      </c>
      <c r="B161" s="7" t="s">
        <v>53</v>
      </c>
      <c r="C161" s="7" t="s">
        <v>543</v>
      </c>
      <c r="D161" s="7" t="s">
        <v>2354</v>
      </c>
      <c r="E161" s="7" t="s">
        <v>2772</v>
      </c>
      <c r="F161" s="7" t="s">
        <v>2355</v>
      </c>
    </row>
    <row r="162" customFormat="false" ht="114.75" hidden="false" customHeight="true" outlineLevel="0" collapsed="false">
      <c r="A162" s="8" t="s">
        <v>2773</v>
      </c>
      <c r="B162" s="8" t="s">
        <v>53</v>
      </c>
      <c r="C162" s="8" t="s">
        <v>543</v>
      </c>
      <c r="D162" s="8" t="s">
        <v>2354</v>
      </c>
      <c r="E162" s="8" t="s">
        <v>419</v>
      </c>
      <c r="F162" s="8" t="s">
        <v>2355</v>
      </c>
    </row>
    <row r="163" customFormat="false" ht="114.75" hidden="false" customHeight="true" outlineLevel="0" collapsed="false">
      <c r="A163" s="7" t="s">
        <v>2774</v>
      </c>
      <c r="B163" s="7" t="s">
        <v>53</v>
      </c>
      <c r="C163" s="7" t="s">
        <v>543</v>
      </c>
      <c r="D163" s="7" t="s">
        <v>2354</v>
      </c>
      <c r="E163" s="7" t="s">
        <v>419</v>
      </c>
      <c r="F163" s="7" t="s">
        <v>2355</v>
      </c>
    </row>
    <row r="164" customFormat="false" ht="114.75" hidden="false" customHeight="true" outlineLevel="0" collapsed="false">
      <c r="A164" s="8" t="s">
        <v>2775</v>
      </c>
      <c r="B164" s="8" t="s">
        <v>53</v>
      </c>
      <c r="C164" s="8" t="s">
        <v>543</v>
      </c>
      <c r="D164" s="8" t="s">
        <v>623</v>
      </c>
      <c r="E164" s="8" t="s">
        <v>2776</v>
      </c>
      <c r="F164" s="8" t="s">
        <v>2777</v>
      </c>
    </row>
    <row r="165" customFormat="false" ht="114.75" hidden="false" customHeight="true" outlineLevel="0" collapsed="false">
      <c r="A165" s="7" t="s">
        <v>2778</v>
      </c>
      <c r="B165" s="7" t="s">
        <v>53</v>
      </c>
      <c r="C165" s="7" t="s">
        <v>543</v>
      </c>
      <c r="D165" s="7" t="s">
        <v>2354</v>
      </c>
      <c r="E165" s="7" t="s">
        <v>2779</v>
      </c>
      <c r="F165" s="7" t="s">
        <v>2355</v>
      </c>
    </row>
    <row r="166" customFormat="false" ht="114.75" hidden="false" customHeight="true" outlineLevel="0" collapsed="false">
      <c r="A166" s="8" t="s">
        <v>2780</v>
      </c>
      <c r="B166" s="8" t="s">
        <v>53</v>
      </c>
      <c r="C166" s="8" t="s">
        <v>543</v>
      </c>
      <c r="D166" s="8" t="s">
        <v>2354</v>
      </c>
      <c r="E166" s="8" t="s">
        <v>415</v>
      </c>
      <c r="F166" s="8" t="s">
        <v>2355</v>
      </c>
    </row>
    <row r="167" customFormat="false" ht="114.75" hidden="false" customHeight="true" outlineLevel="0" collapsed="false">
      <c r="A167" s="7" t="s">
        <v>2781</v>
      </c>
      <c r="B167" s="7" t="s">
        <v>53</v>
      </c>
      <c r="C167" s="7" t="s">
        <v>543</v>
      </c>
      <c r="D167" s="7" t="s">
        <v>2354</v>
      </c>
      <c r="E167" s="7" t="s">
        <v>2782</v>
      </c>
      <c r="F167" s="7" t="s">
        <v>2355</v>
      </c>
    </row>
    <row r="168" customFormat="false" ht="114.75" hidden="false" customHeight="true" outlineLevel="0" collapsed="false">
      <c r="A168" s="8" t="s">
        <v>2783</v>
      </c>
      <c r="B168" s="8" t="s">
        <v>53</v>
      </c>
      <c r="C168" s="8" t="s">
        <v>543</v>
      </c>
      <c r="D168" s="8" t="s">
        <v>2354</v>
      </c>
      <c r="E168" s="8" t="s">
        <v>2784</v>
      </c>
      <c r="F168" s="8" t="s">
        <v>2355</v>
      </c>
    </row>
    <row r="169" customFormat="false" ht="114.75" hidden="false" customHeight="true" outlineLevel="0" collapsed="false">
      <c r="A169" s="7" t="s">
        <v>2785</v>
      </c>
      <c r="B169" s="7" t="s">
        <v>53</v>
      </c>
      <c r="C169" s="7" t="s">
        <v>543</v>
      </c>
      <c r="D169" s="7" t="s">
        <v>623</v>
      </c>
      <c r="E169" s="7" t="s">
        <v>2786</v>
      </c>
      <c r="F169" s="7" t="s">
        <v>2787</v>
      </c>
    </row>
    <row r="170" customFormat="false" ht="114.75" hidden="false" customHeight="true" outlineLevel="0" collapsed="false">
      <c r="A170" s="8" t="s">
        <v>2788</v>
      </c>
      <c r="B170" s="8" t="s">
        <v>53</v>
      </c>
      <c r="C170" s="8" t="s">
        <v>543</v>
      </c>
      <c r="D170" s="8" t="s">
        <v>623</v>
      </c>
      <c r="E170" s="8" t="s">
        <v>2789</v>
      </c>
      <c r="F170" s="8" t="s">
        <v>2790</v>
      </c>
    </row>
    <row r="171" customFormat="false" ht="114.75" hidden="false" customHeight="true" outlineLevel="0" collapsed="false">
      <c r="A171" s="7" t="s">
        <v>2791</v>
      </c>
      <c r="B171" s="7" t="s">
        <v>53</v>
      </c>
      <c r="C171" s="7" t="s">
        <v>543</v>
      </c>
      <c r="D171" s="7" t="s">
        <v>2354</v>
      </c>
      <c r="E171" s="7" t="s">
        <v>1501</v>
      </c>
      <c r="F171" s="7" t="s">
        <v>2355</v>
      </c>
    </row>
    <row r="172" customFormat="false" ht="114.75" hidden="false" customHeight="true" outlineLevel="0" collapsed="false">
      <c r="A172" s="8" t="s">
        <v>2792</v>
      </c>
      <c r="B172" s="8" t="s">
        <v>53</v>
      </c>
      <c r="C172" s="8" t="s">
        <v>543</v>
      </c>
      <c r="D172" s="8" t="s">
        <v>2354</v>
      </c>
      <c r="E172" s="8" t="s">
        <v>1471</v>
      </c>
      <c r="F172" s="8" t="s">
        <v>2355</v>
      </c>
    </row>
    <row r="173" customFormat="false" ht="114.75" hidden="false" customHeight="true" outlineLevel="0" collapsed="false">
      <c r="A173" s="7" t="s">
        <v>2793</v>
      </c>
      <c r="B173" s="7" t="s">
        <v>53</v>
      </c>
      <c r="C173" s="7" t="s">
        <v>543</v>
      </c>
      <c r="D173" s="7" t="s">
        <v>2794</v>
      </c>
      <c r="E173" s="7" t="s">
        <v>2795</v>
      </c>
      <c r="F173" s="7" t="s">
        <v>2796</v>
      </c>
    </row>
    <row r="174" customFormat="false" ht="114.75" hidden="false" customHeight="true" outlineLevel="0" collapsed="false">
      <c r="A174" s="8" t="s">
        <v>2797</v>
      </c>
      <c r="B174" s="8" t="s">
        <v>53</v>
      </c>
      <c r="C174" s="8" t="s">
        <v>543</v>
      </c>
      <c r="D174" s="8" t="s">
        <v>2354</v>
      </c>
      <c r="E174" s="8" t="s">
        <v>419</v>
      </c>
      <c r="F174" s="8" t="s">
        <v>2355</v>
      </c>
    </row>
    <row r="175" customFormat="false" ht="114.75" hidden="false" customHeight="true" outlineLevel="0" collapsed="false">
      <c r="A175" s="7" t="s">
        <v>2798</v>
      </c>
      <c r="B175" s="7" t="s">
        <v>53</v>
      </c>
      <c r="C175" s="7" t="s">
        <v>543</v>
      </c>
      <c r="D175" s="7" t="s">
        <v>2799</v>
      </c>
      <c r="E175" s="7" t="s">
        <v>2800</v>
      </c>
      <c r="F175" s="7" t="s">
        <v>2801</v>
      </c>
    </row>
    <row r="176" customFormat="false" ht="114.75" hidden="false" customHeight="true" outlineLevel="0" collapsed="false">
      <c r="A176" s="8" t="s">
        <v>2802</v>
      </c>
      <c r="B176" s="8" t="s">
        <v>56</v>
      </c>
      <c r="C176" s="8" t="s">
        <v>2803</v>
      </c>
      <c r="D176" s="8" t="s">
        <v>1633</v>
      </c>
      <c r="E176" s="8" t="s">
        <v>1631</v>
      </c>
      <c r="F176" s="8" t="s">
        <v>2804</v>
      </c>
    </row>
    <row r="177" customFormat="false" ht="114.75" hidden="false" customHeight="true" outlineLevel="0" collapsed="false">
      <c r="A177" s="7" t="s">
        <v>2805</v>
      </c>
      <c r="B177" s="7" t="s">
        <v>56</v>
      </c>
      <c r="C177" s="7" t="s">
        <v>2803</v>
      </c>
      <c r="D177" s="7" t="s">
        <v>1637</v>
      </c>
      <c r="E177" s="7" t="s">
        <v>1635</v>
      </c>
      <c r="F177" s="7" t="s">
        <v>2806</v>
      </c>
    </row>
    <row r="178" customFormat="false" ht="114.75" hidden="false" customHeight="true" outlineLevel="0" collapsed="false">
      <c r="A178" s="8" t="s">
        <v>2807</v>
      </c>
      <c r="B178" s="8" t="s">
        <v>56</v>
      </c>
      <c r="C178" s="8" t="s">
        <v>2803</v>
      </c>
      <c r="D178" s="8" t="s">
        <v>2354</v>
      </c>
      <c r="E178" s="8" t="s">
        <v>2808</v>
      </c>
      <c r="F178" s="8" t="s">
        <v>2355</v>
      </c>
    </row>
    <row r="179" customFormat="false" ht="114.75" hidden="false" customHeight="true" outlineLevel="0" collapsed="false">
      <c r="A179" s="7" t="s">
        <v>2809</v>
      </c>
      <c r="B179" s="7" t="s">
        <v>56</v>
      </c>
      <c r="C179" s="7" t="s">
        <v>2803</v>
      </c>
      <c r="D179" s="7" t="s">
        <v>1187</v>
      </c>
      <c r="E179" s="7" t="s">
        <v>1641</v>
      </c>
      <c r="F179" s="7" t="s">
        <v>2810</v>
      </c>
    </row>
    <row r="180" customFormat="false" ht="114.75" hidden="false" customHeight="true" outlineLevel="0" collapsed="false">
      <c r="A180" s="8" t="s">
        <v>2811</v>
      </c>
      <c r="B180" s="8" t="s">
        <v>56</v>
      </c>
      <c r="C180" s="8" t="s">
        <v>2803</v>
      </c>
      <c r="D180" s="8" t="s">
        <v>1187</v>
      </c>
      <c r="E180" s="8" t="s">
        <v>1644</v>
      </c>
      <c r="F180" s="8" t="s">
        <v>2812</v>
      </c>
    </row>
    <row r="181" customFormat="false" ht="114.75" hidden="false" customHeight="true" outlineLevel="0" collapsed="false">
      <c r="A181" s="7" t="s">
        <v>2813</v>
      </c>
      <c r="B181" s="7" t="s">
        <v>56</v>
      </c>
      <c r="C181" s="7" t="s">
        <v>2803</v>
      </c>
      <c r="D181" s="7" t="s">
        <v>1649</v>
      </c>
      <c r="E181" s="7" t="s">
        <v>1647</v>
      </c>
      <c r="F181" s="7" t="s">
        <v>2814</v>
      </c>
    </row>
    <row r="182" customFormat="false" ht="114.75" hidden="false" customHeight="true" outlineLevel="0" collapsed="false">
      <c r="A182" s="8" t="s">
        <v>2815</v>
      </c>
      <c r="B182" s="8" t="s">
        <v>56</v>
      </c>
      <c r="C182" s="8" t="s">
        <v>2803</v>
      </c>
      <c r="D182" s="8" t="s">
        <v>1653</v>
      </c>
      <c r="E182" s="8" t="s">
        <v>1651</v>
      </c>
      <c r="F182" s="8" t="s">
        <v>2816</v>
      </c>
    </row>
    <row r="183" customFormat="false" ht="114.75" hidden="false" customHeight="true" outlineLevel="0" collapsed="false">
      <c r="A183" s="7" t="s">
        <v>2817</v>
      </c>
      <c r="B183" s="7" t="s">
        <v>56</v>
      </c>
      <c r="C183" s="7" t="s">
        <v>2803</v>
      </c>
      <c r="D183" s="7" t="s">
        <v>1657</v>
      </c>
      <c r="E183" s="7" t="s">
        <v>1655</v>
      </c>
      <c r="F183" s="7" t="s">
        <v>2818</v>
      </c>
    </row>
    <row r="184" customFormat="false" ht="114.75" hidden="false" customHeight="true" outlineLevel="0" collapsed="false">
      <c r="A184" s="8" t="s">
        <v>2819</v>
      </c>
      <c r="B184" s="8" t="s">
        <v>56</v>
      </c>
      <c r="C184" s="8" t="s">
        <v>2803</v>
      </c>
      <c r="D184" s="8" t="s">
        <v>1661</v>
      </c>
      <c r="E184" s="8" t="s">
        <v>1659</v>
      </c>
      <c r="F184" s="8" t="s">
        <v>2820</v>
      </c>
    </row>
    <row r="185" customFormat="false" ht="114.75" hidden="false" customHeight="true" outlineLevel="0" collapsed="false">
      <c r="A185" s="7" t="s">
        <v>2821</v>
      </c>
      <c r="B185" s="7" t="s">
        <v>56</v>
      </c>
      <c r="C185" s="7" t="s">
        <v>2803</v>
      </c>
      <c r="D185" s="7" t="s">
        <v>1187</v>
      </c>
      <c r="E185" s="7" t="s">
        <v>1663</v>
      </c>
      <c r="F185" s="7" t="s">
        <v>2822</v>
      </c>
    </row>
    <row r="186" customFormat="false" ht="114.75" hidden="false" customHeight="true" outlineLevel="0" collapsed="false">
      <c r="A186" s="8" t="s">
        <v>2823</v>
      </c>
      <c r="B186" s="8" t="s">
        <v>56</v>
      </c>
      <c r="C186" s="8" t="s">
        <v>2803</v>
      </c>
      <c r="D186" s="8" t="s">
        <v>1668</v>
      </c>
      <c r="E186" s="8" t="s">
        <v>1666</v>
      </c>
      <c r="F186" s="8" t="s">
        <v>2824</v>
      </c>
    </row>
    <row r="187" customFormat="false" ht="114.75" hidden="false" customHeight="true" outlineLevel="0" collapsed="false">
      <c r="A187" s="7" t="s">
        <v>2825</v>
      </c>
      <c r="B187" s="7" t="s">
        <v>56</v>
      </c>
      <c r="C187" s="7" t="s">
        <v>2803</v>
      </c>
      <c r="D187" s="7" t="s">
        <v>1672</v>
      </c>
      <c r="E187" s="7" t="s">
        <v>1670</v>
      </c>
      <c r="F187" s="7" t="s">
        <v>2826</v>
      </c>
    </row>
    <row r="188" customFormat="false" ht="120" hidden="false" customHeight="true" outlineLevel="0" collapsed="false">
      <c r="A188" s="8" t="s">
        <v>2827</v>
      </c>
      <c r="B188" s="8" t="s">
        <v>2828</v>
      </c>
      <c r="C188" s="8" t="s">
        <v>2829</v>
      </c>
      <c r="D188" s="8" t="s">
        <v>2830</v>
      </c>
      <c r="E188" s="8" t="s">
        <v>2831</v>
      </c>
      <c r="F188" s="8" t="s">
        <v>2832</v>
      </c>
    </row>
    <row r="189" customFormat="false" ht="120" hidden="false" customHeight="true" outlineLevel="0" collapsed="false">
      <c r="A189" s="7" t="s">
        <v>2833</v>
      </c>
      <c r="B189" s="7" t="s">
        <v>36</v>
      </c>
      <c r="C189" s="7" t="s">
        <v>2829</v>
      </c>
      <c r="D189" s="7" t="s">
        <v>2834</v>
      </c>
      <c r="E189" s="7" t="s">
        <v>2835</v>
      </c>
      <c r="F189" s="7" t="s">
        <v>2836</v>
      </c>
    </row>
    <row r="190" customFormat="false" ht="120" hidden="false" customHeight="true" outlineLevel="0" collapsed="false">
      <c r="A190" s="8" t="s">
        <v>2837</v>
      </c>
      <c r="B190" s="8" t="s">
        <v>2838</v>
      </c>
      <c r="C190" s="8" t="s">
        <v>2829</v>
      </c>
      <c r="D190" s="8" t="s">
        <v>2839</v>
      </c>
      <c r="E190" s="8" t="s">
        <v>2840</v>
      </c>
      <c r="F190" s="8" t="s">
        <v>2841</v>
      </c>
    </row>
    <row r="191" customFormat="false" ht="120" hidden="false" customHeight="true" outlineLevel="0" collapsed="false">
      <c r="A191" s="7" t="s">
        <v>2842</v>
      </c>
      <c r="B191" s="7" t="s">
        <v>2843</v>
      </c>
      <c r="C191" s="7" t="s">
        <v>2829</v>
      </c>
      <c r="D191" s="7" t="s">
        <v>2106</v>
      </c>
      <c r="E191" s="7" t="s">
        <v>2844</v>
      </c>
      <c r="F191" s="7" t="s">
        <v>2845</v>
      </c>
    </row>
    <row r="192" customFormat="false" ht="120" hidden="false" customHeight="true" outlineLevel="0" collapsed="false">
      <c r="A192" s="8" t="s">
        <v>2846</v>
      </c>
      <c r="B192" s="8" t="s">
        <v>2847</v>
      </c>
      <c r="C192" s="8" t="s">
        <v>2829</v>
      </c>
      <c r="D192" s="8" t="s">
        <v>2354</v>
      </c>
      <c r="E192" s="8" t="s">
        <v>447</v>
      </c>
      <c r="F192" s="8" t="s">
        <v>2355</v>
      </c>
    </row>
    <row r="193" customFormat="false" ht="120" hidden="false" customHeight="true" outlineLevel="0" collapsed="false">
      <c r="A193" s="7" t="s">
        <v>2848</v>
      </c>
      <c r="B193" s="7" t="s">
        <v>2849</v>
      </c>
      <c r="C193" s="7" t="s">
        <v>2829</v>
      </c>
      <c r="D193" s="7" t="s">
        <v>2106</v>
      </c>
      <c r="E193" s="7" t="s">
        <v>2850</v>
      </c>
      <c r="F193" s="7" t="s">
        <v>2851</v>
      </c>
    </row>
    <row r="194" customFormat="false" ht="120" hidden="false" customHeight="true" outlineLevel="0" collapsed="false">
      <c r="A194" s="8" t="s">
        <v>2852</v>
      </c>
      <c r="B194" s="8" t="s">
        <v>2853</v>
      </c>
      <c r="C194" s="8" t="s">
        <v>2829</v>
      </c>
      <c r="D194" s="8" t="s">
        <v>2354</v>
      </c>
      <c r="E194" s="8" t="s">
        <v>447</v>
      </c>
      <c r="F194" s="8" t="s">
        <v>2355</v>
      </c>
    </row>
    <row r="195" customFormat="false" ht="120" hidden="false" customHeight="true" outlineLevel="0" collapsed="false">
      <c r="A195" s="7" t="s">
        <v>2854</v>
      </c>
      <c r="B195" s="7" t="s">
        <v>2855</v>
      </c>
      <c r="C195" s="7" t="s">
        <v>2829</v>
      </c>
      <c r="D195" s="7" t="s">
        <v>2354</v>
      </c>
      <c r="E195" s="7" t="s">
        <v>447</v>
      </c>
      <c r="F195" s="7" t="s">
        <v>2355</v>
      </c>
    </row>
    <row r="196" customFormat="false" ht="120" hidden="false" customHeight="true" outlineLevel="0" collapsed="false">
      <c r="A196" s="8" t="s">
        <v>2856</v>
      </c>
      <c r="B196" s="8" t="s">
        <v>2857</v>
      </c>
      <c r="C196" s="8" t="s">
        <v>2829</v>
      </c>
      <c r="D196" s="8" t="s">
        <v>2354</v>
      </c>
      <c r="E196" s="8" t="s">
        <v>700</v>
      </c>
      <c r="F196" s="8" t="s">
        <v>2355</v>
      </c>
    </row>
    <row r="197" customFormat="false" ht="120" hidden="false" customHeight="true" outlineLevel="0" collapsed="false">
      <c r="A197" s="7" t="s">
        <v>2858</v>
      </c>
      <c r="B197" s="7" t="s">
        <v>2859</v>
      </c>
      <c r="C197" s="7" t="s">
        <v>2829</v>
      </c>
      <c r="D197" s="7" t="s">
        <v>2354</v>
      </c>
      <c r="E197" s="7" t="s">
        <v>2860</v>
      </c>
      <c r="F197" s="7" t="s">
        <v>2355</v>
      </c>
    </row>
    <row r="198" customFormat="false" ht="120" hidden="false" customHeight="true" outlineLevel="0" collapsed="false">
      <c r="A198" s="8" t="s">
        <v>2861</v>
      </c>
      <c r="B198" s="8" t="s">
        <v>1778</v>
      </c>
      <c r="C198" s="8" t="s">
        <v>2829</v>
      </c>
      <c r="D198" s="8" t="s">
        <v>1187</v>
      </c>
      <c r="E198" s="8" t="s">
        <v>2862</v>
      </c>
      <c r="F198" s="8" t="s">
        <v>2863</v>
      </c>
    </row>
    <row r="199" customFormat="false" ht="120" hidden="false" customHeight="true" outlineLevel="0" collapsed="false">
      <c r="A199" s="7" t="s">
        <v>2864</v>
      </c>
      <c r="B199" s="7" t="s">
        <v>2865</v>
      </c>
      <c r="C199" s="7" t="s">
        <v>2829</v>
      </c>
      <c r="D199" s="7" t="s">
        <v>2866</v>
      </c>
      <c r="E199" s="7" t="s">
        <v>2867</v>
      </c>
      <c r="F199" s="7" t="s">
        <v>2868</v>
      </c>
    </row>
    <row r="200" customFormat="false" ht="120" hidden="false" customHeight="true" outlineLevel="0" collapsed="false">
      <c r="A200" s="8" t="s">
        <v>2869</v>
      </c>
      <c r="B200" s="8" t="s">
        <v>2870</v>
      </c>
      <c r="C200" s="8" t="s">
        <v>2829</v>
      </c>
      <c r="D200" s="8" t="s">
        <v>2354</v>
      </c>
      <c r="E200" s="8" t="s">
        <v>2871</v>
      </c>
      <c r="F200" s="8" t="s">
        <v>2355</v>
      </c>
    </row>
    <row r="201" customFormat="false" ht="120" hidden="false" customHeight="true" outlineLevel="0" collapsed="false">
      <c r="A201" s="7" t="s">
        <v>2872</v>
      </c>
      <c r="B201" s="7" t="s">
        <v>2873</v>
      </c>
      <c r="C201" s="7" t="s">
        <v>2829</v>
      </c>
      <c r="D201" s="7" t="s">
        <v>2354</v>
      </c>
      <c r="E201" s="7" t="s">
        <v>451</v>
      </c>
      <c r="F201" s="7" t="s">
        <v>2355</v>
      </c>
    </row>
    <row r="202" customFormat="false" ht="120" hidden="false" customHeight="true" outlineLevel="0" collapsed="false">
      <c r="A202" s="8" t="s">
        <v>2874</v>
      </c>
      <c r="B202" s="8" t="s">
        <v>2875</v>
      </c>
      <c r="C202" s="8" t="s">
        <v>2829</v>
      </c>
      <c r="D202" s="8" t="s">
        <v>2354</v>
      </c>
      <c r="E202" s="8" t="s">
        <v>2876</v>
      </c>
      <c r="F202" s="8" t="s">
        <v>2355</v>
      </c>
    </row>
    <row r="203" customFormat="false" ht="120" hidden="false" customHeight="true" outlineLevel="0" collapsed="false">
      <c r="A203" s="7" t="s">
        <v>2877</v>
      </c>
      <c r="B203" s="7" t="s">
        <v>2878</v>
      </c>
      <c r="C203" s="7" t="s">
        <v>2829</v>
      </c>
      <c r="D203" s="7" t="s">
        <v>2354</v>
      </c>
      <c r="E203" s="7" t="s">
        <v>1268</v>
      </c>
      <c r="F203" s="7" t="s">
        <v>2355</v>
      </c>
    </row>
    <row r="204" customFormat="false" ht="120" hidden="false" customHeight="true" outlineLevel="0" collapsed="false">
      <c r="A204" s="8" t="s">
        <v>2879</v>
      </c>
      <c r="B204" s="8" t="s">
        <v>2880</v>
      </c>
      <c r="C204" s="8" t="s">
        <v>2829</v>
      </c>
      <c r="D204" s="8" t="s">
        <v>2354</v>
      </c>
      <c r="E204" s="8" t="s">
        <v>396</v>
      </c>
      <c r="F204" s="8" t="s">
        <v>2355</v>
      </c>
    </row>
    <row r="205" customFormat="false" ht="120" hidden="false" customHeight="true" outlineLevel="0" collapsed="false">
      <c r="A205" s="7" t="s">
        <v>2881</v>
      </c>
      <c r="B205" s="7" t="s">
        <v>707</v>
      </c>
      <c r="C205" s="7" t="s">
        <v>2829</v>
      </c>
      <c r="D205" s="7" t="s">
        <v>2866</v>
      </c>
      <c r="E205" s="7" t="s">
        <v>2882</v>
      </c>
      <c r="F205" s="7" t="s">
        <v>2883</v>
      </c>
    </row>
    <row r="206" customFormat="false" ht="135" hidden="false" customHeight="true" outlineLevel="0" collapsed="false">
      <c r="A206" s="8" t="s">
        <v>2884</v>
      </c>
      <c r="B206" s="8" t="s">
        <v>395</v>
      </c>
      <c r="C206" s="8" t="s">
        <v>2885</v>
      </c>
      <c r="D206" s="8" t="s">
        <v>2106</v>
      </c>
      <c r="E206" s="8" t="s">
        <v>396</v>
      </c>
      <c r="F206" s="8" t="s">
        <v>2886</v>
      </c>
    </row>
    <row r="207" customFormat="false" ht="135" hidden="false" customHeight="true" outlineLevel="0" collapsed="false">
      <c r="A207" s="7" t="s">
        <v>2887</v>
      </c>
      <c r="B207" s="7" t="s">
        <v>399</v>
      </c>
      <c r="C207" s="7" t="s">
        <v>2885</v>
      </c>
      <c r="D207" s="7" t="s">
        <v>2106</v>
      </c>
      <c r="E207" s="7" t="s">
        <v>400</v>
      </c>
      <c r="F207" s="7" t="s">
        <v>2888</v>
      </c>
    </row>
    <row r="208" customFormat="false" ht="135" hidden="false" customHeight="true" outlineLevel="0" collapsed="false">
      <c r="A208" s="8" t="s">
        <v>2889</v>
      </c>
      <c r="B208" s="8" t="s">
        <v>403</v>
      </c>
      <c r="C208" s="8" t="s">
        <v>2885</v>
      </c>
      <c r="D208" s="8" t="s">
        <v>2106</v>
      </c>
      <c r="E208" s="8" t="s">
        <v>404</v>
      </c>
      <c r="F208" s="8" t="s">
        <v>2890</v>
      </c>
    </row>
    <row r="209" customFormat="false" ht="135" hidden="false" customHeight="true" outlineLevel="0" collapsed="false">
      <c r="A209" s="7" t="s">
        <v>2891</v>
      </c>
      <c r="B209" s="7" t="s">
        <v>407</v>
      </c>
      <c r="C209" s="7" t="s">
        <v>2885</v>
      </c>
      <c r="D209" s="7" t="s">
        <v>2106</v>
      </c>
      <c r="E209" s="7" t="s">
        <v>408</v>
      </c>
      <c r="F209" s="7" t="s">
        <v>2890</v>
      </c>
    </row>
    <row r="210" customFormat="false" ht="135" hidden="false" customHeight="true" outlineLevel="0" collapsed="false">
      <c r="A210" s="8" t="s">
        <v>2892</v>
      </c>
      <c r="B210" s="8" t="s">
        <v>410</v>
      </c>
      <c r="C210" s="8" t="s">
        <v>2885</v>
      </c>
      <c r="D210" s="8" t="s">
        <v>2106</v>
      </c>
      <c r="E210" s="8" t="s">
        <v>411</v>
      </c>
      <c r="F210" s="8" t="s">
        <v>2893</v>
      </c>
    </row>
    <row r="211" customFormat="false" ht="135" hidden="false" customHeight="true" outlineLevel="0" collapsed="false">
      <c r="A211" s="7" t="s">
        <v>2894</v>
      </c>
      <c r="B211" s="7" t="s">
        <v>414</v>
      </c>
      <c r="C211" s="7" t="s">
        <v>2885</v>
      </c>
      <c r="D211" s="7" t="s">
        <v>2106</v>
      </c>
      <c r="E211" s="7" t="s">
        <v>415</v>
      </c>
      <c r="F211" s="7" t="s">
        <v>2895</v>
      </c>
    </row>
    <row r="212" customFormat="false" ht="135" hidden="false" customHeight="true" outlineLevel="0" collapsed="false">
      <c r="A212" s="8" t="s">
        <v>2896</v>
      </c>
      <c r="B212" s="8" t="s">
        <v>418</v>
      </c>
      <c r="C212" s="8" t="s">
        <v>2885</v>
      </c>
      <c r="D212" s="8" t="s">
        <v>2106</v>
      </c>
      <c r="E212" s="8" t="s">
        <v>419</v>
      </c>
      <c r="F212" s="8" t="s">
        <v>2897</v>
      </c>
    </row>
    <row r="213" customFormat="false" ht="135" hidden="false" customHeight="true" outlineLevel="0" collapsed="false">
      <c r="A213" s="7" t="s">
        <v>2898</v>
      </c>
      <c r="B213" s="7" t="s">
        <v>422</v>
      </c>
      <c r="C213" s="7" t="s">
        <v>2885</v>
      </c>
      <c r="D213" s="7" t="s">
        <v>2106</v>
      </c>
      <c r="E213" s="7" t="s">
        <v>423</v>
      </c>
      <c r="F213" s="7" t="s">
        <v>2899</v>
      </c>
    </row>
    <row r="214" customFormat="false" ht="135" hidden="false" customHeight="true" outlineLevel="0" collapsed="false">
      <c r="A214" s="8" t="s">
        <v>2900</v>
      </c>
      <c r="B214" s="8" t="s">
        <v>426</v>
      </c>
      <c r="C214" s="8" t="s">
        <v>2885</v>
      </c>
      <c r="D214" s="8" t="s">
        <v>2106</v>
      </c>
      <c r="E214" s="8" t="s">
        <v>427</v>
      </c>
      <c r="F214" s="8" t="s">
        <v>2901</v>
      </c>
    </row>
    <row r="215" customFormat="false" ht="135" hidden="false" customHeight="true" outlineLevel="0" collapsed="false">
      <c r="A215" s="7" t="s">
        <v>2902</v>
      </c>
      <c r="B215" s="7" t="s">
        <v>430</v>
      </c>
      <c r="C215" s="7" t="s">
        <v>2885</v>
      </c>
      <c r="D215" s="7" t="s">
        <v>2106</v>
      </c>
      <c r="E215" s="7" t="s">
        <v>431</v>
      </c>
      <c r="F215" s="7" t="s">
        <v>2903</v>
      </c>
    </row>
    <row r="216" customFormat="false" ht="135" hidden="false" customHeight="true" outlineLevel="0" collapsed="false">
      <c r="A216" s="8" t="s">
        <v>2904</v>
      </c>
      <c r="B216" s="8" t="s">
        <v>434</v>
      </c>
      <c r="C216" s="8" t="s">
        <v>2885</v>
      </c>
      <c r="D216" s="8" t="s">
        <v>2106</v>
      </c>
      <c r="E216" s="8" t="s">
        <v>435</v>
      </c>
      <c r="F216" s="8" t="s">
        <v>2905</v>
      </c>
    </row>
    <row r="217" customFormat="false" ht="135" hidden="false" customHeight="true" outlineLevel="0" collapsed="false">
      <c r="A217" s="7" t="s">
        <v>2906</v>
      </c>
      <c r="B217" s="7" t="s">
        <v>438</v>
      </c>
      <c r="C217" s="7" t="s">
        <v>2885</v>
      </c>
      <c r="D217" s="7" t="s">
        <v>2106</v>
      </c>
      <c r="E217" s="7" t="s">
        <v>439</v>
      </c>
      <c r="F217" s="7" t="s">
        <v>2907</v>
      </c>
    </row>
    <row r="218" customFormat="false" ht="135" hidden="false" customHeight="true" outlineLevel="0" collapsed="false">
      <c r="A218" s="8" t="s">
        <v>2908</v>
      </c>
      <c r="B218" s="8" t="s">
        <v>442</v>
      </c>
      <c r="C218" s="8" t="s">
        <v>2885</v>
      </c>
      <c r="D218" s="8" t="s">
        <v>2106</v>
      </c>
      <c r="E218" s="8" t="s">
        <v>443</v>
      </c>
      <c r="F218" s="8" t="s">
        <v>2909</v>
      </c>
    </row>
    <row r="219" customFormat="false" ht="135" hidden="false" customHeight="true" outlineLevel="0" collapsed="false">
      <c r="A219" s="7" t="s">
        <v>2910</v>
      </c>
      <c r="B219" s="7" t="s">
        <v>446</v>
      </c>
      <c r="C219" s="7" t="s">
        <v>2885</v>
      </c>
      <c r="D219" s="7" t="s">
        <v>2106</v>
      </c>
      <c r="E219" s="7" t="s">
        <v>447</v>
      </c>
      <c r="F219" s="7" t="s">
        <v>2911</v>
      </c>
    </row>
    <row r="220" customFormat="false" ht="135" hidden="false" customHeight="true" outlineLevel="0" collapsed="false">
      <c r="A220" s="8" t="s">
        <v>2912</v>
      </c>
      <c r="B220" s="8" t="s">
        <v>450</v>
      </c>
      <c r="C220" s="8" t="s">
        <v>2885</v>
      </c>
      <c r="D220" s="8" t="s">
        <v>2106</v>
      </c>
      <c r="E220" s="8" t="s">
        <v>451</v>
      </c>
      <c r="F220" s="8" t="s">
        <v>2913</v>
      </c>
    </row>
    <row r="221" customFormat="false" ht="135" hidden="false" customHeight="true" outlineLevel="0" collapsed="false">
      <c r="A221" s="7" t="s">
        <v>2914</v>
      </c>
      <c r="B221" s="7" t="s">
        <v>454</v>
      </c>
      <c r="C221" s="7" t="s">
        <v>2885</v>
      </c>
      <c r="D221" s="7" t="s">
        <v>2106</v>
      </c>
      <c r="E221" s="7" t="s">
        <v>455</v>
      </c>
      <c r="F221" s="7" t="s">
        <v>2915</v>
      </c>
    </row>
    <row r="222" customFormat="false" ht="135" hidden="false" customHeight="true" outlineLevel="0" collapsed="false">
      <c r="A222" s="8" t="s">
        <v>2916</v>
      </c>
      <c r="B222" s="8" t="s">
        <v>458</v>
      </c>
      <c r="C222" s="8" t="s">
        <v>2885</v>
      </c>
      <c r="D222" s="8" t="s">
        <v>2106</v>
      </c>
      <c r="E222" s="8" t="s">
        <v>459</v>
      </c>
      <c r="F222" s="8" t="s">
        <v>2917</v>
      </c>
    </row>
  </sheetData>
  <mergeCells count="2">
    <mergeCell ref="A1:F1"/>
    <mergeCell ref="A2:F3"/>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LibreOfficeDev/26.8.0.0.alpha0$Linux_X86_64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2026-10-22T14:31:45Z</dcterms:created>
  <dc:creator>HARBORLIGHT</dc:creator>
  <dc:description>Wersja8. Zachowaneźródła,komentarze i wszystkie17decyzji. Nowereguły V8mająpierwszeństwo.</dc:description>
  <dc:language>en-US</dc:language>
  <cp:lastModifiedBy>Sobczak, Krzysztof</cp:lastModifiedBy>
  <dcterms:modified xsi:type="dcterms:W3CDTF">2026-10-23T11:19:00Z</dcterms:modified>
  <cp:revision>0</cp:revision>
  <dc:subject>Wersja7 + zatwierdzone zmiany frontendu, atrakcji, ścieżek i efektów</dc:subject>
  <dc:title>HARBORLIGHT8 — pełne ustalenia i kalkulatory</dc:title>
</cp:coreProperties>
</file>

<file path=docProps/custom.xml><?xml version="1.0" encoding="utf-8"?>
<Properties xmlns="http://schemas.openxmlformats.org/officeDocument/2006/custom-properties" xmlns:vt="http://schemas.openxmlformats.org/officeDocument/2006/docPropsVTypes"/>
</file>